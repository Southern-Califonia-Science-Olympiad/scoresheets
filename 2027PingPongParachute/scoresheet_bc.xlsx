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hidden" r:id="rId9"/>
    <sheet name="ExportRaw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<sst xmlns="http://schemas.openxmlformats.org/spreadsheetml/2006/main" count="152" uniqueCount="107">
  <si>
    <t xml:space="preserve">Check-In &amp; Practice Log</t>
  </si>
  <si>
    <t xml:space="preserve">Flight Time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</si>
  <si>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</si>
  <si>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</si>
  <si>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</si>
  <si>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</si>
  <si>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school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</si>
  <si>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</si>
  <si>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</si>
  <si>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</si>
  <si>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</si>
  <si>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</si>
  <si>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Rocket A</t>
  </si>
  <si>
    <t xml:space="preserve">Rocket B</t>
  </si>
  <si>
    <t xml:space="preserve">3. Practice Log (Complete / Incomplete / Not present)</t>
  </si>
  <si>
    <t xml:space="preserve">Flight 1</t>
  </si>
  <si>
    <t xml:space="preserve">Flight 2</t>
  </si>
  <si>
    <t xml:space="preserve">12. Disqualify (T/F)</t>
  </si>
  <si>
    <t xml:space="preserve">Scored Flight</t>
  </si>
  <si>
    <t xml:space="preserve">Raw Time</t>
  </si>
  <si>
    <t xml:space="preserve">Flight Multiplier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</si>
  <si>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</si>
  <si>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</si>
  <si>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</si>
  <si>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</si>
  <si>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</si>
  <si>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</si>
  <si>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</si>
  <si>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</si>
  <si>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1. Met All Const Params (T/F)</t>
  </si>
  <si>
    <t xml:space="preserve">2. Met All Const Params (T/F)</t>
  </si>
  <si>
    <t xml:space="preserve">4. Rocket (A/B)</t>
  </si>
  <si>
    <t xml:space="preserve">5. Median Flight Time (s)</t>
  </si>
  <si>
    <t xml:space="preserve">6. Parachute successfully separates from rocket (T/F)</t>
  </si>
  <si>
    <t xml:space="preserve">7. No part of rocket and parachute touches ceiling (T/F)</t>
  </si>
  <si>
    <t xml:space="preserve">8. Rocket (A/B)</t>
  </si>
  <si>
    <t xml:space="preserve">9. Median Flight Time (s)</t>
  </si>
  <si>
    <t xml:space="preserve">10. Parachute successfully separates from rocket (T/F)</t>
  </si>
  <si>
    <t xml:space="preserve">11. No part of rocket and parachute touches ceiling (T/F)</t>
  </si>
  <si>
    <t xml:space="preserve">Hidden since event has no tiers</t>
  </si>
  <si>
    <t xml:space="preserve">Flight 1 Scoreable?</t>
  </si>
  <si>
    <t xml:space="preserve">Flight 2 Scoreable?</t>
  </si>
  <si>
    <t xml:space="preserve">Status</t>
  </si>
  <si>
    <t xml:space="preserve">Flight 1 (s)</t>
  </si>
  <si>
    <t xml:space="preserve">Flight 1 Mult</t>
  </si>
  <si>
    <t xml:space="preserve">Flight 1 Score</t>
  </si>
  <si>
    <t xml:space="preserve">Flight 2 (s)</t>
  </si>
  <si>
    <t xml:space="preserve">Flight 2 Mult</t>
  </si>
  <si>
    <t xml:space="preserve">Flight 2 Score</t>
  </si>
  <si>
    <t xml:space="preserve">Scored Flight #</t>
  </si>
  <si>
    <t xml:space="preserve">Non-scored Flight #</t>
  </si>
  <si>
    <t xml:space="preserve">TB1 (Non-scored Flight Score)</t>
  </si>
  <si>
    <t xml:space="preserve">TB1 Rank</t>
  </si>
  <si>
    <t xml:space="preserve">Rank w/ TB</t>
  </si>
  <si>
    <t xml:space="preserve">Rank Diff</t>
  </si>
  <si>
    <t xml:space="preserve">Name Desc</t>
  </si>
  <si>
    <t xml:space="preserve">Value</t>
  </si>
  <si>
    <t xml:space="preserve">T</t>
  </si>
  <si>
    <t xml:space="preserve">F</t>
  </si>
  <si>
    <t xml:space="preserve">Disqualified</t>
  </si>
  <si>
    <t xml:space="preserve">DQ</t>
  </si>
  <si>
    <t xml:space="preserve">No-Show</t>
  </si>
  <si>
    <t xml:space="preserve">NS</t>
  </si>
  <si>
    <t xml:space="preserve">Participated</t>
  </si>
  <si>
    <t xml:space="preserve">P</t>
  </si>
  <si>
    <t xml:space="preserve">Competed</t>
  </si>
  <si>
    <t xml:space="preserve">C</t>
  </si>
  <si>
    <t xml:space="preserve">Complete Flight Log Multiplier</t>
  </si>
  <si>
    <t xml:space="preserve">Incomplete Flight Log Multiplier</t>
  </si>
  <si>
    <t xml:space="preserve">No Flight Log Multiplier</t>
  </si>
  <si>
    <t xml:space="preserve">Parachute Separate Multipler</t>
  </si>
  <si>
    <t xml:space="preserve">Ceiling Touch Multiplier</t>
  </si>
  <si>
    <t xml:space="preserve">Seconds Assessed for a Missing Flight</t>
  </si>
  <si>
    <t xml:space="preserve">Error Status</t>
  </si>
  <si>
    <t xml:space="preserve">ERR</t>
  </si>
  <si>
    <t xml:space="preserve">Flight Log: Complete</t>
  </si>
  <si>
    <t xml:space="preserve">Complete</t>
  </si>
  <si>
    <t xml:space="preserve">Flight Log: Incomplete</t>
  </si>
  <si>
    <t xml:space="preserve">Incomplete</t>
  </si>
  <si>
    <t xml:space="preserve">Flight Log: Not Present</t>
  </si>
  <si>
    <t xml:space="preserve">Not present</t>
  </si>
  <si>
    <t xml:space="preserve">A</t>
  </si>
  <si>
    <t xml:space="preserve">B</t>
  </si>
  <si>
    <t xml:space="preserve">Tier (event has no tiering)</t>
  </si>
  <si>
    <t xml:space="preserve">Date</t>
  </si>
  <si>
    <t xml:space="preserve">Version #</t>
  </si>
  <si>
    <t xml:space="preserve">Change</t>
  </si>
  <si>
    <t xml:space="preserve">0.1.0</t>
  </si>
  <si>
    <t xml:space="preserve">Implemented prelimiary logic for scoresheet</t>
  </si>
  <si>
    <t xml:space="preserve">Event</t>
  </si>
  <si>
    <t xml:space="preserve">Ping Pong Parachute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</si>
  <si>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</si>
  <si>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</si>
  <si>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</si>
  <si>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</si>
  <si>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</si>
  <si>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</si>
  <si>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</si>
  <si>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Division</t>
  </si>
  <si>
    <t xml:space="preserve">B/C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</si>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</sst>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"/>
    <numFmt numFmtId="167" formatCode="0.00"/>
    <numFmt numFmtId="168" formatCode="#,##0"/>
    <numFmt numFmtId="169" formatCode="&quot;TRUE&quot;;&quot;TRUE&quot;;&quot;FALSE&quot;"/>
    <numFmt numFmtId="170" formatCode="0.000"/>
    <numFmt numFmtId="171" formatCode="m/d/yyyy"/>
    <numFmt numFmtId="172" formatCode="mm/dd/yyyy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sz val="13"/>
      <color theme="1"/>
      <name val="Overpass"/>
      <family val="0"/>
      <charset val="1"/>
    </font>
    <font>
      <b val="true"/>
      <sz val="11"/>
      <color rgb="FF181A1B"/>
      <name val="Overpass"/>
      <family val="0"/>
      <charset val="1"/>
    </font>
    <font>
      <sz val="11"/>
      <color rgb="FF181A1B"/>
      <name val="Overpass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99CCFF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D9D9D9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6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center" vertical="bottom" textRotation="9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1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7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1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0000"/>
      </font>
      <fill>
        <patternFill>
          <bgColor rgb="FFFFD966"/>
        </patternFill>
      </fill>
    </dxf>
    <dxf>
      <fill>
        <patternFill>
          <bgColor rgb="FFF4C7C3"/>
        </patternFill>
      </fill>
    </dxf>
    <dxf>
      <font>
        <color rgb="FF000000"/>
      </font>
      <fill>
        <patternFill>
          <bgColor rgb="FFFFB3B3"/>
        </patternFill>
      </fill>
    </dxf>
    <dxf>
      <font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99CCFF"/>
      <rgbColor rgb="FFFFB3B3"/>
      <rgbColor rgb="FFCC99FF"/>
      <rgbColor rgb="FFF4C7C3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V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E3" activeCellId="0" sqref="E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6" min="5" style="1" width="10.71"/>
    <col collapsed="false" customWidth="true" hidden="false" outlineLevel="0" max="7" min="7" style="1" width="12.38"/>
    <col collapsed="false" customWidth="true" hidden="false" outlineLevel="0" max="8" min="8" style="1" width="9.18"/>
    <col collapsed="false" customWidth="true" hidden="false" outlineLevel="0" max="9" min="9" style="1" width="8.38"/>
    <col collapsed="false" customWidth="true" hidden="false" outlineLevel="0" max="12" min="10" style="1" width="9.18"/>
    <col collapsed="false" customWidth="true" hidden="false" outlineLevel="0" max="13" min="13" style="1" width="8.38"/>
    <col collapsed="false" customWidth="true" hidden="false" outlineLevel="0" max="15" min="14" style="1" width="9.18"/>
    <col collapsed="false" customWidth="true" hidden="false" outlineLevel="0" max="16" min="16" style="1" width="4"/>
    <col collapsed="false" customWidth="true" hidden="true" outlineLevel="0" max="17" min="17" style="1" width="4.63"/>
    <col collapsed="false" customWidth="true" hidden="true" outlineLevel="0" max="27" min="18" style="1" width="7.23"/>
    <col collapsed="false" customWidth="true" hidden="true" outlineLevel="0" max="28" min="28" style="1" width="7.37"/>
    <col collapsed="false" customWidth="true" hidden="true" outlineLevel="0" max="29" min="29" style="1" width="7.23"/>
    <col collapsed="false" customWidth="true" hidden="true" outlineLevel="0" max="30" min="30" style="1" width="20.58"/>
    <col collapsed="false" customWidth="true" hidden="true" outlineLevel="0" max="31" min="31" style="1" width="20.85"/>
    <col collapsed="false" customWidth="true" hidden="true" outlineLevel="0" max="32" min="32" style="1" width="7.37"/>
    <col collapsed="false" customWidth="true" hidden="true" outlineLevel="0" max="33" min="33" style="1" width="8.49"/>
    <col collapsed="false" customWidth="true" hidden="true" outlineLevel="0" max="34" min="34" style="1" width="12.38"/>
    <col collapsed="false" customWidth="true" hidden="true" outlineLevel="0" max="35" min="35" style="1" width="14.47"/>
    <col collapsed="false" customWidth="true" hidden="true" outlineLevel="0" max="36" min="36" style="1" width="15.3"/>
    <col collapsed="false" customWidth="true" hidden="true" outlineLevel="0" max="37" min="37" style="1" width="11.96"/>
    <col collapsed="false" customWidth="true" hidden="true" outlineLevel="0" max="38" min="38" style="1" width="14.33"/>
    <col collapsed="false" customWidth="true" hidden="true" outlineLevel="0" max="39" min="39" style="1" width="15.16"/>
    <col collapsed="false" customWidth="true" hidden="true" outlineLevel="0" max="40" min="40" style="1" width="19.75"/>
    <col collapsed="false" customWidth="true" hidden="true" outlineLevel="0" max="41" min="41" style="1" width="22.4"/>
    <col collapsed="false" customWidth="true" hidden="true" outlineLevel="0" max="42" min="42" style="1" width="7.65"/>
    <col collapsed="false" customWidth="true" hidden="true" outlineLevel="0" max="43" min="43" style="1" width="7.09"/>
    <col collapsed="false" customWidth="true" hidden="true" outlineLevel="0" max="44" min="44" style="1" width="30.74"/>
    <col collapsed="false" customWidth="true" hidden="true" outlineLevel="0" max="45" min="45" style="1" width="10.99"/>
    <col collapsed="false" customWidth="false" hidden="true" outlineLevel="0" max="46" min="46" style="1" width="12.66"/>
    <col collapsed="false" customWidth="true" hidden="true" outlineLevel="0" max="47" min="47" style="1" width="10.29"/>
    <col collapsed="false" customWidth="true" hidden="true" outlineLevel="0" max="48" min="48" style="1" width="4.63"/>
    <col collapsed="false" customWidth="true" hidden="false" outlineLevel="0" max="51" min="49" style="1" width="8.68"/>
    <col collapsed="false" customWidth="true" hidden="false" outlineLevel="0" max="52" min="52" style="1" width="8.63"/>
    <col collapsed="false" customWidth="true" hidden="true" outlineLevel="0" max="53" min="53" style="1" width="4"/>
    <col collapsed="false" customWidth="true" hidden="false" outlineLevel="0" max="56" min="54" style="1" width="4"/>
    <col collapsed="false" customWidth="true" hidden="false" outlineLevel="0" max="57" min="57" style="1" width="2"/>
    <col collapsed="false" customWidth="true" hidden="true" outlineLevel="0" max="67" min="58" style="1" width="4.63"/>
    <col collapsed="false" customWidth="true" hidden="false" outlineLevel="0" max="68" min="68" style="1" width="6.81"/>
    <col collapsed="false" customWidth="true" hidden="false" outlineLevel="0" max="69" min="69" style="1" width="9.74"/>
    <col collapsed="false" customWidth="true" hidden="false" outlineLevel="0" max="70" min="70" style="1" width="30.75"/>
    <col collapsed="false" customWidth="true" hidden="false" outlineLevel="0" max="71" min="71" style="1" width="15.63"/>
    <col collapsed="false" customWidth="true" hidden="false" outlineLevel="0" max="72" min="72" style="1" width="4.63"/>
    <col collapsed="false" customWidth="true" hidden="false" outlineLevel="0" max="73" min="73" style="1" width="8.63"/>
    <col collapsed="false" customWidth="true" hidden="true" outlineLevel="0" max="74" min="74" style="1" width="6.63"/>
    <col collapsed="false" customWidth="true" hidden="false" outlineLevel="0" max="16384" min="16376" style="1" width="11.5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3"/>
      <c r="H1" s="2"/>
      <c r="I1" s="3"/>
      <c r="J1" s="3"/>
      <c r="K1" s="3"/>
      <c r="L1" s="2"/>
      <c r="M1" s="3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4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customFormat="false" ht="15.75" hidden="false" customHeight="false" outlineLevel="0" collapsed="false">
      <c r="A2" s="5"/>
      <c r="B2" s="6" t="str">
        <f aca="false">'Info.'!B1&amp;" "&amp;'Info.'!B4</f>
        <v>Ping Pong Parachute B/C</v>
      </c>
      <c r="C2" s="6"/>
      <c r="D2" s="6"/>
      <c r="E2" s="7" t="s">
        <v>0</v>
      </c>
      <c r="F2" s="7"/>
      <c r="G2" s="7"/>
      <c r="H2" s="7" t="s">
        <v>1</v>
      </c>
      <c r="I2" s="7"/>
      <c r="J2" s="7"/>
      <c r="K2" s="7"/>
      <c r="L2" s="7"/>
      <c r="M2" s="7"/>
      <c r="N2" s="7"/>
      <c r="O2" s="7"/>
      <c r="P2" s="8"/>
      <c r="Q2" s="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11"/>
      <c r="AF2" s="12"/>
      <c r="AG2" s="12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4"/>
      <c r="AW2" s="15" t="s">
        <v>2</v>
      </c>
      <c r="AX2" s="15"/>
      <c r="AY2" s="15"/>
      <c r="AZ2" s="16"/>
      <c r="BA2" s="16"/>
      <c r="BB2" s="16"/>
      <c r="BC2" s="16"/>
      <c r="BD2" s="16"/>
      <c r="BE2" s="17"/>
      <c r="BF2" s="13"/>
      <c r="BG2" s="13"/>
      <c r="BH2" s="18" t="s">
        <v>3</v>
      </c>
      <c r="BI2" s="19" t="s">
        <v>4</v>
      </c>
      <c r="BJ2" s="19" t="s">
        <v>5</v>
      </c>
      <c r="BK2" s="19" t="s">
        <v>6</v>
      </c>
      <c r="BL2" s="19" t="s">
        <v>7</v>
      </c>
      <c r="BM2" s="19" t="s">
        <v>8</v>
      </c>
      <c r="BN2" s="19" t="s">
        <v>9</v>
      </c>
      <c r="BO2" s="20" t="s">
        <v>10</v>
      </c>
      <c r="BP2" s="21" t="s">
        <v>11</v>
      </c>
      <c r="BQ2" s="21"/>
      <c r="BR2" s="21"/>
      <c r="BS2" s="21"/>
      <c r="BT2" s="21"/>
      <c r="BU2" s="21"/>
      <c r="BV2" s="13"/>
    </row>
    <row r="3" customFormat="false" ht="20.25" hidden="false" customHeight="true" outlineLevel="0" collapsed="false">
      <c r="A3" s="5"/>
      <c r="B3" s="6"/>
      <c r="C3" s="6"/>
      <c r="D3" s="6"/>
      <c r="E3" s="22" t="s">
        <v>12</v>
      </c>
      <c r="F3" s="23" t="s">
        <v>13</v>
      </c>
      <c r="G3" s="24" t="s">
        <v>14</v>
      </c>
      <c r="H3" s="23" t="s">
        <v>15</v>
      </c>
      <c r="I3" s="23"/>
      <c r="J3" s="23"/>
      <c r="K3" s="23"/>
      <c r="L3" s="22" t="s">
        <v>16</v>
      </c>
      <c r="M3" s="22"/>
      <c r="N3" s="22"/>
      <c r="O3" s="22"/>
      <c r="P3" s="25" t="s">
        <v>17</v>
      </c>
      <c r="Q3" s="9"/>
      <c r="R3" s="26" t="str">
        <f aca="false">E4</f>
        <v>1. Met All Const Params (T/F)</v>
      </c>
      <c r="S3" s="26" t="str">
        <f aca="false">F4</f>
        <v>2. Met All Const Params (T/F)</v>
      </c>
      <c r="T3" s="26" t="str">
        <f aca="false">G3</f>
        <v>3. Practice Log (Complete / Incomplete / Not present)</v>
      </c>
      <c r="U3" s="26" t="str">
        <f aca="false">H4</f>
        <v>4. Rocket (A/B)</v>
      </c>
      <c r="V3" s="26" t="str">
        <f aca="false">I4</f>
        <v>5. Median Flight Time (s)</v>
      </c>
      <c r="W3" s="26" t="str">
        <f aca="false">J4</f>
        <v>6. Parachute successfully separates from rocket (T/F)</v>
      </c>
      <c r="X3" s="26" t="str">
        <f aca="false">K4</f>
        <v>7. No part of rocket and parachute touches ceiling (T/F)</v>
      </c>
      <c r="Y3" s="26" t="str">
        <f aca="false">L4</f>
        <v>8. Rocket (A/B)</v>
      </c>
      <c r="Z3" s="26" t="str">
        <f aca="false">M4</f>
        <v>9. Median Flight Time (s)</v>
      </c>
      <c r="AA3" s="26" t="str">
        <f aca="false">N4</f>
        <v>10. Parachute successfully separates from rocket (T/F)</v>
      </c>
      <c r="AB3" s="26" t="str">
        <f aca="false">O4</f>
        <v>11. No part of rocket and parachute touches ceiling (T/F)</v>
      </c>
      <c r="AC3" s="26" t="str">
        <f aca="false">P3</f>
        <v>12. Disqualify (T/F)</v>
      </c>
      <c r="AD3" s="27"/>
      <c r="AE3" s="27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4"/>
      <c r="AW3" s="28" t="s">
        <v>18</v>
      </c>
      <c r="AX3" s="29" t="s">
        <v>19</v>
      </c>
      <c r="AY3" s="29" t="s">
        <v>20</v>
      </c>
      <c r="AZ3" s="30" t="s">
        <v>21</v>
      </c>
      <c r="BA3" s="31" t="s">
        <v>22</v>
      </c>
      <c r="BB3" s="32" t="s">
        <v>23</v>
      </c>
      <c r="BC3" s="31" t="s">
        <v>24</v>
      </c>
      <c r="BD3" s="33" t="s">
        <v>25</v>
      </c>
      <c r="BE3" s="34"/>
      <c r="BF3" s="13"/>
      <c r="BG3" s="13"/>
      <c r="BH3" s="18"/>
      <c r="BI3" s="19"/>
      <c r="BJ3" s="19"/>
      <c r="BK3" s="19"/>
      <c r="BL3" s="19"/>
      <c r="BM3" s="19"/>
      <c r="BN3" s="19"/>
      <c r="BO3" s="20"/>
      <c r="BP3" s="35" t="s">
        <v>24</v>
      </c>
      <c r="BQ3" s="36" t="s">
        <v>26</v>
      </c>
      <c r="BR3" s="36" t="s">
        <v>27</v>
      </c>
      <c r="BS3" s="36" t="s">
        <v>28</v>
      </c>
      <c r="BT3" s="36" t="s">
        <v>22</v>
      </c>
      <c r="BU3" s="37" t="s">
        <v>21</v>
      </c>
      <c r="BV3" s="13"/>
    </row>
    <row r="4" customFormat="false" ht="18.65" hidden="false" customHeight="true" outlineLevel="0" collapsed="false">
      <c r="A4" s="5"/>
      <c r="B4" s="38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38"/>
      <c r="D4" s="38"/>
      <c r="E4" s="25" t="s">
        <v>29</v>
      </c>
      <c r="F4" s="39" t="s">
        <v>30</v>
      </c>
      <c r="G4" s="24"/>
      <c r="H4" s="40" t="s">
        <v>31</v>
      </c>
      <c r="I4" s="41" t="s">
        <v>32</v>
      </c>
      <c r="J4" s="41" t="s">
        <v>33</v>
      </c>
      <c r="K4" s="24" t="s">
        <v>34</v>
      </c>
      <c r="L4" s="26" t="s">
        <v>35</v>
      </c>
      <c r="M4" s="41" t="s">
        <v>36</v>
      </c>
      <c r="N4" s="41" t="s">
        <v>37</v>
      </c>
      <c r="O4" s="24" t="s">
        <v>38</v>
      </c>
      <c r="P4" s="25"/>
      <c r="Q4" s="9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7"/>
      <c r="AE4" s="27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4"/>
      <c r="AW4" s="28"/>
      <c r="AX4" s="29"/>
      <c r="AY4" s="29"/>
      <c r="AZ4" s="30"/>
      <c r="BA4" s="31"/>
      <c r="BB4" s="31"/>
      <c r="BC4" s="31"/>
      <c r="BD4" s="33"/>
      <c r="BE4" s="34"/>
      <c r="BF4" s="13"/>
      <c r="BG4" s="13"/>
      <c r="BH4" s="18"/>
      <c r="BI4" s="19"/>
      <c r="BJ4" s="19"/>
      <c r="BK4" s="19"/>
      <c r="BL4" s="19"/>
      <c r="BM4" s="19"/>
      <c r="BN4" s="19"/>
      <c r="BO4" s="20"/>
      <c r="BP4" s="35"/>
      <c r="BQ4" s="36"/>
      <c r="BR4" s="36"/>
      <c r="BS4" s="36"/>
      <c r="BT4" s="36"/>
      <c r="BU4" s="37"/>
      <c r="BV4" s="13"/>
    </row>
    <row r="5" customFormat="false" ht="118.5" hidden="true" customHeight="true" outlineLevel="0" collapsed="false">
      <c r="A5" s="5"/>
      <c r="B5" s="42"/>
      <c r="C5" s="42"/>
      <c r="D5" s="42"/>
      <c r="E5" s="25"/>
      <c r="F5" s="39"/>
      <c r="G5" s="24"/>
      <c r="H5" s="40"/>
      <c r="I5" s="41"/>
      <c r="J5" s="41"/>
      <c r="K5" s="24"/>
      <c r="L5" s="26"/>
      <c r="M5" s="41"/>
      <c r="N5" s="41"/>
      <c r="O5" s="24"/>
      <c r="P5" s="25"/>
      <c r="Q5" s="9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7"/>
      <c r="AE5" s="27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28"/>
      <c r="AX5" s="29"/>
      <c r="AY5" s="29"/>
      <c r="AZ5" s="30"/>
      <c r="BA5" s="31"/>
      <c r="BB5" s="31"/>
      <c r="BC5" s="31"/>
      <c r="BD5" s="33"/>
      <c r="BE5" s="34"/>
      <c r="BF5" s="13"/>
      <c r="BG5" s="13"/>
      <c r="BH5" s="18"/>
      <c r="BI5" s="19"/>
      <c r="BJ5" s="19"/>
      <c r="BK5" s="19"/>
      <c r="BL5" s="19"/>
      <c r="BM5" s="19"/>
      <c r="BN5" s="19"/>
      <c r="BO5" s="20"/>
      <c r="BP5" s="35"/>
      <c r="BQ5" s="36"/>
      <c r="BR5" s="36"/>
      <c r="BS5" s="36"/>
      <c r="BT5" s="36"/>
      <c r="BU5" s="37"/>
      <c r="BV5" s="13"/>
    </row>
    <row r="6" customFormat="false" ht="89.25" hidden="false" customHeight="true" outlineLevel="0" collapsed="false">
      <c r="A6" s="5"/>
      <c r="B6" s="43" t="str">
        <f aca="false">"Last Updated: "&amp;TEXT('Info.'!B2, "mm/dd/yyyy")&amp;" (v"&amp;'Info.'!B3&amp;")
Direct all questions to scoresheets@soinc.org."</f>
        <v>Last Updated: 09/23/2026 (v0.1.0)
Direct all questions to scoresheets@soinc.org.</v>
      </c>
      <c r="C6" s="43"/>
      <c r="D6" s="43"/>
      <c r="E6" s="25"/>
      <c r="F6" s="39"/>
      <c r="G6" s="24"/>
      <c r="H6" s="40"/>
      <c r="I6" s="41"/>
      <c r="J6" s="41"/>
      <c r="K6" s="24"/>
      <c r="L6" s="26"/>
      <c r="M6" s="41"/>
      <c r="N6" s="41"/>
      <c r="O6" s="24"/>
      <c r="P6" s="25"/>
      <c r="Q6" s="9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7"/>
      <c r="AE6" s="27"/>
      <c r="AF6" s="44"/>
      <c r="AG6" s="45" t="s">
        <v>39</v>
      </c>
      <c r="AH6" s="46" t="s">
        <v>15</v>
      </c>
      <c r="AI6" s="46"/>
      <c r="AJ6" s="46"/>
      <c r="AK6" s="46" t="s">
        <v>16</v>
      </c>
      <c r="AL6" s="46"/>
      <c r="AM6" s="46"/>
      <c r="AN6" s="47"/>
      <c r="AO6" s="47"/>
      <c r="AP6" s="47"/>
      <c r="AQ6" s="47"/>
      <c r="AR6" s="47"/>
      <c r="AS6" s="47"/>
      <c r="AT6" s="47"/>
      <c r="AU6" s="13"/>
      <c r="AV6" s="14"/>
      <c r="AW6" s="28"/>
      <c r="AX6" s="29"/>
      <c r="AY6" s="29"/>
      <c r="AZ6" s="30"/>
      <c r="BA6" s="31"/>
      <c r="BB6" s="31"/>
      <c r="BC6" s="31"/>
      <c r="BD6" s="33"/>
      <c r="BE6" s="34"/>
      <c r="BF6" s="13"/>
      <c r="BG6" s="13"/>
      <c r="BH6" s="18"/>
      <c r="BI6" s="19"/>
      <c r="BJ6" s="19"/>
      <c r="BK6" s="19"/>
      <c r="BL6" s="19"/>
      <c r="BM6" s="19"/>
      <c r="BN6" s="19"/>
      <c r="BO6" s="20"/>
      <c r="BP6" s="35"/>
      <c r="BQ6" s="36"/>
      <c r="BR6" s="36"/>
      <c r="BS6" s="36"/>
      <c r="BT6" s="36"/>
      <c r="BU6" s="37"/>
      <c r="BV6" s="13"/>
    </row>
    <row r="7" customFormat="false" ht="16.4" hidden="false" customHeight="false" outlineLevel="0" collapsed="false">
      <c r="A7" s="5"/>
      <c r="B7" s="48" t="s">
        <v>26</v>
      </c>
      <c r="C7" s="49" t="s">
        <v>27</v>
      </c>
      <c r="D7" s="50" t="s">
        <v>28</v>
      </c>
      <c r="E7" s="25"/>
      <c r="F7" s="39"/>
      <c r="G7" s="24"/>
      <c r="H7" s="40"/>
      <c r="I7" s="41"/>
      <c r="J7" s="41"/>
      <c r="K7" s="24"/>
      <c r="L7" s="26"/>
      <c r="M7" s="41"/>
      <c r="N7" s="41"/>
      <c r="O7" s="24"/>
      <c r="P7" s="25"/>
      <c r="Q7" s="51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52" t="s">
        <v>40</v>
      </c>
      <c r="AE7" s="52" t="s">
        <v>41</v>
      </c>
      <c r="AF7" s="47" t="s">
        <v>42</v>
      </c>
      <c r="AG7" s="47" t="s">
        <v>22</v>
      </c>
      <c r="AH7" s="47" t="s">
        <v>43</v>
      </c>
      <c r="AI7" s="47" t="s">
        <v>44</v>
      </c>
      <c r="AJ7" s="47" t="s">
        <v>45</v>
      </c>
      <c r="AK7" s="47" t="s">
        <v>46</v>
      </c>
      <c r="AL7" s="47" t="s">
        <v>47</v>
      </c>
      <c r="AM7" s="47" t="s">
        <v>48</v>
      </c>
      <c r="AN7" s="47" t="s">
        <v>49</v>
      </c>
      <c r="AO7" s="47" t="s">
        <v>50</v>
      </c>
      <c r="AP7" s="53" t="s">
        <v>21</v>
      </c>
      <c r="AQ7" s="53" t="s">
        <v>24</v>
      </c>
      <c r="AR7" s="47" t="s">
        <v>51</v>
      </c>
      <c r="AS7" s="47" t="s">
        <v>52</v>
      </c>
      <c r="AT7" s="47" t="s">
        <v>53</v>
      </c>
      <c r="AU7" s="53" t="s">
        <v>54</v>
      </c>
      <c r="AV7" s="54"/>
      <c r="AW7" s="28"/>
      <c r="AX7" s="29"/>
      <c r="AY7" s="29"/>
      <c r="AZ7" s="30"/>
      <c r="BA7" s="31"/>
      <c r="BB7" s="31"/>
      <c r="BC7" s="31"/>
      <c r="BD7" s="33"/>
      <c r="BE7" s="34"/>
      <c r="BF7" s="13" t="n">
        <f aca="false">SUM(BF8:BF507)</f>
        <v>0</v>
      </c>
      <c r="BG7" s="13"/>
      <c r="BH7" s="18"/>
      <c r="BI7" s="19"/>
      <c r="BJ7" s="19"/>
      <c r="BK7" s="19"/>
      <c r="BL7" s="19"/>
      <c r="BM7" s="19"/>
      <c r="BN7" s="19"/>
      <c r="BO7" s="20"/>
      <c r="BP7" s="35"/>
      <c r="BQ7" s="36"/>
      <c r="BR7" s="36"/>
      <c r="BS7" s="36"/>
      <c r="BT7" s="36"/>
      <c r="BU7" s="37"/>
      <c r="BV7" s="13"/>
    </row>
    <row r="8" customFormat="false" ht="15.75" hidden="false" customHeight="false" outlineLevel="0" collapsed="false">
      <c r="A8" s="5"/>
      <c r="B8" s="55"/>
      <c r="C8" s="56"/>
      <c r="D8" s="57"/>
      <c r="E8" s="58"/>
      <c r="F8" s="59"/>
      <c r="G8" s="60"/>
      <c r="H8" s="61"/>
      <c r="I8" s="62"/>
      <c r="J8" s="62"/>
      <c r="K8" s="60"/>
      <c r="L8" s="63"/>
      <c r="M8" s="62"/>
      <c r="N8" s="62"/>
      <c r="O8" s="60"/>
      <c r="P8" s="64"/>
      <c r="Q8" s="65"/>
      <c r="R8" s="66" t="str">
        <f aca="false">IF(ISBLANK($C8),"",IF(E8=Constants!$B$2, TRUE(), IF(E8=Constants!$B$3, FALSE(), TRUE())))</f>
        <v/>
      </c>
      <c r="S8" s="66" t="str">
        <f aca="false">IF(ISBLANK($C8),"",IF(F8=Constants!$B$2, TRUE(), IF(F8=Constants!$B$3, FALSE(), TRUE())))</f>
        <v/>
      </c>
      <c r="T8" s="67" t="str">
        <f aca="false">IF(ISBLANK($C8),"",IF(G8=Constants!$B$16,Constants!$B$9,IF(G8=Constants!$B$17,Constants!$B$10,Constants!$B$8)))</f>
        <v/>
      </c>
      <c r="U8" s="67" t="str">
        <f aca="false">IF(ISBLANK($C8),"",IF(H8=Constants!$B$19,Constants!$B$19,Constants!$B$18))</f>
        <v/>
      </c>
      <c r="V8" s="68" t="str">
        <f aca="false">IF(ISBLANK($C8),"",IF(ISNUMBER(I8),IF(I8&gt;=0,I8,""),""))</f>
        <v/>
      </c>
      <c r="W8" s="66" t="str">
        <f aca="false">IF(ISBLANK($C8),"",IF(J8=Constants!$B$2, TRUE(), IF(J8=Constants!$B$3, FALSE(), TRUE())))</f>
        <v/>
      </c>
      <c r="X8" s="66" t="str">
        <f aca="false">IF(ISBLANK($C8),"",IF(K8=Constants!$B$2, TRUE(), IF(K8=Constants!$B$3, FALSE(), TRUE())))</f>
        <v/>
      </c>
      <c r="Y8" s="67" t="str">
        <f aca="false">IF(ISBLANK($C8),"",IF(L8=Constants!$B$19,Constants!$B$19,Constants!$B$18))</f>
        <v/>
      </c>
      <c r="Z8" s="68" t="str">
        <f aca="false">IF(ISBLANK($C8),"",IF(ISNUMBER(M8),IF(M8&gt;=0,M8,""),""))</f>
        <v/>
      </c>
      <c r="AA8" s="66" t="str">
        <f aca="false">IF(ISBLANK($C8),"",IF(N8=Constants!$B$2, TRUE(), IF(N8=Constants!$B$3, FALSE(), TRUE())))</f>
        <v/>
      </c>
      <c r="AB8" s="66" t="str">
        <f aca="false">IF(ISBLANK($C8),"",IF(O8=Constants!$B$2, TRUE(), IF(O8=Constants!$B$3, FALSE(), TRUE())))</f>
        <v/>
      </c>
      <c r="AC8" s="66" t="str">
        <f aca="false">IF(ISBLANK($C8),"",IF(P8=Constants!$B$2, TRUE(), IF(P8=Constants!$B$3, FALSE(), FALSE())))</f>
        <v/>
      </c>
      <c r="AD8" s="66" t="str">
        <f aca="false">IF(ISBLANK($C8),"",AND(V8&lt;&gt;"",IF(U8=Constants!$B$19,S8,R8)))</f>
        <v/>
      </c>
      <c r="AE8" s="66" t="str">
        <f aca="false">IF(ISBLANK($C8),"",AND(Z8&lt;&gt;"",IF(Y8=Constants!$B$19,S8,R8)))</f>
        <v/>
      </c>
      <c r="AF8" s="67" t="str">
        <f aca="false">IF(ISBLANK($C8),"",IF(AC8,Constants!$B$4,IF(COUNTA(E8:O8)=0,Constants!$B$5,IF(AND(NOT(AD8),NOT(AE8)),Constants!$B$6,Constants!$B$7))))</f>
        <v/>
      </c>
      <c r="AG8" s="67" t="str">
        <f aca="false">IF(ISBLANK($C8),"",IF($AF8&lt;&gt;Constants!$B$7,$AF8,Constants!$B$20))</f>
        <v/>
      </c>
      <c r="AH8" s="68" t="str">
        <f aca="false">IF($AF8=Constants!$B$7,IF(AD8,V8,Constants!$B$13),"")</f>
        <v/>
      </c>
      <c r="AI8" s="68" t="str">
        <f aca="false">IF($AF8=Constants!$B$7,IF(AD8,T8*IF(W8, 1, Constants!$B$11)*IF(X8, 1, Constants!$B$12),Constants!$B$13),"")</f>
        <v/>
      </c>
      <c r="AJ8" s="68" t="str">
        <f aca="false">IF($AF8=Constants!$B$7,AH8*AI8,"")</f>
        <v/>
      </c>
      <c r="AK8" s="68" t="str">
        <f aca="false">IF($AF8=Constants!$B$7,IF(AE8,Z8,Constants!$B$13),"")</f>
        <v/>
      </c>
      <c r="AL8" s="68" t="str">
        <f aca="false">IF($AF8=Constants!$B$7,IF(AE8,T8*IF(AA8, 1, Constants!$B$11)*IF(AB8, 1, Constants!$B$12),Constants!$B$13),"")</f>
        <v/>
      </c>
      <c r="AM8" s="68" t="str">
        <f aca="false">IF($AF8=Constants!$B$7,AK8*AL8,"")</f>
        <v/>
      </c>
      <c r="AN8" s="67" t="str">
        <f aca="false">IF($AF8=Constants!$B$7,IF(AM8&gt;AJ8,2,1),"")</f>
        <v/>
      </c>
      <c r="AO8" s="67" t="str">
        <f aca="false">IF($AF8=Constants!$B$7,IF(AN8=1,2,1),"")</f>
        <v/>
      </c>
      <c r="AP8" s="68" t="str">
        <f aca="false">IF(ISBLANK($C8),"",IF($AF8&lt;&gt;Constants!$B$7,$AF8,IF(AN8=1,AJ8,AM8)))</f>
        <v/>
      </c>
      <c r="AQ8" s="67" t="str">
        <f aca="false">IF(ISBLANK($C8),"",IF($AF8=Constants!$B$7,IF(ISNUMBER(AP8),RANK(AP8,$AP$8:$AP$507),Constants!$B$14),$AF8))</f>
        <v/>
      </c>
      <c r="AR8" s="68" t="str">
        <f aca="false">IF(ISBLANK($C8),"",IF($AF8=Constants!$B$7,IF(AO8=1,AJ8,AM8),""))</f>
        <v/>
      </c>
      <c r="AS8" s="67" t="str">
        <f aca="false">IF(ISBLANK($C8),"",IF($AF8=Constants!$B$7,RANK(AR8,$AR$8:$AR$507),$AF8))</f>
        <v/>
      </c>
      <c r="AT8" s="67" t="str">
        <f aca="false">IF(ISBLANK($C8),"",IF($AF8=Constants!$B$7,IF(ISNUMBER(AQ8),COUNTIFS($AQ$8:$AQ$507,"&lt;"&amp;$AQ8)+COUNTIFS($AQ$8:$AQ$507,$AQ8,$AS$8:$AS$507,"&lt;"&amp;$AS8)+1,Constants!$B$14),$AF8))</f>
        <v/>
      </c>
      <c r="AU8" s="67" t="str">
        <f aca="false">IF(ISBLANK($C8),"",IF($AF8=Constants!$B$7,IF(ISNUMBER(AQ8),AQ8-AT8,Constants!$B$14),$AF8))</f>
        <v/>
      </c>
      <c r="AV8" s="69"/>
      <c r="AW8" s="70" t="str">
        <f aca="false">IF(ISBLANK($C8),"",IF($AF8&lt;&gt;Constants!$B$7,"",AN8))</f>
        <v/>
      </c>
      <c r="AX8" s="71" t="str">
        <f aca="false">IF(ISBLANK($C8),"",IF($AF8&lt;&gt;Constants!$B$7,"",IF(AN8=1,AH8,AK8)))</f>
        <v/>
      </c>
      <c r="AY8" s="72" t="str">
        <f aca="false">IF(ISBLANK($C8),"",IF($AF8&lt;&gt;Constants!$B$7,"",IF(AN8=1,AI8,AL8)))</f>
        <v/>
      </c>
      <c r="AZ8" s="73" t="str">
        <f aca="false">IF(ISBLANK($C8),"",IF($AF8&lt;&gt;Constants!$B$7,$AF8,AP8))</f>
        <v/>
      </c>
      <c r="BA8" s="74" t="str">
        <f aca="false">IF(ISBLANK($C8),"",IF($AF8&lt;&gt;Constants!$B$7,$AF8,AG8))</f>
        <v/>
      </c>
      <c r="BB8" s="75" t="str">
        <f aca="false">IF(ISBLANK($C8),"",AU8)</f>
        <v/>
      </c>
      <c r="BC8" s="75" t="str">
        <f aca="false">IF(ISBLANK($C8),"",AT8)</f>
        <v/>
      </c>
      <c r="BD8" s="76" t="str">
        <f aca="false">IF(ISBLANK($C8),"",IFERROR(_xlfn.SWITCH(BC8,Constants!$B$4,COUNTA($C$8:$C$507)+2,Constants!$B$5,COUNTA($C$8:$C$507)+1,Constants!$B$6,COUNTA($C$8:$C$507)),BC8))</f>
        <v/>
      </c>
      <c r="BE8" s="5"/>
      <c r="BF8" s="77" t="n">
        <f aca="false">IF(OR(ISNUMBER(BC8),BC8=Constants!$B$4,BC8=Constants!$B$6,BC8=Constants!$B$5),1,0)</f>
        <v>0</v>
      </c>
      <c r="BG8" s="77" t="n">
        <v>1</v>
      </c>
      <c r="BH8" s="77" t="str">
        <f aca="false">IF(ISBLANK($C8),"",IF(ISNUMBER(BD8),BD8+ROW($B8)/1000,""))</f>
        <v/>
      </c>
      <c r="BI8" s="77" t="str">
        <f aca="false">IF(ISNUMBER(BH8),RANK(BH8,$BH$8:$BH$507,1),"")</f>
        <v/>
      </c>
      <c r="BJ8" s="77" t="str">
        <f aca="false">IF(ISBLANK($C8),"",$B8)</f>
        <v/>
      </c>
      <c r="BK8" s="77" t="str">
        <f aca="false">IF(ISBLANK($C8),"",$C8)</f>
        <v/>
      </c>
      <c r="BL8" s="77" t="str">
        <f aca="false">IF(ISBLANK($C8),"",$D8)</f>
        <v/>
      </c>
      <c r="BM8" s="78" t="str">
        <f aca="false">BA8</f>
        <v/>
      </c>
      <c r="BN8" s="79" t="str">
        <f aca="false">AZ8</f>
        <v/>
      </c>
      <c r="BO8" s="77" t="str">
        <f aca="false">IF(ISBLANK($C8),"",BC8)</f>
        <v/>
      </c>
      <c r="BP8" s="80" t="str">
        <f aca="false">IF($BG8&gt;$BF$7,"",VLOOKUP($BG8,$BI$8:$BO$507,7,FALSE()))</f>
        <v/>
      </c>
      <c r="BQ8" s="81" t="str">
        <f aca="false">IF($BG8&gt;$BF$7,"",VLOOKUP($BG8,$BI$8:$BO$507,2,FALSE()))</f>
        <v/>
      </c>
      <c r="BR8" s="81" t="str">
        <f aca="false">IF($BG8&gt;$BF$7,"",VLOOKUP($BG8,$BI$8:$BO$507,3,FALSE()))</f>
        <v/>
      </c>
      <c r="BS8" s="81" t="str">
        <f aca="false">IF($BG8&gt;$BF$7,"",VLOOKUP($BG8,$BI$8:$BO$507,4,FALSE()))</f>
        <v/>
      </c>
      <c r="BT8" s="81" t="str">
        <f aca="false">IF($BG8&gt;$BF$7,"",VLOOKUP($BG8,$BI$8:$BO$507,5,FALSE()))</f>
        <v/>
      </c>
      <c r="BU8" s="82" t="str">
        <f aca="false">IF($BG8&gt;$BF$7,"",VLOOKUP($BG8,$BI$8:$BO$507,6,FALSE()))</f>
        <v/>
      </c>
      <c r="BV8" s="54"/>
    </row>
    <row r="9" customFormat="false" ht="15.75" hidden="false" customHeight="false" outlineLevel="0" collapsed="false">
      <c r="A9" s="5"/>
      <c r="B9" s="83"/>
      <c r="C9" s="56"/>
      <c r="D9" s="57"/>
      <c r="E9" s="58"/>
      <c r="F9" s="59"/>
      <c r="G9" s="60"/>
      <c r="H9" s="61"/>
      <c r="I9" s="62"/>
      <c r="J9" s="62"/>
      <c r="K9" s="60"/>
      <c r="L9" s="63"/>
      <c r="M9" s="62"/>
      <c r="N9" s="62"/>
      <c r="O9" s="60"/>
      <c r="P9" s="84"/>
      <c r="Q9" s="65"/>
      <c r="R9" s="67" t="str">
        <f aca="false">IF(ISBLANK($C9),"",IF(E9=Constants!$B$2, TRUE(), IF(E9=Constants!$B$3, FALSE(), TRUE())))</f>
        <v/>
      </c>
      <c r="S9" s="67" t="str">
        <f aca="false">IF(ISBLANK($C9),"",IF(F9=Constants!$B$2, TRUE(), IF(F9=Constants!$B$3, FALSE(), TRUE())))</f>
        <v/>
      </c>
      <c r="T9" s="67" t="str">
        <f aca="false">IF(ISBLANK($C9),"",IF(G9=Constants!$B$16,Constants!$B$9,IF(G9=Constants!$B$17,Constants!$B$10,Constants!$B$8)))</f>
        <v/>
      </c>
      <c r="U9" s="67" t="str">
        <f aca="false">IF(ISBLANK($C9),"",IF(H9=Constants!$B$19,Constants!$B$19,Constants!$B$18))</f>
        <v/>
      </c>
      <c r="V9" s="67" t="str">
        <f aca="false">IF(ISBLANK($C9),"",IF(ISNUMBER(I9),IF(I9&gt;=0,I9,""),""))</f>
        <v/>
      </c>
      <c r="W9" s="67" t="str">
        <f aca="false">IF(ISBLANK($C9),"",IF(J9=Constants!$B$2, TRUE(), IF(J9=Constants!$B$3, FALSE(), TRUE())))</f>
        <v/>
      </c>
      <c r="X9" s="67" t="str">
        <f aca="false">IF(ISBLANK($C9),"",IF(K9=Constants!$B$2, TRUE(), IF(K9=Constants!$B$3, FALSE(), TRUE())))</f>
        <v/>
      </c>
      <c r="Y9" s="67" t="str">
        <f aca="false">IF(ISBLANK($C9),"",IF(L9=Constants!$B$19,Constants!$B$19,Constants!$B$18))</f>
        <v/>
      </c>
      <c r="Z9" s="67" t="str">
        <f aca="false">IF(ISBLANK($C9),"",IF(ISNUMBER(M9),IF(M9&gt;=0,M9,""),""))</f>
        <v/>
      </c>
      <c r="AA9" s="67" t="str">
        <f aca="false">IF(ISBLANK($C9),"",IF(N9=Constants!$B$2, TRUE(), IF(N9=Constants!$B$3, FALSE(), TRUE())))</f>
        <v/>
      </c>
      <c r="AB9" s="67" t="str">
        <f aca="false">IF(ISBLANK($C9),"",IF(O9=Constants!$B$2, TRUE(), IF(O9=Constants!$B$3, FALSE(), TRUE())))</f>
        <v/>
      </c>
      <c r="AC9" s="67" t="str">
        <f aca="false">IF(ISBLANK($C9),"",IF(P9=Constants!$B$2, TRUE(), IF(P9=Constants!$B$3, FALSE(), FALSE())))</f>
        <v/>
      </c>
      <c r="AD9" s="67" t="str">
        <f aca="false">IF(ISBLANK($C9),"",AND(V9&lt;&gt;"",IF(U9=Constants!$B$19,S9,R9)))</f>
        <v/>
      </c>
      <c r="AE9" s="67" t="str">
        <f aca="false">IF(ISBLANK($C9),"",AND(Z9&lt;&gt;"",IF(Y9=Constants!$B$19,S9,R9)))</f>
        <v/>
      </c>
      <c r="AF9" s="67" t="str">
        <f aca="false">IF(ISBLANK($C9),"",IF(AC9,Constants!$B$4,IF(COUNTA(E9:O9)=0,Constants!$B$5,IF(AND(NOT(AD9),NOT(AE9)),Constants!$B$6,Constants!$B$7))))</f>
        <v/>
      </c>
      <c r="AG9" s="67" t="str">
        <f aca="false">IF(ISBLANK($C9),"",IF($AF9&lt;&gt;Constants!$B$7,$AF9,Constants!$B$20))</f>
        <v/>
      </c>
      <c r="AH9" s="67" t="str">
        <f aca="false">IF($AF9=Constants!$B$7,IF(AD9,V9,Constants!$B$13),"")</f>
        <v/>
      </c>
      <c r="AI9" s="67" t="str">
        <f aca="false">IF($AF9=Constants!$B$7,IF(AD9,T9*IF(W9, 1, Constants!$B$11)*IF(X9, 1, Constants!$B$12),Constants!$B$13),"")</f>
        <v/>
      </c>
      <c r="AJ9" s="67" t="str">
        <f aca="false">IF($AF9=Constants!$B$7,AH9*AI9,"")</f>
        <v/>
      </c>
      <c r="AK9" s="67" t="str">
        <f aca="false">IF($AF9=Constants!$B$7,IF(AE9,Z9,Constants!$B$13),"")</f>
        <v/>
      </c>
      <c r="AL9" s="67" t="str">
        <f aca="false">IF($AF9=Constants!$B$7,IF(AE9,T9*IF(AA9, 1, Constants!$B$11)*IF(AB9, 1, Constants!$B$12),Constants!$B$13),"")</f>
        <v/>
      </c>
      <c r="AM9" s="67" t="str">
        <f aca="false">IF($AF9=Constants!$B$7,AK9*AL9,"")</f>
        <v/>
      </c>
      <c r="AN9" s="67" t="str">
        <f aca="false">IF($AF9=Constants!$B$7,IF(AM9&gt;AJ9,2,1),"")</f>
        <v/>
      </c>
      <c r="AO9" s="67" t="str">
        <f aca="false">IF($AF9=Constants!$B$7,IF(AN9=1,2,1),"")</f>
        <v/>
      </c>
      <c r="AP9" s="67" t="str">
        <f aca="false">IF(ISBLANK($C9),"",IF($AF9&lt;&gt;Constants!$B$7,$AF9,IF(AN9=1,AJ9,AM9)))</f>
        <v/>
      </c>
      <c r="AQ9" s="67" t="str">
        <f aca="false">IF(ISBLANK($C9),"",IF($AF9=Constants!$B$7,IF(ISNUMBER(AP9),RANK(AP9,$AP$8:$AP$507),Constants!$B$14),$AF9))</f>
        <v/>
      </c>
      <c r="AR9" s="67" t="str">
        <f aca="false">IF(ISBLANK($C9),"",IF($AF9=Constants!$B$7,IF(AO9=1,AJ9,AM9),""))</f>
        <v/>
      </c>
      <c r="AS9" s="67" t="str">
        <f aca="false">IF(ISBLANK($C9),"",IF($AF9=Constants!$B$7,RANK(AR9,$AR$8:$AR$507),$AF9))</f>
        <v/>
      </c>
      <c r="AT9" s="67" t="str">
        <f aca="false">IF(ISBLANK($C9),"",IF($AF9=Constants!$B$7,IF(ISNUMBER(AQ9),COUNTIFS($AQ$8:$AQ$507,"&lt;"&amp;$AQ9)+COUNTIFS($AQ$8:$AQ$507,$AQ9,$AS$8:$AS$507,"&lt;"&amp;$AS9)+1,Constants!$B$14),$AF9))</f>
        <v/>
      </c>
      <c r="AU9" s="67" t="str">
        <f aca="false">IF(ISBLANK($C9),"",IF($AF9=Constants!$B$7,IF(ISNUMBER(AQ9),AQ9-AT9,Constants!$B$14),$AF9))</f>
        <v/>
      </c>
      <c r="AV9" s="69"/>
      <c r="AW9" s="70" t="str">
        <f aca="false">IF(ISBLANK($C9),"",IF($AF9&lt;&gt;Constants!$B$7,"",AN9))</f>
        <v/>
      </c>
      <c r="AX9" s="85" t="str">
        <f aca="false">IF(ISBLANK($C9),"",IF($AF9&lt;&gt;Constants!$B$7,"",IF(AN9=1,AH9,AK9)))</f>
        <v/>
      </c>
      <c r="AY9" s="72" t="str">
        <f aca="false">IF(ISBLANK($C9),"",IF($AF9&lt;&gt;Constants!$B$7,"",IF(AN9=1,AI9,AL9)))</f>
        <v/>
      </c>
      <c r="AZ9" s="73" t="str">
        <f aca="false">IF(ISBLANK($C9),"",IF($AF9&lt;&gt;Constants!$B$7,$AF9,AP9))</f>
        <v/>
      </c>
      <c r="BA9" s="74" t="str">
        <f aca="false">IF(ISBLANK($C9),"",IF($AF9&lt;&gt;Constants!$B$7,$AF9,AG9))</f>
        <v/>
      </c>
      <c r="BB9" s="75" t="str">
        <f aca="false">IF(ISBLANK($C9),"",AU9)</f>
        <v/>
      </c>
      <c r="BC9" s="75" t="str">
        <f aca="false">IF(ISBLANK($C9),"",AT9)</f>
        <v/>
      </c>
      <c r="BD9" s="76" t="str">
        <f aca="false">IF(ISBLANK($C9),"",IFERROR(_xlfn.SWITCH(BC9,Constants!$B$4,COUNTA($C$8:$C$507)+2,Constants!$B$5,COUNTA($C$8:$C$507)+1,Constants!$B$6,COUNTA($C$8:$C$507)),BC9))</f>
        <v/>
      </c>
      <c r="BE9" s="5"/>
      <c r="BF9" s="77" t="n">
        <f aca="false">IF(OR(ISNUMBER(BC9),BC9=Constants!$B$4,BC9=Constants!$B$6,BC9=Constants!$B$5),1,0)</f>
        <v>0</v>
      </c>
      <c r="BG9" s="77" t="n">
        <v>2</v>
      </c>
      <c r="BH9" s="77" t="str">
        <f aca="false">IF(ISBLANK($C9),"",IF(ISNUMBER(BD9),BD9+ROW($B9)/1000,""))</f>
        <v/>
      </c>
      <c r="BI9" s="77" t="str">
        <f aca="false">IF(ISNUMBER(BH9),RANK(BH9,$BH$8:$BH$507,1),"")</f>
        <v/>
      </c>
      <c r="BJ9" s="77" t="str">
        <f aca="false">IF(ISBLANK($C9),"",$B9)</f>
        <v/>
      </c>
      <c r="BK9" s="77" t="str">
        <f aca="false">IF(ISBLANK($C9),"",$C9)</f>
        <v/>
      </c>
      <c r="BL9" s="77" t="str">
        <f aca="false">IF(ISBLANK($C9),"",$D9)</f>
        <v/>
      </c>
      <c r="BM9" s="78" t="str">
        <f aca="false">BA9</f>
        <v/>
      </c>
      <c r="BN9" s="79" t="str">
        <f aca="false">AZ9</f>
        <v/>
      </c>
      <c r="BO9" s="77" t="str">
        <f aca="false">IF(ISBLANK($C9),"",BC9)</f>
        <v/>
      </c>
      <c r="BP9" s="80" t="str">
        <f aca="false">IF($BG9&gt;$BF$7,"",VLOOKUP($BG9,$BI$8:$BO$507,7,FALSE()))</f>
        <v/>
      </c>
      <c r="BQ9" s="81" t="str">
        <f aca="false">IF($BG9&gt;$BF$7,"",VLOOKUP($BG9,$BI$8:$BO$507,2,FALSE()))</f>
        <v/>
      </c>
      <c r="BR9" s="81" t="str">
        <f aca="false">IF($BG9&gt;$BF$7,"",VLOOKUP($BG9,$BI$8:$BO$507,3,FALSE()))</f>
        <v/>
      </c>
      <c r="BS9" s="81" t="str">
        <f aca="false">IF($BG9&gt;$BF$7,"",VLOOKUP($BG9,$BI$8:$BO$507,4,FALSE()))</f>
        <v/>
      </c>
      <c r="BT9" s="81" t="str">
        <f aca="false">IF($BG9&gt;$BF$7,"",VLOOKUP($BG9,$BI$8:$BO$507,5,FALSE()))</f>
        <v/>
      </c>
      <c r="BU9" s="82" t="str">
        <f aca="false">IF($BG9&gt;$BF$7,"",VLOOKUP($BG9,$BI$8:$BO$507,6,FALSE()))</f>
        <v/>
      </c>
      <c r="BV9" s="54"/>
    </row>
    <row r="10" customFormat="false" ht="15.75" hidden="false" customHeight="false" outlineLevel="0" collapsed="false">
      <c r="A10" s="5"/>
      <c r="B10" s="83"/>
      <c r="C10" s="86"/>
      <c r="D10" s="87"/>
      <c r="E10" s="58"/>
      <c r="F10" s="59"/>
      <c r="G10" s="60"/>
      <c r="H10" s="61"/>
      <c r="I10" s="62"/>
      <c r="J10" s="62"/>
      <c r="K10" s="60"/>
      <c r="L10" s="63"/>
      <c r="M10" s="62"/>
      <c r="N10" s="62"/>
      <c r="O10" s="60"/>
      <c r="P10" s="64"/>
      <c r="Q10" s="65"/>
      <c r="R10" s="67" t="str">
        <f aca="false">IF(ISBLANK($C10),"",IF(E10=Constants!$B$2, TRUE(), IF(E10=Constants!$B$3, FALSE(), TRUE())))</f>
        <v/>
      </c>
      <c r="S10" s="67" t="str">
        <f aca="false">IF(ISBLANK($C10),"",IF(F10=Constants!$B$2, TRUE(), IF(F10=Constants!$B$3, FALSE(), TRUE())))</f>
        <v/>
      </c>
      <c r="T10" s="67" t="str">
        <f aca="false">IF(ISBLANK($C10),"",IF(G10=Constants!$B$16,Constants!$B$9,IF(G10=Constants!$B$17,Constants!$B$10,Constants!$B$8)))</f>
        <v/>
      </c>
      <c r="U10" s="67" t="str">
        <f aca="false">IF(ISBLANK($C10),"",IF(H10=Constants!$B$19,Constants!$B$19,Constants!$B$18))</f>
        <v/>
      </c>
      <c r="V10" s="67" t="str">
        <f aca="false">IF(ISBLANK($C10),"",IF(ISNUMBER(I10),IF(I10&gt;=0,I10,""),""))</f>
        <v/>
      </c>
      <c r="W10" s="67" t="str">
        <f aca="false">IF(ISBLANK($C10),"",IF(J10=Constants!$B$2, TRUE(), IF(J10=Constants!$B$3, FALSE(), TRUE())))</f>
        <v/>
      </c>
      <c r="X10" s="67" t="str">
        <f aca="false">IF(ISBLANK($C10),"",IF(K10=Constants!$B$2, TRUE(), IF(K10=Constants!$B$3, FALSE(), TRUE())))</f>
        <v/>
      </c>
      <c r="Y10" s="67" t="str">
        <f aca="false">IF(ISBLANK($C10),"",IF(L10=Constants!$B$19,Constants!$B$19,Constants!$B$18))</f>
        <v/>
      </c>
      <c r="Z10" s="67" t="str">
        <f aca="false">IF(ISBLANK($C10),"",IF(ISNUMBER(M10),IF(M10&gt;=0,M10,""),""))</f>
        <v/>
      </c>
      <c r="AA10" s="67" t="str">
        <f aca="false">IF(ISBLANK($C10),"",IF(N10=Constants!$B$2, TRUE(), IF(N10=Constants!$B$3, FALSE(), TRUE())))</f>
        <v/>
      </c>
      <c r="AB10" s="67" t="str">
        <f aca="false">IF(ISBLANK($C10),"",IF(O10=Constants!$B$2, TRUE(), IF(O10=Constants!$B$3, FALSE(), TRUE())))</f>
        <v/>
      </c>
      <c r="AC10" s="67" t="str">
        <f aca="false">IF(ISBLANK($C10),"",IF(P10=Constants!$B$2, TRUE(), IF(P10=Constants!$B$3, FALSE(), FALSE())))</f>
        <v/>
      </c>
      <c r="AD10" s="67" t="str">
        <f aca="false">IF(ISBLANK($C10),"",AND(V10&lt;&gt;"",IF(U10=Constants!$B$19,S10,R10)))</f>
        <v/>
      </c>
      <c r="AE10" s="67" t="str">
        <f aca="false">IF(ISBLANK($C10),"",AND(Z10&lt;&gt;"",IF(Y10=Constants!$B$19,S10,R10)))</f>
        <v/>
      </c>
      <c r="AF10" s="67" t="str">
        <f aca="false">IF(ISBLANK($C10),"",IF(AC10,Constants!$B$4,IF(COUNTA(E10:O10)=0,Constants!$B$5,IF(AND(NOT(AD10),NOT(AE10)),Constants!$B$6,Constants!$B$7))))</f>
        <v/>
      </c>
      <c r="AG10" s="67" t="str">
        <f aca="false">IF(ISBLANK($C10),"",IF($AF10&lt;&gt;Constants!$B$7,$AF10,Constants!$B$20))</f>
        <v/>
      </c>
      <c r="AH10" s="67" t="str">
        <f aca="false">IF($AF10=Constants!$B$7,IF(AD10,V10,Constants!$B$13),"")</f>
        <v/>
      </c>
      <c r="AI10" s="67" t="str">
        <f aca="false">IF($AF10=Constants!$B$7,IF(AD10,T10*IF(W10, 1, Constants!$B$11)*IF(X10, 1, Constants!$B$12),Constants!$B$13),"")</f>
        <v/>
      </c>
      <c r="AJ10" s="67" t="str">
        <f aca="false">IF($AF10=Constants!$B$7,AH10*AI10,"")</f>
        <v/>
      </c>
      <c r="AK10" s="67" t="str">
        <f aca="false">IF($AF10=Constants!$B$7,IF(AE10,Z10,Constants!$B$13),"")</f>
        <v/>
      </c>
      <c r="AL10" s="67" t="str">
        <f aca="false">IF($AF10=Constants!$B$7,IF(AE10,T10*IF(AA10, 1, Constants!$B$11)*IF(AB10, 1, Constants!$B$12),Constants!$B$13),"")</f>
        <v/>
      </c>
      <c r="AM10" s="67" t="str">
        <f aca="false">IF($AF10=Constants!$B$7,AK10*AL10,"")</f>
        <v/>
      </c>
      <c r="AN10" s="67" t="str">
        <f aca="false">IF($AF10=Constants!$B$7,IF(AM10&gt;AJ10,2,1),"")</f>
        <v/>
      </c>
      <c r="AO10" s="67" t="str">
        <f aca="false">IF($AF10=Constants!$B$7,IF(AN10=1,2,1),"")</f>
        <v/>
      </c>
      <c r="AP10" s="67" t="str">
        <f aca="false">IF(ISBLANK($C10),"",IF($AF10&lt;&gt;Constants!$B$7,$AF10,IF(AN10=1,AJ10,AM10)))</f>
        <v/>
      </c>
      <c r="AQ10" s="67" t="str">
        <f aca="false">IF(ISBLANK($C10),"",IF($AF10=Constants!$B$7,IF(ISNUMBER(AP10),RANK(AP10,$AP$8:$AP$507),Constants!$B$14),$AF10))</f>
        <v/>
      </c>
      <c r="AR10" s="67" t="str">
        <f aca="false">IF(ISBLANK($C10),"",IF($AF10=Constants!$B$7,IF(AO10=1,AJ10,AM10),""))</f>
        <v/>
      </c>
      <c r="AS10" s="67" t="str">
        <f aca="false">IF(ISBLANK($C10),"",IF($AF10=Constants!$B$7,RANK(AR10,$AR$8:$AR$507),$AF10))</f>
        <v/>
      </c>
      <c r="AT10" s="67" t="str">
        <f aca="false">IF(ISBLANK($C10),"",IF($AF10=Constants!$B$7,IF(ISNUMBER(AQ10),COUNTIFS($AQ$8:$AQ$507,"&lt;"&amp;$AQ10)+COUNTIFS($AQ$8:$AQ$507,$AQ10,$AS$8:$AS$507,"&lt;"&amp;$AS10)+1,Constants!$B$14),$AF10))</f>
        <v/>
      </c>
      <c r="AU10" s="67" t="str">
        <f aca="false">IF(ISBLANK($C10),"",IF($AF10=Constants!$B$7,IF(ISNUMBER(AQ10),AQ10-AT10,Constants!$B$14),$AF10))</f>
        <v/>
      </c>
      <c r="AV10" s="69"/>
      <c r="AW10" s="70" t="str">
        <f aca="false">IF(ISBLANK($C10),"",IF($AF10&lt;&gt;Constants!$B$7,"",AN10))</f>
        <v/>
      </c>
      <c r="AX10" s="85" t="str">
        <f aca="false">IF(ISBLANK($C10),"",IF($AF10&lt;&gt;Constants!$B$7,"",IF(AN10=1,AH10,AK10)))</f>
        <v/>
      </c>
      <c r="AY10" s="72" t="str">
        <f aca="false">IF(ISBLANK($C10),"",IF($AF10&lt;&gt;Constants!$B$7,"",IF(AN10=1,AI10,AL10)))</f>
        <v/>
      </c>
      <c r="AZ10" s="73" t="str">
        <f aca="false">IF(ISBLANK($C10),"",IF($AF10&lt;&gt;Constants!$B$7,$AF10,AP10))</f>
        <v/>
      </c>
      <c r="BA10" s="74" t="str">
        <f aca="false">IF(ISBLANK($C10),"",IF($AF10&lt;&gt;Constants!$B$7,$AF10,AG10))</f>
        <v/>
      </c>
      <c r="BB10" s="75" t="str">
        <f aca="false">IF(ISBLANK($C10),"",AU10)</f>
        <v/>
      </c>
      <c r="BC10" s="75" t="str">
        <f aca="false">IF(ISBLANK($C10),"",AT10)</f>
        <v/>
      </c>
      <c r="BD10" s="76" t="str">
        <f aca="false">IF(ISBLANK($C10),"",IFERROR(_xlfn.SWITCH(BC10,Constants!$B$4,COUNTA($C$8:$C$507)+2,Constants!$B$5,COUNTA($C$8:$C$507)+1,Constants!$B$6,COUNTA($C$8:$C$507)),BC10))</f>
        <v/>
      </c>
      <c r="BE10" s="5"/>
      <c r="BF10" s="77" t="n">
        <f aca="false">IF(OR(ISNUMBER(BC10),BC10=Constants!$B$4,BC10=Constants!$B$6,BC10=Constants!$B$5),1,0)</f>
        <v>0</v>
      </c>
      <c r="BG10" s="77" t="n">
        <v>3</v>
      </c>
      <c r="BH10" s="77" t="str">
        <f aca="false">IF(ISBLANK($C10),"",IF(ISNUMBER(BD10),BD10+ROW($B10)/1000,""))</f>
        <v/>
      </c>
      <c r="BI10" s="77" t="str">
        <f aca="false">IF(ISNUMBER(BH10),RANK(BH10,$BH$8:$BH$507,1),"")</f>
        <v/>
      </c>
      <c r="BJ10" s="77" t="str">
        <f aca="false">IF(ISBLANK($C10),"",$B10)</f>
        <v/>
      </c>
      <c r="BK10" s="77" t="str">
        <f aca="false">IF(ISBLANK($C10),"",$C10)</f>
        <v/>
      </c>
      <c r="BL10" s="77" t="str">
        <f aca="false">IF(ISBLANK($C10),"",$D10)</f>
        <v/>
      </c>
      <c r="BM10" s="78" t="str">
        <f aca="false">BA10</f>
        <v/>
      </c>
      <c r="BN10" s="79" t="str">
        <f aca="false">AZ10</f>
        <v/>
      </c>
      <c r="BO10" s="77" t="str">
        <f aca="false">IF(ISBLANK($C10),"",BC10)</f>
        <v/>
      </c>
      <c r="BP10" s="80" t="str">
        <f aca="false">IF($BG10&gt;$BF$7,"",VLOOKUP($BG10,$BI$8:$BO$507,7,FALSE()))</f>
        <v/>
      </c>
      <c r="BQ10" s="81" t="str">
        <f aca="false">IF($BG10&gt;$BF$7,"",VLOOKUP($BG10,$BI$8:$BO$507,2,FALSE()))</f>
        <v/>
      </c>
      <c r="BR10" s="81" t="str">
        <f aca="false">IF($BG10&gt;$BF$7,"",VLOOKUP($BG10,$BI$8:$BO$507,3,FALSE()))</f>
        <v/>
      </c>
      <c r="BS10" s="81" t="str">
        <f aca="false">IF($BG10&gt;$BF$7,"",VLOOKUP($BG10,$BI$8:$BO$507,4,FALSE()))</f>
        <v/>
      </c>
      <c r="BT10" s="81" t="str">
        <f aca="false">IF($BG10&gt;$BF$7,"",VLOOKUP($BG10,$BI$8:$BO$507,5,FALSE()))</f>
        <v/>
      </c>
      <c r="BU10" s="82" t="str">
        <f aca="false">IF($BG10&gt;$BF$7,"",VLOOKUP($BG10,$BI$8:$BO$507,6,FALSE()))</f>
        <v/>
      </c>
      <c r="BV10" s="54"/>
    </row>
    <row r="11" customFormat="false" ht="15.75" hidden="false" customHeight="false" outlineLevel="0" collapsed="false">
      <c r="A11" s="5"/>
      <c r="B11" s="88"/>
      <c r="C11" s="89"/>
      <c r="D11" s="90"/>
      <c r="E11" s="91"/>
      <c r="F11" s="92"/>
      <c r="G11" s="93"/>
      <c r="H11" s="94"/>
      <c r="I11" s="95"/>
      <c r="J11" s="95"/>
      <c r="K11" s="93"/>
      <c r="L11" s="96"/>
      <c r="M11" s="95"/>
      <c r="N11" s="95"/>
      <c r="O11" s="93"/>
      <c r="P11" s="97"/>
      <c r="Q11" s="98"/>
      <c r="R11" s="99" t="str">
        <f aca="false">IF(ISBLANK($C11),"",IF(E11=Constants!$B$2, TRUE(), IF(E11=Constants!$B$3, FALSE(), TRUE())))</f>
        <v/>
      </c>
      <c r="S11" s="99" t="str">
        <f aca="false">IF(ISBLANK($C11),"",IF(F11=Constants!$B$2, TRUE(), IF(F11=Constants!$B$3, FALSE(), TRUE())))</f>
        <v/>
      </c>
      <c r="T11" s="99" t="str">
        <f aca="false">IF(ISBLANK($C11),"",IF(G11=Constants!$B$16,Constants!$B$9,IF(G11=Constants!$B$17,Constants!$B$10,Constants!$B$8)))</f>
        <v/>
      </c>
      <c r="U11" s="99" t="str">
        <f aca="false">IF(ISBLANK($C11),"",IF(H11=Constants!$B$19,Constants!$B$19,Constants!$B$18))</f>
        <v/>
      </c>
      <c r="V11" s="99" t="str">
        <f aca="false">IF(ISBLANK($C11),"",IF(ISNUMBER(I11),IF(I11&gt;=0,I11,""),""))</f>
        <v/>
      </c>
      <c r="W11" s="99" t="str">
        <f aca="false">IF(ISBLANK($C11),"",IF(J11=Constants!$B$2, TRUE(), IF(J11=Constants!$B$3, FALSE(), TRUE())))</f>
        <v/>
      </c>
      <c r="X11" s="99" t="str">
        <f aca="false">IF(ISBLANK($C11),"",IF(K11=Constants!$B$2, TRUE(), IF(K11=Constants!$B$3, FALSE(), TRUE())))</f>
        <v/>
      </c>
      <c r="Y11" s="99" t="str">
        <f aca="false">IF(ISBLANK($C11),"",IF(L11=Constants!$B$19,Constants!$B$19,Constants!$B$18))</f>
        <v/>
      </c>
      <c r="Z11" s="99" t="str">
        <f aca="false">IF(ISBLANK($C11),"",IF(ISNUMBER(M11),IF(M11&gt;=0,M11,""),""))</f>
        <v/>
      </c>
      <c r="AA11" s="99" t="str">
        <f aca="false">IF(ISBLANK($C11),"",IF(N11=Constants!$B$2, TRUE(), IF(N11=Constants!$B$3, FALSE(), TRUE())))</f>
        <v/>
      </c>
      <c r="AB11" s="99" t="str">
        <f aca="false">IF(ISBLANK($C11),"",IF(O11=Constants!$B$2, TRUE(), IF(O11=Constants!$B$3, FALSE(), TRUE())))</f>
        <v/>
      </c>
      <c r="AC11" s="99" t="str">
        <f aca="false">IF(ISBLANK($C11),"",IF(P11=Constants!$B$2, TRUE(), IF(P11=Constants!$B$3, FALSE(), FALSE())))</f>
        <v/>
      </c>
      <c r="AD11" s="99" t="str">
        <f aca="false">IF(ISBLANK($C11),"",AND(V11&lt;&gt;"",IF(U11=Constants!$B$19,S11,R11)))</f>
        <v/>
      </c>
      <c r="AE11" s="99" t="str">
        <f aca="false">IF(ISBLANK($C11),"",AND(Z11&lt;&gt;"",IF(Y11=Constants!$B$19,S11,R11)))</f>
        <v/>
      </c>
      <c r="AF11" s="99" t="str">
        <f aca="false">IF(ISBLANK($C11),"",IF(AC11,Constants!$B$4,IF(COUNTA(E11:O11)=0,Constants!$B$5,IF(AND(NOT(AD11),NOT(AE11)),Constants!$B$6,Constants!$B$7))))</f>
        <v/>
      </c>
      <c r="AG11" s="99" t="str">
        <f aca="false">IF(ISBLANK($C11),"",IF($AF11&lt;&gt;Constants!$B$7,$AF11,Constants!$B$20))</f>
        <v/>
      </c>
      <c r="AH11" s="99" t="str">
        <f aca="false">IF($AF11=Constants!$B$7,IF(AD11,V11,Constants!$B$13),"")</f>
        <v/>
      </c>
      <c r="AI11" s="99" t="str">
        <f aca="false">IF($AF11=Constants!$B$7,IF(AD11,T11*IF(W11, 1, Constants!$B$11)*IF(X11, 1, Constants!$B$12),Constants!$B$13),"")</f>
        <v/>
      </c>
      <c r="AJ11" s="99" t="str">
        <f aca="false">IF($AF11=Constants!$B$7,AH11*AI11,"")</f>
        <v/>
      </c>
      <c r="AK11" s="99" t="str">
        <f aca="false">IF($AF11=Constants!$B$7,IF(AE11,Z11,Constants!$B$13),"")</f>
        <v/>
      </c>
      <c r="AL11" s="99" t="str">
        <f aca="false">IF($AF11=Constants!$B$7,IF(AE11,T11*IF(AA11, 1, Constants!$B$11)*IF(AB11, 1, Constants!$B$12),Constants!$B$13),"")</f>
        <v/>
      </c>
      <c r="AM11" s="99" t="str">
        <f aca="false">IF($AF11=Constants!$B$7,AK11*AL11,"")</f>
        <v/>
      </c>
      <c r="AN11" s="99" t="str">
        <f aca="false">IF($AF11=Constants!$B$7,IF(AM11&gt;AJ11,2,1),"")</f>
        <v/>
      </c>
      <c r="AO11" s="99" t="str">
        <f aca="false">IF($AF11=Constants!$B$7,IF(AN11=1,2,1),"")</f>
        <v/>
      </c>
      <c r="AP11" s="99" t="str">
        <f aca="false">IF(ISBLANK($C11),"",IF($AF11&lt;&gt;Constants!$B$7,$AF11,IF(AN11=1,AJ11,AM11)))</f>
        <v/>
      </c>
      <c r="AQ11" s="99" t="str">
        <f aca="false">IF(ISBLANK($C11),"",IF($AF11=Constants!$B$7,IF(ISNUMBER(AP11),RANK(AP11,$AP$8:$AP$507),Constants!$B$14),$AF11))</f>
        <v/>
      </c>
      <c r="AR11" s="99" t="str">
        <f aca="false">IF(ISBLANK($C11),"",IF($AF11=Constants!$B$7,IF(AO11=1,AJ11,AM11),""))</f>
        <v/>
      </c>
      <c r="AS11" s="99" t="str">
        <f aca="false">IF(ISBLANK($C11),"",IF($AF11=Constants!$B$7,RANK(AR11,$AR$8:$AR$507),$AF11))</f>
        <v/>
      </c>
      <c r="AT11" s="99" t="str">
        <f aca="false">IF(ISBLANK($C11),"",IF($AF11=Constants!$B$7,IF(ISNUMBER(AQ11),COUNTIFS($AQ$8:$AQ$507,"&lt;"&amp;$AQ11)+COUNTIFS($AQ$8:$AQ$507,$AQ11,$AS$8:$AS$507,"&lt;"&amp;$AS11)+1,Constants!$B$14),$AF11))</f>
        <v/>
      </c>
      <c r="AU11" s="99" t="str">
        <f aca="false">IF(ISBLANK($C11),"",IF($AF11=Constants!$B$7,IF(ISNUMBER(AQ11),AQ11-AT11,Constants!$B$14),$AF11))</f>
        <v/>
      </c>
      <c r="AV11" s="100"/>
      <c r="AW11" s="101" t="str">
        <f aca="false">IF(ISBLANK($C11),"",IF($AF11&lt;&gt;Constants!$B$7,"",AN11))</f>
        <v/>
      </c>
      <c r="AX11" s="102" t="str">
        <f aca="false">IF(ISBLANK($C11),"",IF($AF11&lt;&gt;Constants!$B$7,"",IF(AN11=1,AH11,AK11)))</f>
        <v/>
      </c>
      <c r="AY11" s="103" t="str">
        <f aca="false">IF(ISBLANK($C11),"",IF($AF11&lt;&gt;Constants!$B$7,"",IF(AN11=1,AI11,AL11)))</f>
        <v/>
      </c>
      <c r="AZ11" s="104" t="str">
        <f aca="false">IF(ISBLANK($C11),"",IF($AF11&lt;&gt;Constants!$B$7,$AF11,AP11))</f>
        <v/>
      </c>
      <c r="BA11" s="105" t="str">
        <f aca="false">IF(ISBLANK($C11),"",IF($AF11&lt;&gt;Constants!$B$7,$AF11,AG11))</f>
        <v/>
      </c>
      <c r="BB11" s="106" t="str">
        <f aca="false">IF(ISBLANK($C11),"",AU11)</f>
        <v/>
      </c>
      <c r="BC11" s="106" t="str">
        <f aca="false">IF(ISBLANK($C11),"",AT11)</f>
        <v/>
      </c>
      <c r="BD11" s="107" t="str">
        <f aca="false">IF(ISBLANK($C11),"",IFERROR(_xlfn.SWITCH(BC11,Constants!$B$4,COUNTA($C$8:$C$507)+2,Constants!$B$5,COUNTA($C$8:$C$507)+1,Constants!$B$6,COUNTA($C$8:$C$507)),BC11))</f>
        <v/>
      </c>
      <c r="BE11" s="5"/>
      <c r="BF11" s="108" t="n">
        <f aca="false">IF(OR(ISNUMBER(BC11),BC11=Constants!$B$4,BC11=Constants!$B$6,BC11=Constants!$B$5),1,0)</f>
        <v>0</v>
      </c>
      <c r="BG11" s="108" t="n">
        <v>4</v>
      </c>
      <c r="BH11" s="108" t="str">
        <f aca="false">IF(ISBLANK($C11),"",IF(ISNUMBER(BD11),BD11+ROW($B11)/1000,""))</f>
        <v/>
      </c>
      <c r="BI11" s="108" t="str">
        <f aca="false">IF(ISNUMBER(BH11),RANK(BH11,$BH$8:$BH$507,1),"")</f>
        <v/>
      </c>
      <c r="BJ11" s="108" t="str">
        <f aca="false">IF(ISBLANK($C11),"",$B11)</f>
        <v/>
      </c>
      <c r="BK11" s="108" t="str">
        <f aca="false">IF(ISBLANK($C11),"",$C11)</f>
        <v/>
      </c>
      <c r="BL11" s="108" t="str">
        <f aca="false">IF(ISBLANK($C11),"",$D11)</f>
        <v/>
      </c>
      <c r="BM11" s="109" t="str">
        <f aca="false">BA11</f>
        <v/>
      </c>
      <c r="BN11" s="110" t="str">
        <f aca="false">AZ11</f>
        <v/>
      </c>
      <c r="BO11" s="108" t="str">
        <f aca="false">IF(ISBLANK($C11),"",BC11)</f>
        <v/>
      </c>
      <c r="BP11" s="111" t="str">
        <f aca="false">IF($BG11&gt;$BF$7,"",VLOOKUP($BG11,$BI$8:$BO$507,7,FALSE()))</f>
        <v/>
      </c>
      <c r="BQ11" s="112" t="str">
        <f aca="false">IF($BG11&gt;$BF$7,"",VLOOKUP($BG11,$BI$8:$BO$507,2,FALSE()))</f>
        <v/>
      </c>
      <c r="BR11" s="112" t="str">
        <f aca="false">IF($BG11&gt;$BF$7,"",VLOOKUP($BG11,$BI$8:$BO$507,3,FALSE()))</f>
        <v/>
      </c>
      <c r="BS11" s="112" t="str">
        <f aca="false">IF($BG11&gt;$BF$7,"",VLOOKUP($BG11,$BI$8:$BO$507,4,FALSE()))</f>
        <v/>
      </c>
      <c r="BT11" s="112" t="str">
        <f aca="false">IF($BG11&gt;$BF$7,"",VLOOKUP($BG11,$BI$8:$BO$507,5,FALSE()))</f>
        <v/>
      </c>
      <c r="BU11" s="113" t="str">
        <f aca="false">IF($BG11&gt;$BF$7,"",VLOOKUP($BG11,$BI$8:$BO$507,6,FALSE()))</f>
        <v/>
      </c>
      <c r="BV11" s="54"/>
    </row>
    <row r="12" customFormat="false" ht="15.75" hidden="false" customHeight="false" outlineLevel="0" collapsed="false">
      <c r="A12" s="5"/>
      <c r="B12" s="88"/>
      <c r="C12" s="89"/>
      <c r="D12" s="114"/>
      <c r="E12" s="91"/>
      <c r="F12" s="92"/>
      <c r="G12" s="93"/>
      <c r="H12" s="94"/>
      <c r="I12" s="95"/>
      <c r="J12" s="95"/>
      <c r="K12" s="93"/>
      <c r="L12" s="96"/>
      <c r="M12" s="95"/>
      <c r="N12" s="95"/>
      <c r="O12" s="93"/>
      <c r="P12" s="97"/>
      <c r="Q12" s="98"/>
      <c r="R12" s="99" t="str">
        <f aca="false">IF(ISBLANK($C12),"",IF(E12=Constants!$B$2, TRUE(), IF(E12=Constants!$B$3, FALSE(), TRUE())))</f>
        <v/>
      </c>
      <c r="S12" s="99" t="str">
        <f aca="false">IF(ISBLANK($C12),"",IF(F12=Constants!$B$2, TRUE(), IF(F12=Constants!$B$3, FALSE(), TRUE())))</f>
        <v/>
      </c>
      <c r="T12" s="99" t="str">
        <f aca="false">IF(ISBLANK($C12),"",IF(G12=Constants!$B$16,Constants!$B$9,IF(G12=Constants!$B$17,Constants!$B$10,Constants!$B$8)))</f>
        <v/>
      </c>
      <c r="U12" s="99" t="str">
        <f aca="false">IF(ISBLANK($C12),"",IF(H12=Constants!$B$19,Constants!$B$19,Constants!$B$18))</f>
        <v/>
      </c>
      <c r="V12" s="99" t="str">
        <f aca="false">IF(ISBLANK($C12),"",IF(ISNUMBER(I12),IF(I12&gt;=0,I12,""),""))</f>
        <v/>
      </c>
      <c r="W12" s="99" t="str">
        <f aca="false">IF(ISBLANK($C12),"",IF(J12=Constants!$B$2, TRUE(), IF(J12=Constants!$B$3, FALSE(), TRUE())))</f>
        <v/>
      </c>
      <c r="X12" s="99" t="str">
        <f aca="false">IF(ISBLANK($C12),"",IF(K12=Constants!$B$2, TRUE(), IF(K12=Constants!$B$3, FALSE(), TRUE())))</f>
        <v/>
      </c>
      <c r="Y12" s="99" t="str">
        <f aca="false">IF(ISBLANK($C12),"",IF(L12=Constants!$B$19,Constants!$B$19,Constants!$B$18))</f>
        <v/>
      </c>
      <c r="Z12" s="99" t="str">
        <f aca="false">IF(ISBLANK($C12),"",IF(ISNUMBER(M12),IF(M12&gt;=0,M12,""),""))</f>
        <v/>
      </c>
      <c r="AA12" s="99" t="str">
        <f aca="false">IF(ISBLANK($C12),"",IF(N12=Constants!$B$2, TRUE(), IF(N12=Constants!$B$3, FALSE(), TRUE())))</f>
        <v/>
      </c>
      <c r="AB12" s="99" t="str">
        <f aca="false">IF(ISBLANK($C12),"",IF(O12=Constants!$B$2, TRUE(), IF(O12=Constants!$B$3, FALSE(), TRUE())))</f>
        <v/>
      </c>
      <c r="AC12" s="99" t="str">
        <f aca="false">IF(ISBLANK($C12),"",IF(P12=Constants!$B$2, TRUE(), IF(P12=Constants!$B$3, FALSE(), FALSE())))</f>
        <v/>
      </c>
      <c r="AD12" s="99" t="str">
        <f aca="false">IF(ISBLANK($C12),"",AND(V12&lt;&gt;"",IF(U12=Constants!$B$19,S12,R12)))</f>
        <v/>
      </c>
      <c r="AE12" s="99" t="str">
        <f aca="false">IF(ISBLANK($C12),"",AND(Z12&lt;&gt;"",IF(Y12=Constants!$B$19,S12,R12)))</f>
        <v/>
      </c>
      <c r="AF12" s="99" t="str">
        <f aca="false">IF(ISBLANK($C12),"",IF(AC12,Constants!$B$4,IF(COUNTA(E12:O12)=0,Constants!$B$5,IF(AND(NOT(AD12),NOT(AE12)),Constants!$B$6,Constants!$B$7))))</f>
        <v/>
      </c>
      <c r="AG12" s="99" t="str">
        <f aca="false">IF(ISBLANK($C12),"",IF($AF12&lt;&gt;Constants!$B$7,$AF12,Constants!$B$20))</f>
        <v/>
      </c>
      <c r="AH12" s="99" t="str">
        <f aca="false">IF($AF12=Constants!$B$7,IF(AD12,V12,Constants!$B$13),"")</f>
        <v/>
      </c>
      <c r="AI12" s="99" t="str">
        <f aca="false">IF($AF12=Constants!$B$7,IF(AD12,T12*IF(W12, 1, Constants!$B$11)*IF(X12, 1, Constants!$B$12),Constants!$B$13),"")</f>
        <v/>
      </c>
      <c r="AJ12" s="99" t="str">
        <f aca="false">IF($AF12=Constants!$B$7,AH12*AI12,"")</f>
        <v/>
      </c>
      <c r="AK12" s="99" t="str">
        <f aca="false">IF($AF12=Constants!$B$7,IF(AE12,Z12,Constants!$B$13),"")</f>
        <v/>
      </c>
      <c r="AL12" s="99" t="str">
        <f aca="false">IF($AF12=Constants!$B$7,IF(AE12,T12*IF(AA12, 1, Constants!$B$11)*IF(AB12, 1, Constants!$B$12),Constants!$B$13),"")</f>
        <v/>
      </c>
      <c r="AM12" s="99" t="str">
        <f aca="false">IF($AF12=Constants!$B$7,AK12*AL12,"")</f>
        <v/>
      </c>
      <c r="AN12" s="99" t="str">
        <f aca="false">IF($AF12=Constants!$B$7,IF(AM12&gt;AJ12,2,1),"")</f>
        <v/>
      </c>
      <c r="AO12" s="99" t="str">
        <f aca="false">IF($AF12=Constants!$B$7,IF(AN12=1,2,1),"")</f>
        <v/>
      </c>
      <c r="AP12" s="99" t="str">
        <f aca="false">IF(ISBLANK($C12),"",IF($AF12&lt;&gt;Constants!$B$7,$AF12,IF(AN12=1,AJ12,AM12)))</f>
        <v/>
      </c>
      <c r="AQ12" s="99" t="str">
        <f aca="false">IF(ISBLANK($C12),"",IF($AF12=Constants!$B$7,IF(ISNUMBER(AP12),RANK(AP12,$AP$8:$AP$507),Constants!$B$14),$AF12))</f>
        <v/>
      </c>
      <c r="AR12" s="99" t="str">
        <f aca="false">IF(ISBLANK($C12),"",IF($AF12=Constants!$B$7,IF(AO12=1,AJ12,AM12),""))</f>
        <v/>
      </c>
      <c r="AS12" s="99" t="str">
        <f aca="false">IF(ISBLANK($C12),"",IF($AF12=Constants!$B$7,RANK(AR12,$AR$8:$AR$507),$AF12))</f>
        <v/>
      </c>
      <c r="AT12" s="99" t="str">
        <f aca="false">IF(ISBLANK($C12),"",IF($AF12=Constants!$B$7,IF(ISNUMBER(AQ12),COUNTIFS($AQ$8:$AQ$507,"&lt;"&amp;$AQ12)+COUNTIFS($AQ$8:$AQ$507,$AQ12,$AS$8:$AS$507,"&lt;"&amp;$AS12)+1,Constants!$B$14),$AF12))</f>
        <v/>
      </c>
      <c r="AU12" s="99" t="str">
        <f aca="false">IF(ISBLANK($C12),"",IF($AF12=Constants!$B$7,IF(ISNUMBER(AQ12),AQ12-AT12,Constants!$B$14),$AF12))</f>
        <v/>
      </c>
      <c r="AV12" s="100"/>
      <c r="AW12" s="101" t="str">
        <f aca="false">IF(ISBLANK($C12),"",IF($AF12&lt;&gt;Constants!$B$7,"",AN12))</f>
        <v/>
      </c>
      <c r="AX12" s="102" t="str">
        <f aca="false">IF(ISBLANK($C12),"",IF($AF12&lt;&gt;Constants!$B$7,"",IF(AN12=1,AH12,AK12)))</f>
        <v/>
      </c>
      <c r="AY12" s="103" t="str">
        <f aca="false">IF(ISBLANK($C12),"",IF($AF12&lt;&gt;Constants!$B$7,"",IF(AN12=1,AI12,AL12)))</f>
        <v/>
      </c>
      <c r="AZ12" s="104" t="str">
        <f aca="false">IF(ISBLANK($C12),"",IF($AF12&lt;&gt;Constants!$B$7,$AF12,AP12))</f>
        <v/>
      </c>
      <c r="BA12" s="105" t="str">
        <f aca="false">IF(ISBLANK($C12),"",IF($AF12&lt;&gt;Constants!$B$7,$AF12,AG12))</f>
        <v/>
      </c>
      <c r="BB12" s="106" t="str">
        <f aca="false">IF(ISBLANK($C12),"",AU12)</f>
        <v/>
      </c>
      <c r="BC12" s="106" t="str">
        <f aca="false">IF(ISBLANK($C12),"",AT12)</f>
        <v/>
      </c>
      <c r="BD12" s="107" t="str">
        <f aca="false">IF(ISBLANK($C12),"",IFERROR(_xlfn.SWITCH(BC12,Constants!$B$4,COUNTA($C$8:$C$507)+2,Constants!$B$5,COUNTA($C$8:$C$507)+1,Constants!$B$6,COUNTA($C$8:$C$507)),BC12))</f>
        <v/>
      </c>
      <c r="BE12" s="5"/>
      <c r="BF12" s="108" t="n">
        <f aca="false">IF(OR(ISNUMBER(BC12),BC12=Constants!$B$4,BC12=Constants!$B$6,BC12=Constants!$B$5),1,0)</f>
        <v>0</v>
      </c>
      <c r="BG12" s="108" t="n">
        <v>5</v>
      </c>
      <c r="BH12" s="108" t="str">
        <f aca="false">IF(ISBLANK($C12),"",IF(ISNUMBER(BD12),BD12+ROW($B12)/1000,""))</f>
        <v/>
      </c>
      <c r="BI12" s="108" t="str">
        <f aca="false">IF(ISNUMBER(BH12),RANK(BH12,$BH$8:$BH$507,1),"")</f>
        <v/>
      </c>
      <c r="BJ12" s="108" t="str">
        <f aca="false">IF(ISBLANK($C12),"",$B12)</f>
        <v/>
      </c>
      <c r="BK12" s="108" t="str">
        <f aca="false">IF(ISBLANK($C12),"",$C12)</f>
        <v/>
      </c>
      <c r="BL12" s="108" t="str">
        <f aca="false">IF(ISBLANK($C12),"",$D12)</f>
        <v/>
      </c>
      <c r="BM12" s="109" t="str">
        <f aca="false">BA12</f>
        <v/>
      </c>
      <c r="BN12" s="110" t="str">
        <f aca="false">AZ12</f>
        <v/>
      </c>
      <c r="BO12" s="108" t="str">
        <f aca="false">IF(ISBLANK($C12),"",BC12)</f>
        <v/>
      </c>
      <c r="BP12" s="111" t="str">
        <f aca="false">IF($BG12&gt;$BF$7,"",VLOOKUP($BG12,$BI$8:$BO$507,7,FALSE()))</f>
        <v/>
      </c>
      <c r="BQ12" s="112" t="str">
        <f aca="false">IF($BG12&gt;$BF$7,"",VLOOKUP($BG12,$BI$8:$BO$507,2,FALSE()))</f>
        <v/>
      </c>
      <c r="BR12" s="112" t="str">
        <f aca="false">IF($BG12&gt;$BF$7,"",VLOOKUP($BG12,$BI$8:$BO$507,3,FALSE()))</f>
        <v/>
      </c>
      <c r="BS12" s="112" t="str">
        <f aca="false">IF($BG12&gt;$BF$7,"",VLOOKUP($BG12,$BI$8:$BO$507,4,FALSE()))</f>
        <v/>
      </c>
      <c r="BT12" s="112" t="str">
        <f aca="false">IF($BG12&gt;$BF$7,"",VLOOKUP($BG12,$BI$8:$BO$507,5,FALSE()))</f>
        <v/>
      </c>
      <c r="BU12" s="113" t="str">
        <f aca="false">IF($BG12&gt;$BF$7,"",VLOOKUP($BG12,$BI$8:$BO$507,6,FALSE()))</f>
        <v/>
      </c>
      <c r="BV12" s="54"/>
    </row>
    <row r="13" customFormat="false" ht="15.75" hidden="false" customHeight="false" outlineLevel="0" collapsed="false">
      <c r="A13" s="5"/>
      <c r="B13" s="115"/>
      <c r="C13" s="116"/>
      <c r="D13" s="117"/>
      <c r="E13" s="118"/>
      <c r="F13" s="119"/>
      <c r="G13" s="93"/>
      <c r="H13" s="120"/>
      <c r="I13" s="95"/>
      <c r="J13" s="95"/>
      <c r="K13" s="93"/>
      <c r="L13" s="121"/>
      <c r="M13" s="95"/>
      <c r="N13" s="95"/>
      <c r="O13" s="93"/>
      <c r="P13" s="122"/>
      <c r="Q13" s="98"/>
      <c r="R13" s="99" t="str">
        <f aca="false">IF(ISBLANK($C13),"",IF(E13=Constants!$B$2, TRUE(), IF(E13=Constants!$B$3, FALSE(), TRUE())))</f>
        <v/>
      </c>
      <c r="S13" s="99" t="str">
        <f aca="false">IF(ISBLANK($C13),"",IF(F13=Constants!$B$2, TRUE(), IF(F13=Constants!$B$3, FALSE(), TRUE())))</f>
        <v/>
      </c>
      <c r="T13" s="99" t="str">
        <f aca="false">IF(ISBLANK($C13),"",IF(G13=Constants!$B$16,Constants!$B$9,IF(G13=Constants!$B$17,Constants!$B$10,Constants!$B$8)))</f>
        <v/>
      </c>
      <c r="U13" s="99" t="str">
        <f aca="false">IF(ISBLANK($C13),"",IF(H13=Constants!$B$19,Constants!$B$19,Constants!$B$18))</f>
        <v/>
      </c>
      <c r="V13" s="99" t="str">
        <f aca="false">IF(ISBLANK($C13),"",IF(ISNUMBER(I13),IF(I13&gt;=0,I13,""),""))</f>
        <v/>
      </c>
      <c r="W13" s="99" t="str">
        <f aca="false">IF(ISBLANK($C13),"",IF(J13=Constants!$B$2, TRUE(), IF(J13=Constants!$B$3, FALSE(), TRUE())))</f>
        <v/>
      </c>
      <c r="X13" s="99" t="str">
        <f aca="false">IF(ISBLANK($C13),"",IF(K13=Constants!$B$2, TRUE(), IF(K13=Constants!$B$3, FALSE(), TRUE())))</f>
        <v/>
      </c>
      <c r="Y13" s="99" t="str">
        <f aca="false">IF(ISBLANK($C13),"",IF(L13=Constants!$B$19,Constants!$B$19,Constants!$B$18))</f>
        <v/>
      </c>
      <c r="Z13" s="99" t="str">
        <f aca="false">IF(ISBLANK($C13),"",IF(ISNUMBER(M13),IF(M13&gt;=0,M13,""),""))</f>
        <v/>
      </c>
      <c r="AA13" s="99" t="str">
        <f aca="false">IF(ISBLANK($C13),"",IF(N13=Constants!$B$2, TRUE(), IF(N13=Constants!$B$3, FALSE(), TRUE())))</f>
        <v/>
      </c>
      <c r="AB13" s="99" t="str">
        <f aca="false">IF(ISBLANK($C13),"",IF(O13=Constants!$B$2, TRUE(), IF(O13=Constants!$B$3, FALSE(), TRUE())))</f>
        <v/>
      </c>
      <c r="AC13" s="99" t="str">
        <f aca="false">IF(ISBLANK($C13),"",IF(P13=Constants!$B$2, TRUE(), IF(P13=Constants!$B$3, FALSE(), FALSE())))</f>
        <v/>
      </c>
      <c r="AD13" s="99" t="str">
        <f aca="false">IF(ISBLANK($C13),"",AND(V13&lt;&gt;"",IF(U13=Constants!$B$19,S13,R13)))</f>
        <v/>
      </c>
      <c r="AE13" s="99" t="str">
        <f aca="false">IF(ISBLANK($C13),"",AND(Z13&lt;&gt;"",IF(Y13=Constants!$B$19,S13,R13)))</f>
        <v/>
      </c>
      <c r="AF13" s="99" t="str">
        <f aca="false">IF(ISBLANK($C13),"",IF(AC13,Constants!$B$4,IF(COUNTA(E13:O13)=0,Constants!$B$5,IF(AND(NOT(AD13),NOT(AE13)),Constants!$B$6,Constants!$B$7))))</f>
        <v/>
      </c>
      <c r="AG13" s="99" t="str">
        <f aca="false">IF(ISBLANK($C13),"",IF($AF13&lt;&gt;Constants!$B$7,$AF13,Constants!$B$20))</f>
        <v/>
      </c>
      <c r="AH13" s="99" t="str">
        <f aca="false">IF($AF13=Constants!$B$7,IF(AD13,V13,Constants!$B$13),"")</f>
        <v/>
      </c>
      <c r="AI13" s="99" t="str">
        <f aca="false">IF($AF13=Constants!$B$7,IF(AD13,T13*IF(W13, 1, Constants!$B$11)*IF(X13, 1, Constants!$B$12),Constants!$B$13),"")</f>
        <v/>
      </c>
      <c r="AJ13" s="99" t="str">
        <f aca="false">IF($AF13=Constants!$B$7,AH13*AI13,"")</f>
        <v/>
      </c>
      <c r="AK13" s="99" t="str">
        <f aca="false">IF($AF13=Constants!$B$7,IF(AE13,Z13,Constants!$B$13),"")</f>
        <v/>
      </c>
      <c r="AL13" s="99" t="str">
        <f aca="false">IF($AF13=Constants!$B$7,IF(AE13,T13*IF(AA13, 1, Constants!$B$11)*IF(AB13, 1, Constants!$B$12),Constants!$B$13),"")</f>
        <v/>
      </c>
      <c r="AM13" s="99" t="str">
        <f aca="false">IF($AF13=Constants!$B$7,AK13*AL13,"")</f>
        <v/>
      </c>
      <c r="AN13" s="99" t="str">
        <f aca="false">IF($AF13=Constants!$B$7,IF(AM13&gt;AJ13,2,1),"")</f>
        <v/>
      </c>
      <c r="AO13" s="99" t="str">
        <f aca="false">IF($AF13=Constants!$B$7,IF(AN13=1,2,1),"")</f>
        <v/>
      </c>
      <c r="AP13" s="99" t="str">
        <f aca="false">IF(ISBLANK($C13),"",IF($AF13&lt;&gt;Constants!$B$7,$AF13,IF(AN13=1,AJ13,AM13)))</f>
        <v/>
      </c>
      <c r="AQ13" s="99" t="str">
        <f aca="false">IF(ISBLANK($C13),"",IF($AF13=Constants!$B$7,IF(ISNUMBER(AP13),RANK(AP13,$AP$8:$AP$507),Constants!$B$14),$AF13))</f>
        <v/>
      </c>
      <c r="AR13" s="99" t="str">
        <f aca="false">IF(ISBLANK($C13),"",IF($AF13=Constants!$B$7,IF(AO13=1,AJ13,AM13),""))</f>
        <v/>
      </c>
      <c r="AS13" s="99" t="str">
        <f aca="false">IF(ISBLANK($C13),"",IF($AF13=Constants!$B$7,RANK(AR13,$AR$8:$AR$507),$AF13))</f>
        <v/>
      </c>
      <c r="AT13" s="99" t="str">
        <f aca="false">IF(ISBLANK($C13),"",IF($AF13=Constants!$B$7,IF(ISNUMBER(AQ13),COUNTIFS($AQ$8:$AQ$507,"&lt;"&amp;$AQ13)+COUNTIFS($AQ$8:$AQ$507,$AQ13,$AS$8:$AS$507,"&lt;"&amp;$AS13)+1,Constants!$B$14),$AF13))</f>
        <v/>
      </c>
      <c r="AU13" s="99" t="str">
        <f aca="false">IF(ISBLANK($C13),"",IF($AF13=Constants!$B$7,IF(ISNUMBER(AQ13),AQ13-AT13,Constants!$B$14),$AF13))</f>
        <v/>
      </c>
      <c r="AV13" s="100"/>
      <c r="AW13" s="101" t="str">
        <f aca="false">IF(ISBLANK($C13),"",IF($AF13&lt;&gt;Constants!$B$7,"",AN13))</f>
        <v/>
      </c>
      <c r="AX13" s="102" t="str">
        <f aca="false">IF(ISBLANK($C13),"",IF($AF13&lt;&gt;Constants!$B$7,"",IF(AN13=1,AH13,AK13)))</f>
        <v/>
      </c>
      <c r="AY13" s="103" t="str">
        <f aca="false">IF(ISBLANK($C13),"",IF($AF13&lt;&gt;Constants!$B$7,"",IF(AN13=1,AI13,AL13)))</f>
        <v/>
      </c>
      <c r="AZ13" s="104" t="str">
        <f aca="false">IF(ISBLANK($C13),"",IF($AF13&lt;&gt;Constants!$B$7,$AF13,AP13))</f>
        <v/>
      </c>
      <c r="BA13" s="105" t="str">
        <f aca="false">IF(ISBLANK($C13),"",IF($AF13&lt;&gt;Constants!$B$7,$AF13,AG13))</f>
        <v/>
      </c>
      <c r="BB13" s="106" t="str">
        <f aca="false">IF(ISBLANK($C13),"",AU13)</f>
        <v/>
      </c>
      <c r="BC13" s="106" t="str">
        <f aca="false">IF(ISBLANK($C13),"",AT13)</f>
        <v/>
      </c>
      <c r="BD13" s="107" t="str">
        <f aca="false">IF(ISBLANK($C13),"",IFERROR(_xlfn.SWITCH(BC13,Constants!$B$4,COUNTA($C$8:$C$507)+2,Constants!$B$5,COUNTA($C$8:$C$507)+1,Constants!$B$6,COUNTA($C$8:$C$507)),BC13))</f>
        <v/>
      </c>
      <c r="BE13" s="5"/>
      <c r="BF13" s="108" t="n">
        <f aca="false">IF(OR(ISNUMBER(BC13),BC13=Constants!$B$4,BC13=Constants!$B$6,BC13=Constants!$B$5),1,0)</f>
        <v>0</v>
      </c>
      <c r="BG13" s="108" t="n">
        <v>6</v>
      </c>
      <c r="BH13" s="108" t="str">
        <f aca="false">IF(ISBLANK($C13),"",IF(ISNUMBER(BD13),BD13+ROW($B13)/1000,""))</f>
        <v/>
      </c>
      <c r="BI13" s="108" t="str">
        <f aca="false">IF(ISNUMBER(BH13),RANK(BH13,$BH$8:$BH$507,1),"")</f>
        <v/>
      </c>
      <c r="BJ13" s="108" t="str">
        <f aca="false">IF(ISBLANK($C13),"",$B13)</f>
        <v/>
      </c>
      <c r="BK13" s="108" t="str">
        <f aca="false">IF(ISBLANK($C13),"",$C13)</f>
        <v/>
      </c>
      <c r="BL13" s="108" t="str">
        <f aca="false">IF(ISBLANK($C13),"",$D13)</f>
        <v/>
      </c>
      <c r="BM13" s="109" t="str">
        <f aca="false">BA13</f>
        <v/>
      </c>
      <c r="BN13" s="110" t="str">
        <f aca="false">AZ13</f>
        <v/>
      </c>
      <c r="BO13" s="108" t="str">
        <f aca="false">IF(ISBLANK($C13),"",BC13)</f>
        <v/>
      </c>
      <c r="BP13" s="111" t="str">
        <f aca="false">IF($BG13&gt;$BF$7,"",VLOOKUP($BG13,$BI$8:$BO$507,7,FALSE()))</f>
        <v/>
      </c>
      <c r="BQ13" s="112" t="str">
        <f aca="false">IF($BG13&gt;$BF$7,"",VLOOKUP($BG13,$BI$8:$BO$507,2,FALSE()))</f>
        <v/>
      </c>
      <c r="BR13" s="112" t="str">
        <f aca="false">IF($BG13&gt;$BF$7,"",VLOOKUP($BG13,$BI$8:$BO$507,3,FALSE()))</f>
        <v/>
      </c>
      <c r="BS13" s="112" t="str">
        <f aca="false">IF($BG13&gt;$BF$7,"",VLOOKUP($BG13,$BI$8:$BO$507,4,FALSE()))</f>
        <v/>
      </c>
      <c r="BT13" s="112" t="str">
        <f aca="false">IF($BG13&gt;$BF$7,"",VLOOKUP($BG13,$BI$8:$BO$507,5,FALSE()))</f>
        <v/>
      </c>
      <c r="BU13" s="113" t="str">
        <f aca="false">IF($BG13&gt;$BF$7,"",VLOOKUP($BG13,$BI$8:$BO$507,6,FALSE()))</f>
        <v/>
      </c>
      <c r="BV13" s="54"/>
    </row>
    <row r="14" customFormat="false" ht="15.75" hidden="false" customHeight="false" outlineLevel="0" collapsed="false">
      <c r="A14" s="5"/>
      <c r="B14" s="123"/>
      <c r="C14" s="86"/>
      <c r="D14" s="87"/>
      <c r="E14" s="58"/>
      <c r="F14" s="59"/>
      <c r="G14" s="60"/>
      <c r="H14" s="61"/>
      <c r="I14" s="62"/>
      <c r="J14" s="62"/>
      <c r="K14" s="60"/>
      <c r="L14" s="63"/>
      <c r="M14" s="62"/>
      <c r="N14" s="62"/>
      <c r="O14" s="60"/>
      <c r="P14" s="64"/>
      <c r="Q14" s="65"/>
      <c r="R14" s="67" t="str">
        <f aca="false">IF(ISBLANK($C14),"",IF(E14=Constants!$B$2, TRUE(), IF(E14=Constants!$B$3, FALSE(), TRUE())))</f>
        <v/>
      </c>
      <c r="S14" s="67" t="str">
        <f aca="false">IF(ISBLANK($C14),"",IF(F14=Constants!$B$2, TRUE(), IF(F14=Constants!$B$3, FALSE(), TRUE())))</f>
        <v/>
      </c>
      <c r="T14" s="67" t="str">
        <f aca="false">IF(ISBLANK($C14),"",IF(G14=Constants!$B$16,Constants!$B$9,IF(G14=Constants!$B$17,Constants!$B$10,Constants!$B$8)))</f>
        <v/>
      </c>
      <c r="U14" s="67" t="str">
        <f aca="false">IF(ISBLANK($C14),"",IF(H14=Constants!$B$19,Constants!$B$19,Constants!$B$18))</f>
        <v/>
      </c>
      <c r="V14" s="67" t="str">
        <f aca="false">IF(ISBLANK($C14),"",IF(ISNUMBER(I14),IF(I14&gt;=0,I14,""),""))</f>
        <v/>
      </c>
      <c r="W14" s="67" t="str">
        <f aca="false">IF(ISBLANK($C14),"",IF(J14=Constants!$B$2, TRUE(), IF(J14=Constants!$B$3, FALSE(), TRUE())))</f>
        <v/>
      </c>
      <c r="X14" s="67" t="str">
        <f aca="false">IF(ISBLANK($C14),"",IF(K14=Constants!$B$2, TRUE(), IF(K14=Constants!$B$3, FALSE(), TRUE())))</f>
        <v/>
      </c>
      <c r="Y14" s="67" t="str">
        <f aca="false">IF(ISBLANK($C14),"",IF(L14=Constants!$B$19,Constants!$B$19,Constants!$B$18))</f>
        <v/>
      </c>
      <c r="Z14" s="67" t="str">
        <f aca="false">IF(ISBLANK($C14),"",IF(ISNUMBER(M14),IF(M14&gt;=0,M14,""),""))</f>
        <v/>
      </c>
      <c r="AA14" s="67" t="str">
        <f aca="false">IF(ISBLANK($C14),"",IF(N14=Constants!$B$2, TRUE(), IF(N14=Constants!$B$3, FALSE(), TRUE())))</f>
        <v/>
      </c>
      <c r="AB14" s="67" t="str">
        <f aca="false">IF(ISBLANK($C14),"",IF(O14=Constants!$B$2, TRUE(), IF(O14=Constants!$B$3, FALSE(), TRUE())))</f>
        <v/>
      </c>
      <c r="AC14" s="67" t="str">
        <f aca="false">IF(ISBLANK($C14),"",IF(P14=Constants!$B$2, TRUE(), IF(P14=Constants!$B$3, FALSE(), FALSE())))</f>
        <v/>
      </c>
      <c r="AD14" s="67" t="str">
        <f aca="false">IF(ISBLANK($C14),"",AND(V14&lt;&gt;"",IF(U14=Constants!$B$19,S14,R14)))</f>
        <v/>
      </c>
      <c r="AE14" s="67" t="str">
        <f aca="false">IF(ISBLANK($C14),"",AND(Z14&lt;&gt;"",IF(Y14=Constants!$B$19,S14,R14)))</f>
        <v/>
      </c>
      <c r="AF14" s="67" t="str">
        <f aca="false">IF(ISBLANK($C14),"",IF(AC14,Constants!$B$4,IF(COUNTA(E14:O14)=0,Constants!$B$5,IF(AND(NOT(AD14),NOT(AE14)),Constants!$B$6,Constants!$B$7))))</f>
        <v/>
      </c>
      <c r="AG14" s="67" t="str">
        <f aca="false">IF(ISBLANK($C14),"",IF($AF14&lt;&gt;Constants!$B$7,$AF14,Constants!$B$20))</f>
        <v/>
      </c>
      <c r="AH14" s="67" t="str">
        <f aca="false">IF($AF14=Constants!$B$7,IF(AD14,V14,Constants!$B$13),"")</f>
        <v/>
      </c>
      <c r="AI14" s="67" t="str">
        <f aca="false">IF($AF14=Constants!$B$7,IF(AD14,T14*IF(W14, 1, Constants!$B$11)*IF(X14, 1, Constants!$B$12),Constants!$B$13),"")</f>
        <v/>
      </c>
      <c r="AJ14" s="67" t="str">
        <f aca="false">IF($AF14=Constants!$B$7,AH14*AI14,"")</f>
        <v/>
      </c>
      <c r="AK14" s="67" t="str">
        <f aca="false">IF($AF14=Constants!$B$7,IF(AE14,Z14,Constants!$B$13),"")</f>
        <v/>
      </c>
      <c r="AL14" s="67" t="str">
        <f aca="false">IF($AF14=Constants!$B$7,IF(AE14,T14*IF(AA14, 1, Constants!$B$11)*IF(AB14, 1, Constants!$B$12),Constants!$B$13),"")</f>
        <v/>
      </c>
      <c r="AM14" s="67" t="str">
        <f aca="false">IF($AF14=Constants!$B$7,AK14*AL14,"")</f>
        <v/>
      </c>
      <c r="AN14" s="67" t="str">
        <f aca="false">IF($AF14=Constants!$B$7,IF(AM14&gt;AJ14,2,1),"")</f>
        <v/>
      </c>
      <c r="AO14" s="67" t="str">
        <f aca="false">IF($AF14=Constants!$B$7,IF(AN14=1,2,1),"")</f>
        <v/>
      </c>
      <c r="AP14" s="67" t="str">
        <f aca="false">IF(ISBLANK($C14),"",IF($AF14&lt;&gt;Constants!$B$7,$AF14,IF(AN14=1,AJ14,AM14)))</f>
        <v/>
      </c>
      <c r="AQ14" s="67" t="str">
        <f aca="false">IF(ISBLANK($C14),"",IF($AF14=Constants!$B$7,IF(ISNUMBER(AP14),RANK(AP14,$AP$8:$AP$507),Constants!$B$14),$AF14))</f>
        <v/>
      </c>
      <c r="AR14" s="67" t="str">
        <f aca="false">IF(ISBLANK($C14),"",IF($AF14=Constants!$B$7,IF(AO14=1,AJ14,AM14),""))</f>
        <v/>
      </c>
      <c r="AS14" s="67" t="str">
        <f aca="false">IF(ISBLANK($C14),"",IF($AF14=Constants!$B$7,RANK(AR14,$AR$8:$AR$507),$AF14))</f>
        <v/>
      </c>
      <c r="AT14" s="67" t="str">
        <f aca="false">IF(ISBLANK($C14),"",IF($AF14=Constants!$B$7,IF(ISNUMBER(AQ14),COUNTIFS($AQ$8:$AQ$507,"&lt;"&amp;$AQ14)+COUNTIFS($AQ$8:$AQ$507,$AQ14,$AS$8:$AS$507,"&lt;"&amp;$AS14)+1,Constants!$B$14),$AF14))</f>
        <v/>
      </c>
      <c r="AU14" s="67" t="str">
        <f aca="false">IF(ISBLANK($C14),"",IF($AF14=Constants!$B$7,IF(ISNUMBER(AQ14),AQ14-AT14,Constants!$B$14),$AF14))</f>
        <v/>
      </c>
      <c r="AV14" s="69"/>
      <c r="AW14" s="70" t="str">
        <f aca="false">IF(ISBLANK($C14),"",IF($AF14&lt;&gt;Constants!$B$7,"",AN14))</f>
        <v/>
      </c>
      <c r="AX14" s="85" t="str">
        <f aca="false">IF(ISBLANK($C14),"",IF($AF14&lt;&gt;Constants!$B$7,"",IF(AN14=1,AH14,AK14)))</f>
        <v/>
      </c>
      <c r="AY14" s="72" t="str">
        <f aca="false">IF(ISBLANK($C14),"",IF($AF14&lt;&gt;Constants!$B$7,"",IF(AN14=1,AI14,AL14)))</f>
        <v/>
      </c>
      <c r="AZ14" s="73" t="str">
        <f aca="false">IF(ISBLANK($C14),"",IF($AF14&lt;&gt;Constants!$B$7,$AF14,AP14))</f>
        <v/>
      </c>
      <c r="BA14" s="74" t="str">
        <f aca="false">IF(ISBLANK($C14),"",IF($AF14&lt;&gt;Constants!$B$7,$AF14,AG14))</f>
        <v/>
      </c>
      <c r="BB14" s="75" t="str">
        <f aca="false">IF(ISBLANK($C14),"",AU14)</f>
        <v/>
      </c>
      <c r="BC14" s="75" t="str">
        <f aca="false">IF(ISBLANK($C14),"",AT14)</f>
        <v/>
      </c>
      <c r="BD14" s="76" t="str">
        <f aca="false">IF(ISBLANK($C14),"",IFERROR(_xlfn.SWITCH(BC14,Constants!$B$4,COUNTA($C$8:$C$507)+2,Constants!$B$5,COUNTA($C$8:$C$507)+1,Constants!$B$6,COUNTA($C$8:$C$507)),BC14))</f>
        <v/>
      </c>
      <c r="BE14" s="5"/>
      <c r="BF14" s="77" t="n">
        <f aca="false">IF(OR(ISNUMBER(BC14),BC14=Constants!$B$4,BC14=Constants!$B$6,BC14=Constants!$B$5),1,0)</f>
        <v>0</v>
      </c>
      <c r="BG14" s="77" t="n">
        <v>7</v>
      </c>
      <c r="BH14" s="77" t="str">
        <f aca="false">IF(ISBLANK($C14),"",IF(ISNUMBER(BD14),BD14+ROW($B14)/1000,""))</f>
        <v/>
      </c>
      <c r="BI14" s="77" t="str">
        <f aca="false">IF(ISNUMBER(BH14),RANK(BH14,$BH$8:$BH$507,1),"")</f>
        <v/>
      </c>
      <c r="BJ14" s="77" t="str">
        <f aca="false">IF(ISBLANK($C14),"",$B14)</f>
        <v/>
      </c>
      <c r="BK14" s="77" t="str">
        <f aca="false">IF(ISBLANK($C14),"",$C14)</f>
        <v/>
      </c>
      <c r="BL14" s="77" t="str">
        <f aca="false">IF(ISBLANK($C14),"",$D14)</f>
        <v/>
      </c>
      <c r="BM14" s="78" t="str">
        <f aca="false">BA14</f>
        <v/>
      </c>
      <c r="BN14" s="79" t="str">
        <f aca="false">AZ14</f>
        <v/>
      </c>
      <c r="BO14" s="77" t="str">
        <f aca="false">IF(ISBLANK($C14),"",BC14)</f>
        <v/>
      </c>
      <c r="BP14" s="80" t="str">
        <f aca="false">IF($BG14&gt;$BF$7,"",VLOOKUP($BG14,$BI$8:$BO$507,7,FALSE()))</f>
        <v/>
      </c>
      <c r="BQ14" s="81" t="str">
        <f aca="false">IF($BG14&gt;$BF$7,"",VLOOKUP($BG14,$BI$8:$BO$507,2,FALSE()))</f>
        <v/>
      </c>
      <c r="BR14" s="81" t="str">
        <f aca="false">IF($BG14&gt;$BF$7,"",VLOOKUP($BG14,$BI$8:$BO$507,3,FALSE()))</f>
        <v/>
      </c>
      <c r="BS14" s="81" t="str">
        <f aca="false">IF($BG14&gt;$BF$7,"",VLOOKUP($BG14,$BI$8:$BO$507,4,FALSE()))</f>
        <v/>
      </c>
      <c r="BT14" s="81" t="str">
        <f aca="false">IF($BG14&gt;$BF$7,"",VLOOKUP($BG14,$BI$8:$BO$507,5,FALSE()))</f>
        <v/>
      </c>
      <c r="BU14" s="82" t="str">
        <f aca="false">IF($BG14&gt;$BF$7,"",VLOOKUP($BG14,$BI$8:$BO$507,6,FALSE()))</f>
        <v/>
      </c>
      <c r="BV14" s="54"/>
    </row>
    <row r="15" customFormat="false" ht="15.75" hidden="false" customHeight="false" outlineLevel="0" collapsed="false">
      <c r="A15" s="5"/>
      <c r="B15" s="123"/>
      <c r="C15" s="86"/>
      <c r="D15" s="57"/>
      <c r="E15" s="124"/>
      <c r="F15" s="125"/>
      <c r="G15" s="60"/>
      <c r="H15" s="126"/>
      <c r="I15" s="62"/>
      <c r="J15" s="62"/>
      <c r="K15" s="60"/>
      <c r="L15" s="127"/>
      <c r="M15" s="62"/>
      <c r="N15" s="62"/>
      <c r="O15" s="60"/>
      <c r="P15" s="64"/>
      <c r="Q15" s="65"/>
      <c r="R15" s="67" t="str">
        <f aca="false">IF(ISBLANK($C15),"",IF(E15=Constants!$B$2, TRUE(), IF(E15=Constants!$B$3, FALSE(), TRUE())))</f>
        <v/>
      </c>
      <c r="S15" s="67" t="str">
        <f aca="false">IF(ISBLANK($C15),"",IF(F15=Constants!$B$2, TRUE(), IF(F15=Constants!$B$3, FALSE(), TRUE())))</f>
        <v/>
      </c>
      <c r="T15" s="67" t="str">
        <f aca="false">IF(ISBLANK($C15),"",IF(G15=Constants!$B$16,Constants!$B$9,IF(G15=Constants!$B$17,Constants!$B$10,Constants!$B$8)))</f>
        <v/>
      </c>
      <c r="U15" s="67" t="str">
        <f aca="false">IF(ISBLANK($C15),"",IF(H15=Constants!$B$19,Constants!$B$19,Constants!$B$18))</f>
        <v/>
      </c>
      <c r="V15" s="67" t="str">
        <f aca="false">IF(ISBLANK($C15),"",IF(ISNUMBER(I15),IF(I15&gt;=0,I15,""),""))</f>
        <v/>
      </c>
      <c r="W15" s="67" t="str">
        <f aca="false">IF(ISBLANK($C15),"",IF(J15=Constants!$B$2, TRUE(), IF(J15=Constants!$B$3, FALSE(), TRUE())))</f>
        <v/>
      </c>
      <c r="X15" s="67" t="str">
        <f aca="false">IF(ISBLANK($C15),"",IF(K15=Constants!$B$2, TRUE(), IF(K15=Constants!$B$3, FALSE(), TRUE())))</f>
        <v/>
      </c>
      <c r="Y15" s="67" t="str">
        <f aca="false">IF(ISBLANK($C15),"",IF(L15=Constants!$B$19,Constants!$B$19,Constants!$B$18))</f>
        <v/>
      </c>
      <c r="Z15" s="67" t="str">
        <f aca="false">IF(ISBLANK($C15),"",IF(ISNUMBER(M15),IF(M15&gt;=0,M15,""),""))</f>
        <v/>
      </c>
      <c r="AA15" s="67" t="str">
        <f aca="false">IF(ISBLANK($C15),"",IF(N15=Constants!$B$2, TRUE(), IF(N15=Constants!$B$3, FALSE(), TRUE())))</f>
        <v/>
      </c>
      <c r="AB15" s="67" t="str">
        <f aca="false">IF(ISBLANK($C15),"",IF(O15=Constants!$B$2, TRUE(), IF(O15=Constants!$B$3, FALSE(), TRUE())))</f>
        <v/>
      </c>
      <c r="AC15" s="67" t="str">
        <f aca="false">IF(ISBLANK($C15),"",IF(P15=Constants!$B$2, TRUE(), IF(P15=Constants!$B$3, FALSE(), FALSE())))</f>
        <v/>
      </c>
      <c r="AD15" s="67" t="str">
        <f aca="false">IF(ISBLANK($C15),"",AND(V15&lt;&gt;"",IF(U15=Constants!$B$19,S15,R15)))</f>
        <v/>
      </c>
      <c r="AE15" s="67" t="str">
        <f aca="false">IF(ISBLANK($C15),"",AND(Z15&lt;&gt;"",IF(Y15=Constants!$B$19,S15,R15)))</f>
        <v/>
      </c>
      <c r="AF15" s="67" t="str">
        <f aca="false">IF(ISBLANK($C15),"",IF(AC15,Constants!$B$4,IF(COUNTA(E15:O15)=0,Constants!$B$5,IF(AND(NOT(AD15),NOT(AE15)),Constants!$B$6,Constants!$B$7))))</f>
        <v/>
      </c>
      <c r="AG15" s="67" t="str">
        <f aca="false">IF(ISBLANK($C15),"",IF($AF15&lt;&gt;Constants!$B$7,$AF15,Constants!$B$20))</f>
        <v/>
      </c>
      <c r="AH15" s="67" t="str">
        <f aca="false">IF($AF15=Constants!$B$7,IF(AD15,V15,Constants!$B$13),"")</f>
        <v/>
      </c>
      <c r="AI15" s="67" t="str">
        <f aca="false">IF($AF15=Constants!$B$7,IF(AD15,T15*IF(W15, 1, Constants!$B$11)*IF(X15, 1, Constants!$B$12),Constants!$B$13),"")</f>
        <v/>
      </c>
      <c r="AJ15" s="67" t="str">
        <f aca="false">IF($AF15=Constants!$B$7,AH15*AI15,"")</f>
        <v/>
      </c>
      <c r="AK15" s="67" t="str">
        <f aca="false">IF($AF15=Constants!$B$7,IF(AE15,Z15,Constants!$B$13),"")</f>
        <v/>
      </c>
      <c r="AL15" s="67" t="str">
        <f aca="false">IF($AF15=Constants!$B$7,IF(AE15,T15*IF(AA15, 1, Constants!$B$11)*IF(AB15, 1, Constants!$B$12),Constants!$B$13),"")</f>
        <v/>
      </c>
      <c r="AM15" s="67" t="str">
        <f aca="false">IF($AF15=Constants!$B$7,AK15*AL15,"")</f>
        <v/>
      </c>
      <c r="AN15" s="67" t="str">
        <f aca="false">IF($AF15=Constants!$B$7,IF(AM15&gt;AJ15,2,1),"")</f>
        <v/>
      </c>
      <c r="AO15" s="67" t="str">
        <f aca="false">IF($AF15=Constants!$B$7,IF(AN15=1,2,1),"")</f>
        <v/>
      </c>
      <c r="AP15" s="67" t="str">
        <f aca="false">IF(ISBLANK($C15),"",IF($AF15&lt;&gt;Constants!$B$7,$AF15,IF(AN15=1,AJ15,AM15)))</f>
        <v/>
      </c>
      <c r="AQ15" s="67" t="str">
        <f aca="false">IF(ISBLANK($C15),"",IF($AF15=Constants!$B$7,IF(ISNUMBER(AP15),RANK(AP15,$AP$8:$AP$507),Constants!$B$14),$AF15))</f>
        <v/>
      </c>
      <c r="AR15" s="67" t="str">
        <f aca="false">IF(ISBLANK($C15),"",IF($AF15=Constants!$B$7,IF(AO15=1,AJ15,AM15),""))</f>
        <v/>
      </c>
      <c r="AS15" s="67" t="str">
        <f aca="false">IF(ISBLANK($C15),"",IF($AF15=Constants!$B$7,RANK(AR15,$AR$8:$AR$507),$AF15))</f>
        <v/>
      </c>
      <c r="AT15" s="67" t="str">
        <f aca="false">IF(ISBLANK($C15),"",IF($AF15=Constants!$B$7,IF(ISNUMBER(AQ15),COUNTIFS($AQ$8:$AQ$507,"&lt;"&amp;$AQ15)+COUNTIFS($AQ$8:$AQ$507,$AQ15,$AS$8:$AS$507,"&lt;"&amp;$AS15)+1,Constants!$B$14),$AF15))</f>
        <v/>
      </c>
      <c r="AU15" s="67" t="str">
        <f aca="false">IF(ISBLANK($C15),"",IF($AF15=Constants!$B$7,IF(ISNUMBER(AQ15),AQ15-AT15,Constants!$B$14),$AF15))</f>
        <v/>
      </c>
      <c r="AV15" s="69"/>
      <c r="AW15" s="70" t="str">
        <f aca="false">IF(ISBLANK($C15),"",IF($AF15&lt;&gt;Constants!$B$7,"",AN15))</f>
        <v/>
      </c>
      <c r="AX15" s="85" t="str">
        <f aca="false">IF(ISBLANK($C15),"",IF($AF15&lt;&gt;Constants!$B$7,"",IF(AN15=1,AH15,AK15)))</f>
        <v/>
      </c>
      <c r="AY15" s="72" t="str">
        <f aca="false">IF(ISBLANK($C15),"",IF($AF15&lt;&gt;Constants!$B$7,"",IF(AN15=1,AI15,AL15)))</f>
        <v/>
      </c>
      <c r="AZ15" s="73" t="str">
        <f aca="false">IF(ISBLANK($C15),"",IF($AF15&lt;&gt;Constants!$B$7,$AF15,AP15))</f>
        <v/>
      </c>
      <c r="BA15" s="74" t="str">
        <f aca="false">IF(ISBLANK($C15),"",IF($AF15&lt;&gt;Constants!$B$7,$AF15,AG15))</f>
        <v/>
      </c>
      <c r="BB15" s="75" t="str">
        <f aca="false">IF(ISBLANK($C15),"",AU15)</f>
        <v/>
      </c>
      <c r="BC15" s="75" t="str">
        <f aca="false">IF(ISBLANK($C15),"",AT15)</f>
        <v/>
      </c>
      <c r="BD15" s="76" t="str">
        <f aca="false">IF(ISBLANK($C15),"",IFERROR(_xlfn.SWITCH(BC15,Constants!$B$4,COUNTA($C$8:$C$507)+2,Constants!$B$5,COUNTA($C$8:$C$507)+1,Constants!$B$6,COUNTA($C$8:$C$507)),BC15))</f>
        <v/>
      </c>
      <c r="BE15" s="5"/>
      <c r="BF15" s="77" t="n">
        <f aca="false">IF(OR(ISNUMBER(BC15),BC15=Constants!$B$4,BC15=Constants!$B$6,BC15=Constants!$B$5),1,0)</f>
        <v>0</v>
      </c>
      <c r="BG15" s="77" t="n">
        <v>8</v>
      </c>
      <c r="BH15" s="77" t="str">
        <f aca="false">IF(ISBLANK($C15),"",IF(ISNUMBER(BD15),BD15+ROW($B15)/1000,""))</f>
        <v/>
      </c>
      <c r="BI15" s="77" t="str">
        <f aca="false">IF(ISNUMBER(BH15),RANK(BH15,$BH$8:$BH$507,1),"")</f>
        <v/>
      </c>
      <c r="BJ15" s="77" t="str">
        <f aca="false">IF(ISBLANK($C15),"",$B15)</f>
        <v/>
      </c>
      <c r="BK15" s="77" t="str">
        <f aca="false">IF(ISBLANK($C15),"",$C15)</f>
        <v/>
      </c>
      <c r="BL15" s="77" t="str">
        <f aca="false">IF(ISBLANK($C15),"",$D15)</f>
        <v/>
      </c>
      <c r="BM15" s="78" t="str">
        <f aca="false">BA15</f>
        <v/>
      </c>
      <c r="BN15" s="79" t="str">
        <f aca="false">AZ15</f>
        <v/>
      </c>
      <c r="BO15" s="77" t="str">
        <f aca="false">IF(ISBLANK($C15),"",BC15)</f>
        <v/>
      </c>
      <c r="BP15" s="80" t="str">
        <f aca="false">IF($BG15&gt;$BF$7,"",VLOOKUP($BG15,$BI$8:$BO$507,7,FALSE()))</f>
        <v/>
      </c>
      <c r="BQ15" s="81" t="str">
        <f aca="false">IF($BG15&gt;$BF$7,"",VLOOKUP($BG15,$BI$8:$BO$507,2,FALSE()))</f>
        <v/>
      </c>
      <c r="BR15" s="81" t="str">
        <f aca="false">IF($BG15&gt;$BF$7,"",VLOOKUP($BG15,$BI$8:$BO$507,3,FALSE()))</f>
        <v/>
      </c>
      <c r="BS15" s="81" t="str">
        <f aca="false">IF($BG15&gt;$BF$7,"",VLOOKUP($BG15,$BI$8:$BO$507,4,FALSE()))</f>
        <v/>
      </c>
      <c r="BT15" s="81" t="str">
        <f aca="false">IF($BG15&gt;$BF$7,"",VLOOKUP($BG15,$BI$8:$BO$507,5,FALSE()))</f>
        <v/>
      </c>
      <c r="BU15" s="82" t="str">
        <f aca="false">IF($BG15&gt;$BF$7,"",VLOOKUP($BG15,$BI$8:$BO$507,6,FALSE()))</f>
        <v/>
      </c>
      <c r="BV15" s="54"/>
    </row>
    <row r="16" customFormat="false" ht="15.75" hidden="false" customHeight="false" outlineLevel="0" collapsed="false">
      <c r="A16" s="5"/>
      <c r="B16" s="123"/>
      <c r="C16" s="86"/>
      <c r="D16" s="57"/>
      <c r="E16" s="58"/>
      <c r="F16" s="59"/>
      <c r="G16" s="60"/>
      <c r="H16" s="61"/>
      <c r="I16" s="62"/>
      <c r="J16" s="62"/>
      <c r="K16" s="60"/>
      <c r="L16" s="63"/>
      <c r="M16" s="62"/>
      <c r="N16" s="62"/>
      <c r="O16" s="60"/>
      <c r="P16" s="64"/>
      <c r="Q16" s="65"/>
      <c r="R16" s="67" t="str">
        <f aca="false">IF(ISBLANK($C16),"",IF(E16=Constants!$B$2, TRUE(), IF(E16=Constants!$B$3, FALSE(), TRUE())))</f>
        <v/>
      </c>
      <c r="S16" s="67" t="str">
        <f aca="false">IF(ISBLANK($C16),"",IF(F16=Constants!$B$2, TRUE(), IF(F16=Constants!$B$3, FALSE(), TRUE())))</f>
        <v/>
      </c>
      <c r="T16" s="67" t="str">
        <f aca="false">IF(ISBLANK($C16),"",IF(G16=Constants!$B$16,Constants!$B$9,IF(G16=Constants!$B$17,Constants!$B$10,Constants!$B$8)))</f>
        <v/>
      </c>
      <c r="U16" s="67" t="str">
        <f aca="false">IF(ISBLANK($C16),"",IF(H16=Constants!$B$19,Constants!$B$19,Constants!$B$18))</f>
        <v/>
      </c>
      <c r="V16" s="67" t="str">
        <f aca="false">IF(ISBLANK($C16),"",IF(ISNUMBER(I16),IF(I16&gt;=0,I16,""),""))</f>
        <v/>
      </c>
      <c r="W16" s="67" t="str">
        <f aca="false">IF(ISBLANK($C16),"",IF(J16=Constants!$B$2, TRUE(), IF(J16=Constants!$B$3, FALSE(), TRUE())))</f>
        <v/>
      </c>
      <c r="X16" s="67" t="str">
        <f aca="false">IF(ISBLANK($C16),"",IF(K16=Constants!$B$2, TRUE(), IF(K16=Constants!$B$3, FALSE(), TRUE())))</f>
        <v/>
      </c>
      <c r="Y16" s="67" t="str">
        <f aca="false">IF(ISBLANK($C16),"",IF(L16=Constants!$B$19,Constants!$B$19,Constants!$B$18))</f>
        <v/>
      </c>
      <c r="Z16" s="67" t="str">
        <f aca="false">IF(ISBLANK($C16),"",IF(ISNUMBER(M16),IF(M16&gt;=0,M16,""),""))</f>
        <v/>
      </c>
      <c r="AA16" s="67" t="str">
        <f aca="false">IF(ISBLANK($C16),"",IF(N16=Constants!$B$2, TRUE(), IF(N16=Constants!$B$3, FALSE(), TRUE())))</f>
        <v/>
      </c>
      <c r="AB16" s="67" t="str">
        <f aca="false">IF(ISBLANK($C16),"",IF(O16=Constants!$B$2, TRUE(), IF(O16=Constants!$B$3, FALSE(), TRUE())))</f>
        <v/>
      </c>
      <c r="AC16" s="67" t="str">
        <f aca="false">IF(ISBLANK($C16),"",IF(P16=Constants!$B$2, TRUE(), IF(P16=Constants!$B$3, FALSE(), FALSE())))</f>
        <v/>
      </c>
      <c r="AD16" s="67" t="str">
        <f aca="false">IF(ISBLANK($C16),"",AND(V16&lt;&gt;"",IF(U16=Constants!$B$19,S16,R16)))</f>
        <v/>
      </c>
      <c r="AE16" s="67" t="str">
        <f aca="false">IF(ISBLANK($C16),"",AND(Z16&lt;&gt;"",IF(Y16=Constants!$B$19,S16,R16)))</f>
        <v/>
      </c>
      <c r="AF16" s="67" t="str">
        <f aca="false">IF(ISBLANK($C16),"",IF(AC16,Constants!$B$4,IF(COUNTA(E16:O16)=0,Constants!$B$5,IF(AND(NOT(AD16),NOT(AE16)),Constants!$B$6,Constants!$B$7))))</f>
        <v/>
      </c>
      <c r="AG16" s="67" t="str">
        <f aca="false">IF(ISBLANK($C16),"",IF($AF16&lt;&gt;Constants!$B$7,$AF16,Constants!$B$20))</f>
        <v/>
      </c>
      <c r="AH16" s="67" t="str">
        <f aca="false">IF($AF16=Constants!$B$7,IF(AD16,V16,Constants!$B$13),"")</f>
        <v/>
      </c>
      <c r="AI16" s="67" t="str">
        <f aca="false">IF($AF16=Constants!$B$7,IF(AD16,T16*IF(W16, 1, Constants!$B$11)*IF(X16, 1, Constants!$B$12),Constants!$B$13),"")</f>
        <v/>
      </c>
      <c r="AJ16" s="67" t="str">
        <f aca="false">IF($AF16=Constants!$B$7,AH16*AI16,"")</f>
        <v/>
      </c>
      <c r="AK16" s="67" t="str">
        <f aca="false">IF($AF16=Constants!$B$7,IF(AE16,Z16,Constants!$B$13),"")</f>
        <v/>
      </c>
      <c r="AL16" s="67" t="str">
        <f aca="false">IF($AF16=Constants!$B$7,IF(AE16,T16*IF(AA16, 1, Constants!$B$11)*IF(AB16, 1, Constants!$B$12),Constants!$B$13),"")</f>
        <v/>
      </c>
      <c r="AM16" s="67" t="str">
        <f aca="false">IF($AF16=Constants!$B$7,AK16*AL16,"")</f>
        <v/>
      </c>
      <c r="AN16" s="67" t="str">
        <f aca="false">IF($AF16=Constants!$B$7,IF(AM16&gt;AJ16,2,1),"")</f>
        <v/>
      </c>
      <c r="AO16" s="67" t="str">
        <f aca="false">IF($AF16=Constants!$B$7,IF(AN16=1,2,1),"")</f>
        <v/>
      </c>
      <c r="AP16" s="67" t="str">
        <f aca="false">IF(ISBLANK($C16),"",IF($AF16&lt;&gt;Constants!$B$7,$AF16,IF(AN16=1,AJ16,AM16)))</f>
        <v/>
      </c>
      <c r="AQ16" s="67" t="str">
        <f aca="false">IF(ISBLANK($C16),"",IF($AF16=Constants!$B$7,IF(ISNUMBER(AP16),RANK(AP16,$AP$8:$AP$507),Constants!$B$14),$AF16))</f>
        <v/>
      </c>
      <c r="AR16" s="67" t="str">
        <f aca="false">IF(ISBLANK($C16),"",IF($AF16=Constants!$B$7,IF(AO16=1,AJ16,AM16),""))</f>
        <v/>
      </c>
      <c r="AS16" s="67" t="str">
        <f aca="false">IF(ISBLANK($C16),"",IF($AF16=Constants!$B$7,RANK(AR16,$AR$8:$AR$507),$AF16))</f>
        <v/>
      </c>
      <c r="AT16" s="67" t="str">
        <f aca="false">IF(ISBLANK($C16),"",IF($AF16=Constants!$B$7,IF(ISNUMBER(AQ16),COUNTIFS($AQ$8:$AQ$507,"&lt;"&amp;$AQ16)+COUNTIFS($AQ$8:$AQ$507,$AQ16,$AS$8:$AS$507,"&lt;"&amp;$AS16)+1,Constants!$B$14),$AF16))</f>
        <v/>
      </c>
      <c r="AU16" s="67" t="str">
        <f aca="false">IF(ISBLANK($C16),"",IF($AF16=Constants!$B$7,IF(ISNUMBER(AQ16),AQ16-AT16,Constants!$B$14),$AF16))</f>
        <v/>
      </c>
      <c r="AV16" s="69"/>
      <c r="AW16" s="70" t="str">
        <f aca="false">IF(ISBLANK($C16),"",IF($AF16&lt;&gt;Constants!$B$7,"",AN16))</f>
        <v/>
      </c>
      <c r="AX16" s="85" t="str">
        <f aca="false">IF(ISBLANK($C16),"",IF($AF16&lt;&gt;Constants!$B$7,"",IF(AN16=1,AH16,AK16)))</f>
        <v/>
      </c>
      <c r="AY16" s="72" t="str">
        <f aca="false">IF(ISBLANK($C16),"",IF($AF16&lt;&gt;Constants!$B$7,"",IF(AN16=1,AI16,AL16)))</f>
        <v/>
      </c>
      <c r="AZ16" s="73" t="str">
        <f aca="false">IF(ISBLANK($C16),"",IF($AF16&lt;&gt;Constants!$B$7,$AF16,AP16))</f>
        <v/>
      </c>
      <c r="BA16" s="74" t="str">
        <f aca="false">IF(ISBLANK($C16),"",IF($AF16&lt;&gt;Constants!$B$7,$AF16,AG16))</f>
        <v/>
      </c>
      <c r="BB16" s="75" t="str">
        <f aca="false">IF(ISBLANK($C16),"",AU16)</f>
        <v/>
      </c>
      <c r="BC16" s="75" t="str">
        <f aca="false">IF(ISBLANK($C16),"",AT16)</f>
        <v/>
      </c>
      <c r="BD16" s="76" t="str">
        <f aca="false">IF(ISBLANK($C16),"",IFERROR(_xlfn.SWITCH(BC16,Constants!$B$4,COUNTA($C$8:$C$507)+2,Constants!$B$5,COUNTA($C$8:$C$507)+1,Constants!$B$6,COUNTA($C$8:$C$507)),BC16))</f>
        <v/>
      </c>
      <c r="BE16" s="5"/>
      <c r="BF16" s="77" t="n">
        <f aca="false">IF(OR(ISNUMBER(BC16),BC16=Constants!$B$4,BC16=Constants!$B$6,BC16=Constants!$B$5),1,0)</f>
        <v>0</v>
      </c>
      <c r="BG16" s="77" t="n">
        <v>9</v>
      </c>
      <c r="BH16" s="77" t="str">
        <f aca="false">IF(ISBLANK($C16),"",IF(ISNUMBER(BD16),BD16+ROW($B16)/1000,""))</f>
        <v/>
      </c>
      <c r="BI16" s="77" t="str">
        <f aca="false">IF(ISNUMBER(BH16),RANK(BH16,$BH$8:$BH$507,1),"")</f>
        <v/>
      </c>
      <c r="BJ16" s="77" t="str">
        <f aca="false">IF(ISBLANK($C16),"",$B16)</f>
        <v/>
      </c>
      <c r="BK16" s="77" t="str">
        <f aca="false">IF(ISBLANK($C16),"",$C16)</f>
        <v/>
      </c>
      <c r="BL16" s="77" t="str">
        <f aca="false">IF(ISBLANK($C16),"",$D16)</f>
        <v/>
      </c>
      <c r="BM16" s="78" t="str">
        <f aca="false">BA16</f>
        <v/>
      </c>
      <c r="BN16" s="79" t="str">
        <f aca="false">AZ16</f>
        <v/>
      </c>
      <c r="BO16" s="77" t="str">
        <f aca="false">IF(ISBLANK($C16),"",BC16)</f>
        <v/>
      </c>
      <c r="BP16" s="80" t="str">
        <f aca="false">IF($BG16&gt;$BF$7,"",VLOOKUP($BG16,$BI$8:$BO$507,7,FALSE()))</f>
        <v/>
      </c>
      <c r="BQ16" s="81" t="str">
        <f aca="false">IF($BG16&gt;$BF$7,"",VLOOKUP($BG16,$BI$8:$BO$507,2,FALSE()))</f>
        <v/>
      </c>
      <c r="BR16" s="81" t="str">
        <f aca="false">IF($BG16&gt;$BF$7,"",VLOOKUP($BG16,$BI$8:$BO$507,3,FALSE()))</f>
        <v/>
      </c>
      <c r="BS16" s="81" t="str">
        <f aca="false">IF($BG16&gt;$BF$7,"",VLOOKUP($BG16,$BI$8:$BO$507,4,FALSE()))</f>
        <v/>
      </c>
      <c r="BT16" s="81" t="str">
        <f aca="false">IF($BG16&gt;$BF$7,"",VLOOKUP($BG16,$BI$8:$BO$507,5,FALSE()))</f>
        <v/>
      </c>
      <c r="BU16" s="82" t="str">
        <f aca="false">IF($BG16&gt;$BF$7,"",VLOOKUP($BG16,$BI$8:$BO$507,6,FALSE()))</f>
        <v/>
      </c>
      <c r="BV16" s="54"/>
    </row>
    <row r="17" customFormat="false" ht="15.75" hidden="false" customHeight="false" outlineLevel="0" collapsed="false">
      <c r="A17" s="5"/>
      <c r="B17" s="128"/>
      <c r="C17" s="129"/>
      <c r="D17" s="114"/>
      <c r="E17" s="130"/>
      <c r="F17" s="131"/>
      <c r="G17" s="93"/>
      <c r="H17" s="132"/>
      <c r="I17" s="95"/>
      <c r="J17" s="95"/>
      <c r="K17" s="93"/>
      <c r="L17" s="133"/>
      <c r="M17" s="95"/>
      <c r="N17" s="95"/>
      <c r="O17" s="93"/>
      <c r="P17" s="134"/>
      <c r="Q17" s="98"/>
      <c r="R17" s="99" t="str">
        <f aca="false">IF(ISBLANK($C17),"",IF(E17=Constants!$B$2, TRUE(), IF(E17=Constants!$B$3, FALSE(), TRUE())))</f>
        <v/>
      </c>
      <c r="S17" s="99" t="str">
        <f aca="false">IF(ISBLANK($C17),"",IF(F17=Constants!$B$2, TRUE(), IF(F17=Constants!$B$3, FALSE(), TRUE())))</f>
        <v/>
      </c>
      <c r="T17" s="99" t="str">
        <f aca="false">IF(ISBLANK($C17),"",IF(G17=Constants!$B$16,Constants!$B$9,IF(G17=Constants!$B$17,Constants!$B$10,Constants!$B$8)))</f>
        <v/>
      </c>
      <c r="U17" s="99" t="str">
        <f aca="false">IF(ISBLANK($C17),"",IF(H17=Constants!$B$19,Constants!$B$19,Constants!$B$18))</f>
        <v/>
      </c>
      <c r="V17" s="99" t="str">
        <f aca="false">IF(ISBLANK($C17),"",IF(ISNUMBER(I17),IF(I17&gt;=0,I17,""),""))</f>
        <v/>
      </c>
      <c r="W17" s="99" t="str">
        <f aca="false">IF(ISBLANK($C17),"",IF(J17=Constants!$B$2, TRUE(), IF(J17=Constants!$B$3, FALSE(), TRUE())))</f>
        <v/>
      </c>
      <c r="X17" s="99" t="str">
        <f aca="false">IF(ISBLANK($C17),"",IF(K17=Constants!$B$2, TRUE(), IF(K17=Constants!$B$3, FALSE(), TRUE())))</f>
        <v/>
      </c>
      <c r="Y17" s="99" t="str">
        <f aca="false">IF(ISBLANK($C17),"",IF(L17=Constants!$B$19,Constants!$B$19,Constants!$B$18))</f>
        <v/>
      </c>
      <c r="Z17" s="99" t="str">
        <f aca="false">IF(ISBLANK($C17),"",IF(ISNUMBER(M17),IF(M17&gt;=0,M17,""),""))</f>
        <v/>
      </c>
      <c r="AA17" s="99" t="str">
        <f aca="false">IF(ISBLANK($C17),"",IF(N17=Constants!$B$2, TRUE(), IF(N17=Constants!$B$3, FALSE(), TRUE())))</f>
        <v/>
      </c>
      <c r="AB17" s="99" t="str">
        <f aca="false">IF(ISBLANK($C17),"",IF(O17=Constants!$B$2, TRUE(), IF(O17=Constants!$B$3, FALSE(), TRUE())))</f>
        <v/>
      </c>
      <c r="AC17" s="99" t="str">
        <f aca="false">IF(ISBLANK($C17),"",IF(P17=Constants!$B$2, TRUE(), IF(P17=Constants!$B$3, FALSE(), FALSE())))</f>
        <v/>
      </c>
      <c r="AD17" s="99" t="str">
        <f aca="false">IF(ISBLANK($C17),"",AND(V17&lt;&gt;"",IF(U17=Constants!$B$19,S17,R17)))</f>
        <v/>
      </c>
      <c r="AE17" s="99" t="str">
        <f aca="false">IF(ISBLANK($C17),"",AND(Z17&lt;&gt;"",IF(Y17=Constants!$B$19,S17,R17)))</f>
        <v/>
      </c>
      <c r="AF17" s="99" t="str">
        <f aca="false">IF(ISBLANK($C17),"",IF(AC17,Constants!$B$4,IF(COUNTA(E17:O17)=0,Constants!$B$5,IF(AND(NOT(AD17),NOT(AE17)),Constants!$B$6,Constants!$B$7))))</f>
        <v/>
      </c>
      <c r="AG17" s="99" t="str">
        <f aca="false">IF(ISBLANK($C17),"",IF($AF17&lt;&gt;Constants!$B$7,$AF17,Constants!$B$20))</f>
        <v/>
      </c>
      <c r="AH17" s="99" t="str">
        <f aca="false">IF($AF17=Constants!$B$7,IF(AD17,V17,Constants!$B$13),"")</f>
        <v/>
      </c>
      <c r="AI17" s="99" t="str">
        <f aca="false">IF($AF17=Constants!$B$7,IF(AD17,T17*IF(W17, 1, Constants!$B$11)*IF(X17, 1, Constants!$B$12),Constants!$B$13),"")</f>
        <v/>
      </c>
      <c r="AJ17" s="99" t="str">
        <f aca="false">IF($AF17=Constants!$B$7,AH17*AI17,"")</f>
        <v/>
      </c>
      <c r="AK17" s="99" t="str">
        <f aca="false">IF($AF17=Constants!$B$7,IF(AE17,Z17,Constants!$B$13),"")</f>
        <v/>
      </c>
      <c r="AL17" s="99" t="str">
        <f aca="false">IF($AF17=Constants!$B$7,IF(AE17,T17*IF(AA17, 1, Constants!$B$11)*IF(AB17, 1, Constants!$B$12),Constants!$B$13),"")</f>
        <v/>
      </c>
      <c r="AM17" s="99" t="str">
        <f aca="false">IF($AF17=Constants!$B$7,AK17*AL17,"")</f>
        <v/>
      </c>
      <c r="AN17" s="99" t="str">
        <f aca="false">IF($AF17=Constants!$B$7,IF(AM17&gt;AJ17,2,1),"")</f>
        <v/>
      </c>
      <c r="AO17" s="99" t="str">
        <f aca="false">IF($AF17=Constants!$B$7,IF(AN17=1,2,1),"")</f>
        <v/>
      </c>
      <c r="AP17" s="99" t="str">
        <f aca="false">IF(ISBLANK($C17),"",IF($AF17&lt;&gt;Constants!$B$7,$AF17,IF(AN17=1,AJ17,AM17)))</f>
        <v/>
      </c>
      <c r="AQ17" s="99" t="str">
        <f aca="false">IF(ISBLANK($C17),"",IF($AF17=Constants!$B$7,IF(ISNUMBER(AP17),RANK(AP17,$AP$8:$AP$507),Constants!$B$14),$AF17))</f>
        <v/>
      </c>
      <c r="AR17" s="99" t="str">
        <f aca="false">IF(ISBLANK($C17),"",IF($AF17=Constants!$B$7,IF(AO17=1,AJ17,AM17),""))</f>
        <v/>
      </c>
      <c r="AS17" s="99" t="str">
        <f aca="false">IF(ISBLANK($C17),"",IF($AF17=Constants!$B$7,RANK(AR17,$AR$8:$AR$507),$AF17))</f>
        <v/>
      </c>
      <c r="AT17" s="99" t="str">
        <f aca="false">IF(ISBLANK($C17),"",IF($AF17=Constants!$B$7,IF(ISNUMBER(AQ17),COUNTIFS($AQ$8:$AQ$507,"&lt;"&amp;$AQ17)+COUNTIFS($AQ$8:$AQ$507,$AQ17,$AS$8:$AS$507,"&lt;"&amp;$AS17)+1,Constants!$B$14),$AF17))</f>
        <v/>
      </c>
      <c r="AU17" s="99" t="str">
        <f aca="false">IF(ISBLANK($C17),"",IF($AF17=Constants!$B$7,IF(ISNUMBER(AQ17),AQ17-AT17,Constants!$B$14),$AF17))</f>
        <v/>
      </c>
      <c r="AV17" s="100"/>
      <c r="AW17" s="101" t="str">
        <f aca="false">IF(ISBLANK($C17),"",IF($AF17&lt;&gt;Constants!$B$7,"",AN17))</f>
        <v/>
      </c>
      <c r="AX17" s="102" t="str">
        <f aca="false">IF(ISBLANK($C17),"",IF($AF17&lt;&gt;Constants!$B$7,"",IF(AN17=1,AH17,AK17)))</f>
        <v/>
      </c>
      <c r="AY17" s="103" t="str">
        <f aca="false">IF(ISBLANK($C17),"",IF($AF17&lt;&gt;Constants!$B$7,"",IF(AN17=1,AI17,AL17)))</f>
        <v/>
      </c>
      <c r="AZ17" s="104" t="str">
        <f aca="false">IF(ISBLANK($C17),"",IF($AF17&lt;&gt;Constants!$B$7,$AF17,AP17))</f>
        <v/>
      </c>
      <c r="BA17" s="105" t="str">
        <f aca="false">IF(ISBLANK($C17),"",IF($AF17&lt;&gt;Constants!$B$7,$AF17,AG17))</f>
        <v/>
      </c>
      <c r="BB17" s="106" t="str">
        <f aca="false">IF(ISBLANK($C17),"",AU17)</f>
        <v/>
      </c>
      <c r="BC17" s="106" t="str">
        <f aca="false">IF(ISBLANK($C17),"",AT17)</f>
        <v/>
      </c>
      <c r="BD17" s="107" t="str">
        <f aca="false">IF(ISBLANK($C17),"",IFERROR(_xlfn.SWITCH(BC17,Constants!$B$4,COUNTA($C$8:$C$507)+2,Constants!$B$5,COUNTA($C$8:$C$507)+1,Constants!$B$6,COUNTA($C$8:$C$507)),BC17))</f>
        <v/>
      </c>
      <c r="BE17" s="5"/>
      <c r="BF17" s="108" t="n">
        <f aca="false">IF(OR(ISNUMBER(BC17),BC17=Constants!$B$4,BC17=Constants!$B$6,BC17=Constants!$B$5),1,0)</f>
        <v>0</v>
      </c>
      <c r="BG17" s="108" t="n">
        <v>10</v>
      </c>
      <c r="BH17" s="108" t="str">
        <f aca="false">IF(ISBLANK($C17),"",IF(ISNUMBER(BD17),BD17+ROW($B17)/1000,""))</f>
        <v/>
      </c>
      <c r="BI17" s="108" t="str">
        <f aca="false">IF(ISNUMBER(BH17),RANK(BH17,$BH$8:$BH$507,1),"")</f>
        <v/>
      </c>
      <c r="BJ17" s="108" t="str">
        <f aca="false">IF(ISBLANK($C17),"",$B17)</f>
        <v/>
      </c>
      <c r="BK17" s="108" t="str">
        <f aca="false">IF(ISBLANK($C17),"",$C17)</f>
        <v/>
      </c>
      <c r="BL17" s="108" t="str">
        <f aca="false">IF(ISBLANK($C17),"",$D17)</f>
        <v/>
      </c>
      <c r="BM17" s="109" t="str">
        <f aca="false">BA17</f>
        <v/>
      </c>
      <c r="BN17" s="110" t="str">
        <f aca="false">AZ17</f>
        <v/>
      </c>
      <c r="BO17" s="108" t="str">
        <f aca="false">IF(ISBLANK($C17),"",BC17)</f>
        <v/>
      </c>
      <c r="BP17" s="111" t="str">
        <f aca="false">IF($BG17&gt;$BF$7,"",VLOOKUP($BG17,$BI$8:$BO$507,7,FALSE()))</f>
        <v/>
      </c>
      <c r="BQ17" s="112" t="str">
        <f aca="false">IF($BG17&gt;$BF$7,"",VLOOKUP($BG17,$BI$8:$BO$507,2,FALSE()))</f>
        <v/>
      </c>
      <c r="BR17" s="112" t="str">
        <f aca="false">IF($BG17&gt;$BF$7,"",VLOOKUP($BG17,$BI$8:$BO$507,3,FALSE()))</f>
        <v/>
      </c>
      <c r="BS17" s="112" t="str">
        <f aca="false">IF($BG17&gt;$BF$7,"",VLOOKUP($BG17,$BI$8:$BO$507,4,FALSE()))</f>
        <v/>
      </c>
      <c r="BT17" s="112" t="str">
        <f aca="false">IF($BG17&gt;$BF$7,"",VLOOKUP($BG17,$BI$8:$BO$507,5,FALSE()))</f>
        <v/>
      </c>
      <c r="BU17" s="113" t="str">
        <f aca="false">IF($BG17&gt;$BF$7,"",VLOOKUP($BG17,$BI$8:$BO$507,6,FALSE()))</f>
        <v/>
      </c>
      <c r="BV17" s="54"/>
    </row>
    <row r="18" customFormat="false" ht="15.75" hidden="false" customHeight="false" outlineLevel="0" collapsed="false">
      <c r="A18" s="5"/>
      <c r="B18" s="128"/>
      <c r="C18" s="129"/>
      <c r="D18" s="114"/>
      <c r="E18" s="130"/>
      <c r="F18" s="131"/>
      <c r="G18" s="93"/>
      <c r="H18" s="132"/>
      <c r="I18" s="95"/>
      <c r="J18" s="95"/>
      <c r="K18" s="93"/>
      <c r="L18" s="133"/>
      <c r="M18" s="95"/>
      <c r="N18" s="95"/>
      <c r="O18" s="93"/>
      <c r="P18" s="134"/>
      <c r="Q18" s="98"/>
      <c r="R18" s="99" t="str">
        <f aca="false">IF(ISBLANK($C18),"",IF(E18=Constants!$B$2, TRUE(), IF(E18=Constants!$B$3, FALSE(), TRUE())))</f>
        <v/>
      </c>
      <c r="S18" s="99" t="str">
        <f aca="false">IF(ISBLANK($C18),"",IF(F18=Constants!$B$2, TRUE(), IF(F18=Constants!$B$3, FALSE(), TRUE())))</f>
        <v/>
      </c>
      <c r="T18" s="99" t="str">
        <f aca="false">IF(ISBLANK($C18),"",IF(G18=Constants!$B$16,Constants!$B$9,IF(G18=Constants!$B$17,Constants!$B$10,Constants!$B$8)))</f>
        <v/>
      </c>
      <c r="U18" s="99" t="str">
        <f aca="false">IF(ISBLANK($C18),"",IF(H18=Constants!$B$19,Constants!$B$19,Constants!$B$18))</f>
        <v/>
      </c>
      <c r="V18" s="99" t="str">
        <f aca="false">IF(ISBLANK($C18),"",IF(ISNUMBER(I18),IF(I18&gt;=0,I18,""),""))</f>
        <v/>
      </c>
      <c r="W18" s="99" t="str">
        <f aca="false">IF(ISBLANK($C18),"",IF(J18=Constants!$B$2, TRUE(), IF(J18=Constants!$B$3, FALSE(), TRUE())))</f>
        <v/>
      </c>
      <c r="X18" s="99" t="str">
        <f aca="false">IF(ISBLANK($C18),"",IF(K18=Constants!$B$2, TRUE(), IF(K18=Constants!$B$3, FALSE(), TRUE())))</f>
        <v/>
      </c>
      <c r="Y18" s="99" t="str">
        <f aca="false">IF(ISBLANK($C18),"",IF(L18=Constants!$B$19,Constants!$B$19,Constants!$B$18))</f>
        <v/>
      </c>
      <c r="Z18" s="99" t="str">
        <f aca="false">IF(ISBLANK($C18),"",IF(ISNUMBER(M18),IF(M18&gt;=0,M18,""),""))</f>
        <v/>
      </c>
      <c r="AA18" s="99" t="str">
        <f aca="false">IF(ISBLANK($C18),"",IF(N18=Constants!$B$2, TRUE(), IF(N18=Constants!$B$3, FALSE(), TRUE())))</f>
        <v/>
      </c>
      <c r="AB18" s="99" t="str">
        <f aca="false">IF(ISBLANK($C18),"",IF(O18=Constants!$B$2, TRUE(), IF(O18=Constants!$B$3, FALSE(), TRUE())))</f>
        <v/>
      </c>
      <c r="AC18" s="99" t="str">
        <f aca="false">IF(ISBLANK($C18),"",IF(P18=Constants!$B$2, TRUE(), IF(P18=Constants!$B$3, FALSE(), FALSE())))</f>
        <v/>
      </c>
      <c r="AD18" s="99" t="str">
        <f aca="false">IF(ISBLANK($C18),"",AND(V18&lt;&gt;"",IF(U18=Constants!$B$19,S18,R18)))</f>
        <v/>
      </c>
      <c r="AE18" s="99" t="str">
        <f aca="false">IF(ISBLANK($C18),"",AND(Z18&lt;&gt;"",IF(Y18=Constants!$B$19,S18,R18)))</f>
        <v/>
      </c>
      <c r="AF18" s="99" t="str">
        <f aca="false">IF(ISBLANK($C18),"",IF(AC18,Constants!$B$4,IF(COUNTA(E18:O18)=0,Constants!$B$5,IF(AND(NOT(AD18),NOT(AE18)),Constants!$B$6,Constants!$B$7))))</f>
        <v/>
      </c>
      <c r="AG18" s="99" t="str">
        <f aca="false">IF(ISBLANK($C18),"",IF($AF18&lt;&gt;Constants!$B$7,$AF18,Constants!$B$20))</f>
        <v/>
      </c>
      <c r="AH18" s="99" t="str">
        <f aca="false">IF($AF18=Constants!$B$7,IF(AD18,V18,Constants!$B$13),"")</f>
        <v/>
      </c>
      <c r="AI18" s="99" t="str">
        <f aca="false">IF($AF18=Constants!$B$7,IF(AD18,T18*IF(W18, 1, Constants!$B$11)*IF(X18, 1, Constants!$B$12),Constants!$B$13),"")</f>
        <v/>
      </c>
      <c r="AJ18" s="99" t="str">
        <f aca="false">IF($AF18=Constants!$B$7,AH18*AI18,"")</f>
        <v/>
      </c>
      <c r="AK18" s="99" t="str">
        <f aca="false">IF($AF18=Constants!$B$7,IF(AE18,Z18,Constants!$B$13),"")</f>
        <v/>
      </c>
      <c r="AL18" s="99" t="str">
        <f aca="false">IF($AF18=Constants!$B$7,IF(AE18,T18*IF(AA18, 1, Constants!$B$11)*IF(AB18, 1, Constants!$B$12),Constants!$B$13),"")</f>
        <v/>
      </c>
      <c r="AM18" s="99" t="str">
        <f aca="false">IF($AF18=Constants!$B$7,AK18*AL18,"")</f>
        <v/>
      </c>
      <c r="AN18" s="99" t="str">
        <f aca="false">IF($AF18=Constants!$B$7,IF(AM18&gt;AJ18,2,1),"")</f>
        <v/>
      </c>
      <c r="AO18" s="99" t="str">
        <f aca="false">IF($AF18=Constants!$B$7,IF(AN18=1,2,1),"")</f>
        <v/>
      </c>
      <c r="AP18" s="99" t="str">
        <f aca="false">IF(ISBLANK($C18),"",IF($AF18&lt;&gt;Constants!$B$7,$AF18,IF(AN18=1,AJ18,AM18)))</f>
        <v/>
      </c>
      <c r="AQ18" s="99" t="str">
        <f aca="false">IF(ISBLANK($C18),"",IF($AF18=Constants!$B$7,IF(ISNUMBER(AP18),RANK(AP18,$AP$8:$AP$507),Constants!$B$14),$AF18))</f>
        <v/>
      </c>
      <c r="AR18" s="99" t="str">
        <f aca="false">IF(ISBLANK($C18),"",IF($AF18=Constants!$B$7,IF(AO18=1,AJ18,AM18),""))</f>
        <v/>
      </c>
      <c r="AS18" s="99" t="str">
        <f aca="false">IF(ISBLANK($C18),"",IF($AF18=Constants!$B$7,RANK(AR18,$AR$8:$AR$507),$AF18))</f>
        <v/>
      </c>
      <c r="AT18" s="99" t="str">
        <f aca="false">IF(ISBLANK($C18),"",IF($AF18=Constants!$B$7,IF(ISNUMBER(AQ18),COUNTIFS($AQ$8:$AQ$507,"&lt;"&amp;$AQ18)+COUNTIFS($AQ$8:$AQ$507,$AQ18,$AS$8:$AS$507,"&lt;"&amp;$AS18)+1,Constants!$B$14),$AF18))</f>
        <v/>
      </c>
      <c r="AU18" s="99" t="str">
        <f aca="false">IF(ISBLANK($C18),"",IF($AF18=Constants!$B$7,IF(ISNUMBER(AQ18),AQ18-AT18,Constants!$B$14),$AF18))</f>
        <v/>
      </c>
      <c r="AV18" s="100"/>
      <c r="AW18" s="101" t="str">
        <f aca="false">IF(ISBLANK($C18),"",IF($AF18&lt;&gt;Constants!$B$7,"",AN18))</f>
        <v/>
      </c>
      <c r="AX18" s="102" t="str">
        <f aca="false">IF(ISBLANK($C18),"",IF($AF18&lt;&gt;Constants!$B$7,"",IF(AN18=1,AH18,AK18)))</f>
        <v/>
      </c>
      <c r="AY18" s="103" t="str">
        <f aca="false">IF(ISBLANK($C18),"",IF($AF18&lt;&gt;Constants!$B$7,"",IF(AN18=1,AI18,AL18)))</f>
        <v/>
      </c>
      <c r="AZ18" s="104" t="str">
        <f aca="false">IF(ISBLANK($C18),"",IF($AF18&lt;&gt;Constants!$B$7,$AF18,AP18))</f>
        <v/>
      </c>
      <c r="BA18" s="105" t="str">
        <f aca="false">IF(ISBLANK($C18),"",IF($AF18&lt;&gt;Constants!$B$7,$AF18,AG18))</f>
        <v/>
      </c>
      <c r="BB18" s="106" t="str">
        <f aca="false">IF(ISBLANK($C18),"",AU18)</f>
        <v/>
      </c>
      <c r="BC18" s="106" t="str">
        <f aca="false">IF(ISBLANK($C18),"",AT18)</f>
        <v/>
      </c>
      <c r="BD18" s="107" t="str">
        <f aca="false">IF(ISBLANK($C18),"",IFERROR(_xlfn.SWITCH(BC18,Constants!$B$4,COUNTA($C$8:$C$507)+2,Constants!$B$5,COUNTA($C$8:$C$507)+1,Constants!$B$6,COUNTA($C$8:$C$507)),BC18))</f>
        <v/>
      </c>
      <c r="BE18" s="5"/>
      <c r="BF18" s="108" t="n">
        <f aca="false">IF(OR(ISNUMBER(BC18),BC18=Constants!$B$4,BC18=Constants!$B$6,BC18=Constants!$B$5),1,0)</f>
        <v>0</v>
      </c>
      <c r="BG18" s="108" t="n">
        <v>11</v>
      </c>
      <c r="BH18" s="108" t="str">
        <f aca="false">IF(ISBLANK($C18),"",IF(ISNUMBER(BD18),BD18+ROW($B18)/1000,""))</f>
        <v/>
      </c>
      <c r="BI18" s="108" t="str">
        <f aca="false">IF(ISNUMBER(BH18),RANK(BH18,$BH$8:$BH$507,1),"")</f>
        <v/>
      </c>
      <c r="BJ18" s="108" t="str">
        <f aca="false">IF(ISBLANK($C18),"",$B18)</f>
        <v/>
      </c>
      <c r="BK18" s="108" t="str">
        <f aca="false">IF(ISBLANK($C18),"",$C18)</f>
        <v/>
      </c>
      <c r="BL18" s="108" t="str">
        <f aca="false">IF(ISBLANK($C18),"",$D18)</f>
        <v/>
      </c>
      <c r="BM18" s="109" t="str">
        <f aca="false">BA18</f>
        <v/>
      </c>
      <c r="BN18" s="110" t="str">
        <f aca="false">AZ18</f>
        <v/>
      </c>
      <c r="BO18" s="108" t="str">
        <f aca="false">IF(ISBLANK($C18),"",BC18)</f>
        <v/>
      </c>
      <c r="BP18" s="111" t="str">
        <f aca="false">IF($BG18&gt;$BF$7,"",VLOOKUP($BG18,$BI$8:$BO$507,7,FALSE()))</f>
        <v/>
      </c>
      <c r="BQ18" s="112" t="str">
        <f aca="false">IF($BG18&gt;$BF$7,"",VLOOKUP($BG18,$BI$8:$BO$507,2,FALSE()))</f>
        <v/>
      </c>
      <c r="BR18" s="112" t="str">
        <f aca="false">IF($BG18&gt;$BF$7,"",VLOOKUP($BG18,$BI$8:$BO$507,3,FALSE()))</f>
        <v/>
      </c>
      <c r="BS18" s="112" t="str">
        <f aca="false">IF($BG18&gt;$BF$7,"",VLOOKUP($BG18,$BI$8:$BO$507,4,FALSE()))</f>
        <v/>
      </c>
      <c r="BT18" s="112" t="str">
        <f aca="false">IF($BG18&gt;$BF$7,"",VLOOKUP($BG18,$BI$8:$BO$507,5,FALSE()))</f>
        <v/>
      </c>
      <c r="BU18" s="113" t="str">
        <f aca="false">IF($BG18&gt;$BF$7,"",VLOOKUP($BG18,$BI$8:$BO$507,6,FALSE()))</f>
        <v/>
      </c>
      <c r="BV18" s="54"/>
    </row>
    <row r="19" customFormat="false" ht="15.75" hidden="false" customHeight="false" outlineLevel="0" collapsed="false">
      <c r="A19" s="5"/>
      <c r="B19" s="128"/>
      <c r="C19" s="129"/>
      <c r="D19" s="114"/>
      <c r="E19" s="130"/>
      <c r="F19" s="131"/>
      <c r="G19" s="93"/>
      <c r="H19" s="132"/>
      <c r="I19" s="95"/>
      <c r="J19" s="95"/>
      <c r="K19" s="93"/>
      <c r="L19" s="133"/>
      <c r="M19" s="95"/>
      <c r="N19" s="95"/>
      <c r="O19" s="93"/>
      <c r="P19" s="134"/>
      <c r="Q19" s="98"/>
      <c r="R19" s="99" t="str">
        <f aca="false">IF(ISBLANK($C19),"",IF(E19=Constants!$B$2, TRUE(), IF(E19=Constants!$B$3, FALSE(), TRUE())))</f>
        <v/>
      </c>
      <c r="S19" s="99" t="str">
        <f aca="false">IF(ISBLANK($C19),"",IF(F19=Constants!$B$2, TRUE(), IF(F19=Constants!$B$3, FALSE(), TRUE())))</f>
        <v/>
      </c>
      <c r="T19" s="99" t="str">
        <f aca="false">IF(ISBLANK($C19),"",IF(G19=Constants!$B$16,Constants!$B$9,IF(G19=Constants!$B$17,Constants!$B$10,Constants!$B$8)))</f>
        <v/>
      </c>
      <c r="U19" s="99" t="str">
        <f aca="false">IF(ISBLANK($C19),"",IF(H19=Constants!$B$19,Constants!$B$19,Constants!$B$18))</f>
        <v/>
      </c>
      <c r="V19" s="99" t="str">
        <f aca="false">IF(ISBLANK($C19),"",IF(ISNUMBER(I19),IF(I19&gt;=0,I19,""),""))</f>
        <v/>
      </c>
      <c r="W19" s="99" t="str">
        <f aca="false">IF(ISBLANK($C19),"",IF(J19=Constants!$B$2, TRUE(), IF(J19=Constants!$B$3, FALSE(), TRUE())))</f>
        <v/>
      </c>
      <c r="X19" s="99" t="str">
        <f aca="false">IF(ISBLANK($C19),"",IF(K19=Constants!$B$2, TRUE(), IF(K19=Constants!$B$3, FALSE(), TRUE())))</f>
        <v/>
      </c>
      <c r="Y19" s="99" t="str">
        <f aca="false">IF(ISBLANK($C19),"",IF(L19=Constants!$B$19,Constants!$B$19,Constants!$B$18))</f>
        <v/>
      </c>
      <c r="Z19" s="99" t="str">
        <f aca="false">IF(ISBLANK($C19),"",IF(ISNUMBER(M19),IF(M19&gt;=0,M19,""),""))</f>
        <v/>
      </c>
      <c r="AA19" s="99" t="str">
        <f aca="false">IF(ISBLANK($C19),"",IF(N19=Constants!$B$2, TRUE(), IF(N19=Constants!$B$3, FALSE(), TRUE())))</f>
        <v/>
      </c>
      <c r="AB19" s="99" t="str">
        <f aca="false">IF(ISBLANK($C19),"",IF(O19=Constants!$B$2, TRUE(), IF(O19=Constants!$B$3, FALSE(), TRUE())))</f>
        <v/>
      </c>
      <c r="AC19" s="99" t="str">
        <f aca="false">IF(ISBLANK($C19),"",IF(P19=Constants!$B$2, TRUE(), IF(P19=Constants!$B$3, FALSE(), FALSE())))</f>
        <v/>
      </c>
      <c r="AD19" s="99" t="str">
        <f aca="false">IF(ISBLANK($C19),"",AND(V19&lt;&gt;"",IF(U19=Constants!$B$19,S19,R19)))</f>
        <v/>
      </c>
      <c r="AE19" s="99" t="str">
        <f aca="false">IF(ISBLANK($C19),"",AND(Z19&lt;&gt;"",IF(Y19=Constants!$B$19,S19,R19)))</f>
        <v/>
      </c>
      <c r="AF19" s="99" t="str">
        <f aca="false">IF(ISBLANK($C19),"",IF(AC19,Constants!$B$4,IF(COUNTA(E19:O19)=0,Constants!$B$5,IF(AND(NOT(AD19),NOT(AE19)),Constants!$B$6,Constants!$B$7))))</f>
        <v/>
      </c>
      <c r="AG19" s="99" t="str">
        <f aca="false">IF(ISBLANK($C19),"",IF($AF19&lt;&gt;Constants!$B$7,$AF19,Constants!$B$20))</f>
        <v/>
      </c>
      <c r="AH19" s="99" t="str">
        <f aca="false">IF($AF19=Constants!$B$7,IF(AD19,V19,Constants!$B$13),"")</f>
        <v/>
      </c>
      <c r="AI19" s="99" t="str">
        <f aca="false">IF($AF19=Constants!$B$7,IF(AD19,T19*IF(W19, 1, Constants!$B$11)*IF(X19, 1, Constants!$B$12),Constants!$B$13),"")</f>
        <v/>
      </c>
      <c r="AJ19" s="99" t="str">
        <f aca="false">IF($AF19=Constants!$B$7,AH19*AI19,"")</f>
        <v/>
      </c>
      <c r="AK19" s="99" t="str">
        <f aca="false">IF($AF19=Constants!$B$7,IF(AE19,Z19,Constants!$B$13),"")</f>
        <v/>
      </c>
      <c r="AL19" s="99" t="str">
        <f aca="false">IF($AF19=Constants!$B$7,IF(AE19,T19*IF(AA19, 1, Constants!$B$11)*IF(AB19, 1, Constants!$B$12),Constants!$B$13),"")</f>
        <v/>
      </c>
      <c r="AM19" s="99" t="str">
        <f aca="false">IF($AF19=Constants!$B$7,AK19*AL19,"")</f>
        <v/>
      </c>
      <c r="AN19" s="99" t="str">
        <f aca="false">IF($AF19=Constants!$B$7,IF(AM19&gt;AJ19,2,1),"")</f>
        <v/>
      </c>
      <c r="AO19" s="99" t="str">
        <f aca="false">IF($AF19=Constants!$B$7,IF(AN19=1,2,1),"")</f>
        <v/>
      </c>
      <c r="AP19" s="99" t="str">
        <f aca="false">IF(ISBLANK($C19),"",IF($AF19&lt;&gt;Constants!$B$7,$AF19,IF(AN19=1,AJ19,AM19)))</f>
        <v/>
      </c>
      <c r="AQ19" s="99" t="str">
        <f aca="false">IF(ISBLANK($C19),"",IF($AF19=Constants!$B$7,IF(ISNUMBER(AP19),RANK(AP19,$AP$8:$AP$507),Constants!$B$14),$AF19))</f>
        <v/>
      </c>
      <c r="AR19" s="99" t="str">
        <f aca="false">IF(ISBLANK($C19),"",IF($AF19=Constants!$B$7,IF(AO19=1,AJ19,AM19),""))</f>
        <v/>
      </c>
      <c r="AS19" s="99" t="str">
        <f aca="false">IF(ISBLANK($C19),"",IF($AF19=Constants!$B$7,RANK(AR19,$AR$8:$AR$507),$AF19))</f>
        <v/>
      </c>
      <c r="AT19" s="99" t="str">
        <f aca="false">IF(ISBLANK($C19),"",IF($AF19=Constants!$B$7,IF(ISNUMBER(AQ19),COUNTIFS($AQ$8:$AQ$507,"&lt;"&amp;$AQ19)+COUNTIFS($AQ$8:$AQ$507,$AQ19,$AS$8:$AS$507,"&lt;"&amp;$AS19)+1,Constants!$B$14),$AF19))</f>
        <v/>
      </c>
      <c r="AU19" s="99" t="str">
        <f aca="false">IF(ISBLANK($C19),"",IF($AF19=Constants!$B$7,IF(ISNUMBER(AQ19),AQ19-AT19,Constants!$B$14),$AF19))</f>
        <v/>
      </c>
      <c r="AV19" s="100"/>
      <c r="AW19" s="101" t="str">
        <f aca="false">IF(ISBLANK($C19),"",IF($AF19&lt;&gt;Constants!$B$7,"",AN19))</f>
        <v/>
      </c>
      <c r="AX19" s="102" t="str">
        <f aca="false">IF(ISBLANK($C19),"",IF($AF19&lt;&gt;Constants!$B$7,"",IF(AN19=1,AH19,AK19)))</f>
        <v/>
      </c>
      <c r="AY19" s="103" t="str">
        <f aca="false">IF(ISBLANK($C19),"",IF($AF19&lt;&gt;Constants!$B$7,"",IF(AN19=1,AI19,AL19)))</f>
        <v/>
      </c>
      <c r="AZ19" s="104" t="str">
        <f aca="false">IF(ISBLANK($C19),"",IF($AF19&lt;&gt;Constants!$B$7,$AF19,AP19))</f>
        <v/>
      </c>
      <c r="BA19" s="105" t="str">
        <f aca="false">IF(ISBLANK($C19),"",IF($AF19&lt;&gt;Constants!$B$7,$AF19,AG19))</f>
        <v/>
      </c>
      <c r="BB19" s="106" t="str">
        <f aca="false">IF(ISBLANK($C19),"",AU19)</f>
        <v/>
      </c>
      <c r="BC19" s="106" t="str">
        <f aca="false">IF(ISBLANK($C19),"",AT19)</f>
        <v/>
      </c>
      <c r="BD19" s="107" t="str">
        <f aca="false">IF(ISBLANK($C19),"",IFERROR(_xlfn.SWITCH(BC19,Constants!$B$4,COUNTA($C$8:$C$507)+2,Constants!$B$5,COUNTA($C$8:$C$507)+1,Constants!$B$6,COUNTA($C$8:$C$507)),BC19))</f>
        <v/>
      </c>
      <c r="BE19" s="5"/>
      <c r="BF19" s="108" t="n">
        <f aca="false">IF(OR(ISNUMBER(BC19),BC19=Constants!$B$4,BC19=Constants!$B$6,BC19=Constants!$B$5),1,0)</f>
        <v>0</v>
      </c>
      <c r="BG19" s="108" t="n">
        <v>12</v>
      </c>
      <c r="BH19" s="108" t="str">
        <f aca="false">IF(ISBLANK($C19),"",IF(ISNUMBER(BD19),BD19+ROW($B19)/1000,""))</f>
        <v/>
      </c>
      <c r="BI19" s="108" t="str">
        <f aca="false">IF(ISNUMBER(BH19),RANK(BH19,$BH$8:$BH$507,1),"")</f>
        <v/>
      </c>
      <c r="BJ19" s="108" t="str">
        <f aca="false">IF(ISBLANK($C19),"",$B19)</f>
        <v/>
      </c>
      <c r="BK19" s="108" t="str">
        <f aca="false">IF(ISBLANK($C19),"",$C19)</f>
        <v/>
      </c>
      <c r="BL19" s="108" t="str">
        <f aca="false">IF(ISBLANK($C19),"",$D19)</f>
        <v/>
      </c>
      <c r="BM19" s="109" t="str">
        <f aca="false">BA19</f>
        <v/>
      </c>
      <c r="BN19" s="110" t="str">
        <f aca="false">AZ19</f>
        <v/>
      </c>
      <c r="BO19" s="108" t="str">
        <f aca="false">IF(ISBLANK($C19),"",BC19)</f>
        <v/>
      </c>
      <c r="BP19" s="111" t="str">
        <f aca="false">IF($BG19&gt;$BF$7,"",VLOOKUP($BG19,$BI$8:$BO$507,7,FALSE()))</f>
        <v/>
      </c>
      <c r="BQ19" s="112" t="str">
        <f aca="false">IF($BG19&gt;$BF$7,"",VLOOKUP($BG19,$BI$8:$BO$507,2,FALSE()))</f>
        <v/>
      </c>
      <c r="BR19" s="112" t="str">
        <f aca="false">IF($BG19&gt;$BF$7,"",VLOOKUP($BG19,$BI$8:$BO$507,3,FALSE()))</f>
        <v/>
      </c>
      <c r="BS19" s="112" t="str">
        <f aca="false">IF($BG19&gt;$BF$7,"",VLOOKUP($BG19,$BI$8:$BO$507,4,FALSE()))</f>
        <v/>
      </c>
      <c r="BT19" s="112" t="str">
        <f aca="false">IF($BG19&gt;$BF$7,"",VLOOKUP($BG19,$BI$8:$BO$507,5,FALSE()))</f>
        <v/>
      </c>
      <c r="BU19" s="113" t="str">
        <f aca="false">IF($BG19&gt;$BF$7,"",VLOOKUP($BG19,$BI$8:$BO$507,6,FALSE()))</f>
        <v/>
      </c>
      <c r="BV19" s="54"/>
    </row>
    <row r="20" customFormat="false" ht="15.75" hidden="false" customHeight="false" outlineLevel="0" collapsed="false">
      <c r="A20" s="5"/>
      <c r="B20" s="135"/>
      <c r="C20" s="56"/>
      <c r="D20" s="57"/>
      <c r="E20" s="124"/>
      <c r="F20" s="125"/>
      <c r="G20" s="60"/>
      <c r="H20" s="126"/>
      <c r="I20" s="62"/>
      <c r="J20" s="62"/>
      <c r="K20" s="60"/>
      <c r="L20" s="127"/>
      <c r="M20" s="62"/>
      <c r="N20" s="62"/>
      <c r="O20" s="60"/>
      <c r="P20" s="84"/>
      <c r="Q20" s="65"/>
      <c r="R20" s="67" t="str">
        <f aca="false">IF(ISBLANK($C20),"",IF(E20=Constants!$B$2, TRUE(), IF(E20=Constants!$B$3, FALSE(), TRUE())))</f>
        <v/>
      </c>
      <c r="S20" s="67" t="str">
        <f aca="false">IF(ISBLANK($C20),"",IF(F20=Constants!$B$2, TRUE(), IF(F20=Constants!$B$3, FALSE(), TRUE())))</f>
        <v/>
      </c>
      <c r="T20" s="67" t="str">
        <f aca="false">IF(ISBLANK($C20),"",IF(G20=Constants!$B$16,Constants!$B$9,IF(G20=Constants!$B$17,Constants!$B$10,Constants!$B$8)))</f>
        <v/>
      </c>
      <c r="U20" s="67" t="str">
        <f aca="false">IF(ISBLANK($C20),"",IF(H20=Constants!$B$19,Constants!$B$19,Constants!$B$18))</f>
        <v/>
      </c>
      <c r="V20" s="67" t="str">
        <f aca="false">IF(ISBLANK($C20),"",IF(ISNUMBER(I20),IF(I20&gt;=0,I20,""),""))</f>
        <v/>
      </c>
      <c r="W20" s="67" t="str">
        <f aca="false">IF(ISBLANK($C20),"",IF(J20=Constants!$B$2, TRUE(), IF(J20=Constants!$B$3, FALSE(), TRUE())))</f>
        <v/>
      </c>
      <c r="X20" s="67" t="str">
        <f aca="false">IF(ISBLANK($C20),"",IF(K20=Constants!$B$2, TRUE(), IF(K20=Constants!$B$3, FALSE(), TRUE())))</f>
        <v/>
      </c>
      <c r="Y20" s="67" t="str">
        <f aca="false">IF(ISBLANK($C20),"",IF(L20=Constants!$B$19,Constants!$B$19,Constants!$B$18))</f>
        <v/>
      </c>
      <c r="Z20" s="67" t="str">
        <f aca="false">IF(ISBLANK($C20),"",IF(ISNUMBER(M20),IF(M20&gt;=0,M20,""),""))</f>
        <v/>
      </c>
      <c r="AA20" s="67" t="str">
        <f aca="false">IF(ISBLANK($C20),"",IF(N20=Constants!$B$2, TRUE(), IF(N20=Constants!$B$3, FALSE(), TRUE())))</f>
        <v/>
      </c>
      <c r="AB20" s="67" t="str">
        <f aca="false">IF(ISBLANK($C20),"",IF(O20=Constants!$B$2, TRUE(), IF(O20=Constants!$B$3, FALSE(), TRUE())))</f>
        <v/>
      </c>
      <c r="AC20" s="67" t="str">
        <f aca="false">IF(ISBLANK($C20),"",IF(P20=Constants!$B$2, TRUE(), IF(P20=Constants!$B$3, FALSE(), FALSE())))</f>
        <v/>
      </c>
      <c r="AD20" s="67" t="str">
        <f aca="false">IF(ISBLANK($C20),"",AND(V20&lt;&gt;"",IF(U20=Constants!$B$19,S20,R20)))</f>
        <v/>
      </c>
      <c r="AE20" s="67" t="str">
        <f aca="false">IF(ISBLANK($C20),"",AND(Z20&lt;&gt;"",IF(Y20=Constants!$B$19,S20,R20)))</f>
        <v/>
      </c>
      <c r="AF20" s="67" t="str">
        <f aca="false">IF(ISBLANK($C20),"",IF(AC20,Constants!$B$4,IF(COUNTA(E20:O20)=0,Constants!$B$5,IF(AND(NOT(AD20),NOT(AE20)),Constants!$B$6,Constants!$B$7))))</f>
        <v/>
      </c>
      <c r="AG20" s="67" t="str">
        <f aca="false">IF(ISBLANK($C20),"",IF($AF20&lt;&gt;Constants!$B$7,$AF20,Constants!$B$20))</f>
        <v/>
      </c>
      <c r="AH20" s="67" t="str">
        <f aca="false">IF($AF20=Constants!$B$7,IF(AD20,V20,Constants!$B$13),"")</f>
        <v/>
      </c>
      <c r="AI20" s="67" t="str">
        <f aca="false">IF($AF20=Constants!$B$7,IF(AD20,T20*IF(W20, 1, Constants!$B$11)*IF(X20, 1, Constants!$B$12),Constants!$B$13),"")</f>
        <v/>
      </c>
      <c r="AJ20" s="67" t="str">
        <f aca="false">IF($AF20=Constants!$B$7,AH20*AI20,"")</f>
        <v/>
      </c>
      <c r="AK20" s="67" t="str">
        <f aca="false">IF($AF20=Constants!$B$7,IF(AE20,Z20,Constants!$B$13),"")</f>
        <v/>
      </c>
      <c r="AL20" s="67" t="str">
        <f aca="false">IF($AF20=Constants!$B$7,IF(AE20,T20*IF(AA20, 1, Constants!$B$11)*IF(AB20, 1, Constants!$B$12),Constants!$B$13),"")</f>
        <v/>
      </c>
      <c r="AM20" s="67" t="str">
        <f aca="false">IF($AF20=Constants!$B$7,AK20*AL20,"")</f>
        <v/>
      </c>
      <c r="AN20" s="67" t="str">
        <f aca="false">IF($AF20=Constants!$B$7,IF(AM20&gt;AJ20,2,1),"")</f>
        <v/>
      </c>
      <c r="AO20" s="67" t="str">
        <f aca="false">IF($AF20=Constants!$B$7,IF(AN20=1,2,1),"")</f>
        <v/>
      </c>
      <c r="AP20" s="67" t="str">
        <f aca="false">IF(ISBLANK($C20),"",IF($AF20&lt;&gt;Constants!$B$7,$AF20,IF(AN20=1,AJ20,AM20)))</f>
        <v/>
      </c>
      <c r="AQ20" s="67" t="str">
        <f aca="false">IF(ISBLANK($C20),"",IF($AF20=Constants!$B$7,IF(ISNUMBER(AP20),RANK(AP20,$AP$8:$AP$507),Constants!$B$14),$AF20))</f>
        <v/>
      </c>
      <c r="AR20" s="67" t="str">
        <f aca="false">IF(ISBLANK($C20),"",IF($AF20=Constants!$B$7,IF(AO20=1,AJ20,AM20),""))</f>
        <v/>
      </c>
      <c r="AS20" s="67" t="str">
        <f aca="false">IF(ISBLANK($C20),"",IF($AF20=Constants!$B$7,RANK(AR20,$AR$8:$AR$507),$AF20))</f>
        <v/>
      </c>
      <c r="AT20" s="67" t="str">
        <f aca="false">IF(ISBLANK($C20),"",IF($AF20=Constants!$B$7,IF(ISNUMBER(AQ20),COUNTIFS($AQ$8:$AQ$507,"&lt;"&amp;$AQ20)+COUNTIFS($AQ$8:$AQ$507,$AQ20,$AS$8:$AS$507,"&lt;"&amp;$AS20)+1,Constants!$B$14),$AF20))</f>
        <v/>
      </c>
      <c r="AU20" s="67" t="str">
        <f aca="false">IF(ISBLANK($C20),"",IF($AF20=Constants!$B$7,IF(ISNUMBER(AQ20),AQ20-AT20,Constants!$B$14),$AF20))</f>
        <v/>
      </c>
      <c r="AV20" s="69"/>
      <c r="AW20" s="70" t="str">
        <f aca="false">IF(ISBLANK($C20),"",IF($AF20&lt;&gt;Constants!$B$7,"",AN20))</f>
        <v/>
      </c>
      <c r="AX20" s="85" t="str">
        <f aca="false">IF(ISBLANK($C20),"",IF($AF20&lt;&gt;Constants!$B$7,"",IF(AN20=1,AH20,AK20)))</f>
        <v/>
      </c>
      <c r="AY20" s="72" t="str">
        <f aca="false">IF(ISBLANK($C20),"",IF($AF20&lt;&gt;Constants!$B$7,"",IF(AN20=1,AI20,AL20)))</f>
        <v/>
      </c>
      <c r="AZ20" s="73" t="str">
        <f aca="false">IF(ISBLANK($C20),"",IF($AF20&lt;&gt;Constants!$B$7,$AF20,AP20))</f>
        <v/>
      </c>
      <c r="BA20" s="74" t="str">
        <f aca="false">IF(ISBLANK($C20),"",IF($AF20&lt;&gt;Constants!$B$7,$AF20,AG20))</f>
        <v/>
      </c>
      <c r="BB20" s="75" t="str">
        <f aca="false">IF(ISBLANK($C20),"",AU20)</f>
        <v/>
      </c>
      <c r="BC20" s="75" t="str">
        <f aca="false">IF(ISBLANK($C20),"",AT20)</f>
        <v/>
      </c>
      <c r="BD20" s="76" t="str">
        <f aca="false">IF(ISBLANK($C20),"",IFERROR(_xlfn.SWITCH(BC20,Constants!$B$4,COUNTA($C$8:$C$507)+2,Constants!$B$5,COUNTA($C$8:$C$507)+1,Constants!$B$6,COUNTA($C$8:$C$507)),BC20))</f>
        <v/>
      </c>
      <c r="BE20" s="5"/>
      <c r="BF20" s="77" t="n">
        <f aca="false">IF(OR(ISNUMBER(BC20),BC20=Constants!$B$4,BC20=Constants!$B$6,BC20=Constants!$B$5),1,0)</f>
        <v>0</v>
      </c>
      <c r="BG20" s="77" t="n">
        <v>13</v>
      </c>
      <c r="BH20" s="77" t="str">
        <f aca="false">IF(ISBLANK($C20),"",IF(ISNUMBER(BD20),BD20+ROW($B20)/1000,""))</f>
        <v/>
      </c>
      <c r="BI20" s="77" t="str">
        <f aca="false">IF(ISNUMBER(BH20),RANK(BH20,$BH$8:$BH$507,1),"")</f>
        <v/>
      </c>
      <c r="BJ20" s="77" t="str">
        <f aca="false">IF(ISBLANK($C20),"",$B20)</f>
        <v/>
      </c>
      <c r="BK20" s="77" t="str">
        <f aca="false">IF(ISBLANK($C20),"",$C20)</f>
        <v/>
      </c>
      <c r="BL20" s="77" t="str">
        <f aca="false">IF(ISBLANK($C20),"",$D20)</f>
        <v/>
      </c>
      <c r="BM20" s="78" t="str">
        <f aca="false">BA20</f>
        <v/>
      </c>
      <c r="BN20" s="79" t="str">
        <f aca="false">AZ20</f>
        <v/>
      </c>
      <c r="BO20" s="77" t="str">
        <f aca="false">IF(ISBLANK($C20),"",BC20)</f>
        <v/>
      </c>
      <c r="BP20" s="80" t="str">
        <f aca="false">IF($BG20&gt;$BF$7,"",VLOOKUP($BG20,$BI$8:$BO$507,7,FALSE()))</f>
        <v/>
      </c>
      <c r="BQ20" s="81" t="str">
        <f aca="false">IF($BG20&gt;$BF$7,"",VLOOKUP($BG20,$BI$8:$BO$507,2,FALSE()))</f>
        <v/>
      </c>
      <c r="BR20" s="81" t="str">
        <f aca="false">IF($BG20&gt;$BF$7,"",VLOOKUP($BG20,$BI$8:$BO$507,3,FALSE()))</f>
        <v/>
      </c>
      <c r="BS20" s="81" t="str">
        <f aca="false">IF($BG20&gt;$BF$7,"",VLOOKUP($BG20,$BI$8:$BO$507,4,FALSE()))</f>
        <v/>
      </c>
      <c r="BT20" s="81" t="str">
        <f aca="false">IF($BG20&gt;$BF$7,"",VLOOKUP($BG20,$BI$8:$BO$507,5,FALSE()))</f>
        <v/>
      </c>
      <c r="BU20" s="82" t="str">
        <f aca="false">IF($BG20&gt;$BF$7,"",VLOOKUP($BG20,$BI$8:$BO$507,6,FALSE()))</f>
        <v/>
      </c>
      <c r="BV20" s="54"/>
    </row>
    <row r="21" customFormat="false" ht="15.75" hidden="false" customHeight="false" outlineLevel="0" collapsed="false">
      <c r="A21" s="5"/>
      <c r="B21" s="135"/>
      <c r="C21" s="56"/>
      <c r="D21" s="57"/>
      <c r="E21" s="124"/>
      <c r="F21" s="125"/>
      <c r="G21" s="60"/>
      <c r="H21" s="126"/>
      <c r="I21" s="62"/>
      <c r="J21" s="62"/>
      <c r="K21" s="60"/>
      <c r="L21" s="127"/>
      <c r="M21" s="62"/>
      <c r="N21" s="62"/>
      <c r="O21" s="60"/>
      <c r="P21" s="84"/>
      <c r="Q21" s="65"/>
      <c r="R21" s="67" t="str">
        <f aca="false">IF(ISBLANK($C21),"",IF(E21=Constants!$B$2, TRUE(), IF(E21=Constants!$B$3, FALSE(), TRUE())))</f>
        <v/>
      </c>
      <c r="S21" s="67" t="str">
        <f aca="false">IF(ISBLANK($C21),"",IF(F21=Constants!$B$2, TRUE(), IF(F21=Constants!$B$3, FALSE(), TRUE())))</f>
        <v/>
      </c>
      <c r="T21" s="67" t="str">
        <f aca="false">IF(ISBLANK($C21),"",IF(G21=Constants!$B$16,Constants!$B$9,IF(G21=Constants!$B$17,Constants!$B$10,Constants!$B$8)))</f>
        <v/>
      </c>
      <c r="U21" s="67" t="str">
        <f aca="false">IF(ISBLANK($C21),"",IF(H21=Constants!$B$19,Constants!$B$19,Constants!$B$18))</f>
        <v/>
      </c>
      <c r="V21" s="67" t="str">
        <f aca="false">IF(ISBLANK($C21),"",IF(ISNUMBER(I21),IF(I21&gt;=0,I21,""),""))</f>
        <v/>
      </c>
      <c r="W21" s="67" t="str">
        <f aca="false">IF(ISBLANK($C21),"",IF(J21=Constants!$B$2, TRUE(), IF(J21=Constants!$B$3, FALSE(), TRUE())))</f>
        <v/>
      </c>
      <c r="X21" s="67" t="str">
        <f aca="false">IF(ISBLANK($C21),"",IF(K21=Constants!$B$2, TRUE(), IF(K21=Constants!$B$3, FALSE(), TRUE())))</f>
        <v/>
      </c>
      <c r="Y21" s="67" t="str">
        <f aca="false">IF(ISBLANK($C21),"",IF(L21=Constants!$B$19,Constants!$B$19,Constants!$B$18))</f>
        <v/>
      </c>
      <c r="Z21" s="67" t="str">
        <f aca="false">IF(ISBLANK($C21),"",IF(ISNUMBER(M21),IF(M21&gt;=0,M21,""),""))</f>
        <v/>
      </c>
      <c r="AA21" s="67" t="str">
        <f aca="false">IF(ISBLANK($C21),"",IF(N21=Constants!$B$2, TRUE(), IF(N21=Constants!$B$3, FALSE(), TRUE())))</f>
        <v/>
      </c>
      <c r="AB21" s="67" t="str">
        <f aca="false">IF(ISBLANK($C21),"",IF(O21=Constants!$B$2, TRUE(), IF(O21=Constants!$B$3, FALSE(), TRUE())))</f>
        <v/>
      </c>
      <c r="AC21" s="67" t="str">
        <f aca="false">IF(ISBLANK($C21),"",IF(P21=Constants!$B$2, TRUE(), IF(P21=Constants!$B$3, FALSE(), FALSE())))</f>
        <v/>
      </c>
      <c r="AD21" s="67" t="str">
        <f aca="false">IF(ISBLANK($C21),"",AND(V21&lt;&gt;"",IF(U21=Constants!$B$19,S21,R21)))</f>
        <v/>
      </c>
      <c r="AE21" s="67" t="str">
        <f aca="false">IF(ISBLANK($C21),"",AND(Z21&lt;&gt;"",IF(Y21=Constants!$B$19,S21,R21)))</f>
        <v/>
      </c>
      <c r="AF21" s="67" t="str">
        <f aca="false">IF(ISBLANK($C21),"",IF(AC21,Constants!$B$4,IF(COUNTA(E21:O21)=0,Constants!$B$5,IF(AND(NOT(AD21),NOT(AE21)),Constants!$B$6,Constants!$B$7))))</f>
        <v/>
      </c>
      <c r="AG21" s="67" t="str">
        <f aca="false">IF(ISBLANK($C21),"",IF($AF21&lt;&gt;Constants!$B$7,$AF21,Constants!$B$20))</f>
        <v/>
      </c>
      <c r="AH21" s="67" t="str">
        <f aca="false">IF($AF21=Constants!$B$7,IF(AD21,V21,Constants!$B$13),"")</f>
        <v/>
      </c>
      <c r="AI21" s="67" t="str">
        <f aca="false">IF($AF21=Constants!$B$7,IF(AD21,T21*IF(W21, 1, Constants!$B$11)*IF(X21, 1, Constants!$B$12),Constants!$B$13),"")</f>
        <v/>
      </c>
      <c r="AJ21" s="67" t="str">
        <f aca="false">IF($AF21=Constants!$B$7,AH21*AI21,"")</f>
        <v/>
      </c>
      <c r="AK21" s="67" t="str">
        <f aca="false">IF($AF21=Constants!$B$7,IF(AE21,Z21,Constants!$B$13),"")</f>
        <v/>
      </c>
      <c r="AL21" s="67" t="str">
        <f aca="false">IF($AF21=Constants!$B$7,IF(AE21,T21*IF(AA21, 1, Constants!$B$11)*IF(AB21, 1, Constants!$B$12),Constants!$B$13),"")</f>
        <v/>
      </c>
      <c r="AM21" s="67" t="str">
        <f aca="false">IF($AF21=Constants!$B$7,AK21*AL21,"")</f>
        <v/>
      </c>
      <c r="AN21" s="67" t="str">
        <f aca="false">IF($AF21=Constants!$B$7,IF(AM21&gt;AJ21,2,1),"")</f>
        <v/>
      </c>
      <c r="AO21" s="67" t="str">
        <f aca="false">IF($AF21=Constants!$B$7,IF(AN21=1,2,1),"")</f>
        <v/>
      </c>
      <c r="AP21" s="67" t="str">
        <f aca="false">IF(ISBLANK($C21),"",IF($AF21&lt;&gt;Constants!$B$7,$AF21,IF(AN21=1,AJ21,AM21)))</f>
        <v/>
      </c>
      <c r="AQ21" s="67" t="str">
        <f aca="false">IF(ISBLANK($C21),"",IF($AF21=Constants!$B$7,IF(ISNUMBER(AP21),RANK(AP21,$AP$8:$AP$507),Constants!$B$14),$AF21))</f>
        <v/>
      </c>
      <c r="AR21" s="67" t="str">
        <f aca="false">IF(ISBLANK($C21),"",IF($AF21=Constants!$B$7,IF(AO21=1,AJ21,AM21),""))</f>
        <v/>
      </c>
      <c r="AS21" s="67" t="str">
        <f aca="false">IF(ISBLANK($C21),"",IF($AF21=Constants!$B$7,RANK(AR21,$AR$8:$AR$507),$AF21))</f>
        <v/>
      </c>
      <c r="AT21" s="67" t="str">
        <f aca="false">IF(ISBLANK($C21),"",IF($AF21=Constants!$B$7,IF(ISNUMBER(AQ21),COUNTIFS($AQ$8:$AQ$507,"&lt;"&amp;$AQ21)+COUNTIFS($AQ$8:$AQ$507,$AQ21,$AS$8:$AS$507,"&lt;"&amp;$AS21)+1,Constants!$B$14),$AF21))</f>
        <v/>
      </c>
      <c r="AU21" s="67" t="str">
        <f aca="false">IF(ISBLANK($C21),"",IF($AF21=Constants!$B$7,IF(ISNUMBER(AQ21),AQ21-AT21,Constants!$B$14),$AF21))</f>
        <v/>
      </c>
      <c r="AV21" s="69"/>
      <c r="AW21" s="70" t="str">
        <f aca="false">IF(ISBLANK($C21),"",IF($AF21&lt;&gt;Constants!$B$7,"",AN21))</f>
        <v/>
      </c>
      <c r="AX21" s="85" t="str">
        <f aca="false">IF(ISBLANK($C21),"",IF($AF21&lt;&gt;Constants!$B$7,"",IF(AN21=1,AH21,AK21)))</f>
        <v/>
      </c>
      <c r="AY21" s="72" t="str">
        <f aca="false">IF(ISBLANK($C21),"",IF($AF21&lt;&gt;Constants!$B$7,"",IF(AN21=1,AI21,AL21)))</f>
        <v/>
      </c>
      <c r="AZ21" s="73" t="str">
        <f aca="false">IF(ISBLANK($C21),"",IF($AF21&lt;&gt;Constants!$B$7,$AF21,AP21))</f>
        <v/>
      </c>
      <c r="BA21" s="74" t="str">
        <f aca="false">IF(ISBLANK($C21),"",IF($AF21&lt;&gt;Constants!$B$7,$AF21,AG21))</f>
        <v/>
      </c>
      <c r="BB21" s="75" t="str">
        <f aca="false">IF(ISBLANK($C21),"",AU21)</f>
        <v/>
      </c>
      <c r="BC21" s="75" t="str">
        <f aca="false">IF(ISBLANK($C21),"",AT21)</f>
        <v/>
      </c>
      <c r="BD21" s="76" t="str">
        <f aca="false">IF(ISBLANK($C21),"",IFERROR(_xlfn.SWITCH(BC21,Constants!$B$4,COUNTA($C$8:$C$507)+2,Constants!$B$5,COUNTA($C$8:$C$507)+1,Constants!$B$6,COUNTA($C$8:$C$507)),BC21))</f>
        <v/>
      </c>
      <c r="BE21" s="5"/>
      <c r="BF21" s="77" t="n">
        <f aca="false">IF(OR(ISNUMBER(BC21),BC21=Constants!$B$4,BC21=Constants!$B$6,BC21=Constants!$B$5),1,0)</f>
        <v>0</v>
      </c>
      <c r="BG21" s="77" t="n">
        <v>14</v>
      </c>
      <c r="BH21" s="77" t="str">
        <f aca="false">IF(ISBLANK($C21),"",IF(ISNUMBER(BD21),BD21+ROW($B21)/1000,""))</f>
        <v/>
      </c>
      <c r="BI21" s="77" t="str">
        <f aca="false">IF(ISNUMBER(BH21),RANK(BH21,$BH$8:$BH$507,1),"")</f>
        <v/>
      </c>
      <c r="BJ21" s="77" t="str">
        <f aca="false">IF(ISBLANK($C21),"",$B21)</f>
        <v/>
      </c>
      <c r="BK21" s="77" t="str">
        <f aca="false">IF(ISBLANK($C21),"",$C21)</f>
        <v/>
      </c>
      <c r="BL21" s="77" t="str">
        <f aca="false">IF(ISBLANK($C21),"",$D21)</f>
        <v/>
      </c>
      <c r="BM21" s="78" t="str">
        <f aca="false">BA21</f>
        <v/>
      </c>
      <c r="BN21" s="79" t="str">
        <f aca="false">AZ21</f>
        <v/>
      </c>
      <c r="BO21" s="77" t="str">
        <f aca="false">IF(ISBLANK($C21),"",BC21)</f>
        <v/>
      </c>
      <c r="BP21" s="80" t="str">
        <f aca="false">IF($BG21&gt;$BF$7,"",VLOOKUP($BG21,$BI$8:$BO$507,7,FALSE()))</f>
        <v/>
      </c>
      <c r="BQ21" s="81" t="str">
        <f aca="false">IF($BG21&gt;$BF$7,"",VLOOKUP($BG21,$BI$8:$BO$507,2,FALSE()))</f>
        <v/>
      </c>
      <c r="BR21" s="81" t="str">
        <f aca="false">IF($BG21&gt;$BF$7,"",VLOOKUP($BG21,$BI$8:$BO$507,3,FALSE()))</f>
        <v/>
      </c>
      <c r="BS21" s="81" t="str">
        <f aca="false">IF($BG21&gt;$BF$7,"",VLOOKUP($BG21,$BI$8:$BO$507,4,FALSE()))</f>
        <v/>
      </c>
      <c r="BT21" s="81" t="str">
        <f aca="false">IF($BG21&gt;$BF$7,"",VLOOKUP($BG21,$BI$8:$BO$507,5,FALSE()))</f>
        <v/>
      </c>
      <c r="BU21" s="82" t="str">
        <f aca="false">IF($BG21&gt;$BF$7,"",VLOOKUP($BG21,$BI$8:$BO$507,6,FALSE()))</f>
        <v/>
      </c>
      <c r="BV21" s="54"/>
    </row>
    <row r="22" customFormat="false" ht="15.75" hidden="false" customHeight="false" outlineLevel="0" collapsed="false">
      <c r="A22" s="5"/>
      <c r="B22" s="135"/>
      <c r="C22" s="56"/>
      <c r="D22" s="57"/>
      <c r="E22" s="124"/>
      <c r="F22" s="125"/>
      <c r="G22" s="60"/>
      <c r="H22" s="126"/>
      <c r="I22" s="62"/>
      <c r="J22" s="62"/>
      <c r="K22" s="60"/>
      <c r="L22" s="127"/>
      <c r="M22" s="62"/>
      <c r="N22" s="62"/>
      <c r="O22" s="60"/>
      <c r="P22" s="84"/>
      <c r="Q22" s="65"/>
      <c r="R22" s="67" t="str">
        <f aca="false">IF(ISBLANK($C22),"",IF(E22=Constants!$B$2, TRUE(), IF(E22=Constants!$B$3, FALSE(), TRUE())))</f>
        <v/>
      </c>
      <c r="S22" s="67" t="str">
        <f aca="false">IF(ISBLANK($C22),"",IF(F22=Constants!$B$2, TRUE(), IF(F22=Constants!$B$3, FALSE(), TRUE())))</f>
        <v/>
      </c>
      <c r="T22" s="67" t="str">
        <f aca="false">IF(ISBLANK($C22),"",IF(G22=Constants!$B$16,Constants!$B$9,IF(G22=Constants!$B$17,Constants!$B$10,Constants!$B$8)))</f>
        <v/>
      </c>
      <c r="U22" s="67" t="str">
        <f aca="false">IF(ISBLANK($C22),"",IF(H22=Constants!$B$19,Constants!$B$19,Constants!$B$18))</f>
        <v/>
      </c>
      <c r="V22" s="67" t="str">
        <f aca="false">IF(ISBLANK($C22),"",IF(ISNUMBER(I22),IF(I22&gt;=0,I22,""),""))</f>
        <v/>
      </c>
      <c r="W22" s="67" t="str">
        <f aca="false">IF(ISBLANK($C22),"",IF(J22=Constants!$B$2, TRUE(), IF(J22=Constants!$B$3, FALSE(), TRUE())))</f>
        <v/>
      </c>
      <c r="X22" s="67" t="str">
        <f aca="false">IF(ISBLANK($C22),"",IF(K22=Constants!$B$2, TRUE(), IF(K22=Constants!$B$3, FALSE(), TRUE())))</f>
        <v/>
      </c>
      <c r="Y22" s="67" t="str">
        <f aca="false">IF(ISBLANK($C22),"",IF(L22=Constants!$B$19,Constants!$B$19,Constants!$B$18))</f>
        <v/>
      </c>
      <c r="Z22" s="67" t="str">
        <f aca="false">IF(ISBLANK($C22),"",IF(ISNUMBER(M22),IF(M22&gt;=0,M22,""),""))</f>
        <v/>
      </c>
      <c r="AA22" s="67" t="str">
        <f aca="false">IF(ISBLANK($C22),"",IF(N22=Constants!$B$2, TRUE(), IF(N22=Constants!$B$3, FALSE(), TRUE())))</f>
        <v/>
      </c>
      <c r="AB22" s="67" t="str">
        <f aca="false">IF(ISBLANK($C22),"",IF(O22=Constants!$B$2, TRUE(), IF(O22=Constants!$B$3, FALSE(), TRUE())))</f>
        <v/>
      </c>
      <c r="AC22" s="67" t="str">
        <f aca="false">IF(ISBLANK($C22),"",IF(P22=Constants!$B$2, TRUE(), IF(P22=Constants!$B$3, FALSE(), FALSE())))</f>
        <v/>
      </c>
      <c r="AD22" s="67" t="str">
        <f aca="false">IF(ISBLANK($C22),"",AND(V22&lt;&gt;"",IF(U22=Constants!$B$19,S22,R22)))</f>
        <v/>
      </c>
      <c r="AE22" s="67" t="str">
        <f aca="false">IF(ISBLANK($C22),"",AND(Z22&lt;&gt;"",IF(Y22=Constants!$B$19,S22,R22)))</f>
        <v/>
      </c>
      <c r="AF22" s="67" t="str">
        <f aca="false">IF(ISBLANK($C22),"",IF(AC22,Constants!$B$4,IF(COUNTA(E22:O22)=0,Constants!$B$5,IF(AND(NOT(AD22),NOT(AE22)),Constants!$B$6,Constants!$B$7))))</f>
        <v/>
      </c>
      <c r="AG22" s="67" t="str">
        <f aca="false">IF(ISBLANK($C22),"",IF($AF22&lt;&gt;Constants!$B$7,$AF22,Constants!$B$20))</f>
        <v/>
      </c>
      <c r="AH22" s="67" t="str">
        <f aca="false">IF($AF22=Constants!$B$7,IF(AD22,V22,Constants!$B$13),"")</f>
        <v/>
      </c>
      <c r="AI22" s="67" t="str">
        <f aca="false">IF($AF22=Constants!$B$7,IF(AD22,T22*IF(W22, 1, Constants!$B$11)*IF(X22, 1, Constants!$B$12),Constants!$B$13),"")</f>
        <v/>
      </c>
      <c r="AJ22" s="67" t="str">
        <f aca="false">IF($AF22=Constants!$B$7,AH22*AI22,"")</f>
        <v/>
      </c>
      <c r="AK22" s="67" t="str">
        <f aca="false">IF($AF22=Constants!$B$7,IF(AE22,Z22,Constants!$B$13),"")</f>
        <v/>
      </c>
      <c r="AL22" s="67" t="str">
        <f aca="false">IF($AF22=Constants!$B$7,IF(AE22,T22*IF(AA22, 1, Constants!$B$11)*IF(AB22, 1, Constants!$B$12),Constants!$B$13),"")</f>
        <v/>
      </c>
      <c r="AM22" s="67" t="str">
        <f aca="false">IF($AF22=Constants!$B$7,AK22*AL22,"")</f>
        <v/>
      </c>
      <c r="AN22" s="67" t="str">
        <f aca="false">IF($AF22=Constants!$B$7,IF(AM22&gt;AJ22,2,1),"")</f>
        <v/>
      </c>
      <c r="AO22" s="67" t="str">
        <f aca="false">IF($AF22=Constants!$B$7,IF(AN22=1,2,1),"")</f>
        <v/>
      </c>
      <c r="AP22" s="67" t="str">
        <f aca="false">IF(ISBLANK($C22),"",IF($AF22&lt;&gt;Constants!$B$7,$AF22,IF(AN22=1,AJ22,AM22)))</f>
        <v/>
      </c>
      <c r="AQ22" s="67" t="str">
        <f aca="false">IF(ISBLANK($C22),"",IF($AF22=Constants!$B$7,IF(ISNUMBER(AP22),RANK(AP22,$AP$8:$AP$507),Constants!$B$14),$AF22))</f>
        <v/>
      </c>
      <c r="AR22" s="67" t="str">
        <f aca="false">IF(ISBLANK($C22),"",IF($AF22=Constants!$B$7,IF(AO22=1,AJ22,AM22),""))</f>
        <v/>
      </c>
      <c r="AS22" s="67" t="str">
        <f aca="false">IF(ISBLANK($C22),"",IF($AF22=Constants!$B$7,RANK(AR22,$AR$8:$AR$507),$AF22))</f>
        <v/>
      </c>
      <c r="AT22" s="67" t="str">
        <f aca="false">IF(ISBLANK($C22),"",IF($AF22=Constants!$B$7,IF(ISNUMBER(AQ22),COUNTIFS($AQ$8:$AQ$507,"&lt;"&amp;$AQ22)+COUNTIFS($AQ$8:$AQ$507,$AQ22,$AS$8:$AS$507,"&lt;"&amp;$AS22)+1,Constants!$B$14),$AF22))</f>
        <v/>
      </c>
      <c r="AU22" s="67" t="str">
        <f aca="false">IF(ISBLANK($C22),"",IF($AF22=Constants!$B$7,IF(ISNUMBER(AQ22),AQ22-AT22,Constants!$B$14),$AF22))</f>
        <v/>
      </c>
      <c r="AV22" s="69"/>
      <c r="AW22" s="70" t="str">
        <f aca="false">IF(ISBLANK($C22),"",IF($AF22&lt;&gt;Constants!$B$7,"",AN22))</f>
        <v/>
      </c>
      <c r="AX22" s="85" t="str">
        <f aca="false">IF(ISBLANK($C22),"",IF($AF22&lt;&gt;Constants!$B$7,"",IF(AN22=1,AH22,AK22)))</f>
        <v/>
      </c>
      <c r="AY22" s="72" t="str">
        <f aca="false">IF(ISBLANK($C22),"",IF($AF22&lt;&gt;Constants!$B$7,"",IF(AN22=1,AI22,AL22)))</f>
        <v/>
      </c>
      <c r="AZ22" s="73" t="str">
        <f aca="false">IF(ISBLANK($C22),"",IF($AF22&lt;&gt;Constants!$B$7,$AF22,AP22))</f>
        <v/>
      </c>
      <c r="BA22" s="74" t="str">
        <f aca="false">IF(ISBLANK($C22),"",IF($AF22&lt;&gt;Constants!$B$7,$AF22,AG22))</f>
        <v/>
      </c>
      <c r="BB22" s="75" t="str">
        <f aca="false">IF(ISBLANK($C22),"",AU22)</f>
        <v/>
      </c>
      <c r="BC22" s="75" t="str">
        <f aca="false">IF(ISBLANK($C22),"",AT22)</f>
        <v/>
      </c>
      <c r="BD22" s="76" t="str">
        <f aca="false">IF(ISBLANK($C22),"",IFERROR(_xlfn.SWITCH(BC22,Constants!$B$4,COUNTA($C$8:$C$507)+2,Constants!$B$5,COUNTA($C$8:$C$507)+1,Constants!$B$6,COUNTA($C$8:$C$507)),BC22))</f>
        <v/>
      </c>
      <c r="BE22" s="5"/>
      <c r="BF22" s="77" t="n">
        <f aca="false">IF(OR(ISNUMBER(BC22),BC22=Constants!$B$4,BC22=Constants!$B$6,BC22=Constants!$B$5),1,0)</f>
        <v>0</v>
      </c>
      <c r="BG22" s="77" t="n">
        <v>15</v>
      </c>
      <c r="BH22" s="77" t="str">
        <f aca="false">IF(ISBLANK($C22),"",IF(ISNUMBER(BD22),BD22+ROW($B22)/1000,""))</f>
        <v/>
      </c>
      <c r="BI22" s="77" t="str">
        <f aca="false">IF(ISNUMBER(BH22),RANK(BH22,$BH$8:$BH$507,1),"")</f>
        <v/>
      </c>
      <c r="BJ22" s="77" t="str">
        <f aca="false">IF(ISBLANK($C22),"",$B22)</f>
        <v/>
      </c>
      <c r="BK22" s="77" t="str">
        <f aca="false">IF(ISBLANK($C22),"",$C22)</f>
        <v/>
      </c>
      <c r="BL22" s="77" t="str">
        <f aca="false">IF(ISBLANK($C22),"",$D22)</f>
        <v/>
      </c>
      <c r="BM22" s="78" t="str">
        <f aca="false">BA22</f>
        <v/>
      </c>
      <c r="BN22" s="79" t="str">
        <f aca="false">AZ22</f>
        <v/>
      </c>
      <c r="BO22" s="77" t="str">
        <f aca="false">IF(ISBLANK($C22),"",BC22)</f>
        <v/>
      </c>
      <c r="BP22" s="80" t="str">
        <f aca="false">IF($BG22&gt;$BF$7,"",VLOOKUP($BG22,$BI$8:$BO$507,7,FALSE()))</f>
        <v/>
      </c>
      <c r="BQ22" s="81" t="str">
        <f aca="false">IF($BG22&gt;$BF$7,"",VLOOKUP($BG22,$BI$8:$BO$507,2,FALSE()))</f>
        <v/>
      </c>
      <c r="BR22" s="81" t="str">
        <f aca="false">IF($BG22&gt;$BF$7,"",VLOOKUP($BG22,$BI$8:$BO$507,3,FALSE()))</f>
        <v/>
      </c>
      <c r="BS22" s="81" t="str">
        <f aca="false">IF($BG22&gt;$BF$7,"",VLOOKUP($BG22,$BI$8:$BO$507,4,FALSE()))</f>
        <v/>
      </c>
      <c r="BT22" s="81" t="str">
        <f aca="false">IF($BG22&gt;$BF$7,"",VLOOKUP($BG22,$BI$8:$BO$507,5,FALSE()))</f>
        <v/>
      </c>
      <c r="BU22" s="82" t="str">
        <f aca="false">IF($BG22&gt;$BF$7,"",VLOOKUP($BG22,$BI$8:$BO$507,6,FALSE()))</f>
        <v/>
      </c>
      <c r="BV22" s="54"/>
    </row>
    <row r="23" customFormat="false" ht="15.75" hidden="false" customHeight="false" outlineLevel="0" collapsed="false">
      <c r="A23" s="5"/>
      <c r="B23" s="128"/>
      <c r="C23" s="129"/>
      <c r="D23" s="114"/>
      <c r="E23" s="130"/>
      <c r="F23" s="131"/>
      <c r="G23" s="93"/>
      <c r="H23" s="132"/>
      <c r="I23" s="95"/>
      <c r="J23" s="95"/>
      <c r="K23" s="93"/>
      <c r="L23" s="133"/>
      <c r="M23" s="95"/>
      <c r="N23" s="95"/>
      <c r="O23" s="93"/>
      <c r="P23" s="134"/>
      <c r="Q23" s="98"/>
      <c r="R23" s="99" t="str">
        <f aca="false">IF(ISBLANK($C23),"",IF(E23=Constants!$B$2, TRUE(), IF(E23=Constants!$B$3, FALSE(), TRUE())))</f>
        <v/>
      </c>
      <c r="S23" s="99" t="str">
        <f aca="false">IF(ISBLANK($C23),"",IF(F23=Constants!$B$2, TRUE(), IF(F23=Constants!$B$3, FALSE(), TRUE())))</f>
        <v/>
      </c>
      <c r="T23" s="99" t="str">
        <f aca="false">IF(ISBLANK($C23),"",IF(G23=Constants!$B$16,Constants!$B$9,IF(G23=Constants!$B$17,Constants!$B$10,Constants!$B$8)))</f>
        <v/>
      </c>
      <c r="U23" s="99" t="str">
        <f aca="false">IF(ISBLANK($C23),"",IF(H23=Constants!$B$19,Constants!$B$19,Constants!$B$18))</f>
        <v/>
      </c>
      <c r="V23" s="99" t="str">
        <f aca="false">IF(ISBLANK($C23),"",IF(ISNUMBER(I23),IF(I23&gt;=0,I23,""),""))</f>
        <v/>
      </c>
      <c r="W23" s="99" t="str">
        <f aca="false">IF(ISBLANK($C23),"",IF(J23=Constants!$B$2, TRUE(), IF(J23=Constants!$B$3, FALSE(), TRUE())))</f>
        <v/>
      </c>
      <c r="X23" s="99" t="str">
        <f aca="false">IF(ISBLANK($C23),"",IF(K23=Constants!$B$2, TRUE(), IF(K23=Constants!$B$3, FALSE(), TRUE())))</f>
        <v/>
      </c>
      <c r="Y23" s="99" t="str">
        <f aca="false">IF(ISBLANK($C23),"",IF(L23=Constants!$B$19,Constants!$B$19,Constants!$B$18))</f>
        <v/>
      </c>
      <c r="Z23" s="99" t="str">
        <f aca="false">IF(ISBLANK($C23),"",IF(ISNUMBER(M23),IF(M23&gt;=0,M23,""),""))</f>
        <v/>
      </c>
      <c r="AA23" s="99" t="str">
        <f aca="false">IF(ISBLANK($C23),"",IF(N23=Constants!$B$2, TRUE(), IF(N23=Constants!$B$3, FALSE(), TRUE())))</f>
        <v/>
      </c>
      <c r="AB23" s="99" t="str">
        <f aca="false">IF(ISBLANK($C23),"",IF(O23=Constants!$B$2, TRUE(), IF(O23=Constants!$B$3, FALSE(), TRUE())))</f>
        <v/>
      </c>
      <c r="AC23" s="99" t="str">
        <f aca="false">IF(ISBLANK($C23),"",IF(P23=Constants!$B$2, TRUE(), IF(P23=Constants!$B$3, FALSE(), FALSE())))</f>
        <v/>
      </c>
      <c r="AD23" s="99" t="str">
        <f aca="false">IF(ISBLANK($C23),"",AND(V23&lt;&gt;"",IF(U23=Constants!$B$19,S23,R23)))</f>
        <v/>
      </c>
      <c r="AE23" s="99" t="str">
        <f aca="false">IF(ISBLANK($C23),"",AND(Z23&lt;&gt;"",IF(Y23=Constants!$B$19,S23,R23)))</f>
        <v/>
      </c>
      <c r="AF23" s="99" t="str">
        <f aca="false">IF(ISBLANK($C23),"",IF(AC23,Constants!$B$4,IF(COUNTA(E23:O23)=0,Constants!$B$5,IF(AND(NOT(AD23),NOT(AE23)),Constants!$B$6,Constants!$B$7))))</f>
        <v/>
      </c>
      <c r="AG23" s="99" t="str">
        <f aca="false">IF(ISBLANK($C23),"",IF($AF23&lt;&gt;Constants!$B$7,$AF23,Constants!$B$20))</f>
        <v/>
      </c>
      <c r="AH23" s="99" t="str">
        <f aca="false">IF($AF23=Constants!$B$7,IF(AD23,V23,Constants!$B$13),"")</f>
        <v/>
      </c>
      <c r="AI23" s="99" t="str">
        <f aca="false">IF($AF23=Constants!$B$7,IF(AD23,T23*IF(W23, 1, Constants!$B$11)*IF(X23, 1, Constants!$B$12),Constants!$B$13),"")</f>
        <v/>
      </c>
      <c r="AJ23" s="99" t="str">
        <f aca="false">IF($AF23=Constants!$B$7,AH23*AI23,"")</f>
        <v/>
      </c>
      <c r="AK23" s="99" t="str">
        <f aca="false">IF($AF23=Constants!$B$7,IF(AE23,Z23,Constants!$B$13),"")</f>
        <v/>
      </c>
      <c r="AL23" s="99" t="str">
        <f aca="false">IF($AF23=Constants!$B$7,IF(AE23,T23*IF(AA23, 1, Constants!$B$11)*IF(AB23, 1, Constants!$B$12),Constants!$B$13),"")</f>
        <v/>
      </c>
      <c r="AM23" s="99" t="str">
        <f aca="false">IF($AF23=Constants!$B$7,AK23*AL23,"")</f>
        <v/>
      </c>
      <c r="AN23" s="99" t="str">
        <f aca="false">IF($AF23=Constants!$B$7,IF(AM23&gt;AJ23,2,1),"")</f>
        <v/>
      </c>
      <c r="AO23" s="99" t="str">
        <f aca="false">IF($AF23=Constants!$B$7,IF(AN23=1,2,1),"")</f>
        <v/>
      </c>
      <c r="AP23" s="99" t="str">
        <f aca="false">IF(ISBLANK($C23),"",IF($AF23&lt;&gt;Constants!$B$7,$AF23,IF(AN23=1,AJ23,AM23)))</f>
        <v/>
      </c>
      <c r="AQ23" s="99" t="str">
        <f aca="false">IF(ISBLANK($C23),"",IF($AF23=Constants!$B$7,IF(ISNUMBER(AP23),RANK(AP23,$AP$8:$AP$507),Constants!$B$14),$AF23))</f>
        <v/>
      </c>
      <c r="AR23" s="99" t="str">
        <f aca="false">IF(ISBLANK($C23),"",IF($AF23=Constants!$B$7,IF(AO23=1,AJ23,AM23),""))</f>
        <v/>
      </c>
      <c r="AS23" s="99" t="str">
        <f aca="false">IF(ISBLANK($C23),"",IF($AF23=Constants!$B$7,RANK(AR23,$AR$8:$AR$507),$AF23))</f>
        <v/>
      </c>
      <c r="AT23" s="99" t="str">
        <f aca="false">IF(ISBLANK($C23),"",IF($AF23=Constants!$B$7,IF(ISNUMBER(AQ23),COUNTIFS($AQ$8:$AQ$507,"&lt;"&amp;$AQ23)+COUNTIFS($AQ$8:$AQ$507,$AQ23,$AS$8:$AS$507,"&lt;"&amp;$AS23)+1,Constants!$B$14),$AF23))</f>
        <v/>
      </c>
      <c r="AU23" s="99" t="str">
        <f aca="false">IF(ISBLANK($C23),"",IF($AF23=Constants!$B$7,IF(ISNUMBER(AQ23),AQ23-AT23,Constants!$B$14),$AF23))</f>
        <v/>
      </c>
      <c r="AV23" s="100"/>
      <c r="AW23" s="101" t="str">
        <f aca="false">IF(ISBLANK($C23),"",IF($AF23&lt;&gt;Constants!$B$7,"",AN23))</f>
        <v/>
      </c>
      <c r="AX23" s="102" t="str">
        <f aca="false">IF(ISBLANK($C23),"",IF($AF23&lt;&gt;Constants!$B$7,"",IF(AN23=1,AH23,AK23)))</f>
        <v/>
      </c>
      <c r="AY23" s="103" t="str">
        <f aca="false">IF(ISBLANK($C23),"",IF($AF23&lt;&gt;Constants!$B$7,"",IF(AN23=1,AI23,AL23)))</f>
        <v/>
      </c>
      <c r="AZ23" s="104" t="str">
        <f aca="false">IF(ISBLANK($C23),"",IF($AF23&lt;&gt;Constants!$B$7,$AF23,AP23))</f>
        <v/>
      </c>
      <c r="BA23" s="105" t="str">
        <f aca="false">IF(ISBLANK($C23),"",IF($AF23&lt;&gt;Constants!$B$7,$AF23,AG23))</f>
        <v/>
      </c>
      <c r="BB23" s="106" t="str">
        <f aca="false">IF(ISBLANK($C23),"",AU23)</f>
        <v/>
      </c>
      <c r="BC23" s="106" t="str">
        <f aca="false">IF(ISBLANK($C23),"",AT23)</f>
        <v/>
      </c>
      <c r="BD23" s="107" t="str">
        <f aca="false">IF(ISBLANK($C23),"",IFERROR(_xlfn.SWITCH(BC23,Constants!$B$4,COUNTA($C$8:$C$507)+2,Constants!$B$5,COUNTA($C$8:$C$507)+1,Constants!$B$6,COUNTA($C$8:$C$507)),BC23))</f>
        <v/>
      </c>
      <c r="BE23" s="5"/>
      <c r="BF23" s="108" t="n">
        <f aca="false">IF(OR(ISNUMBER(BC23),BC23=Constants!$B$4,BC23=Constants!$B$6,BC23=Constants!$B$5),1,0)</f>
        <v>0</v>
      </c>
      <c r="BG23" s="108" t="n">
        <v>16</v>
      </c>
      <c r="BH23" s="108" t="str">
        <f aca="false">IF(ISBLANK($C23),"",IF(ISNUMBER(BD23),BD23+ROW($B23)/1000,""))</f>
        <v/>
      </c>
      <c r="BI23" s="108" t="str">
        <f aca="false">IF(ISNUMBER(BH23),RANK(BH23,$BH$8:$BH$507,1),"")</f>
        <v/>
      </c>
      <c r="BJ23" s="108" t="str">
        <f aca="false">IF(ISBLANK($C23),"",$B23)</f>
        <v/>
      </c>
      <c r="BK23" s="108" t="str">
        <f aca="false">IF(ISBLANK($C23),"",$C23)</f>
        <v/>
      </c>
      <c r="BL23" s="108" t="str">
        <f aca="false">IF(ISBLANK($C23),"",$D23)</f>
        <v/>
      </c>
      <c r="BM23" s="109" t="str">
        <f aca="false">BA23</f>
        <v/>
      </c>
      <c r="BN23" s="110" t="str">
        <f aca="false">AZ23</f>
        <v/>
      </c>
      <c r="BO23" s="108" t="str">
        <f aca="false">IF(ISBLANK($C23),"",BC23)</f>
        <v/>
      </c>
      <c r="BP23" s="111" t="str">
        <f aca="false">IF($BG23&gt;$BF$7,"",VLOOKUP($BG23,$BI$8:$BO$507,7,FALSE()))</f>
        <v/>
      </c>
      <c r="BQ23" s="112" t="str">
        <f aca="false">IF($BG23&gt;$BF$7,"",VLOOKUP($BG23,$BI$8:$BO$507,2,FALSE()))</f>
        <v/>
      </c>
      <c r="BR23" s="112" t="str">
        <f aca="false">IF($BG23&gt;$BF$7,"",VLOOKUP($BG23,$BI$8:$BO$507,3,FALSE()))</f>
        <v/>
      </c>
      <c r="BS23" s="112" t="str">
        <f aca="false">IF($BG23&gt;$BF$7,"",VLOOKUP($BG23,$BI$8:$BO$507,4,FALSE()))</f>
        <v/>
      </c>
      <c r="BT23" s="112" t="str">
        <f aca="false">IF($BG23&gt;$BF$7,"",VLOOKUP($BG23,$BI$8:$BO$507,5,FALSE()))</f>
        <v/>
      </c>
      <c r="BU23" s="113" t="str">
        <f aca="false">IF($BG23&gt;$BF$7,"",VLOOKUP($BG23,$BI$8:$BO$507,6,FALSE()))</f>
        <v/>
      </c>
      <c r="BV23" s="54"/>
    </row>
    <row r="24" customFormat="false" ht="15.75" hidden="false" customHeight="false" outlineLevel="0" collapsed="false">
      <c r="A24" s="5"/>
      <c r="B24" s="128"/>
      <c r="C24" s="129"/>
      <c r="D24" s="114"/>
      <c r="E24" s="130"/>
      <c r="F24" s="131"/>
      <c r="G24" s="93"/>
      <c r="H24" s="132"/>
      <c r="I24" s="95"/>
      <c r="J24" s="95"/>
      <c r="K24" s="93"/>
      <c r="L24" s="133"/>
      <c r="M24" s="95"/>
      <c r="N24" s="95"/>
      <c r="O24" s="93"/>
      <c r="P24" s="134"/>
      <c r="Q24" s="98"/>
      <c r="R24" s="99" t="str">
        <f aca="false">IF(ISBLANK($C24),"",IF(E24=Constants!$B$2, TRUE(), IF(E24=Constants!$B$3, FALSE(), TRUE())))</f>
        <v/>
      </c>
      <c r="S24" s="99" t="str">
        <f aca="false">IF(ISBLANK($C24),"",IF(F24=Constants!$B$2, TRUE(), IF(F24=Constants!$B$3, FALSE(), TRUE())))</f>
        <v/>
      </c>
      <c r="T24" s="99" t="str">
        <f aca="false">IF(ISBLANK($C24),"",IF(G24=Constants!$B$16,Constants!$B$9,IF(G24=Constants!$B$17,Constants!$B$10,Constants!$B$8)))</f>
        <v/>
      </c>
      <c r="U24" s="99" t="str">
        <f aca="false">IF(ISBLANK($C24),"",IF(H24=Constants!$B$19,Constants!$B$19,Constants!$B$18))</f>
        <v/>
      </c>
      <c r="V24" s="99" t="str">
        <f aca="false">IF(ISBLANK($C24),"",IF(ISNUMBER(I24),IF(I24&gt;=0,I24,""),""))</f>
        <v/>
      </c>
      <c r="W24" s="99" t="str">
        <f aca="false">IF(ISBLANK($C24),"",IF(J24=Constants!$B$2, TRUE(), IF(J24=Constants!$B$3, FALSE(), TRUE())))</f>
        <v/>
      </c>
      <c r="X24" s="99" t="str">
        <f aca="false">IF(ISBLANK($C24),"",IF(K24=Constants!$B$2, TRUE(), IF(K24=Constants!$B$3, FALSE(), TRUE())))</f>
        <v/>
      </c>
      <c r="Y24" s="99" t="str">
        <f aca="false">IF(ISBLANK($C24),"",IF(L24=Constants!$B$19,Constants!$B$19,Constants!$B$18))</f>
        <v/>
      </c>
      <c r="Z24" s="99" t="str">
        <f aca="false">IF(ISBLANK($C24),"",IF(ISNUMBER(M24),IF(M24&gt;=0,M24,""),""))</f>
        <v/>
      </c>
      <c r="AA24" s="99" t="str">
        <f aca="false">IF(ISBLANK($C24),"",IF(N24=Constants!$B$2, TRUE(), IF(N24=Constants!$B$3, FALSE(), TRUE())))</f>
        <v/>
      </c>
      <c r="AB24" s="99" t="str">
        <f aca="false">IF(ISBLANK($C24),"",IF(O24=Constants!$B$2, TRUE(), IF(O24=Constants!$B$3, FALSE(), TRUE())))</f>
        <v/>
      </c>
      <c r="AC24" s="99" t="str">
        <f aca="false">IF(ISBLANK($C24),"",IF(P24=Constants!$B$2, TRUE(), IF(P24=Constants!$B$3, FALSE(), FALSE())))</f>
        <v/>
      </c>
      <c r="AD24" s="99" t="str">
        <f aca="false">IF(ISBLANK($C24),"",AND(V24&lt;&gt;"",IF(U24=Constants!$B$19,S24,R24)))</f>
        <v/>
      </c>
      <c r="AE24" s="99" t="str">
        <f aca="false">IF(ISBLANK($C24),"",AND(Z24&lt;&gt;"",IF(Y24=Constants!$B$19,S24,R24)))</f>
        <v/>
      </c>
      <c r="AF24" s="99" t="str">
        <f aca="false">IF(ISBLANK($C24),"",IF(AC24,Constants!$B$4,IF(COUNTA(E24:O24)=0,Constants!$B$5,IF(AND(NOT(AD24),NOT(AE24)),Constants!$B$6,Constants!$B$7))))</f>
        <v/>
      </c>
      <c r="AG24" s="99" t="str">
        <f aca="false">IF(ISBLANK($C24),"",IF($AF24&lt;&gt;Constants!$B$7,$AF24,Constants!$B$20))</f>
        <v/>
      </c>
      <c r="AH24" s="99" t="str">
        <f aca="false">IF($AF24=Constants!$B$7,IF(AD24,V24,Constants!$B$13),"")</f>
        <v/>
      </c>
      <c r="AI24" s="99" t="str">
        <f aca="false">IF($AF24=Constants!$B$7,IF(AD24,T24*IF(W24, 1, Constants!$B$11)*IF(X24, 1, Constants!$B$12),Constants!$B$13),"")</f>
        <v/>
      </c>
      <c r="AJ24" s="99" t="str">
        <f aca="false">IF($AF24=Constants!$B$7,AH24*AI24,"")</f>
        <v/>
      </c>
      <c r="AK24" s="99" t="str">
        <f aca="false">IF($AF24=Constants!$B$7,IF(AE24,Z24,Constants!$B$13),"")</f>
        <v/>
      </c>
      <c r="AL24" s="99" t="str">
        <f aca="false">IF($AF24=Constants!$B$7,IF(AE24,T24*IF(AA24, 1, Constants!$B$11)*IF(AB24, 1, Constants!$B$12),Constants!$B$13),"")</f>
        <v/>
      </c>
      <c r="AM24" s="99" t="str">
        <f aca="false">IF($AF24=Constants!$B$7,AK24*AL24,"")</f>
        <v/>
      </c>
      <c r="AN24" s="99" t="str">
        <f aca="false">IF($AF24=Constants!$B$7,IF(AM24&gt;AJ24,2,1),"")</f>
        <v/>
      </c>
      <c r="AO24" s="99" t="str">
        <f aca="false">IF($AF24=Constants!$B$7,IF(AN24=1,2,1),"")</f>
        <v/>
      </c>
      <c r="AP24" s="99" t="str">
        <f aca="false">IF(ISBLANK($C24),"",IF($AF24&lt;&gt;Constants!$B$7,$AF24,IF(AN24=1,AJ24,AM24)))</f>
        <v/>
      </c>
      <c r="AQ24" s="99" t="str">
        <f aca="false">IF(ISBLANK($C24),"",IF($AF24=Constants!$B$7,IF(ISNUMBER(AP24),RANK(AP24,$AP$8:$AP$507),Constants!$B$14),$AF24))</f>
        <v/>
      </c>
      <c r="AR24" s="99" t="str">
        <f aca="false">IF(ISBLANK($C24),"",IF($AF24=Constants!$B$7,IF(AO24=1,AJ24,AM24),""))</f>
        <v/>
      </c>
      <c r="AS24" s="99" t="str">
        <f aca="false">IF(ISBLANK($C24),"",IF($AF24=Constants!$B$7,RANK(AR24,$AR$8:$AR$507),$AF24))</f>
        <v/>
      </c>
      <c r="AT24" s="99" t="str">
        <f aca="false">IF(ISBLANK($C24),"",IF($AF24=Constants!$B$7,IF(ISNUMBER(AQ24),COUNTIFS($AQ$8:$AQ$507,"&lt;"&amp;$AQ24)+COUNTIFS($AQ$8:$AQ$507,$AQ24,$AS$8:$AS$507,"&lt;"&amp;$AS24)+1,Constants!$B$14),$AF24))</f>
        <v/>
      </c>
      <c r="AU24" s="99" t="str">
        <f aca="false">IF(ISBLANK($C24),"",IF($AF24=Constants!$B$7,IF(ISNUMBER(AQ24),AQ24-AT24,Constants!$B$14),$AF24))</f>
        <v/>
      </c>
      <c r="AV24" s="100"/>
      <c r="AW24" s="101" t="str">
        <f aca="false">IF(ISBLANK($C24),"",IF($AF24&lt;&gt;Constants!$B$7,"",AN24))</f>
        <v/>
      </c>
      <c r="AX24" s="102" t="str">
        <f aca="false">IF(ISBLANK($C24),"",IF($AF24&lt;&gt;Constants!$B$7,"",IF(AN24=1,AH24,AK24)))</f>
        <v/>
      </c>
      <c r="AY24" s="103" t="str">
        <f aca="false">IF(ISBLANK($C24),"",IF($AF24&lt;&gt;Constants!$B$7,"",IF(AN24=1,AI24,AL24)))</f>
        <v/>
      </c>
      <c r="AZ24" s="104" t="str">
        <f aca="false">IF(ISBLANK($C24),"",IF($AF24&lt;&gt;Constants!$B$7,$AF24,AP24))</f>
        <v/>
      </c>
      <c r="BA24" s="105" t="str">
        <f aca="false">IF(ISBLANK($C24),"",IF($AF24&lt;&gt;Constants!$B$7,$AF24,AG24))</f>
        <v/>
      </c>
      <c r="BB24" s="106" t="str">
        <f aca="false">IF(ISBLANK($C24),"",AU24)</f>
        <v/>
      </c>
      <c r="BC24" s="106" t="str">
        <f aca="false">IF(ISBLANK($C24),"",AT24)</f>
        <v/>
      </c>
      <c r="BD24" s="107" t="str">
        <f aca="false">IF(ISBLANK($C24),"",IFERROR(_xlfn.SWITCH(BC24,Constants!$B$4,COUNTA($C$8:$C$507)+2,Constants!$B$5,COUNTA($C$8:$C$507)+1,Constants!$B$6,COUNTA($C$8:$C$507)),BC24))</f>
        <v/>
      </c>
      <c r="BE24" s="5"/>
      <c r="BF24" s="108" t="n">
        <f aca="false">IF(OR(ISNUMBER(BC24),BC24=Constants!$B$4,BC24=Constants!$B$6,BC24=Constants!$B$5),1,0)</f>
        <v>0</v>
      </c>
      <c r="BG24" s="108" t="n">
        <v>17</v>
      </c>
      <c r="BH24" s="108" t="str">
        <f aca="false">IF(ISBLANK($C24),"",IF(ISNUMBER(BD24),BD24+ROW($B24)/1000,""))</f>
        <v/>
      </c>
      <c r="BI24" s="108" t="str">
        <f aca="false">IF(ISNUMBER(BH24),RANK(BH24,$BH$8:$BH$507,1),"")</f>
        <v/>
      </c>
      <c r="BJ24" s="108" t="str">
        <f aca="false">IF(ISBLANK($C24),"",$B24)</f>
        <v/>
      </c>
      <c r="BK24" s="108" t="str">
        <f aca="false">IF(ISBLANK($C24),"",$C24)</f>
        <v/>
      </c>
      <c r="BL24" s="108" t="str">
        <f aca="false">IF(ISBLANK($C24),"",$D24)</f>
        <v/>
      </c>
      <c r="BM24" s="109" t="str">
        <f aca="false">BA24</f>
        <v/>
      </c>
      <c r="BN24" s="110" t="str">
        <f aca="false">AZ24</f>
        <v/>
      </c>
      <c r="BO24" s="108" t="str">
        <f aca="false">IF(ISBLANK($C24),"",BC24)</f>
        <v/>
      </c>
      <c r="BP24" s="111" t="str">
        <f aca="false">IF($BG24&gt;$BF$7,"",VLOOKUP($BG24,$BI$8:$BO$507,7,FALSE()))</f>
        <v/>
      </c>
      <c r="BQ24" s="112" t="str">
        <f aca="false">IF($BG24&gt;$BF$7,"",VLOOKUP($BG24,$BI$8:$BO$507,2,FALSE()))</f>
        <v/>
      </c>
      <c r="BR24" s="112" t="str">
        <f aca="false">IF($BG24&gt;$BF$7,"",VLOOKUP($BG24,$BI$8:$BO$507,3,FALSE()))</f>
        <v/>
      </c>
      <c r="BS24" s="112" t="str">
        <f aca="false">IF($BG24&gt;$BF$7,"",VLOOKUP($BG24,$BI$8:$BO$507,4,FALSE()))</f>
        <v/>
      </c>
      <c r="BT24" s="112" t="str">
        <f aca="false">IF($BG24&gt;$BF$7,"",VLOOKUP($BG24,$BI$8:$BO$507,5,FALSE()))</f>
        <v/>
      </c>
      <c r="BU24" s="113" t="str">
        <f aca="false">IF($BG24&gt;$BF$7,"",VLOOKUP($BG24,$BI$8:$BO$507,6,FALSE()))</f>
        <v/>
      </c>
      <c r="BV24" s="54"/>
    </row>
    <row r="25" customFormat="false" ht="15.75" hidden="false" customHeight="false" outlineLevel="0" collapsed="false">
      <c r="A25" s="5"/>
      <c r="B25" s="128"/>
      <c r="C25" s="129"/>
      <c r="D25" s="114"/>
      <c r="E25" s="130"/>
      <c r="F25" s="131"/>
      <c r="G25" s="93"/>
      <c r="H25" s="132"/>
      <c r="I25" s="95"/>
      <c r="J25" s="95"/>
      <c r="K25" s="93"/>
      <c r="L25" s="133"/>
      <c r="M25" s="95"/>
      <c r="N25" s="95"/>
      <c r="O25" s="93"/>
      <c r="P25" s="134"/>
      <c r="Q25" s="98"/>
      <c r="R25" s="99" t="str">
        <f aca="false">IF(ISBLANK($C25),"",IF(E25=Constants!$B$2, TRUE(), IF(E25=Constants!$B$3, FALSE(), TRUE())))</f>
        <v/>
      </c>
      <c r="S25" s="99" t="str">
        <f aca="false">IF(ISBLANK($C25),"",IF(F25=Constants!$B$2, TRUE(), IF(F25=Constants!$B$3, FALSE(), TRUE())))</f>
        <v/>
      </c>
      <c r="T25" s="99" t="str">
        <f aca="false">IF(ISBLANK($C25),"",IF(G25=Constants!$B$16,Constants!$B$9,IF(G25=Constants!$B$17,Constants!$B$10,Constants!$B$8)))</f>
        <v/>
      </c>
      <c r="U25" s="99" t="str">
        <f aca="false">IF(ISBLANK($C25),"",IF(H25=Constants!$B$19,Constants!$B$19,Constants!$B$18))</f>
        <v/>
      </c>
      <c r="V25" s="99" t="str">
        <f aca="false">IF(ISBLANK($C25),"",IF(ISNUMBER(I25),IF(I25&gt;=0,I25,""),""))</f>
        <v/>
      </c>
      <c r="W25" s="99" t="str">
        <f aca="false">IF(ISBLANK($C25),"",IF(J25=Constants!$B$2, TRUE(), IF(J25=Constants!$B$3, FALSE(), TRUE())))</f>
        <v/>
      </c>
      <c r="X25" s="99" t="str">
        <f aca="false">IF(ISBLANK($C25),"",IF(K25=Constants!$B$2, TRUE(), IF(K25=Constants!$B$3, FALSE(), TRUE())))</f>
        <v/>
      </c>
      <c r="Y25" s="99" t="str">
        <f aca="false">IF(ISBLANK($C25),"",IF(L25=Constants!$B$19,Constants!$B$19,Constants!$B$18))</f>
        <v/>
      </c>
      <c r="Z25" s="99" t="str">
        <f aca="false">IF(ISBLANK($C25),"",IF(ISNUMBER(M25),IF(M25&gt;=0,M25,""),""))</f>
        <v/>
      </c>
      <c r="AA25" s="99" t="str">
        <f aca="false">IF(ISBLANK($C25),"",IF(N25=Constants!$B$2, TRUE(), IF(N25=Constants!$B$3, FALSE(), TRUE())))</f>
        <v/>
      </c>
      <c r="AB25" s="99" t="str">
        <f aca="false">IF(ISBLANK($C25),"",IF(O25=Constants!$B$2, TRUE(), IF(O25=Constants!$B$3, FALSE(), TRUE())))</f>
        <v/>
      </c>
      <c r="AC25" s="99" t="str">
        <f aca="false">IF(ISBLANK($C25),"",IF(P25=Constants!$B$2, TRUE(), IF(P25=Constants!$B$3, FALSE(), FALSE())))</f>
        <v/>
      </c>
      <c r="AD25" s="99" t="str">
        <f aca="false">IF(ISBLANK($C25),"",AND(V25&lt;&gt;"",IF(U25=Constants!$B$19,S25,R25)))</f>
        <v/>
      </c>
      <c r="AE25" s="99" t="str">
        <f aca="false">IF(ISBLANK($C25),"",AND(Z25&lt;&gt;"",IF(Y25=Constants!$B$19,S25,R25)))</f>
        <v/>
      </c>
      <c r="AF25" s="99" t="str">
        <f aca="false">IF(ISBLANK($C25),"",IF(AC25,Constants!$B$4,IF(COUNTA(E25:O25)=0,Constants!$B$5,IF(AND(NOT(AD25),NOT(AE25)),Constants!$B$6,Constants!$B$7))))</f>
        <v/>
      </c>
      <c r="AG25" s="99" t="str">
        <f aca="false">IF(ISBLANK($C25),"",IF($AF25&lt;&gt;Constants!$B$7,$AF25,Constants!$B$20))</f>
        <v/>
      </c>
      <c r="AH25" s="99" t="str">
        <f aca="false">IF($AF25=Constants!$B$7,IF(AD25,V25,Constants!$B$13),"")</f>
        <v/>
      </c>
      <c r="AI25" s="99" t="str">
        <f aca="false">IF($AF25=Constants!$B$7,IF(AD25,T25*IF(W25, 1, Constants!$B$11)*IF(X25, 1, Constants!$B$12),Constants!$B$13),"")</f>
        <v/>
      </c>
      <c r="AJ25" s="99" t="str">
        <f aca="false">IF($AF25=Constants!$B$7,AH25*AI25,"")</f>
        <v/>
      </c>
      <c r="AK25" s="99" t="str">
        <f aca="false">IF($AF25=Constants!$B$7,IF(AE25,Z25,Constants!$B$13),"")</f>
        <v/>
      </c>
      <c r="AL25" s="99" t="str">
        <f aca="false">IF($AF25=Constants!$B$7,IF(AE25,T25*IF(AA25, 1, Constants!$B$11)*IF(AB25, 1, Constants!$B$12),Constants!$B$13),"")</f>
        <v/>
      </c>
      <c r="AM25" s="99" t="str">
        <f aca="false">IF($AF25=Constants!$B$7,AK25*AL25,"")</f>
        <v/>
      </c>
      <c r="AN25" s="99" t="str">
        <f aca="false">IF($AF25=Constants!$B$7,IF(AM25&gt;AJ25,2,1),"")</f>
        <v/>
      </c>
      <c r="AO25" s="99" t="str">
        <f aca="false">IF($AF25=Constants!$B$7,IF(AN25=1,2,1),"")</f>
        <v/>
      </c>
      <c r="AP25" s="99" t="str">
        <f aca="false">IF(ISBLANK($C25),"",IF($AF25&lt;&gt;Constants!$B$7,$AF25,IF(AN25=1,AJ25,AM25)))</f>
        <v/>
      </c>
      <c r="AQ25" s="99" t="str">
        <f aca="false">IF(ISBLANK($C25),"",IF($AF25=Constants!$B$7,IF(ISNUMBER(AP25),RANK(AP25,$AP$8:$AP$507),Constants!$B$14),$AF25))</f>
        <v/>
      </c>
      <c r="AR25" s="99" t="str">
        <f aca="false">IF(ISBLANK($C25),"",IF($AF25=Constants!$B$7,IF(AO25=1,AJ25,AM25),""))</f>
        <v/>
      </c>
      <c r="AS25" s="99" t="str">
        <f aca="false">IF(ISBLANK($C25),"",IF($AF25=Constants!$B$7,RANK(AR25,$AR$8:$AR$507),$AF25))</f>
        <v/>
      </c>
      <c r="AT25" s="99" t="str">
        <f aca="false">IF(ISBLANK($C25),"",IF($AF25=Constants!$B$7,IF(ISNUMBER(AQ25),COUNTIFS($AQ$8:$AQ$507,"&lt;"&amp;$AQ25)+COUNTIFS($AQ$8:$AQ$507,$AQ25,$AS$8:$AS$507,"&lt;"&amp;$AS25)+1,Constants!$B$14),$AF25))</f>
        <v/>
      </c>
      <c r="AU25" s="99" t="str">
        <f aca="false">IF(ISBLANK($C25),"",IF($AF25=Constants!$B$7,IF(ISNUMBER(AQ25),AQ25-AT25,Constants!$B$14),$AF25))</f>
        <v/>
      </c>
      <c r="AV25" s="100"/>
      <c r="AW25" s="101" t="str">
        <f aca="false">IF(ISBLANK($C25),"",IF($AF25&lt;&gt;Constants!$B$7,"",AN25))</f>
        <v/>
      </c>
      <c r="AX25" s="102" t="str">
        <f aca="false">IF(ISBLANK($C25),"",IF($AF25&lt;&gt;Constants!$B$7,"",IF(AN25=1,AH25,AK25)))</f>
        <v/>
      </c>
      <c r="AY25" s="103" t="str">
        <f aca="false">IF(ISBLANK($C25),"",IF($AF25&lt;&gt;Constants!$B$7,"",IF(AN25=1,AI25,AL25)))</f>
        <v/>
      </c>
      <c r="AZ25" s="104" t="str">
        <f aca="false">IF(ISBLANK($C25),"",IF($AF25&lt;&gt;Constants!$B$7,$AF25,AP25))</f>
        <v/>
      </c>
      <c r="BA25" s="105" t="str">
        <f aca="false">IF(ISBLANK($C25),"",IF($AF25&lt;&gt;Constants!$B$7,$AF25,AG25))</f>
        <v/>
      </c>
      <c r="BB25" s="106" t="str">
        <f aca="false">IF(ISBLANK($C25),"",AU25)</f>
        <v/>
      </c>
      <c r="BC25" s="106" t="str">
        <f aca="false">IF(ISBLANK($C25),"",AT25)</f>
        <v/>
      </c>
      <c r="BD25" s="107" t="str">
        <f aca="false">IF(ISBLANK($C25),"",IFERROR(_xlfn.SWITCH(BC25,Constants!$B$4,COUNTA($C$8:$C$507)+2,Constants!$B$5,COUNTA($C$8:$C$507)+1,Constants!$B$6,COUNTA($C$8:$C$507)),BC25))</f>
        <v/>
      </c>
      <c r="BE25" s="5"/>
      <c r="BF25" s="108" t="n">
        <f aca="false">IF(OR(ISNUMBER(BC25),BC25=Constants!$B$4,BC25=Constants!$B$6,BC25=Constants!$B$5),1,0)</f>
        <v>0</v>
      </c>
      <c r="BG25" s="108" t="n">
        <v>18</v>
      </c>
      <c r="BH25" s="108" t="str">
        <f aca="false">IF(ISBLANK($C25),"",IF(ISNUMBER(BD25),BD25+ROW($B25)/1000,""))</f>
        <v/>
      </c>
      <c r="BI25" s="108" t="str">
        <f aca="false">IF(ISNUMBER(BH25),RANK(BH25,$BH$8:$BH$507,1),"")</f>
        <v/>
      </c>
      <c r="BJ25" s="108" t="str">
        <f aca="false">IF(ISBLANK($C25),"",$B25)</f>
        <v/>
      </c>
      <c r="BK25" s="108" t="str">
        <f aca="false">IF(ISBLANK($C25),"",$C25)</f>
        <v/>
      </c>
      <c r="BL25" s="108" t="str">
        <f aca="false">IF(ISBLANK($C25),"",$D25)</f>
        <v/>
      </c>
      <c r="BM25" s="109" t="str">
        <f aca="false">BA25</f>
        <v/>
      </c>
      <c r="BN25" s="110" t="str">
        <f aca="false">AZ25</f>
        <v/>
      </c>
      <c r="BO25" s="108" t="str">
        <f aca="false">IF(ISBLANK($C25),"",BC25)</f>
        <v/>
      </c>
      <c r="BP25" s="111" t="str">
        <f aca="false">IF($BG25&gt;$BF$7,"",VLOOKUP($BG25,$BI$8:$BO$507,7,FALSE()))</f>
        <v/>
      </c>
      <c r="BQ25" s="112" t="str">
        <f aca="false">IF($BG25&gt;$BF$7,"",VLOOKUP($BG25,$BI$8:$BO$507,2,FALSE()))</f>
        <v/>
      </c>
      <c r="BR25" s="112" t="str">
        <f aca="false">IF($BG25&gt;$BF$7,"",VLOOKUP($BG25,$BI$8:$BO$507,3,FALSE()))</f>
        <v/>
      </c>
      <c r="BS25" s="112" t="str">
        <f aca="false">IF($BG25&gt;$BF$7,"",VLOOKUP($BG25,$BI$8:$BO$507,4,FALSE()))</f>
        <v/>
      </c>
      <c r="BT25" s="112" t="str">
        <f aca="false">IF($BG25&gt;$BF$7,"",VLOOKUP($BG25,$BI$8:$BO$507,5,FALSE()))</f>
        <v/>
      </c>
      <c r="BU25" s="113" t="str">
        <f aca="false">IF($BG25&gt;$BF$7,"",VLOOKUP($BG25,$BI$8:$BO$507,6,FALSE()))</f>
        <v/>
      </c>
      <c r="BV25" s="54"/>
    </row>
    <row r="26" customFormat="false" ht="15.75" hidden="false" customHeight="false" outlineLevel="0" collapsed="false">
      <c r="A26" s="5"/>
      <c r="B26" s="135"/>
      <c r="C26" s="56"/>
      <c r="D26" s="57"/>
      <c r="E26" s="124"/>
      <c r="F26" s="125"/>
      <c r="G26" s="60"/>
      <c r="H26" s="126"/>
      <c r="I26" s="62"/>
      <c r="J26" s="62"/>
      <c r="K26" s="60"/>
      <c r="L26" s="127"/>
      <c r="M26" s="62"/>
      <c r="N26" s="62"/>
      <c r="O26" s="60"/>
      <c r="P26" s="84"/>
      <c r="Q26" s="65"/>
      <c r="R26" s="67" t="str">
        <f aca="false">IF(ISBLANK($C26),"",IF(E26=Constants!$B$2, TRUE(), IF(E26=Constants!$B$3, FALSE(), TRUE())))</f>
        <v/>
      </c>
      <c r="S26" s="67" t="str">
        <f aca="false">IF(ISBLANK($C26),"",IF(F26=Constants!$B$2, TRUE(), IF(F26=Constants!$B$3, FALSE(), TRUE())))</f>
        <v/>
      </c>
      <c r="T26" s="67" t="str">
        <f aca="false">IF(ISBLANK($C26),"",IF(G26=Constants!$B$16,Constants!$B$9,IF(G26=Constants!$B$17,Constants!$B$10,Constants!$B$8)))</f>
        <v/>
      </c>
      <c r="U26" s="67" t="str">
        <f aca="false">IF(ISBLANK($C26),"",IF(H26=Constants!$B$19,Constants!$B$19,Constants!$B$18))</f>
        <v/>
      </c>
      <c r="V26" s="67" t="str">
        <f aca="false">IF(ISBLANK($C26),"",IF(ISNUMBER(I26),IF(I26&gt;=0,I26,""),""))</f>
        <v/>
      </c>
      <c r="W26" s="67" t="str">
        <f aca="false">IF(ISBLANK($C26),"",IF(J26=Constants!$B$2, TRUE(), IF(J26=Constants!$B$3, FALSE(), TRUE())))</f>
        <v/>
      </c>
      <c r="X26" s="67" t="str">
        <f aca="false">IF(ISBLANK($C26),"",IF(K26=Constants!$B$2, TRUE(), IF(K26=Constants!$B$3, FALSE(), TRUE())))</f>
        <v/>
      </c>
      <c r="Y26" s="67" t="str">
        <f aca="false">IF(ISBLANK($C26),"",IF(L26=Constants!$B$19,Constants!$B$19,Constants!$B$18))</f>
        <v/>
      </c>
      <c r="Z26" s="67" t="str">
        <f aca="false">IF(ISBLANK($C26),"",IF(ISNUMBER(M26),IF(M26&gt;=0,M26,""),""))</f>
        <v/>
      </c>
      <c r="AA26" s="67" t="str">
        <f aca="false">IF(ISBLANK($C26),"",IF(N26=Constants!$B$2, TRUE(), IF(N26=Constants!$B$3, FALSE(), TRUE())))</f>
        <v/>
      </c>
      <c r="AB26" s="67" t="str">
        <f aca="false">IF(ISBLANK($C26),"",IF(O26=Constants!$B$2, TRUE(), IF(O26=Constants!$B$3, FALSE(), TRUE())))</f>
        <v/>
      </c>
      <c r="AC26" s="67" t="str">
        <f aca="false">IF(ISBLANK($C26),"",IF(P26=Constants!$B$2, TRUE(), IF(P26=Constants!$B$3, FALSE(), FALSE())))</f>
        <v/>
      </c>
      <c r="AD26" s="67" t="str">
        <f aca="false">IF(ISBLANK($C26),"",AND(V26&lt;&gt;"",IF(U26=Constants!$B$19,S26,R26)))</f>
        <v/>
      </c>
      <c r="AE26" s="67" t="str">
        <f aca="false">IF(ISBLANK($C26),"",AND(Z26&lt;&gt;"",IF(Y26=Constants!$B$19,S26,R26)))</f>
        <v/>
      </c>
      <c r="AF26" s="67" t="str">
        <f aca="false">IF(ISBLANK($C26),"",IF(AC26,Constants!$B$4,IF(COUNTA(E26:O26)=0,Constants!$B$5,IF(AND(NOT(AD26),NOT(AE26)),Constants!$B$6,Constants!$B$7))))</f>
        <v/>
      </c>
      <c r="AG26" s="67" t="str">
        <f aca="false">IF(ISBLANK($C26),"",IF($AF26&lt;&gt;Constants!$B$7,$AF26,Constants!$B$20))</f>
        <v/>
      </c>
      <c r="AH26" s="67" t="str">
        <f aca="false">IF($AF26=Constants!$B$7,IF(AD26,V26,Constants!$B$13),"")</f>
        <v/>
      </c>
      <c r="AI26" s="67" t="str">
        <f aca="false">IF($AF26=Constants!$B$7,IF(AD26,T26*IF(W26, 1, Constants!$B$11)*IF(X26, 1, Constants!$B$12),Constants!$B$13),"")</f>
        <v/>
      </c>
      <c r="AJ26" s="67" t="str">
        <f aca="false">IF($AF26=Constants!$B$7,AH26*AI26,"")</f>
        <v/>
      </c>
      <c r="AK26" s="67" t="str">
        <f aca="false">IF($AF26=Constants!$B$7,IF(AE26,Z26,Constants!$B$13),"")</f>
        <v/>
      </c>
      <c r="AL26" s="67" t="str">
        <f aca="false">IF($AF26=Constants!$B$7,IF(AE26,T26*IF(AA26, 1, Constants!$B$11)*IF(AB26, 1, Constants!$B$12),Constants!$B$13),"")</f>
        <v/>
      </c>
      <c r="AM26" s="67" t="str">
        <f aca="false">IF($AF26=Constants!$B$7,AK26*AL26,"")</f>
        <v/>
      </c>
      <c r="AN26" s="67" t="str">
        <f aca="false">IF($AF26=Constants!$B$7,IF(AM26&gt;AJ26,2,1),"")</f>
        <v/>
      </c>
      <c r="AO26" s="67" t="str">
        <f aca="false">IF($AF26=Constants!$B$7,IF(AN26=1,2,1),"")</f>
        <v/>
      </c>
      <c r="AP26" s="67" t="str">
        <f aca="false">IF(ISBLANK($C26),"",IF($AF26&lt;&gt;Constants!$B$7,$AF26,IF(AN26=1,AJ26,AM26)))</f>
        <v/>
      </c>
      <c r="AQ26" s="67" t="str">
        <f aca="false">IF(ISBLANK($C26),"",IF($AF26=Constants!$B$7,IF(ISNUMBER(AP26),RANK(AP26,$AP$8:$AP$507),Constants!$B$14),$AF26))</f>
        <v/>
      </c>
      <c r="AR26" s="67" t="str">
        <f aca="false">IF(ISBLANK($C26),"",IF($AF26=Constants!$B$7,IF(AO26=1,AJ26,AM26),""))</f>
        <v/>
      </c>
      <c r="AS26" s="67" t="str">
        <f aca="false">IF(ISBLANK($C26),"",IF($AF26=Constants!$B$7,RANK(AR26,$AR$8:$AR$507),$AF26))</f>
        <v/>
      </c>
      <c r="AT26" s="67" t="str">
        <f aca="false">IF(ISBLANK($C26),"",IF($AF26=Constants!$B$7,IF(ISNUMBER(AQ26),COUNTIFS($AQ$8:$AQ$507,"&lt;"&amp;$AQ26)+COUNTIFS($AQ$8:$AQ$507,$AQ26,$AS$8:$AS$507,"&lt;"&amp;$AS26)+1,Constants!$B$14),$AF26))</f>
        <v/>
      </c>
      <c r="AU26" s="67" t="str">
        <f aca="false">IF(ISBLANK($C26),"",IF($AF26=Constants!$B$7,IF(ISNUMBER(AQ26),AQ26-AT26,Constants!$B$14),$AF26))</f>
        <v/>
      </c>
      <c r="AV26" s="69"/>
      <c r="AW26" s="70" t="str">
        <f aca="false">IF(ISBLANK($C26),"",IF($AF26&lt;&gt;Constants!$B$7,"",AN26))</f>
        <v/>
      </c>
      <c r="AX26" s="85" t="str">
        <f aca="false">IF(ISBLANK($C26),"",IF($AF26&lt;&gt;Constants!$B$7,"",IF(AN26=1,AH26,AK26)))</f>
        <v/>
      </c>
      <c r="AY26" s="72" t="str">
        <f aca="false">IF(ISBLANK($C26),"",IF($AF26&lt;&gt;Constants!$B$7,"",IF(AN26=1,AI26,AL26)))</f>
        <v/>
      </c>
      <c r="AZ26" s="73" t="str">
        <f aca="false">IF(ISBLANK($C26),"",IF($AF26&lt;&gt;Constants!$B$7,$AF26,AP26))</f>
        <v/>
      </c>
      <c r="BA26" s="74" t="str">
        <f aca="false">IF(ISBLANK($C26),"",IF($AF26&lt;&gt;Constants!$B$7,$AF26,AG26))</f>
        <v/>
      </c>
      <c r="BB26" s="75" t="str">
        <f aca="false">IF(ISBLANK($C26),"",AU26)</f>
        <v/>
      </c>
      <c r="BC26" s="75" t="str">
        <f aca="false">IF(ISBLANK($C26),"",AT26)</f>
        <v/>
      </c>
      <c r="BD26" s="76" t="str">
        <f aca="false">IF(ISBLANK($C26),"",IFERROR(_xlfn.SWITCH(BC26,Constants!$B$4,COUNTA($C$8:$C$507)+2,Constants!$B$5,COUNTA($C$8:$C$507)+1,Constants!$B$6,COUNTA($C$8:$C$507)),BC26))</f>
        <v/>
      </c>
      <c r="BE26" s="5"/>
      <c r="BF26" s="77" t="n">
        <f aca="false">IF(OR(ISNUMBER(BC26),BC26=Constants!$B$4,BC26=Constants!$B$6,BC26=Constants!$B$5),1,0)</f>
        <v>0</v>
      </c>
      <c r="BG26" s="77" t="n">
        <v>19</v>
      </c>
      <c r="BH26" s="77" t="str">
        <f aca="false">IF(ISBLANK($C26),"",IF(ISNUMBER(BD26),BD26+ROW($B26)/1000,""))</f>
        <v/>
      </c>
      <c r="BI26" s="77" t="str">
        <f aca="false">IF(ISNUMBER(BH26),RANK(BH26,$BH$8:$BH$507,1),"")</f>
        <v/>
      </c>
      <c r="BJ26" s="77" t="str">
        <f aca="false">IF(ISBLANK($C26),"",$B26)</f>
        <v/>
      </c>
      <c r="BK26" s="77" t="str">
        <f aca="false">IF(ISBLANK($C26),"",$C26)</f>
        <v/>
      </c>
      <c r="BL26" s="77" t="str">
        <f aca="false">IF(ISBLANK($C26),"",$D26)</f>
        <v/>
      </c>
      <c r="BM26" s="78" t="str">
        <f aca="false">BA26</f>
        <v/>
      </c>
      <c r="BN26" s="79" t="str">
        <f aca="false">AZ26</f>
        <v/>
      </c>
      <c r="BO26" s="77" t="str">
        <f aca="false">IF(ISBLANK($C26),"",BC26)</f>
        <v/>
      </c>
      <c r="BP26" s="80" t="str">
        <f aca="false">IF($BG26&gt;$BF$7,"",VLOOKUP($BG26,$BI$8:$BO$507,7,FALSE()))</f>
        <v/>
      </c>
      <c r="BQ26" s="81" t="str">
        <f aca="false">IF($BG26&gt;$BF$7,"",VLOOKUP($BG26,$BI$8:$BO$507,2,FALSE()))</f>
        <v/>
      </c>
      <c r="BR26" s="81" t="str">
        <f aca="false">IF($BG26&gt;$BF$7,"",VLOOKUP($BG26,$BI$8:$BO$507,3,FALSE()))</f>
        <v/>
      </c>
      <c r="BS26" s="81" t="str">
        <f aca="false">IF($BG26&gt;$BF$7,"",VLOOKUP($BG26,$BI$8:$BO$507,4,FALSE()))</f>
        <v/>
      </c>
      <c r="BT26" s="81" t="str">
        <f aca="false">IF($BG26&gt;$BF$7,"",VLOOKUP($BG26,$BI$8:$BO$507,5,FALSE()))</f>
        <v/>
      </c>
      <c r="BU26" s="82" t="str">
        <f aca="false">IF($BG26&gt;$BF$7,"",VLOOKUP($BG26,$BI$8:$BO$507,6,FALSE()))</f>
        <v/>
      </c>
      <c r="BV26" s="54"/>
    </row>
    <row r="27" customFormat="false" ht="15.75" hidden="false" customHeight="false" outlineLevel="0" collapsed="false">
      <c r="A27" s="5"/>
      <c r="B27" s="135"/>
      <c r="C27" s="56"/>
      <c r="D27" s="57"/>
      <c r="E27" s="124"/>
      <c r="F27" s="125"/>
      <c r="G27" s="60"/>
      <c r="H27" s="126"/>
      <c r="I27" s="62"/>
      <c r="J27" s="62"/>
      <c r="K27" s="60"/>
      <c r="L27" s="127"/>
      <c r="M27" s="62"/>
      <c r="N27" s="62"/>
      <c r="O27" s="60"/>
      <c r="P27" s="84"/>
      <c r="Q27" s="65"/>
      <c r="R27" s="67" t="str">
        <f aca="false">IF(ISBLANK($C27),"",IF(E27=Constants!$B$2, TRUE(), IF(E27=Constants!$B$3, FALSE(), TRUE())))</f>
        <v/>
      </c>
      <c r="S27" s="67" t="str">
        <f aca="false">IF(ISBLANK($C27),"",IF(F27=Constants!$B$2, TRUE(), IF(F27=Constants!$B$3, FALSE(), TRUE())))</f>
        <v/>
      </c>
      <c r="T27" s="67" t="str">
        <f aca="false">IF(ISBLANK($C27),"",IF(G27=Constants!$B$16,Constants!$B$9,IF(G27=Constants!$B$17,Constants!$B$10,Constants!$B$8)))</f>
        <v/>
      </c>
      <c r="U27" s="67" t="str">
        <f aca="false">IF(ISBLANK($C27),"",IF(H27=Constants!$B$19,Constants!$B$19,Constants!$B$18))</f>
        <v/>
      </c>
      <c r="V27" s="67" t="str">
        <f aca="false">IF(ISBLANK($C27),"",IF(ISNUMBER(I27),IF(I27&gt;=0,I27,""),""))</f>
        <v/>
      </c>
      <c r="W27" s="67" t="str">
        <f aca="false">IF(ISBLANK($C27),"",IF(J27=Constants!$B$2, TRUE(), IF(J27=Constants!$B$3, FALSE(), TRUE())))</f>
        <v/>
      </c>
      <c r="X27" s="67" t="str">
        <f aca="false">IF(ISBLANK($C27),"",IF(K27=Constants!$B$2, TRUE(), IF(K27=Constants!$B$3, FALSE(), TRUE())))</f>
        <v/>
      </c>
      <c r="Y27" s="67" t="str">
        <f aca="false">IF(ISBLANK($C27),"",IF(L27=Constants!$B$19,Constants!$B$19,Constants!$B$18))</f>
        <v/>
      </c>
      <c r="Z27" s="67" t="str">
        <f aca="false">IF(ISBLANK($C27),"",IF(ISNUMBER(M27),IF(M27&gt;=0,M27,""),""))</f>
        <v/>
      </c>
      <c r="AA27" s="67" t="str">
        <f aca="false">IF(ISBLANK($C27),"",IF(N27=Constants!$B$2, TRUE(), IF(N27=Constants!$B$3, FALSE(), TRUE())))</f>
        <v/>
      </c>
      <c r="AB27" s="67" t="str">
        <f aca="false">IF(ISBLANK($C27),"",IF(O27=Constants!$B$2, TRUE(), IF(O27=Constants!$B$3, FALSE(), TRUE())))</f>
        <v/>
      </c>
      <c r="AC27" s="67" t="str">
        <f aca="false">IF(ISBLANK($C27),"",IF(P27=Constants!$B$2, TRUE(), IF(P27=Constants!$B$3, FALSE(), FALSE())))</f>
        <v/>
      </c>
      <c r="AD27" s="67" t="str">
        <f aca="false">IF(ISBLANK($C27),"",AND(V27&lt;&gt;"",IF(U27=Constants!$B$19,S27,R27)))</f>
        <v/>
      </c>
      <c r="AE27" s="67" t="str">
        <f aca="false">IF(ISBLANK($C27),"",AND(Z27&lt;&gt;"",IF(Y27=Constants!$B$19,S27,R27)))</f>
        <v/>
      </c>
      <c r="AF27" s="67" t="str">
        <f aca="false">IF(ISBLANK($C27),"",IF(AC27,Constants!$B$4,IF(COUNTA(E27:O27)=0,Constants!$B$5,IF(AND(NOT(AD27),NOT(AE27)),Constants!$B$6,Constants!$B$7))))</f>
        <v/>
      </c>
      <c r="AG27" s="67" t="str">
        <f aca="false">IF(ISBLANK($C27),"",IF($AF27&lt;&gt;Constants!$B$7,$AF27,Constants!$B$20))</f>
        <v/>
      </c>
      <c r="AH27" s="67" t="str">
        <f aca="false">IF($AF27=Constants!$B$7,IF(AD27,V27,Constants!$B$13),"")</f>
        <v/>
      </c>
      <c r="AI27" s="67" t="str">
        <f aca="false">IF($AF27=Constants!$B$7,IF(AD27,T27*IF(W27, 1, Constants!$B$11)*IF(X27, 1, Constants!$B$12),Constants!$B$13),"")</f>
        <v/>
      </c>
      <c r="AJ27" s="67" t="str">
        <f aca="false">IF($AF27=Constants!$B$7,AH27*AI27,"")</f>
        <v/>
      </c>
      <c r="AK27" s="67" t="str">
        <f aca="false">IF($AF27=Constants!$B$7,IF(AE27,Z27,Constants!$B$13),"")</f>
        <v/>
      </c>
      <c r="AL27" s="67" t="str">
        <f aca="false">IF($AF27=Constants!$B$7,IF(AE27,T27*IF(AA27, 1, Constants!$B$11)*IF(AB27, 1, Constants!$B$12),Constants!$B$13),"")</f>
        <v/>
      </c>
      <c r="AM27" s="67" t="str">
        <f aca="false">IF($AF27=Constants!$B$7,AK27*AL27,"")</f>
        <v/>
      </c>
      <c r="AN27" s="67" t="str">
        <f aca="false">IF($AF27=Constants!$B$7,IF(AM27&gt;AJ27,2,1),"")</f>
        <v/>
      </c>
      <c r="AO27" s="67" t="str">
        <f aca="false">IF($AF27=Constants!$B$7,IF(AN27=1,2,1),"")</f>
        <v/>
      </c>
      <c r="AP27" s="67" t="str">
        <f aca="false">IF(ISBLANK($C27),"",IF($AF27&lt;&gt;Constants!$B$7,$AF27,IF(AN27=1,AJ27,AM27)))</f>
        <v/>
      </c>
      <c r="AQ27" s="67" t="str">
        <f aca="false">IF(ISBLANK($C27),"",IF($AF27=Constants!$B$7,IF(ISNUMBER(AP27),RANK(AP27,$AP$8:$AP$507),Constants!$B$14),$AF27))</f>
        <v/>
      </c>
      <c r="AR27" s="67" t="str">
        <f aca="false">IF(ISBLANK($C27),"",IF($AF27=Constants!$B$7,IF(AO27=1,AJ27,AM27),""))</f>
        <v/>
      </c>
      <c r="AS27" s="67" t="str">
        <f aca="false">IF(ISBLANK($C27),"",IF($AF27=Constants!$B$7,RANK(AR27,$AR$8:$AR$507),$AF27))</f>
        <v/>
      </c>
      <c r="AT27" s="67" t="str">
        <f aca="false">IF(ISBLANK($C27),"",IF($AF27=Constants!$B$7,IF(ISNUMBER(AQ27),COUNTIFS($AQ$8:$AQ$507,"&lt;"&amp;$AQ27)+COUNTIFS($AQ$8:$AQ$507,$AQ27,$AS$8:$AS$507,"&lt;"&amp;$AS27)+1,Constants!$B$14),$AF27))</f>
        <v/>
      </c>
      <c r="AU27" s="67" t="str">
        <f aca="false">IF(ISBLANK($C27),"",IF($AF27=Constants!$B$7,IF(ISNUMBER(AQ27),AQ27-AT27,Constants!$B$14),$AF27))</f>
        <v/>
      </c>
      <c r="AV27" s="69"/>
      <c r="AW27" s="70" t="str">
        <f aca="false">IF(ISBLANK($C27),"",IF($AF27&lt;&gt;Constants!$B$7,"",AN27))</f>
        <v/>
      </c>
      <c r="AX27" s="85" t="str">
        <f aca="false">IF(ISBLANK($C27),"",IF($AF27&lt;&gt;Constants!$B$7,"",IF(AN27=1,AH27,AK27)))</f>
        <v/>
      </c>
      <c r="AY27" s="72" t="str">
        <f aca="false">IF(ISBLANK($C27),"",IF($AF27&lt;&gt;Constants!$B$7,"",IF(AN27=1,AI27,AL27)))</f>
        <v/>
      </c>
      <c r="AZ27" s="73" t="str">
        <f aca="false">IF(ISBLANK($C27),"",IF($AF27&lt;&gt;Constants!$B$7,$AF27,AP27))</f>
        <v/>
      </c>
      <c r="BA27" s="74" t="str">
        <f aca="false">IF(ISBLANK($C27),"",IF($AF27&lt;&gt;Constants!$B$7,$AF27,AG27))</f>
        <v/>
      </c>
      <c r="BB27" s="75" t="str">
        <f aca="false">IF(ISBLANK($C27),"",AU27)</f>
        <v/>
      </c>
      <c r="BC27" s="75" t="str">
        <f aca="false">IF(ISBLANK($C27),"",AT27)</f>
        <v/>
      </c>
      <c r="BD27" s="76" t="str">
        <f aca="false">IF(ISBLANK($C27),"",IFERROR(_xlfn.SWITCH(BC27,Constants!$B$4,COUNTA($C$8:$C$507)+2,Constants!$B$5,COUNTA($C$8:$C$507)+1,Constants!$B$6,COUNTA($C$8:$C$507)),BC27))</f>
        <v/>
      </c>
      <c r="BE27" s="5"/>
      <c r="BF27" s="77" t="n">
        <f aca="false">IF(OR(ISNUMBER(BC27),BC27=Constants!$B$4,BC27=Constants!$B$6,BC27=Constants!$B$5),1,0)</f>
        <v>0</v>
      </c>
      <c r="BG27" s="77" t="n">
        <v>20</v>
      </c>
      <c r="BH27" s="77" t="str">
        <f aca="false">IF(ISBLANK($C27),"",IF(ISNUMBER(BD27),BD27+ROW($B27)/1000,""))</f>
        <v/>
      </c>
      <c r="BI27" s="77" t="str">
        <f aca="false">IF(ISNUMBER(BH27),RANK(BH27,$BH$8:$BH$507,1),"")</f>
        <v/>
      </c>
      <c r="BJ27" s="77" t="str">
        <f aca="false">IF(ISBLANK($C27),"",$B27)</f>
        <v/>
      </c>
      <c r="BK27" s="77" t="str">
        <f aca="false">IF(ISBLANK($C27),"",$C27)</f>
        <v/>
      </c>
      <c r="BL27" s="77" t="str">
        <f aca="false">IF(ISBLANK($C27),"",$D27)</f>
        <v/>
      </c>
      <c r="BM27" s="78" t="str">
        <f aca="false">BA27</f>
        <v/>
      </c>
      <c r="BN27" s="79" t="str">
        <f aca="false">AZ27</f>
        <v/>
      </c>
      <c r="BO27" s="77" t="str">
        <f aca="false">IF(ISBLANK($C27),"",BC27)</f>
        <v/>
      </c>
      <c r="BP27" s="80" t="str">
        <f aca="false">IF($BG27&gt;$BF$7,"",VLOOKUP($BG27,$BI$8:$BO$507,7,FALSE()))</f>
        <v/>
      </c>
      <c r="BQ27" s="81" t="str">
        <f aca="false">IF($BG27&gt;$BF$7,"",VLOOKUP($BG27,$BI$8:$BO$507,2,FALSE()))</f>
        <v/>
      </c>
      <c r="BR27" s="81" t="str">
        <f aca="false">IF($BG27&gt;$BF$7,"",VLOOKUP($BG27,$BI$8:$BO$507,3,FALSE()))</f>
        <v/>
      </c>
      <c r="BS27" s="81" t="str">
        <f aca="false">IF($BG27&gt;$BF$7,"",VLOOKUP($BG27,$BI$8:$BO$507,4,FALSE()))</f>
        <v/>
      </c>
      <c r="BT27" s="81" t="str">
        <f aca="false">IF($BG27&gt;$BF$7,"",VLOOKUP($BG27,$BI$8:$BO$507,5,FALSE()))</f>
        <v/>
      </c>
      <c r="BU27" s="82" t="str">
        <f aca="false">IF($BG27&gt;$BF$7,"",VLOOKUP($BG27,$BI$8:$BO$507,6,FALSE()))</f>
        <v/>
      </c>
      <c r="BV27" s="54"/>
    </row>
    <row r="28" customFormat="false" ht="15.75" hidden="false" customHeight="false" outlineLevel="0" collapsed="false">
      <c r="A28" s="5"/>
      <c r="B28" s="135"/>
      <c r="C28" s="56"/>
      <c r="D28" s="57"/>
      <c r="E28" s="124"/>
      <c r="F28" s="125"/>
      <c r="G28" s="60"/>
      <c r="H28" s="126"/>
      <c r="I28" s="62"/>
      <c r="J28" s="62"/>
      <c r="K28" s="60"/>
      <c r="L28" s="127"/>
      <c r="M28" s="62"/>
      <c r="N28" s="62"/>
      <c r="O28" s="60"/>
      <c r="P28" s="84"/>
      <c r="Q28" s="65"/>
      <c r="R28" s="67" t="str">
        <f aca="false">IF(ISBLANK($C28),"",IF(E28=Constants!$B$2, TRUE(), IF(E28=Constants!$B$3, FALSE(), TRUE())))</f>
        <v/>
      </c>
      <c r="S28" s="67" t="str">
        <f aca="false">IF(ISBLANK($C28),"",IF(F28=Constants!$B$2, TRUE(), IF(F28=Constants!$B$3, FALSE(), TRUE())))</f>
        <v/>
      </c>
      <c r="T28" s="67" t="str">
        <f aca="false">IF(ISBLANK($C28),"",IF(G28=Constants!$B$16,Constants!$B$9,IF(G28=Constants!$B$17,Constants!$B$10,Constants!$B$8)))</f>
        <v/>
      </c>
      <c r="U28" s="67" t="str">
        <f aca="false">IF(ISBLANK($C28),"",IF(H28=Constants!$B$19,Constants!$B$19,Constants!$B$18))</f>
        <v/>
      </c>
      <c r="V28" s="67" t="str">
        <f aca="false">IF(ISBLANK($C28),"",IF(ISNUMBER(I28),IF(I28&gt;=0,I28,""),""))</f>
        <v/>
      </c>
      <c r="W28" s="67" t="str">
        <f aca="false">IF(ISBLANK($C28),"",IF(J28=Constants!$B$2, TRUE(), IF(J28=Constants!$B$3, FALSE(), TRUE())))</f>
        <v/>
      </c>
      <c r="X28" s="67" t="str">
        <f aca="false">IF(ISBLANK($C28),"",IF(K28=Constants!$B$2, TRUE(), IF(K28=Constants!$B$3, FALSE(), TRUE())))</f>
        <v/>
      </c>
      <c r="Y28" s="67" t="str">
        <f aca="false">IF(ISBLANK($C28),"",IF(L28=Constants!$B$19,Constants!$B$19,Constants!$B$18))</f>
        <v/>
      </c>
      <c r="Z28" s="67" t="str">
        <f aca="false">IF(ISBLANK($C28),"",IF(ISNUMBER(M28),IF(M28&gt;=0,M28,""),""))</f>
        <v/>
      </c>
      <c r="AA28" s="67" t="str">
        <f aca="false">IF(ISBLANK($C28),"",IF(N28=Constants!$B$2, TRUE(), IF(N28=Constants!$B$3, FALSE(), TRUE())))</f>
        <v/>
      </c>
      <c r="AB28" s="67" t="str">
        <f aca="false">IF(ISBLANK($C28),"",IF(O28=Constants!$B$2, TRUE(), IF(O28=Constants!$B$3, FALSE(), TRUE())))</f>
        <v/>
      </c>
      <c r="AC28" s="67" t="str">
        <f aca="false">IF(ISBLANK($C28),"",IF(P28=Constants!$B$2, TRUE(), IF(P28=Constants!$B$3, FALSE(), FALSE())))</f>
        <v/>
      </c>
      <c r="AD28" s="67" t="str">
        <f aca="false">IF(ISBLANK($C28),"",AND(V28&lt;&gt;"",IF(U28=Constants!$B$19,S28,R28)))</f>
        <v/>
      </c>
      <c r="AE28" s="67" t="str">
        <f aca="false">IF(ISBLANK($C28),"",AND(Z28&lt;&gt;"",IF(Y28=Constants!$B$19,S28,R28)))</f>
        <v/>
      </c>
      <c r="AF28" s="67" t="str">
        <f aca="false">IF(ISBLANK($C28),"",IF(AC28,Constants!$B$4,IF(COUNTA(E28:O28)=0,Constants!$B$5,IF(AND(NOT(AD28),NOT(AE28)),Constants!$B$6,Constants!$B$7))))</f>
        <v/>
      </c>
      <c r="AG28" s="67" t="str">
        <f aca="false">IF(ISBLANK($C28),"",IF($AF28&lt;&gt;Constants!$B$7,$AF28,Constants!$B$20))</f>
        <v/>
      </c>
      <c r="AH28" s="67" t="str">
        <f aca="false">IF($AF28=Constants!$B$7,IF(AD28,V28,Constants!$B$13),"")</f>
        <v/>
      </c>
      <c r="AI28" s="67" t="str">
        <f aca="false">IF($AF28=Constants!$B$7,IF(AD28,T28*IF(W28, 1, Constants!$B$11)*IF(X28, 1, Constants!$B$12),Constants!$B$13),"")</f>
        <v/>
      </c>
      <c r="AJ28" s="67" t="str">
        <f aca="false">IF($AF28=Constants!$B$7,AH28*AI28,"")</f>
        <v/>
      </c>
      <c r="AK28" s="67" t="str">
        <f aca="false">IF($AF28=Constants!$B$7,IF(AE28,Z28,Constants!$B$13),"")</f>
        <v/>
      </c>
      <c r="AL28" s="67" t="str">
        <f aca="false">IF($AF28=Constants!$B$7,IF(AE28,T28*IF(AA28, 1, Constants!$B$11)*IF(AB28, 1, Constants!$B$12),Constants!$B$13),"")</f>
        <v/>
      </c>
      <c r="AM28" s="67" t="str">
        <f aca="false">IF($AF28=Constants!$B$7,AK28*AL28,"")</f>
        <v/>
      </c>
      <c r="AN28" s="67" t="str">
        <f aca="false">IF($AF28=Constants!$B$7,IF(AM28&gt;AJ28,2,1),"")</f>
        <v/>
      </c>
      <c r="AO28" s="67" t="str">
        <f aca="false">IF($AF28=Constants!$B$7,IF(AN28=1,2,1),"")</f>
        <v/>
      </c>
      <c r="AP28" s="67" t="str">
        <f aca="false">IF(ISBLANK($C28),"",IF($AF28&lt;&gt;Constants!$B$7,$AF28,IF(AN28=1,AJ28,AM28)))</f>
        <v/>
      </c>
      <c r="AQ28" s="67" t="str">
        <f aca="false">IF(ISBLANK($C28),"",IF($AF28=Constants!$B$7,IF(ISNUMBER(AP28),RANK(AP28,$AP$8:$AP$507),Constants!$B$14),$AF28))</f>
        <v/>
      </c>
      <c r="AR28" s="67" t="str">
        <f aca="false">IF(ISBLANK($C28),"",IF($AF28=Constants!$B$7,IF(AO28=1,AJ28,AM28),""))</f>
        <v/>
      </c>
      <c r="AS28" s="67" t="str">
        <f aca="false">IF(ISBLANK($C28),"",IF($AF28=Constants!$B$7,RANK(AR28,$AR$8:$AR$507),$AF28))</f>
        <v/>
      </c>
      <c r="AT28" s="67" t="str">
        <f aca="false">IF(ISBLANK($C28),"",IF($AF28=Constants!$B$7,IF(ISNUMBER(AQ28),COUNTIFS($AQ$8:$AQ$507,"&lt;"&amp;$AQ28)+COUNTIFS($AQ$8:$AQ$507,$AQ28,$AS$8:$AS$507,"&lt;"&amp;$AS28)+1,Constants!$B$14),$AF28))</f>
        <v/>
      </c>
      <c r="AU28" s="67" t="str">
        <f aca="false">IF(ISBLANK($C28),"",IF($AF28=Constants!$B$7,IF(ISNUMBER(AQ28),AQ28-AT28,Constants!$B$14),$AF28))</f>
        <v/>
      </c>
      <c r="AV28" s="69"/>
      <c r="AW28" s="70" t="str">
        <f aca="false">IF(ISBLANK($C28),"",IF($AF28&lt;&gt;Constants!$B$7,"",AN28))</f>
        <v/>
      </c>
      <c r="AX28" s="85" t="str">
        <f aca="false">IF(ISBLANK($C28),"",IF($AF28&lt;&gt;Constants!$B$7,"",IF(AN28=1,AH28,AK28)))</f>
        <v/>
      </c>
      <c r="AY28" s="72" t="str">
        <f aca="false">IF(ISBLANK($C28),"",IF($AF28&lt;&gt;Constants!$B$7,"",IF(AN28=1,AI28,AL28)))</f>
        <v/>
      </c>
      <c r="AZ28" s="73" t="str">
        <f aca="false">IF(ISBLANK($C28),"",IF($AF28&lt;&gt;Constants!$B$7,$AF28,AP28))</f>
        <v/>
      </c>
      <c r="BA28" s="74" t="str">
        <f aca="false">IF(ISBLANK($C28),"",IF($AF28&lt;&gt;Constants!$B$7,$AF28,AG28))</f>
        <v/>
      </c>
      <c r="BB28" s="75" t="str">
        <f aca="false">IF(ISBLANK($C28),"",AU28)</f>
        <v/>
      </c>
      <c r="BC28" s="75" t="str">
        <f aca="false">IF(ISBLANK($C28),"",AT28)</f>
        <v/>
      </c>
      <c r="BD28" s="76" t="str">
        <f aca="false">IF(ISBLANK($C28),"",IFERROR(_xlfn.SWITCH(BC28,Constants!$B$4,COUNTA($C$8:$C$507)+2,Constants!$B$5,COUNTA($C$8:$C$507)+1,Constants!$B$6,COUNTA($C$8:$C$507)),BC28))</f>
        <v/>
      </c>
      <c r="BE28" s="5"/>
      <c r="BF28" s="77" t="n">
        <f aca="false">IF(OR(ISNUMBER(BC28),BC28=Constants!$B$4,BC28=Constants!$B$6,BC28=Constants!$B$5),1,0)</f>
        <v>0</v>
      </c>
      <c r="BG28" s="77" t="n">
        <v>21</v>
      </c>
      <c r="BH28" s="77" t="str">
        <f aca="false">IF(ISBLANK($C28),"",IF(ISNUMBER(BD28),BD28+ROW($B28)/1000,""))</f>
        <v/>
      </c>
      <c r="BI28" s="77" t="str">
        <f aca="false">IF(ISNUMBER(BH28),RANK(BH28,$BH$8:$BH$507,1),"")</f>
        <v/>
      </c>
      <c r="BJ28" s="77" t="str">
        <f aca="false">IF(ISBLANK($C28),"",$B28)</f>
        <v/>
      </c>
      <c r="BK28" s="77" t="str">
        <f aca="false">IF(ISBLANK($C28),"",$C28)</f>
        <v/>
      </c>
      <c r="BL28" s="77" t="str">
        <f aca="false">IF(ISBLANK($C28),"",$D28)</f>
        <v/>
      </c>
      <c r="BM28" s="78" t="str">
        <f aca="false">BA28</f>
        <v/>
      </c>
      <c r="BN28" s="79" t="str">
        <f aca="false">AZ28</f>
        <v/>
      </c>
      <c r="BO28" s="77" t="str">
        <f aca="false">IF(ISBLANK($C28),"",BC28)</f>
        <v/>
      </c>
      <c r="BP28" s="80" t="str">
        <f aca="false">IF($BG28&gt;$BF$7,"",VLOOKUP($BG28,$BI$8:$BO$507,7,FALSE()))</f>
        <v/>
      </c>
      <c r="BQ28" s="81" t="str">
        <f aca="false">IF($BG28&gt;$BF$7,"",VLOOKUP($BG28,$BI$8:$BO$507,2,FALSE()))</f>
        <v/>
      </c>
      <c r="BR28" s="81" t="str">
        <f aca="false">IF($BG28&gt;$BF$7,"",VLOOKUP($BG28,$BI$8:$BO$507,3,FALSE()))</f>
        <v/>
      </c>
      <c r="BS28" s="81" t="str">
        <f aca="false">IF($BG28&gt;$BF$7,"",VLOOKUP($BG28,$BI$8:$BO$507,4,FALSE()))</f>
        <v/>
      </c>
      <c r="BT28" s="81" t="str">
        <f aca="false">IF($BG28&gt;$BF$7,"",VLOOKUP($BG28,$BI$8:$BO$507,5,FALSE()))</f>
        <v/>
      </c>
      <c r="BU28" s="82" t="str">
        <f aca="false">IF($BG28&gt;$BF$7,"",VLOOKUP($BG28,$BI$8:$BO$507,6,FALSE()))</f>
        <v/>
      </c>
      <c r="BV28" s="54"/>
    </row>
    <row r="29" customFormat="false" ht="15.75" hidden="false" customHeight="false" outlineLevel="0" collapsed="false">
      <c r="A29" s="5"/>
      <c r="B29" s="128"/>
      <c r="C29" s="129"/>
      <c r="D29" s="114"/>
      <c r="E29" s="130"/>
      <c r="F29" s="131"/>
      <c r="G29" s="93"/>
      <c r="H29" s="132"/>
      <c r="I29" s="95"/>
      <c r="J29" s="95"/>
      <c r="K29" s="93"/>
      <c r="L29" s="133"/>
      <c r="M29" s="95"/>
      <c r="N29" s="95"/>
      <c r="O29" s="93"/>
      <c r="P29" s="134"/>
      <c r="Q29" s="98"/>
      <c r="R29" s="99" t="str">
        <f aca="false">IF(ISBLANK($C29),"",IF(E29=Constants!$B$2, TRUE(), IF(E29=Constants!$B$3, FALSE(), TRUE())))</f>
        <v/>
      </c>
      <c r="S29" s="99" t="str">
        <f aca="false">IF(ISBLANK($C29),"",IF(F29=Constants!$B$2, TRUE(), IF(F29=Constants!$B$3, FALSE(), TRUE())))</f>
        <v/>
      </c>
      <c r="T29" s="99" t="str">
        <f aca="false">IF(ISBLANK($C29),"",IF(G29=Constants!$B$16,Constants!$B$9,IF(G29=Constants!$B$17,Constants!$B$10,Constants!$B$8)))</f>
        <v/>
      </c>
      <c r="U29" s="99" t="str">
        <f aca="false">IF(ISBLANK($C29),"",IF(H29=Constants!$B$19,Constants!$B$19,Constants!$B$18))</f>
        <v/>
      </c>
      <c r="V29" s="99" t="str">
        <f aca="false">IF(ISBLANK($C29),"",IF(ISNUMBER(I29),IF(I29&gt;=0,I29,""),""))</f>
        <v/>
      </c>
      <c r="W29" s="99" t="str">
        <f aca="false">IF(ISBLANK($C29),"",IF(J29=Constants!$B$2, TRUE(), IF(J29=Constants!$B$3, FALSE(), TRUE())))</f>
        <v/>
      </c>
      <c r="X29" s="99" t="str">
        <f aca="false">IF(ISBLANK($C29),"",IF(K29=Constants!$B$2, TRUE(), IF(K29=Constants!$B$3, FALSE(), TRUE())))</f>
        <v/>
      </c>
      <c r="Y29" s="99" t="str">
        <f aca="false">IF(ISBLANK($C29),"",IF(L29=Constants!$B$19,Constants!$B$19,Constants!$B$18))</f>
        <v/>
      </c>
      <c r="Z29" s="99" t="str">
        <f aca="false">IF(ISBLANK($C29),"",IF(ISNUMBER(M29),IF(M29&gt;=0,M29,""),""))</f>
        <v/>
      </c>
      <c r="AA29" s="99" t="str">
        <f aca="false">IF(ISBLANK($C29),"",IF(N29=Constants!$B$2, TRUE(), IF(N29=Constants!$B$3, FALSE(), TRUE())))</f>
        <v/>
      </c>
      <c r="AB29" s="99" t="str">
        <f aca="false">IF(ISBLANK($C29),"",IF(O29=Constants!$B$2, TRUE(), IF(O29=Constants!$B$3, FALSE(), TRUE())))</f>
        <v/>
      </c>
      <c r="AC29" s="99" t="str">
        <f aca="false">IF(ISBLANK($C29),"",IF(P29=Constants!$B$2, TRUE(), IF(P29=Constants!$B$3, FALSE(), FALSE())))</f>
        <v/>
      </c>
      <c r="AD29" s="99" t="str">
        <f aca="false">IF(ISBLANK($C29),"",AND(V29&lt;&gt;"",IF(U29=Constants!$B$19,S29,R29)))</f>
        <v/>
      </c>
      <c r="AE29" s="99" t="str">
        <f aca="false">IF(ISBLANK($C29),"",AND(Z29&lt;&gt;"",IF(Y29=Constants!$B$19,S29,R29)))</f>
        <v/>
      </c>
      <c r="AF29" s="99" t="str">
        <f aca="false">IF(ISBLANK($C29),"",IF(AC29,Constants!$B$4,IF(COUNTA(E29:O29)=0,Constants!$B$5,IF(AND(NOT(AD29),NOT(AE29)),Constants!$B$6,Constants!$B$7))))</f>
        <v/>
      </c>
      <c r="AG29" s="99" t="str">
        <f aca="false">IF(ISBLANK($C29),"",IF($AF29&lt;&gt;Constants!$B$7,$AF29,Constants!$B$20))</f>
        <v/>
      </c>
      <c r="AH29" s="99" t="str">
        <f aca="false">IF($AF29=Constants!$B$7,IF(AD29,V29,Constants!$B$13),"")</f>
        <v/>
      </c>
      <c r="AI29" s="99" t="str">
        <f aca="false">IF($AF29=Constants!$B$7,IF(AD29,T29*IF(W29, 1, Constants!$B$11)*IF(X29, 1, Constants!$B$12),Constants!$B$13),"")</f>
        <v/>
      </c>
      <c r="AJ29" s="99" t="str">
        <f aca="false">IF($AF29=Constants!$B$7,AH29*AI29,"")</f>
        <v/>
      </c>
      <c r="AK29" s="99" t="str">
        <f aca="false">IF($AF29=Constants!$B$7,IF(AE29,Z29,Constants!$B$13),"")</f>
        <v/>
      </c>
      <c r="AL29" s="99" t="str">
        <f aca="false">IF($AF29=Constants!$B$7,IF(AE29,T29*IF(AA29, 1, Constants!$B$11)*IF(AB29, 1, Constants!$B$12),Constants!$B$13),"")</f>
        <v/>
      </c>
      <c r="AM29" s="99" t="str">
        <f aca="false">IF($AF29=Constants!$B$7,AK29*AL29,"")</f>
        <v/>
      </c>
      <c r="AN29" s="99" t="str">
        <f aca="false">IF($AF29=Constants!$B$7,IF(AM29&gt;AJ29,2,1),"")</f>
        <v/>
      </c>
      <c r="AO29" s="99" t="str">
        <f aca="false">IF($AF29=Constants!$B$7,IF(AN29=1,2,1),"")</f>
        <v/>
      </c>
      <c r="AP29" s="99" t="str">
        <f aca="false">IF(ISBLANK($C29),"",IF($AF29&lt;&gt;Constants!$B$7,$AF29,IF(AN29=1,AJ29,AM29)))</f>
        <v/>
      </c>
      <c r="AQ29" s="99" t="str">
        <f aca="false">IF(ISBLANK($C29),"",IF($AF29=Constants!$B$7,IF(ISNUMBER(AP29),RANK(AP29,$AP$8:$AP$507),Constants!$B$14),$AF29))</f>
        <v/>
      </c>
      <c r="AR29" s="99" t="str">
        <f aca="false">IF(ISBLANK($C29),"",IF($AF29=Constants!$B$7,IF(AO29=1,AJ29,AM29),""))</f>
        <v/>
      </c>
      <c r="AS29" s="99" t="str">
        <f aca="false">IF(ISBLANK($C29),"",IF($AF29=Constants!$B$7,RANK(AR29,$AR$8:$AR$507),$AF29))</f>
        <v/>
      </c>
      <c r="AT29" s="99" t="str">
        <f aca="false">IF(ISBLANK($C29),"",IF($AF29=Constants!$B$7,IF(ISNUMBER(AQ29),COUNTIFS($AQ$8:$AQ$507,"&lt;"&amp;$AQ29)+COUNTIFS($AQ$8:$AQ$507,$AQ29,$AS$8:$AS$507,"&lt;"&amp;$AS29)+1,Constants!$B$14),$AF29))</f>
        <v/>
      </c>
      <c r="AU29" s="99" t="str">
        <f aca="false">IF(ISBLANK($C29),"",IF($AF29=Constants!$B$7,IF(ISNUMBER(AQ29),AQ29-AT29,Constants!$B$14),$AF29))</f>
        <v/>
      </c>
      <c r="AV29" s="100"/>
      <c r="AW29" s="101" t="str">
        <f aca="false">IF(ISBLANK($C29),"",IF($AF29&lt;&gt;Constants!$B$7,"",AN29))</f>
        <v/>
      </c>
      <c r="AX29" s="102" t="str">
        <f aca="false">IF(ISBLANK($C29),"",IF($AF29&lt;&gt;Constants!$B$7,"",IF(AN29=1,AH29,AK29)))</f>
        <v/>
      </c>
      <c r="AY29" s="103" t="str">
        <f aca="false">IF(ISBLANK($C29),"",IF($AF29&lt;&gt;Constants!$B$7,"",IF(AN29=1,AI29,AL29)))</f>
        <v/>
      </c>
      <c r="AZ29" s="104" t="str">
        <f aca="false">IF(ISBLANK($C29),"",IF($AF29&lt;&gt;Constants!$B$7,$AF29,AP29))</f>
        <v/>
      </c>
      <c r="BA29" s="105" t="str">
        <f aca="false">IF(ISBLANK($C29),"",IF($AF29&lt;&gt;Constants!$B$7,$AF29,AG29))</f>
        <v/>
      </c>
      <c r="BB29" s="106" t="str">
        <f aca="false">IF(ISBLANK($C29),"",AU29)</f>
        <v/>
      </c>
      <c r="BC29" s="106" t="str">
        <f aca="false">IF(ISBLANK($C29),"",AT29)</f>
        <v/>
      </c>
      <c r="BD29" s="107" t="str">
        <f aca="false">IF(ISBLANK($C29),"",IFERROR(_xlfn.SWITCH(BC29,Constants!$B$4,COUNTA($C$8:$C$507)+2,Constants!$B$5,COUNTA($C$8:$C$507)+1,Constants!$B$6,COUNTA($C$8:$C$507)),BC29))</f>
        <v/>
      </c>
      <c r="BE29" s="5"/>
      <c r="BF29" s="108" t="n">
        <f aca="false">IF(OR(ISNUMBER(BC29),BC29=Constants!$B$4,BC29=Constants!$B$6,BC29=Constants!$B$5),1,0)</f>
        <v>0</v>
      </c>
      <c r="BG29" s="108" t="n">
        <v>22</v>
      </c>
      <c r="BH29" s="108" t="str">
        <f aca="false">IF(ISBLANK($C29),"",IF(ISNUMBER(BD29),BD29+ROW($B29)/1000,""))</f>
        <v/>
      </c>
      <c r="BI29" s="108" t="str">
        <f aca="false">IF(ISNUMBER(BH29),RANK(BH29,$BH$8:$BH$507,1),"")</f>
        <v/>
      </c>
      <c r="BJ29" s="108" t="str">
        <f aca="false">IF(ISBLANK($C29),"",$B29)</f>
        <v/>
      </c>
      <c r="BK29" s="108" t="str">
        <f aca="false">IF(ISBLANK($C29),"",$C29)</f>
        <v/>
      </c>
      <c r="BL29" s="108" t="str">
        <f aca="false">IF(ISBLANK($C29),"",$D29)</f>
        <v/>
      </c>
      <c r="BM29" s="109" t="str">
        <f aca="false">BA29</f>
        <v/>
      </c>
      <c r="BN29" s="110" t="str">
        <f aca="false">AZ29</f>
        <v/>
      </c>
      <c r="BO29" s="108" t="str">
        <f aca="false">IF(ISBLANK($C29),"",BC29)</f>
        <v/>
      </c>
      <c r="BP29" s="111" t="str">
        <f aca="false">IF($BG29&gt;$BF$7,"",VLOOKUP($BG29,$BI$8:$BO$507,7,FALSE()))</f>
        <v/>
      </c>
      <c r="BQ29" s="112" t="str">
        <f aca="false">IF($BG29&gt;$BF$7,"",VLOOKUP($BG29,$BI$8:$BO$507,2,FALSE()))</f>
        <v/>
      </c>
      <c r="BR29" s="112" t="str">
        <f aca="false">IF($BG29&gt;$BF$7,"",VLOOKUP($BG29,$BI$8:$BO$507,3,FALSE()))</f>
        <v/>
      </c>
      <c r="BS29" s="112" t="str">
        <f aca="false">IF($BG29&gt;$BF$7,"",VLOOKUP($BG29,$BI$8:$BO$507,4,FALSE()))</f>
        <v/>
      </c>
      <c r="BT29" s="112" t="str">
        <f aca="false">IF($BG29&gt;$BF$7,"",VLOOKUP($BG29,$BI$8:$BO$507,5,FALSE()))</f>
        <v/>
      </c>
      <c r="BU29" s="113" t="str">
        <f aca="false">IF($BG29&gt;$BF$7,"",VLOOKUP($BG29,$BI$8:$BO$507,6,FALSE()))</f>
        <v/>
      </c>
      <c r="BV29" s="54"/>
    </row>
    <row r="30" customFormat="false" ht="15.75" hidden="false" customHeight="false" outlineLevel="0" collapsed="false">
      <c r="A30" s="5"/>
      <c r="B30" s="128"/>
      <c r="C30" s="129"/>
      <c r="D30" s="114"/>
      <c r="E30" s="130"/>
      <c r="F30" s="131"/>
      <c r="G30" s="93"/>
      <c r="H30" s="132"/>
      <c r="I30" s="95"/>
      <c r="J30" s="95"/>
      <c r="K30" s="93"/>
      <c r="L30" s="133"/>
      <c r="M30" s="95"/>
      <c r="N30" s="95"/>
      <c r="O30" s="93"/>
      <c r="P30" s="134"/>
      <c r="Q30" s="98"/>
      <c r="R30" s="99" t="str">
        <f aca="false">IF(ISBLANK($C30),"",IF(E30=Constants!$B$2, TRUE(), IF(E30=Constants!$B$3, FALSE(), TRUE())))</f>
        <v/>
      </c>
      <c r="S30" s="99" t="str">
        <f aca="false">IF(ISBLANK($C30),"",IF(F30=Constants!$B$2, TRUE(), IF(F30=Constants!$B$3, FALSE(), TRUE())))</f>
        <v/>
      </c>
      <c r="T30" s="99" t="str">
        <f aca="false">IF(ISBLANK($C30),"",IF(G30=Constants!$B$16,Constants!$B$9,IF(G30=Constants!$B$17,Constants!$B$10,Constants!$B$8)))</f>
        <v/>
      </c>
      <c r="U30" s="99" t="str">
        <f aca="false">IF(ISBLANK($C30),"",IF(H30=Constants!$B$19,Constants!$B$19,Constants!$B$18))</f>
        <v/>
      </c>
      <c r="V30" s="99" t="str">
        <f aca="false">IF(ISBLANK($C30),"",IF(ISNUMBER(I30),IF(I30&gt;=0,I30,""),""))</f>
        <v/>
      </c>
      <c r="W30" s="99" t="str">
        <f aca="false">IF(ISBLANK($C30),"",IF(J30=Constants!$B$2, TRUE(), IF(J30=Constants!$B$3, FALSE(), TRUE())))</f>
        <v/>
      </c>
      <c r="X30" s="99" t="str">
        <f aca="false">IF(ISBLANK($C30),"",IF(K30=Constants!$B$2, TRUE(), IF(K30=Constants!$B$3, FALSE(), TRUE())))</f>
        <v/>
      </c>
      <c r="Y30" s="99" t="str">
        <f aca="false">IF(ISBLANK($C30),"",IF(L30=Constants!$B$19,Constants!$B$19,Constants!$B$18))</f>
        <v/>
      </c>
      <c r="Z30" s="99" t="str">
        <f aca="false">IF(ISBLANK($C30),"",IF(ISNUMBER(M30),IF(M30&gt;=0,M30,""),""))</f>
        <v/>
      </c>
      <c r="AA30" s="99" t="str">
        <f aca="false">IF(ISBLANK($C30),"",IF(N30=Constants!$B$2, TRUE(), IF(N30=Constants!$B$3, FALSE(), TRUE())))</f>
        <v/>
      </c>
      <c r="AB30" s="99" t="str">
        <f aca="false">IF(ISBLANK($C30),"",IF(O30=Constants!$B$2, TRUE(), IF(O30=Constants!$B$3, FALSE(), TRUE())))</f>
        <v/>
      </c>
      <c r="AC30" s="99" t="str">
        <f aca="false">IF(ISBLANK($C30),"",IF(P30=Constants!$B$2, TRUE(), IF(P30=Constants!$B$3, FALSE(), FALSE())))</f>
        <v/>
      </c>
      <c r="AD30" s="99" t="str">
        <f aca="false">IF(ISBLANK($C30),"",AND(V30&lt;&gt;"",IF(U30=Constants!$B$19,S30,R30)))</f>
        <v/>
      </c>
      <c r="AE30" s="99" t="str">
        <f aca="false">IF(ISBLANK($C30),"",AND(Z30&lt;&gt;"",IF(Y30=Constants!$B$19,S30,R30)))</f>
        <v/>
      </c>
      <c r="AF30" s="99" t="str">
        <f aca="false">IF(ISBLANK($C30),"",IF(AC30,Constants!$B$4,IF(COUNTA(E30:O30)=0,Constants!$B$5,IF(AND(NOT(AD30),NOT(AE30)),Constants!$B$6,Constants!$B$7))))</f>
        <v/>
      </c>
      <c r="AG30" s="99" t="str">
        <f aca="false">IF(ISBLANK($C30),"",IF($AF30&lt;&gt;Constants!$B$7,$AF30,Constants!$B$20))</f>
        <v/>
      </c>
      <c r="AH30" s="99" t="str">
        <f aca="false">IF($AF30=Constants!$B$7,IF(AD30,V30,Constants!$B$13),"")</f>
        <v/>
      </c>
      <c r="AI30" s="99" t="str">
        <f aca="false">IF($AF30=Constants!$B$7,IF(AD30,T30*IF(W30, 1, Constants!$B$11)*IF(X30, 1, Constants!$B$12),Constants!$B$13),"")</f>
        <v/>
      </c>
      <c r="AJ30" s="99" t="str">
        <f aca="false">IF($AF30=Constants!$B$7,AH30*AI30,"")</f>
        <v/>
      </c>
      <c r="AK30" s="99" t="str">
        <f aca="false">IF($AF30=Constants!$B$7,IF(AE30,Z30,Constants!$B$13),"")</f>
        <v/>
      </c>
      <c r="AL30" s="99" t="str">
        <f aca="false">IF($AF30=Constants!$B$7,IF(AE30,T30*IF(AA30, 1, Constants!$B$11)*IF(AB30, 1, Constants!$B$12),Constants!$B$13),"")</f>
        <v/>
      </c>
      <c r="AM30" s="99" t="str">
        <f aca="false">IF($AF30=Constants!$B$7,AK30*AL30,"")</f>
        <v/>
      </c>
      <c r="AN30" s="99" t="str">
        <f aca="false">IF($AF30=Constants!$B$7,IF(AM30&gt;AJ30,2,1),"")</f>
        <v/>
      </c>
      <c r="AO30" s="99" t="str">
        <f aca="false">IF($AF30=Constants!$B$7,IF(AN30=1,2,1),"")</f>
        <v/>
      </c>
      <c r="AP30" s="99" t="str">
        <f aca="false">IF(ISBLANK($C30),"",IF($AF30&lt;&gt;Constants!$B$7,$AF30,IF(AN30=1,AJ30,AM30)))</f>
        <v/>
      </c>
      <c r="AQ30" s="99" t="str">
        <f aca="false">IF(ISBLANK($C30),"",IF($AF30=Constants!$B$7,IF(ISNUMBER(AP30),RANK(AP30,$AP$8:$AP$507),Constants!$B$14),$AF30))</f>
        <v/>
      </c>
      <c r="AR30" s="99" t="str">
        <f aca="false">IF(ISBLANK($C30),"",IF($AF30=Constants!$B$7,IF(AO30=1,AJ30,AM30),""))</f>
        <v/>
      </c>
      <c r="AS30" s="99" t="str">
        <f aca="false">IF(ISBLANK($C30),"",IF($AF30=Constants!$B$7,RANK(AR30,$AR$8:$AR$507),$AF30))</f>
        <v/>
      </c>
      <c r="AT30" s="99" t="str">
        <f aca="false">IF(ISBLANK($C30),"",IF($AF30=Constants!$B$7,IF(ISNUMBER(AQ30),COUNTIFS($AQ$8:$AQ$507,"&lt;"&amp;$AQ30)+COUNTIFS($AQ$8:$AQ$507,$AQ30,$AS$8:$AS$507,"&lt;"&amp;$AS30)+1,Constants!$B$14),$AF30))</f>
        <v/>
      </c>
      <c r="AU30" s="99" t="str">
        <f aca="false">IF(ISBLANK($C30),"",IF($AF30=Constants!$B$7,IF(ISNUMBER(AQ30),AQ30-AT30,Constants!$B$14),$AF30))</f>
        <v/>
      </c>
      <c r="AV30" s="100"/>
      <c r="AW30" s="101" t="str">
        <f aca="false">IF(ISBLANK($C30),"",IF($AF30&lt;&gt;Constants!$B$7,"",AN30))</f>
        <v/>
      </c>
      <c r="AX30" s="102" t="str">
        <f aca="false">IF(ISBLANK($C30),"",IF($AF30&lt;&gt;Constants!$B$7,"",IF(AN30=1,AH30,AK30)))</f>
        <v/>
      </c>
      <c r="AY30" s="103" t="str">
        <f aca="false">IF(ISBLANK($C30),"",IF($AF30&lt;&gt;Constants!$B$7,"",IF(AN30=1,AI30,AL30)))</f>
        <v/>
      </c>
      <c r="AZ30" s="104" t="str">
        <f aca="false">IF(ISBLANK($C30),"",IF($AF30&lt;&gt;Constants!$B$7,$AF30,AP30))</f>
        <v/>
      </c>
      <c r="BA30" s="105" t="str">
        <f aca="false">IF(ISBLANK($C30),"",IF($AF30&lt;&gt;Constants!$B$7,$AF30,AG30))</f>
        <v/>
      </c>
      <c r="BB30" s="106" t="str">
        <f aca="false">IF(ISBLANK($C30),"",AU30)</f>
        <v/>
      </c>
      <c r="BC30" s="106" t="str">
        <f aca="false">IF(ISBLANK($C30),"",AT30)</f>
        <v/>
      </c>
      <c r="BD30" s="107" t="str">
        <f aca="false">IF(ISBLANK($C30),"",IFERROR(_xlfn.SWITCH(BC30,Constants!$B$4,COUNTA($C$8:$C$507)+2,Constants!$B$5,COUNTA($C$8:$C$507)+1,Constants!$B$6,COUNTA($C$8:$C$507)),BC30))</f>
        <v/>
      </c>
      <c r="BE30" s="5"/>
      <c r="BF30" s="108" t="n">
        <f aca="false">IF(OR(ISNUMBER(BC30),BC30=Constants!$B$4,BC30=Constants!$B$6,BC30=Constants!$B$5),1,0)</f>
        <v>0</v>
      </c>
      <c r="BG30" s="108" t="n">
        <v>23</v>
      </c>
      <c r="BH30" s="108" t="str">
        <f aca="false">IF(ISBLANK($C30),"",IF(ISNUMBER(BD30),BD30+ROW($B30)/1000,""))</f>
        <v/>
      </c>
      <c r="BI30" s="108" t="str">
        <f aca="false">IF(ISNUMBER(BH30),RANK(BH30,$BH$8:$BH$507,1),"")</f>
        <v/>
      </c>
      <c r="BJ30" s="108" t="str">
        <f aca="false">IF(ISBLANK($C30),"",$B30)</f>
        <v/>
      </c>
      <c r="BK30" s="108" t="str">
        <f aca="false">IF(ISBLANK($C30),"",$C30)</f>
        <v/>
      </c>
      <c r="BL30" s="108" t="str">
        <f aca="false">IF(ISBLANK($C30),"",$D30)</f>
        <v/>
      </c>
      <c r="BM30" s="109" t="str">
        <f aca="false">BA30</f>
        <v/>
      </c>
      <c r="BN30" s="110" t="str">
        <f aca="false">AZ30</f>
        <v/>
      </c>
      <c r="BO30" s="108" t="str">
        <f aca="false">IF(ISBLANK($C30),"",BC30)</f>
        <v/>
      </c>
      <c r="BP30" s="111" t="str">
        <f aca="false">IF($BG30&gt;$BF$7,"",VLOOKUP($BG30,$BI$8:$BO$507,7,FALSE()))</f>
        <v/>
      </c>
      <c r="BQ30" s="112" t="str">
        <f aca="false">IF($BG30&gt;$BF$7,"",VLOOKUP($BG30,$BI$8:$BO$507,2,FALSE()))</f>
        <v/>
      </c>
      <c r="BR30" s="112" t="str">
        <f aca="false">IF($BG30&gt;$BF$7,"",VLOOKUP($BG30,$BI$8:$BO$507,3,FALSE()))</f>
        <v/>
      </c>
      <c r="BS30" s="112" t="str">
        <f aca="false">IF($BG30&gt;$BF$7,"",VLOOKUP($BG30,$BI$8:$BO$507,4,FALSE()))</f>
        <v/>
      </c>
      <c r="BT30" s="112" t="str">
        <f aca="false">IF($BG30&gt;$BF$7,"",VLOOKUP($BG30,$BI$8:$BO$507,5,FALSE()))</f>
        <v/>
      </c>
      <c r="BU30" s="113" t="str">
        <f aca="false">IF($BG30&gt;$BF$7,"",VLOOKUP($BG30,$BI$8:$BO$507,6,FALSE()))</f>
        <v/>
      </c>
      <c r="BV30" s="54"/>
    </row>
    <row r="31" customFormat="false" ht="15.75" hidden="false" customHeight="false" outlineLevel="0" collapsed="false">
      <c r="A31" s="5"/>
      <c r="B31" s="128"/>
      <c r="C31" s="129"/>
      <c r="D31" s="114"/>
      <c r="E31" s="130"/>
      <c r="F31" s="131"/>
      <c r="G31" s="93"/>
      <c r="H31" s="132"/>
      <c r="I31" s="95"/>
      <c r="J31" s="95"/>
      <c r="K31" s="93"/>
      <c r="L31" s="133"/>
      <c r="M31" s="95"/>
      <c r="N31" s="95"/>
      <c r="O31" s="93"/>
      <c r="P31" s="134"/>
      <c r="Q31" s="98"/>
      <c r="R31" s="99" t="str">
        <f aca="false">IF(ISBLANK($C31),"",IF(E31=Constants!$B$2, TRUE(), IF(E31=Constants!$B$3, FALSE(), TRUE())))</f>
        <v/>
      </c>
      <c r="S31" s="99" t="str">
        <f aca="false">IF(ISBLANK($C31),"",IF(F31=Constants!$B$2, TRUE(), IF(F31=Constants!$B$3, FALSE(), TRUE())))</f>
        <v/>
      </c>
      <c r="T31" s="99" t="str">
        <f aca="false">IF(ISBLANK($C31),"",IF(G31=Constants!$B$16,Constants!$B$9,IF(G31=Constants!$B$17,Constants!$B$10,Constants!$B$8)))</f>
        <v/>
      </c>
      <c r="U31" s="99" t="str">
        <f aca="false">IF(ISBLANK($C31),"",IF(H31=Constants!$B$19,Constants!$B$19,Constants!$B$18))</f>
        <v/>
      </c>
      <c r="V31" s="99" t="str">
        <f aca="false">IF(ISBLANK($C31),"",IF(ISNUMBER(I31),IF(I31&gt;=0,I31,""),""))</f>
        <v/>
      </c>
      <c r="W31" s="99" t="str">
        <f aca="false">IF(ISBLANK($C31),"",IF(J31=Constants!$B$2, TRUE(), IF(J31=Constants!$B$3, FALSE(), TRUE())))</f>
        <v/>
      </c>
      <c r="X31" s="99" t="str">
        <f aca="false">IF(ISBLANK($C31),"",IF(K31=Constants!$B$2, TRUE(), IF(K31=Constants!$B$3, FALSE(), TRUE())))</f>
        <v/>
      </c>
      <c r="Y31" s="99" t="str">
        <f aca="false">IF(ISBLANK($C31),"",IF(L31=Constants!$B$19,Constants!$B$19,Constants!$B$18))</f>
        <v/>
      </c>
      <c r="Z31" s="99" t="str">
        <f aca="false">IF(ISBLANK($C31),"",IF(ISNUMBER(M31),IF(M31&gt;=0,M31,""),""))</f>
        <v/>
      </c>
      <c r="AA31" s="99" t="str">
        <f aca="false">IF(ISBLANK($C31),"",IF(N31=Constants!$B$2, TRUE(), IF(N31=Constants!$B$3, FALSE(), TRUE())))</f>
        <v/>
      </c>
      <c r="AB31" s="99" t="str">
        <f aca="false">IF(ISBLANK($C31),"",IF(O31=Constants!$B$2, TRUE(), IF(O31=Constants!$B$3, FALSE(), TRUE())))</f>
        <v/>
      </c>
      <c r="AC31" s="99" t="str">
        <f aca="false">IF(ISBLANK($C31),"",IF(P31=Constants!$B$2, TRUE(), IF(P31=Constants!$B$3, FALSE(), FALSE())))</f>
        <v/>
      </c>
      <c r="AD31" s="99" t="str">
        <f aca="false">IF(ISBLANK($C31),"",AND(V31&lt;&gt;"",IF(U31=Constants!$B$19,S31,R31)))</f>
        <v/>
      </c>
      <c r="AE31" s="99" t="str">
        <f aca="false">IF(ISBLANK($C31),"",AND(Z31&lt;&gt;"",IF(Y31=Constants!$B$19,S31,R31)))</f>
        <v/>
      </c>
      <c r="AF31" s="99" t="str">
        <f aca="false">IF(ISBLANK($C31),"",IF(AC31,Constants!$B$4,IF(COUNTA(E31:O31)=0,Constants!$B$5,IF(AND(NOT(AD31),NOT(AE31)),Constants!$B$6,Constants!$B$7))))</f>
        <v/>
      </c>
      <c r="AG31" s="99" t="str">
        <f aca="false">IF(ISBLANK($C31),"",IF($AF31&lt;&gt;Constants!$B$7,$AF31,Constants!$B$20))</f>
        <v/>
      </c>
      <c r="AH31" s="99" t="str">
        <f aca="false">IF($AF31=Constants!$B$7,IF(AD31,V31,Constants!$B$13),"")</f>
        <v/>
      </c>
      <c r="AI31" s="99" t="str">
        <f aca="false">IF($AF31=Constants!$B$7,IF(AD31,T31*IF(W31, 1, Constants!$B$11)*IF(X31, 1, Constants!$B$12),Constants!$B$13),"")</f>
        <v/>
      </c>
      <c r="AJ31" s="99" t="str">
        <f aca="false">IF($AF31=Constants!$B$7,AH31*AI31,"")</f>
        <v/>
      </c>
      <c r="AK31" s="99" t="str">
        <f aca="false">IF($AF31=Constants!$B$7,IF(AE31,Z31,Constants!$B$13),"")</f>
        <v/>
      </c>
      <c r="AL31" s="99" t="str">
        <f aca="false">IF($AF31=Constants!$B$7,IF(AE31,T31*IF(AA31, 1, Constants!$B$11)*IF(AB31, 1, Constants!$B$12),Constants!$B$13),"")</f>
        <v/>
      </c>
      <c r="AM31" s="99" t="str">
        <f aca="false">IF($AF31=Constants!$B$7,AK31*AL31,"")</f>
        <v/>
      </c>
      <c r="AN31" s="99" t="str">
        <f aca="false">IF($AF31=Constants!$B$7,IF(AM31&gt;AJ31,2,1),"")</f>
        <v/>
      </c>
      <c r="AO31" s="99" t="str">
        <f aca="false">IF($AF31=Constants!$B$7,IF(AN31=1,2,1),"")</f>
        <v/>
      </c>
      <c r="AP31" s="99" t="str">
        <f aca="false">IF(ISBLANK($C31),"",IF($AF31&lt;&gt;Constants!$B$7,$AF31,IF(AN31=1,AJ31,AM31)))</f>
        <v/>
      </c>
      <c r="AQ31" s="99" t="str">
        <f aca="false">IF(ISBLANK($C31),"",IF($AF31=Constants!$B$7,IF(ISNUMBER(AP31),RANK(AP31,$AP$8:$AP$507),Constants!$B$14),$AF31))</f>
        <v/>
      </c>
      <c r="AR31" s="99" t="str">
        <f aca="false">IF(ISBLANK($C31),"",IF($AF31=Constants!$B$7,IF(AO31=1,AJ31,AM31),""))</f>
        <v/>
      </c>
      <c r="AS31" s="99" t="str">
        <f aca="false">IF(ISBLANK($C31),"",IF($AF31=Constants!$B$7,RANK(AR31,$AR$8:$AR$507),$AF31))</f>
        <v/>
      </c>
      <c r="AT31" s="99" t="str">
        <f aca="false">IF(ISBLANK($C31),"",IF($AF31=Constants!$B$7,IF(ISNUMBER(AQ31),COUNTIFS($AQ$8:$AQ$507,"&lt;"&amp;$AQ31)+COUNTIFS($AQ$8:$AQ$507,$AQ31,$AS$8:$AS$507,"&lt;"&amp;$AS31)+1,Constants!$B$14),$AF31))</f>
        <v/>
      </c>
      <c r="AU31" s="99" t="str">
        <f aca="false">IF(ISBLANK($C31),"",IF($AF31=Constants!$B$7,IF(ISNUMBER(AQ31),AQ31-AT31,Constants!$B$14),$AF31))</f>
        <v/>
      </c>
      <c r="AV31" s="100"/>
      <c r="AW31" s="101" t="str">
        <f aca="false">IF(ISBLANK($C31),"",IF($AF31&lt;&gt;Constants!$B$7,"",AN31))</f>
        <v/>
      </c>
      <c r="AX31" s="102" t="str">
        <f aca="false">IF(ISBLANK($C31),"",IF($AF31&lt;&gt;Constants!$B$7,"",IF(AN31=1,AH31,AK31)))</f>
        <v/>
      </c>
      <c r="AY31" s="103" t="str">
        <f aca="false">IF(ISBLANK($C31),"",IF($AF31&lt;&gt;Constants!$B$7,"",IF(AN31=1,AI31,AL31)))</f>
        <v/>
      </c>
      <c r="AZ31" s="104" t="str">
        <f aca="false">IF(ISBLANK($C31),"",IF($AF31&lt;&gt;Constants!$B$7,$AF31,AP31))</f>
        <v/>
      </c>
      <c r="BA31" s="105" t="str">
        <f aca="false">IF(ISBLANK($C31),"",IF($AF31&lt;&gt;Constants!$B$7,$AF31,AG31))</f>
        <v/>
      </c>
      <c r="BB31" s="106" t="str">
        <f aca="false">IF(ISBLANK($C31),"",AU31)</f>
        <v/>
      </c>
      <c r="BC31" s="106" t="str">
        <f aca="false">IF(ISBLANK($C31),"",AT31)</f>
        <v/>
      </c>
      <c r="BD31" s="107" t="str">
        <f aca="false">IF(ISBLANK($C31),"",IFERROR(_xlfn.SWITCH(BC31,Constants!$B$4,COUNTA($C$8:$C$507)+2,Constants!$B$5,COUNTA($C$8:$C$507)+1,Constants!$B$6,COUNTA($C$8:$C$507)),BC31))</f>
        <v/>
      </c>
      <c r="BE31" s="5"/>
      <c r="BF31" s="108" t="n">
        <f aca="false">IF(OR(ISNUMBER(BC31),BC31=Constants!$B$4,BC31=Constants!$B$6,BC31=Constants!$B$5),1,0)</f>
        <v>0</v>
      </c>
      <c r="BG31" s="108" t="n">
        <v>24</v>
      </c>
      <c r="BH31" s="108" t="str">
        <f aca="false">IF(ISBLANK($C31),"",IF(ISNUMBER(BD31),BD31+ROW($B31)/1000,""))</f>
        <v/>
      </c>
      <c r="BI31" s="108" t="str">
        <f aca="false">IF(ISNUMBER(BH31),RANK(BH31,$BH$8:$BH$507,1),"")</f>
        <v/>
      </c>
      <c r="BJ31" s="108" t="str">
        <f aca="false">IF(ISBLANK($C31),"",$B31)</f>
        <v/>
      </c>
      <c r="BK31" s="108" t="str">
        <f aca="false">IF(ISBLANK($C31),"",$C31)</f>
        <v/>
      </c>
      <c r="BL31" s="108" t="str">
        <f aca="false">IF(ISBLANK($C31),"",$D31)</f>
        <v/>
      </c>
      <c r="BM31" s="109" t="str">
        <f aca="false">BA31</f>
        <v/>
      </c>
      <c r="BN31" s="110" t="str">
        <f aca="false">AZ31</f>
        <v/>
      </c>
      <c r="BO31" s="108" t="str">
        <f aca="false">IF(ISBLANK($C31),"",BC31)</f>
        <v/>
      </c>
      <c r="BP31" s="111" t="str">
        <f aca="false">IF($BG31&gt;$BF$7,"",VLOOKUP($BG31,$BI$8:$BO$507,7,FALSE()))</f>
        <v/>
      </c>
      <c r="BQ31" s="112" t="str">
        <f aca="false">IF($BG31&gt;$BF$7,"",VLOOKUP($BG31,$BI$8:$BO$507,2,FALSE()))</f>
        <v/>
      </c>
      <c r="BR31" s="112" t="str">
        <f aca="false">IF($BG31&gt;$BF$7,"",VLOOKUP($BG31,$BI$8:$BO$507,3,FALSE()))</f>
        <v/>
      </c>
      <c r="BS31" s="112" t="str">
        <f aca="false">IF($BG31&gt;$BF$7,"",VLOOKUP($BG31,$BI$8:$BO$507,4,FALSE()))</f>
        <v/>
      </c>
      <c r="BT31" s="112" t="str">
        <f aca="false">IF($BG31&gt;$BF$7,"",VLOOKUP($BG31,$BI$8:$BO$507,5,FALSE()))</f>
        <v/>
      </c>
      <c r="BU31" s="113" t="str">
        <f aca="false">IF($BG31&gt;$BF$7,"",VLOOKUP($BG31,$BI$8:$BO$507,6,FALSE()))</f>
        <v/>
      </c>
      <c r="BV31" s="54"/>
    </row>
    <row r="32" customFormat="false" ht="15.75" hidden="false" customHeight="false" outlineLevel="0" collapsed="false">
      <c r="A32" s="5"/>
      <c r="B32" s="135"/>
      <c r="C32" s="56"/>
      <c r="D32" s="57"/>
      <c r="E32" s="124"/>
      <c r="F32" s="125"/>
      <c r="G32" s="60"/>
      <c r="H32" s="126"/>
      <c r="I32" s="62"/>
      <c r="J32" s="62"/>
      <c r="K32" s="60"/>
      <c r="L32" s="127"/>
      <c r="M32" s="62"/>
      <c r="N32" s="62"/>
      <c r="O32" s="60"/>
      <c r="P32" s="84"/>
      <c r="Q32" s="65"/>
      <c r="R32" s="67" t="str">
        <f aca="false">IF(ISBLANK($C32),"",IF(E32=Constants!$B$2, TRUE(), IF(E32=Constants!$B$3, FALSE(), TRUE())))</f>
        <v/>
      </c>
      <c r="S32" s="67" t="str">
        <f aca="false">IF(ISBLANK($C32),"",IF(F32=Constants!$B$2, TRUE(), IF(F32=Constants!$B$3, FALSE(), TRUE())))</f>
        <v/>
      </c>
      <c r="T32" s="67" t="str">
        <f aca="false">IF(ISBLANK($C32),"",IF(G32=Constants!$B$16,Constants!$B$9,IF(G32=Constants!$B$17,Constants!$B$10,Constants!$B$8)))</f>
        <v/>
      </c>
      <c r="U32" s="67" t="str">
        <f aca="false">IF(ISBLANK($C32),"",IF(H32=Constants!$B$19,Constants!$B$19,Constants!$B$18))</f>
        <v/>
      </c>
      <c r="V32" s="67" t="str">
        <f aca="false">IF(ISBLANK($C32),"",IF(ISNUMBER(I32),IF(I32&gt;=0,I32,""),""))</f>
        <v/>
      </c>
      <c r="W32" s="67" t="str">
        <f aca="false">IF(ISBLANK($C32),"",IF(J32=Constants!$B$2, TRUE(), IF(J32=Constants!$B$3, FALSE(), TRUE())))</f>
        <v/>
      </c>
      <c r="X32" s="67" t="str">
        <f aca="false">IF(ISBLANK($C32),"",IF(K32=Constants!$B$2, TRUE(), IF(K32=Constants!$B$3, FALSE(), TRUE())))</f>
        <v/>
      </c>
      <c r="Y32" s="67" t="str">
        <f aca="false">IF(ISBLANK($C32),"",IF(L32=Constants!$B$19,Constants!$B$19,Constants!$B$18))</f>
        <v/>
      </c>
      <c r="Z32" s="67" t="str">
        <f aca="false">IF(ISBLANK($C32),"",IF(ISNUMBER(M32),IF(M32&gt;=0,M32,""),""))</f>
        <v/>
      </c>
      <c r="AA32" s="67" t="str">
        <f aca="false">IF(ISBLANK($C32),"",IF(N32=Constants!$B$2, TRUE(), IF(N32=Constants!$B$3, FALSE(), TRUE())))</f>
        <v/>
      </c>
      <c r="AB32" s="67" t="str">
        <f aca="false">IF(ISBLANK($C32),"",IF(O32=Constants!$B$2, TRUE(), IF(O32=Constants!$B$3, FALSE(), TRUE())))</f>
        <v/>
      </c>
      <c r="AC32" s="67" t="str">
        <f aca="false">IF(ISBLANK($C32),"",IF(P32=Constants!$B$2, TRUE(), IF(P32=Constants!$B$3, FALSE(), FALSE())))</f>
        <v/>
      </c>
      <c r="AD32" s="67" t="str">
        <f aca="false">IF(ISBLANK($C32),"",AND(V32&lt;&gt;"",IF(U32=Constants!$B$19,S32,R32)))</f>
        <v/>
      </c>
      <c r="AE32" s="67" t="str">
        <f aca="false">IF(ISBLANK($C32),"",AND(Z32&lt;&gt;"",IF(Y32=Constants!$B$19,S32,R32)))</f>
        <v/>
      </c>
      <c r="AF32" s="67" t="str">
        <f aca="false">IF(ISBLANK($C32),"",IF(AC32,Constants!$B$4,IF(COUNTA(E32:O32)=0,Constants!$B$5,IF(AND(NOT(AD32),NOT(AE32)),Constants!$B$6,Constants!$B$7))))</f>
        <v/>
      </c>
      <c r="AG32" s="67" t="str">
        <f aca="false">IF(ISBLANK($C32),"",IF($AF32&lt;&gt;Constants!$B$7,$AF32,Constants!$B$20))</f>
        <v/>
      </c>
      <c r="AH32" s="67" t="str">
        <f aca="false">IF($AF32=Constants!$B$7,IF(AD32,V32,Constants!$B$13),"")</f>
        <v/>
      </c>
      <c r="AI32" s="67" t="str">
        <f aca="false">IF($AF32=Constants!$B$7,IF(AD32,T32*IF(W32, 1, Constants!$B$11)*IF(X32, 1, Constants!$B$12),Constants!$B$13),"")</f>
        <v/>
      </c>
      <c r="AJ32" s="67" t="str">
        <f aca="false">IF($AF32=Constants!$B$7,AH32*AI32,"")</f>
        <v/>
      </c>
      <c r="AK32" s="67" t="str">
        <f aca="false">IF($AF32=Constants!$B$7,IF(AE32,Z32,Constants!$B$13),"")</f>
        <v/>
      </c>
      <c r="AL32" s="67" t="str">
        <f aca="false">IF($AF32=Constants!$B$7,IF(AE32,T32*IF(AA32, 1, Constants!$B$11)*IF(AB32, 1, Constants!$B$12),Constants!$B$13),"")</f>
        <v/>
      </c>
      <c r="AM32" s="67" t="str">
        <f aca="false">IF($AF32=Constants!$B$7,AK32*AL32,"")</f>
        <v/>
      </c>
      <c r="AN32" s="67" t="str">
        <f aca="false">IF($AF32=Constants!$B$7,IF(AM32&gt;AJ32,2,1),"")</f>
        <v/>
      </c>
      <c r="AO32" s="67" t="str">
        <f aca="false">IF($AF32=Constants!$B$7,IF(AN32=1,2,1),"")</f>
        <v/>
      </c>
      <c r="AP32" s="67" t="str">
        <f aca="false">IF(ISBLANK($C32),"",IF($AF32&lt;&gt;Constants!$B$7,$AF32,IF(AN32=1,AJ32,AM32)))</f>
        <v/>
      </c>
      <c r="AQ32" s="67" t="str">
        <f aca="false">IF(ISBLANK($C32),"",IF($AF32=Constants!$B$7,IF(ISNUMBER(AP32),RANK(AP32,$AP$8:$AP$507),Constants!$B$14),$AF32))</f>
        <v/>
      </c>
      <c r="AR32" s="67" t="str">
        <f aca="false">IF(ISBLANK($C32),"",IF($AF32=Constants!$B$7,IF(AO32=1,AJ32,AM32),""))</f>
        <v/>
      </c>
      <c r="AS32" s="67" t="str">
        <f aca="false">IF(ISBLANK($C32),"",IF($AF32=Constants!$B$7,RANK(AR32,$AR$8:$AR$507),$AF32))</f>
        <v/>
      </c>
      <c r="AT32" s="67" t="str">
        <f aca="false">IF(ISBLANK($C32),"",IF($AF32=Constants!$B$7,IF(ISNUMBER(AQ32),COUNTIFS($AQ$8:$AQ$507,"&lt;"&amp;$AQ32)+COUNTIFS($AQ$8:$AQ$507,$AQ32,$AS$8:$AS$507,"&lt;"&amp;$AS32)+1,Constants!$B$14),$AF32))</f>
        <v/>
      </c>
      <c r="AU32" s="67" t="str">
        <f aca="false">IF(ISBLANK($C32),"",IF($AF32=Constants!$B$7,IF(ISNUMBER(AQ32),AQ32-AT32,Constants!$B$14),$AF32))</f>
        <v/>
      </c>
      <c r="AV32" s="69"/>
      <c r="AW32" s="70" t="str">
        <f aca="false">IF(ISBLANK($C32),"",IF($AF32&lt;&gt;Constants!$B$7,"",AN32))</f>
        <v/>
      </c>
      <c r="AX32" s="85" t="str">
        <f aca="false">IF(ISBLANK($C32),"",IF($AF32&lt;&gt;Constants!$B$7,"",IF(AN32=1,AH32,AK32)))</f>
        <v/>
      </c>
      <c r="AY32" s="72" t="str">
        <f aca="false">IF(ISBLANK($C32),"",IF($AF32&lt;&gt;Constants!$B$7,"",IF(AN32=1,AI32,AL32)))</f>
        <v/>
      </c>
      <c r="AZ32" s="73" t="str">
        <f aca="false">IF(ISBLANK($C32),"",IF($AF32&lt;&gt;Constants!$B$7,$AF32,AP32))</f>
        <v/>
      </c>
      <c r="BA32" s="74" t="str">
        <f aca="false">IF(ISBLANK($C32),"",IF($AF32&lt;&gt;Constants!$B$7,$AF32,AG32))</f>
        <v/>
      </c>
      <c r="BB32" s="75" t="str">
        <f aca="false">IF(ISBLANK($C32),"",AU32)</f>
        <v/>
      </c>
      <c r="BC32" s="75" t="str">
        <f aca="false">IF(ISBLANK($C32),"",AT32)</f>
        <v/>
      </c>
      <c r="BD32" s="76" t="str">
        <f aca="false">IF(ISBLANK($C32),"",IFERROR(_xlfn.SWITCH(BC32,Constants!$B$4,COUNTA($C$8:$C$507)+2,Constants!$B$5,COUNTA($C$8:$C$507)+1,Constants!$B$6,COUNTA($C$8:$C$507)),BC32))</f>
        <v/>
      </c>
      <c r="BE32" s="5"/>
      <c r="BF32" s="77" t="n">
        <f aca="false">IF(OR(ISNUMBER(BC32),BC32=Constants!$B$4,BC32=Constants!$B$6,BC32=Constants!$B$5),1,0)</f>
        <v>0</v>
      </c>
      <c r="BG32" s="77" t="n">
        <v>25</v>
      </c>
      <c r="BH32" s="77" t="str">
        <f aca="false">IF(ISBLANK($C32),"",IF(ISNUMBER(BD32),BD32+ROW($B32)/1000,""))</f>
        <v/>
      </c>
      <c r="BI32" s="77" t="str">
        <f aca="false">IF(ISNUMBER(BH32),RANK(BH32,$BH$8:$BH$507,1),"")</f>
        <v/>
      </c>
      <c r="BJ32" s="77" t="str">
        <f aca="false">IF(ISBLANK($C32),"",$B32)</f>
        <v/>
      </c>
      <c r="BK32" s="77" t="str">
        <f aca="false">IF(ISBLANK($C32),"",$C32)</f>
        <v/>
      </c>
      <c r="BL32" s="77" t="str">
        <f aca="false">IF(ISBLANK($C32),"",$D32)</f>
        <v/>
      </c>
      <c r="BM32" s="78" t="str">
        <f aca="false">BA32</f>
        <v/>
      </c>
      <c r="BN32" s="79" t="str">
        <f aca="false">AZ32</f>
        <v/>
      </c>
      <c r="BO32" s="77" t="str">
        <f aca="false">IF(ISBLANK($C32),"",BC32)</f>
        <v/>
      </c>
      <c r="BP32" s="80" t="str">
        <f aca="false">IF($BG32&gt;$BF$7,"",VLOOKUP($BG32,$BI$8:$BO$507,7,FALSE()))</f>
        <v/>
      </c>
      <c r="BQ32" s="81" t="str">
        <f aca="false">IF($BG32&gt;$BF$7,"",VLOOKUP($BG32,$BI$8:$BO$507,2,FALSE()))</f>
        <v/>
      </c>
      <c r="BR32" s="81" t="str">
        <f aca="false">IF($BG32&gt;$BF$7,"",VLOOKUP($BG32,$BI$8:$BO$507,3,FALSE()))</f>
        <v/>
      </c>
      <c r="BS32" s="81" t="str">
        <f aca="false">IF($BG32&gt;$BF$7,"",VLOOKUP($BG32,$BI$8:$BO$507,4,FALSE()))</f>
        <v/>
      </c>
      <c r="BT32" s="81" t="str">
        <f aca="false">IF($BG32&gt;$BF$7,"",VLOOKUP($BG32,$BI$8:$BO$507,5,FALSE()))</f>
        <v/>
      </c>
      <c r="BU32" s="82" t="str">
        <f aca="false">IF($BG32&gt;$BF$7,"",VLOOKUP($BG32,$BI$8:$BO$507,6,FALSE()))</f>
        <v/>
      </c>
      <c r="BV32" s="54"/>
    </row>
    <row r="33" customFormat="false" ht="15.75" hidden="false" customHeight="false" outlineLevel="0" collapsed="false">
      <c r="A33" s="5"/>
      <c r="B33" s="135"/>
      <c r="C33" s="56"/>
      <c r="D33" s="57"/>
      <c r="E33" s="124"/>
      <c r="F33" s="125"/>
      <c r="G33" s="60"/>
      <c r="H33" s="126"/>
      <c r="I33" s="62"/>
      <c r="J33" s="62"/>
      <c r="K33" s="60"/>
      <c r="L33" s="127"/>
      <c r="M33" s="62"/>
      <c r="N33" s="62"/>
      <c r="O33" s="60"/>
      <c r="P33" s="84"/>
      <c r="Q33" s="65"/>
      <c r="R33" s="67" t="str">
        <f aca="false">IF(ISBLANK($C33),"",IF(E33=Constants!$B$2, TRUE(), IF(E33=Constants!$B$3, FALSE(), TRUE())))</f>
        <v/>
      </c>
      <c r="S33" s="67" t="str">
        <f aca="false">IF(ISBLANK($C33),"",IF(F33=Constants!$B$2, TRUE(), IF(F33=Constants!$B$3, FALSE(), TRUE())))</f>
        <v/>
      </c>
      <c r="T33" s="67" t="str">
        <f aca="false">IF(ISBLANK($C33),"",IF(G33=Constants!$B$16,Constants!$B$9,IF(G33=Constants!$B$17,Constants!$B$10,Constants!$B$8)))</f>
        <v/>
      </c>
      <c r="U33" s="67" t="str">
        <f aca="false">IF(ISBLANK($C33),"",IF(H33=Constants!$B$19,Constants!$B$19,Constants!$B$18))</f>
        <v/>
      </c>
      <c r="V33" s="67" t="str">
        <f aca="false">IF(ISBLANK($C33),"",IF(ISNUMBER(I33),IF(I33&gt;=0,I33,""),""))</f>
        <v/>
      </c>
      <c r="W33" s="67" t="str">
        <f aca="false">IF(ISBLANK($C33),"",IF(J33=Constants!$B$2, TRUE(), IF(J33=Constants!$B$3, FALSE(), TRUE())))</f>
        <v/>
      </c>
      <c r="X33" s="67" t="str">
        <f aca="false">IF(ISBLANK($C33),"",IF(K33=Constants!$B$2, TRUE(), IF(K33=Constants!$B$3, FALSE(), TRUE())))</f>
        <v/>
      </c>
      <c r="Y33" s="67" t="str">
        <f aca="false">IF(ISBLANK($C33),"",IF(L33=Constants!$B$19,Constants!$B$19,Constants!$B$18))</f>
        <v/>
      </c>
      <c r="Z33" s="67" t="str">
        <f aca="false">IF(ISBLANK($C33),"",IF(ISNUMBER(M33),IF(M33&gt;=0,M33,""),""))</f>
        <v/>
      </c>
      <c r="AA33" s="67" t="str">
        <f aca="false">IF(ISBLANK($C33),"",IF(N33=Constants!$B$2, TRUE(), IF(N33=Constants!$B$3, FALSE(), TRUE())))</f>
        <v/>
      </c>
      <c r="AB33" s="67" t="str">
        <f aca="false">IF(ISBLANK($C33),"",IF(O33=Constants!$B$2, TRUE(), IF(O33=Constants!$B$3, FALSE(), TRUE())))</f>
        <v/>
      </c>
      <c r="AC33" s="67" t="str">
        <f aca="false">IF(ISBLANK($C33),"",IF(P33=Constants!$B$2, TRUE(), IF(P33=Constants!$B$3, FALSE(), FALSE())))</f>
        <v/>
      </c>
      <c r="AD33" s="67" t="str">
        <f aca="false">IF(ISBLANK($C33),"",AND(V33&lt;&gt;"",IF(U33=Constants!$B$19,S33,R33)))</f>
        <v/>
      </c>
      <c r="AE33" s="67" t="str">
        <f aca="false">IF(ISBLANK($C33),"",AND(Z33&lt;&gt;"",IF(Y33=Constants!$B$19,S33,R33)))</f>
        <v/>
      </c>
      <c r="AF33" s="67" t="str">
        <f aca="false">IF(ISBLANK($C33),"",IF(AC33,Constants!$B$4,IF(COUNTA(E33:O33)=0,Constants!$B$5,IF(AND(NOT(AD33),NOT(AE33)),Constants!$B$6,Constants!$B$7))))</f>
        <v/>
      </c>
      <c r="AG33" s="67" t="str">
        <f aca="false">IF(ISBLANK($C33),"",IF($AF33&lt;&gt;Constants!$B$7,$AF33,Constants!$B$20))</f>
        <v/>
      </c>
      <c r="AH33" s="67" t="str">
        <f aca="false">IF($AF33=Constants!$B$7,IF(AD33,V33,Constants!$B$13),"")</f>
        <v/>
      </c>
      <c r="AI33" s="67" t="str">
        <f aca="false">IF($AF33=Constants!$B$7,IF(AD33,T33*IF(W33, 1, Constants!$B$11)*IF(X33, 1, Constants!$B$12),Constants!$B$13),"")</f>
        <v/>
      </c>
      <c r="AJ33" s="67" t="str">
        <f aca="false">IF($AF33=Constants!$B$7,AH33*AI33,"")</f>
        <v/>
      </c>
      <c r="AK33" s="67" t="str">
        <f aca="false">IF($AF33=Constants!$B$7,IF(AE33,Z33,Constants!$B$13),"")</f>
        <v/>
      </c>
      <c r="AL33" s="67" t="str">
        <f aca="false">IF($AF33=Constants!$B$7,IF(AE33,T33*IF(AA33, 1, Constants!$B$11)*IF(AB33, 1, Constants!$B$12),Constants!$B$13),"")</f>
        <v/>
      </c>
      <c r="AM33" s="67" t="str">
        <f aca="false">IF($AF33=Constants!$B$7,AK33*AL33,"")</f>
        <v/>
      </c>
      <c r="AN33" s="67" t="str">
        <f aca="false">IF($AF33=Constants!$B$7,IF(AM33&gt;AJ33,2,1),"")</f>
        <v/>
      </c>
      <c r="AO33" s="67" t="str">
        <f aca="false">IF($AF33=Constants!$B$7,IF(AN33=1,2,1),"")</f>
        <v/>
      </c>
      <c r="AP33" s="67" t="str">
        <f aca="false">IF(ISBLANK($C33),"",IF($AF33&lt;&gt;Constants!$B$7,$AF33,IF(AN33=1,AJ33,AM33)))</f>
        <v/>
      </c>
      <c r="AQ33" s="67" t="str">
        <f aca="false">IF(ISBLANK($C33),"",IF($AF33=Constants!$B$7,IF(ISNUMBER(AP33),RANK(AP33,$AP$8:$AP$507),Constants!$B$14),$AF33))</f>
        <v/>
      </c>
      <c r="AR33" s="67" t="str">
        <f aca="false">IF(ISBLANK($C33),"",IF($AF33=Constants!$B$7,IF(AO33=1,AJ33,AM33),""))</f>
        <v/>
      </c>
      <c r="AS33" s="67" t="str">
        <f aca="false">IF(ISBLANK($C33),"",IF($AF33=Constants!$B$7,RANK(AR33,$AR$8:$AR$507),$AF33))</f>
        <v/>
      </c>
      <c r="AT33" s="67" t="str">
        <f aca="false">IF(ISBLANK($C33),"",IF($AF33=Constants!$B$7,IF(ISNUMBER(AQ33),COUNTIFS($AQ$8:$AQ$507,"&lt;"&amp;$AQ33)+COUNTIFS($AQ$8:$AQ$507,$AQ33,$AS$8:$AS$507,"&lt;"&amp;$AS33)+1,Constants!$B$14),$AF33))</f>
        <v/>
      </c>
      <c r="AU33" s="67" t="str">
        <f aca="false">IF(ISBLANK($C33),"",IF($AF33=Constants!$B$7,IF(ISNUMBER(AQ33),AQ33-AT33,Constants!$B$14),$AF33))</f>
        <v/>
      </c>
      <c r="AV33" s="69"/>
      <c r="AW33" s="70" t="str">
        <f aca="false">IF(ISBLANK($C33),"",IF($AF33&lt;&gt;Constants!$B$7,"",AN33))</f>
        <v/>
      </c>
      <c r="AX33" s="85" t="str">
        <f aca="false">IF(ISBLANK($C33),"",IF($AF33&lt;&gt;Constants!$B$7,"",IF(AN33=1,AH33,AK33)))</f>
        <v/>
      </c>
      <c r="AY33" s="72" t="str">
        <f aca="false">IF(ISBLANK($C33),"",IF($AF33&lt;&gt;Constants!$B$7,"",IF(AN33=1,AI33,AL33)))</f>
        <v/>
      </c>
      <c r="AZ33" s="73" t="str">
        <f aca="false">IF(ISBLANK($C33),"",IF($AF33&lt;&gt;Constants!$B$7,$AF33,AP33))</f>
        <v/>
      </c>
      <c r="BA33" s="74" t="str">
        <f aca="false">IF(ISBLANK($C33),"",IF($AF33&lt;&gt;Constants!$B$7,$AF33,AG33))</f>
        <v/>
      </c>
      <c r="BB33" s="75" t="str">
        <f aca="false">IF(ISBLANK($C33),"",AU33)</f>
        <v/>
      </c>
      <c r="BC33" s="75" t="str">
        <f aca="false">IF(ISBLANK($C33),"",AT33)</f>
        <v/>
      </c>
      <c r="BD33" s="76" t="str">
        <f aca="false">IF(ISBLANK($C33),"",IFERROR(_xlfn.SWITCH(BC33,Constants!$B$4,COUNTA($C$8:$C$507)+2,Constants!$B$5,COUNTA($C$8:$C$507)+1,Constants!$B$6,COUNTA($C$8:$C$507)),BC33))</f>
        <v/>
      </c>
      <c r="BE33" s="5"/>
      <c r="BF33" s="77" t="n">
        <f aca="false">IF(OR(ISNUMBER(BC33),BC33=Constants!$B$4,BC33=Constants!$B$6,BC33=Constants!$B$5),1,0)</f>
        <v>0</v>
      </c>
      <c r="BG33" s="77" t="n">
        <v>26</v>
      </c>
      <c r="BH33" s="77" t="str">
        <f aca="false">IF(ISBLANK($C33),"",IF(ISNUMBER(BD33),BD33+ROW($B33)/1000,""))</f>
        <v/>
      </c>
      <c r="BI33" s="77" t="str">
        <f aca="false">IF(ISNUMBER(BH33),RANK(BH33,$BH$8:$BH$507,1),"")</f>
        <v/>
      </c>
      <c r="BJ33" s="77" t="str">
        <f aca="false">IF(ISBLANK($C33),"",$B33)</f>
        <v/>
      </c>
      <c r="BK33" s="77" t="str">
        <f aca="false">IF(ISBLANK($C33),"",$C33)</f>
        <v/>
      </c>
      <c r="BL33" s="77" t="str">
        <f aca="false">IF(ISBLANK($C33),"",$D33)</f>
        <v/>
      </c>
      <c r="BM33" s="78" t="str">
        <f aca="false">BA33</f>
        <v/>
      </c>
      <c r="BN33" s="79" t="str">
        <f aca="false">AZ33</f>
        <v/>
      </c>
      <c r="BO33" s="77" t="str">
        <f aca="false">IF(ISBLANK($C33),"",BC33)</f>
        <v/>
      </c>
      <c r="BP33" s="80" t="str">
        <f aca="false">IF($BG33&gt;$BF$7,"",VLOOKUP($BG33,$BI$8:$BO$507,7,FALSE()))</f>
        <v/>
      </c>
      <c r="BQ33" s="81" t="str">
        <f aca="false">IF($BG33&gt;$BF$7,"",VLOOKUP($BG33,$BI$8:$BO$507,2,FALSE()))</f>
        <v/>
      </c>
      <c r="BR33" s="81" t="str">
        <f aca="false">IF($BG33&gt;$BF$7,"",VLOOKUP($BG33,$BI$8:$BO$507,3,FALSE()))</f>
        <v/>
      </c>
      <c r="BS33" s="81" t="str">
        <f aca="false">IF($BG33&gt;$BF$7,"",VLOOKUP($BG33,$BI$8:$BO$507,4,FALSE()))</f>
        <v/>
      </c>
      <c r="BT33" s="81" t="str">
        <f aca="false">IF($BG33&gt;$BF$7,"",VLOOKUP($BG33,$BI$8:$BO$507,5,FALSE()))</f>
        <v/>
      </c>
      <c r="BU33" s="82" t="str">
        <f aca="false">IF($BG33&gt;$BF$7,"",VLOOKUP($BG33,$BI$8:$BO$507,6,FALSE()))</f>
        <v/>
      </c>
      <c r="BV33" s="54"/>
    </row>
    <row r="34" customFormat="false" ht="15.75" hidden="false" customHeight="false" outlineLevel="0" collapsed="false">
      <c r="A34" s="5"/>
      <c r="B34" s="135"/>
      <c r="C34" s="56"/>
      <c r="D34" s="57"/>
      <c r="E34" s="124"/>
      <c r="F34" s="125"/>
      <c r="G34" s="60"/>
      <c r="H34" s="126"/>
      <c r="I34" s="62"/>
      <c r="J34" s="62"/>
      <c r="K34" s="60"/>
      <c r="L34" s="127"/>
      <c r="M34" s="62"/>
      <c r="N34" s="62"/>
      <c r="O34" s="60"/>
      <c r="P34" s="84"/>
      <c r="Q34" s="65"/>
      <c r="R34" s="67" t="str">
        <f aca="false">IF(ISBLANK($C34),"",IF(E34=Constants!$B$2, TRUE(), IF(E34=Constants!$B$3, FALSE(), TRUE())))</f>
        <v/>
      </c>
      <c r="S34" s="67" t="str">
        <f aca="false">IF(ISBLANK($C34),"",IF(F34=Constants!$B$2, TRUE(), IF(F34=Constants!$B$3, FALSE(), TRUE())))</f>
        <v/>
      </c>
      <c r="T34" s="67" t="str">
        <f aca="false">IF(ISBLANK($C34),"",IF(G34=Constants!$B$16,Constants!$B$9,IF(G34=Constants!$B$17,Constants!$B$10,Constants!$B$8)))</f>
        <v/>
      </c>
      <c r="U34" s="67" t="str">
        <f aca="false">IF(ISBLANK($C34),"",IF(H34=Constants!$B$19,Constants!$B$19,Constants!$B$18))</f>
        <v/>
      </c>
      <c r="V34" s="67" t="str">
        <f aca="false">IF(ISBLANK($C34),"",IF(ISNUMBER(I34),IF(I34&gt;=0,I34,""),""))</f>
        <v/>
      </c>
      <c r="W34" s="67" t="str">
        <f aca="false">IF(ISBLANK($C34),"",IF(J34=Constants!$B$2, TRUE(), IF(J34=Constants!$B$3, FALSE(), TRUE())))</f>
        <v/>
      </c>
      <c r="X34" s="67" t="str">
        <f aca="false">IF(ISBLANK($C34),"",IF(K34=Constants!$B$2, TRUE(), IF(K34=Constants!$B$3, FALSE(), TRUE())))</f>
        <v/>
      </c>
      <c r="Y34" s="67" t="str">
        <f aca="false">IF(ISBLANK($C34),"",IF(L34=Constants!$B$19,Constants!$B$19,Constants!$B$18))</f>
        <v/>
      </c>
      <c r="Z34" s="67" t="str">
        <f aca="false">IF(ISBLANK($C34),"",IF(ISNUMBER(M34),IF(M34&gt;=0,M34,""),""))</f>
        <v/>
      </c>
      <c r="AA34" s="67" t="str">
        <f aca="false">IF(ISBLANK($C34),"",IF(N34=Constants!$B$2, TRUE(), IF(N34=Constants!$B$3, FALSE(), TRUE())))</f>
        <v/>
      </c>
      <c r="AB34" s="67" t="str">
        <f aca="false">IF(ISBLANK($C34),"",IF(O34=Constants!$B$2, TRUE(), IF(O34=Constants!$B$3, FALSE(), TRUE())))</f>
        <v/>
      </c>
      <c r="AC34" s="67" t="str">
        <f aca="false">IF(ISBLANK($C34),"",IF(P34=Constants!$B$2, TRUE(), IF(P34=Constants!$B$3, FALSE(), FALSE())))</f>
        <v/>
      </c>
      <c r="AD34" s="67" t="str">
        <f aca="false">IF(ISBLANK($C34),"",AND(V34&lt;&gt;"",IF(U34=Constants!$B$19,S34,R34)))</f>
        <v/>
      </c>
      <c r="AE34" s="67" t="str">
        <f aca="false">IF(ISBLANK($C34),"",AND(Z34&lt;&gt;"",IF(Y34=Constants!$B$19,S34,R34)))</f>
        <v/>
      </c>
      <c r="AF34" s="67" t="str">
        <f aca="false">IF(ISBLANK($C34),"",IF(AC34,Constants!$B$4,IF(COUNTA(E34:O34)=0,Constants!$B$5,IF(AND(NOT(AD34),NOT(AE34)),Constants!$B$6,Constants!$B$7))))</f>
        <v/>
      </c>
      <c r="AG34" s="67" t="str">
        <f aca="false">IF(ISBLANK($C34),"",IF($AF34&lt;&gt;Constants!$B$7,$AF34,Constants!$B$20))</f>
        <v/>
      </c>
      <c r="AH34" s="67" t="str">
        <f aca="false">IF($AF34=Constants!$B$7,IF(AD34,V34,Constants!$B$13),"")</f>
        <v/>
      </c>
      <c r="AI34" s="67" t="str">
        <f aca="false">IF($AF34=Constants!$B$7,IF(AD34,T34*IF(W34, 1, Constants!$B$11)*IF(X34, 1, Constants!$B$12),Constants!$B$13),"")</f>
        <v/>
      </c>
      <c r="AJ34" s="67" t="str">
        <f aca="false">IF($AF34=Constants!$B$7,AH34*AI34,"")</f>
        <v/>
      </c>
      <c r="AK34" s="67" t="str">
        <f aca="false">IF($AF34=Constants!$B$7,IF(AE34,Z34,Constants!$B$13),"")</f>
        <v/>
      </c>
      <c r="AL34" s="67" t="str">
        <f aca="false">IF($AF34=Constants!$B$7,IF(AE34,T34*IF(AA34, 1, Constants!$B$11)*IF(AB34, 1, Constants!$B$12),Constants!$B$13),"")</f>
        <v/>
      </c>
      <c r="AM34" s="67" t="str">
        <f aca="false">IF($AF34=Constants!$B$7,AK34*AL34,"")</f>
        <v/>
      </c>
      <c r="AN34" s="67" t="str">
        <f aca="false">IF($AF34=Constants!$B$7,IF(AM34&gt;AJ34,2,1),"")</f>
        <v/>
      </c>
      <c r="AO34" s="67" t="str">
        <f aca="false">IF($AF34=Constants!$B$7,IF(AN34=1,2,1),"")</f>
        <v/>
      </c>
      <c r="AP34" s="67" t="str">
        <f aca="false">IF(ISBLANK($C34),"",IF($AF34&lt;&gt;Constants!$B$7,$AF34,IF(AN34=1,AJ34,AM34)))</f>
        <v/>
      </c>
      <c r="AQ34" s="67" t="str">
        <f aca="false">IF(ISBLANK($C34),"",IF($AF34=Constants!$B$7,IF(ISNUMBER(AP34),RANK(AP34,$AP$8:$AP$507),Constants!$B$14),$AF34))</f>
        <v/>
      </c>
      <c r="AR34" s="67" t="str">
        <f aca="false">IF(ISBLANK($C34),"",IF($AF34=Constants!$B$7,IF(AO34=1,AJ34,AM34),""))</f>
        <v/>
      </c>
      <c r="AS34" s="67" t="str">
        <f aca="false">IF(ISBLANK($C34),"",IF($AF34=Constants!$B$7,RANK(AR34,$AR$8:$AR$507),$AF34))</f>
        <v/>
      </c>
      <c r="AT34" s="67" t="str">
        <f aca="false">IF(ISBLANK($C34),"",IF($AF34=Constants!$B$7,IF(ISNUMBER(AQ34),COUNTIFS($AQ$8:$AQ$507,"&lt;"&amp;$AQ34)+COUNTIFS($AQ$8:$AQ$507,$AQ34,$AS$8:$AS$507,"&lt;"&amp;$AS34)+1,Constants!$B$14),$AF34))</f>
        <v/>
      </c>
      <c r="AU34" s="67" t="str">
        <f aca="false">IF(ISBLANK($C34),"",IF($AF34=Constants!$B$7,IF(ISNUMBER(AQ34),AQ34-AT34,Constants!$B$14),$AF34))</f>
        <v/>
      </c>
      <c r="AV34" s="69"/>
      <c r="AW34" s="70" t="str">
        <f aca="false">IF(ISBLANK($C34),"",IF($AF34&lt;&gt;Constants!$B$7,"",AN34))</f>
        <v/>
      </c>
      <c r="AX34" s="85" t="str">
        <f aca="false">IF(ISBLANK($C34),"",IF($AF34&lt;&gt;Constants!$B$7,"",IF(AN34=1,AH34,AK34)))</f>
        <v/>
      </c>
      <c r="AY34" s="72" t="str">
        <f aca="false">IF(ISBLANK($C34),"",IF($AF34&lt;&gt;Constants!$B$7,"",IF(AN34=1,AI34,AL34)))</f>
        <v/>
      </c>
      <c r="AZ34" s="73" t="str">
        <f aca="false">IF(ISBLANK($C34),"",IF($AF34&lt;&gt;Constants!$B$7,$AF34,AP34))</f>
        <v/>
      </c>
      <c r="BA34" s="74" t="str">
        <f aca="false">IF(ISBLANK($C34),"",IF($AF34&lt;&gt;Constants!$B$7,$AF34,AG34))</f>
        <v/>
      </c>
      <c r="BB34" s="75" t="str">
        <f aca="false">IF(ISBLANK($C34),"",AU34)</f>
        <v/>
      </c>
      <c r="BC34" s="75" t="str">
        <f aca="false">IF(ISBLANK($C34),"",AT34)</f>
        <v/>
      </c>
      <c r="BD34" s="76" t="str">
        <f aca="false">IF(ISBLANK($C34),"",IFERROR(_xlfn.SWITCH(BC34,Constants!$B$4,COUNTA($C$8:$C$507)+2,Constants!$B$5,COUNTA($C$8:$C$507)+1,Constants!$B$6,COUNTA($C$8:$C$507)),BC34))</f>
        <v/>
      </c>
      <c r="BE34" s="5"/>
      <c r="BF34" s="77" t="n">
        <f aca="false">IF(OR(ISNUMBER(BC34),BC34=Constants!$B$4,BC34=Constants!$B$6,BC34=Constants!$B$5),1,0)</f>
        <v>0</v>
      </c>
      <c r="BG34" s="77" t="n">
        <v>27</v>
      </c>
      <c r="BH34" s="77" t="str">
        <f aca="false">IF(ISBLANK($C34),"",IF(ISNUMBER(BD34),BD34+ROW($B34)/1000,""))</f>
        <v/>
      </c>
      <c r="BI34" s="77" t="str">
        <f aca="false">IF(ISNUMBER(BH34),RANK(BH34,$BH$8:$BH$507,1),"")</f>
        <v/>
      </c>
      <c r="BJ34" s="77" t="str">
        <f aca="false">IF(ISBLANK($C34),"",$B34)</f>
        <v/>
      </c>
      <c r="BK34" s="77" t="str">
        <f aca="false">IF(ISBLANK($C34),"",$C34)</f>
        <v/>
      </c>
      <c r="BL34" s="77" t="str">
        <f aca="false">IF(ISBLANK($C34),"",$D34)</f>
        <v/>
      </c>
      <c r="BM34" s="78" t="str">
        <f aca="false">BA34</f>
        <v/>
      </c>
      <c r="BN34" s="79" t="str">
        <f aca="false">AZ34</f>
        <v/>
      </c>
      <c r="BO34" s="77" t="str">
        <f aca="false">IF(ISBLANK($C34),"",BC34)</f>
        <v/>
      </c>
      <c r="BP34" s="80" t="str">
        <f aca="false">IF($BG34&gt;$BF$7,"",VLOOKUP($BG34,$BI$8:$BO$507,7,FALSE()))</f>
        <v/>
      </c>
      <c r="BQ34" s="81" t="str">
        <f aca="false">IF($BG34&gt;$BF$7,"",VLOOKUP($BG34,$BI$8:$BO$507,2,FALSE()))</f>
        <v/>
      </c>
      <c r="BR34" s="81" t="str">
        <f aca="false">IF($BG34&gt;$BF$7,"",VLOOKUP($BG34,$BI$8:$BO$507,3,FALSE()))</f>
        <v/>
      </c>
      <c r="BS34" s="81" t="str">
        <f aca="false">IF($BG34&gt;$BF$7,"",VLOOKUP($BG34,$BI$8:$BO$507,4,FALSE()))</f>
        <v/>
      </c>
      <c r="BT34" s="81" t="str">
        <f aca="false">IF($BG34&gt;$BF$7,"",VLOOKUP($BG34,$BI$8:$BO$507,5,FALSE()))</f>
        <v/>
      </c>
      <c r="BU34" s="82" t="str">
        <f aca="false">IF($BG34&gt;$BF$7,"",VLOOKUP($BG34,$BI$8:$BO$507,6,FALSE()))</f>
        <v/>
      </c>
      <c r="BV34" s="54"/>
    </row>
    <row r="35" customFormat="false" ht="15.75" hidden="false" customHeight="false" outlineLevel="0" collapsed="false">
      <c r="A35" s="5"/>
      <c r="B35" s="128"/>
      <c r="C35" s="129"/>
      <c r="D35" s="114"/>
      <c r="E35" s="130"/>
      <c r="F35" s="131"/>
      <c r="G35" s="93"/>
      <c r="H35" s="132"/>
      <c r="I35" s="95"/>
      <c r="J35" s="95"/>
      <c r="K35" s="93"/>
      <c r="L35" s="133"/>
      <c r="M35" s="95"/>
      <c r="N35" s="95"/>
      <c r="O35" s="93"/>
      <c r="P35" s="134"/>
      <c r="Q35" s="98"/>
      <c r="R35" s="99" t="str">
        <f aca="false">IF(ISBLANK($C35),"",IF(E35=Constants!$B$2, TRUE(), IF(E35=Constants!$B$3, FALSE(), TRUE())))</f>
        <v/>
      </c>
      <c r="S35" s="99" t="str">
        <f aca="false">IF(ISBLANK($C35),"",IF(F35=Constants!$B$2, TRUE(), IF(F35=Constants!$B$3, FALSE(), TRUE())))</f>
        <v/>
      </c>
      <c r="T35" s="99" t="str">
        <f aca="false">IF(ISBLANK($C35),"",IF(G35=Constants!$B$16,Constants!$B$9,IF(G35=Constants!$B$17,Constants!$B$10,Constants!$B$8)))</f>
        <v/>
      </c>
      <c r="U35" s="99" t="str">
        <f aca="false">IF(ISBLANK($C35),"",IF(H35=Constants!$B$19,Constants!$B$19,Constants!$B$18))</f>
        <v/>
      </c>
      <c r="V35" s="99" t="str">
        <f aca="false">IF(ISBLANK($C35),"",IF(ISNUMBER(I35),IF(I35&gt;=0,I35,""),""))</f>
        <v/>
      </c>
      <c r="W35" s="99" t="str">
        <f aca="false">IF(ISBLANK($C35),"",IF(J35=Constants!$B$2, TRUE(), IF(J35=Constants!$B$3, FALSE(), TRUE())))</f>
        <v/>
      </c>
      <c r="X35" s="99" t="str">
        <f aca="false">IF(ISBLANK($C35),"",IF(K35=Constants!$B$2, TRUE(), IF(K35=Constants!$B$3, FALSE(), TRUE())))</f>
        <v/>
      </c>
      <c r="Y35" s="99" t="str">
        <f aca="false">IF(ISBLANK($C35),"",IF(L35=Constants!$B$19,Constants!$B$19,Constants!$B$18))</f>
        <v/>
      </c>
      <c r="Z35" s="99" t="str">
        <f aca="false">IF(ISBLANK($C35),"",IF(ISNUMBER(M35),IF(M35&gt;=0,M35,""),""))</f>
        <v/>
      </c>
      <c r="AA35" s="99" t="str">
        <f aca="false">IF(ISBLANK($C35),"",IF(N35=Constants!$B$2, TRUE(), IF(N35=Constants!$B$3, FALSE(), TRUE())))</f>
        <v/>
      </c>
      <c r="AB35" s="99" t="str">
        <f aca="false">IF(ISBLANK($C35),"",IF(O35=Constants!$B$2, TRUE(), IF(O35=Constants!$B$3, FALSE(), TRUE())))</f>
        <v/>
      </c>
      <c r="AC35" s="99" t="str">
        <f aca="false">IF(ISBLANK($C35),"",IF(P35=Constants!$B$2, TRUE(), IF(P35=Constants!$B$3, FALSE(), FALSE())))</f>
        <v/>
      </c>
      <c r="AD35" s="99" t="str">
        <f aca="false">IF(ISBLANK($C35),"",AND(V35&lt;&gt;"",IF(U35=Constants!$B$19,S35,R35)))</f>
        <v/>
      </c>
      <c r="AE35" s="99" t="str">
        <f aca="false">IF(ISBLANK($C35),"",AND(Z35&lt;&gt;"",IF(Y35=Constants!$B$19,S35,R35)))</f>
        <v/>
      </c>
      <c r="AF35" s="99" t="str">
        <f aca="false">IF(ISBLANK($C35),"",IF(AC35,Constants!$B$4,IF(COUNTA(E35:O35)=0,Constants!$B$5,IF(AND(NOT(AD35),NOT(AE35)),Constants!$B$6,Constants!$B$7))))</f>
        <v/>
      </c>
      <c r="AG35" s="99" t="str">
        <f aca="false">IF(ISBLANK($C35),"",IF($AF35&lt;&gt;Constants!$B$7,$AF35,Constants!$B$20))</f>
        <v/>
      </c>
      <c r="AH35" s="99" t="str">
        <f aca="false">IF($AF35=Constants!$B$7,IF(AD35,V35,Constants!$B$13),"")</f>
        <v/>
      </c>
      <c r="AI35" s="99" t="str">
        <f aca="false">IF($AF35=Constants!$B$7,IF(AD35,T35*IF(W35, 1, Constants!$B$11)*IF(X35, 1, Constants!$B$12),Constants!$B$13),"")</f>
        <v/>
      </c>
      <c r="AJ35" s="99" t="str">
        <f aca="false">IF($AF35=Constants!$B$7,AH35*AI35,"")</f>
        <v/>
      </c>
      <c r="AK35" s="99" t="str">
        <f aca="false">IF($AF35=Constants!$B$7,IF(AE35,Z35,Constants!$B$13),"")</f>
        <v/>
      </c>
      <c r="AL35" s="99" t="str">
        <f aca="false">IF($AF35=Constants!$B$7,IF(AE35,T35*IF(AA35, 1, Constants!$B$11)*IF(AB35, 1, Constants!$B$12),Constants!$B$13),"")</f>
        <v/>
      </c>
      <c r="AM35" s="99" t="str">
        <f aca="false">IF($AF35=Constants!$B$7,AK35*AL35,"")</f>
        <v/>
      </c>
      <c r="AN35" s="99" t="str">
        <f aca="false">IF($AF35=Constants!$B$7,IF(AM35&gt;AJ35,2,1),"")</f>
        <v/>
      </c>
      <c r="AO35" s="99" t="str">
        <f aca="false">IF($AF35=Constants!$B$7,IF(AN35=1,2,1),"")</f>
        <v/>
      </c>
      <c r="AP35" s="99" t="str">
        <f aca="false">IF(ISBLANK($C35),"",IF($AF35&lt;&gt;Constants!$B$7,$AF35,IF(AN35=1,AJ35,AM35)))</f>
        <v/>
      </c>
      <c r="AQ35" s="99" t="str">
        <f aca="false">IF(ISBLANK($C35),"",IF($AF35=Constants!$B$7,IF(ISNUMBER(AP35),RANK(AP35,$AP$8:$AP$507),Constants!$B$14),$AF35))</f>
        <v/>
      </c>
      <c r="AR35" s="99" t="str">
        <f aca="false">IF(ISBLANK($C35),"",IF($AF35=Constants!$B$7,IF(AO35=1,AJ35,AM35),""))</f>
        <v/>
      </c>
      <c r="AS35" s="99" t="str">
        <f aca="false">IF(ISBLANK($C35),"",IF($AF35=Constants!$B$7,RANK(AR35,$AR$8:$AR$507),$AF35))</f>
        <v/>
      </c>
      <c r="AT35" s="99" t="str">
        <f aca="false">IF(ISBLANK($C35),"",IF($AF35=Constants!$B$7,IF(ISNUMBER(AQ35),COUNTIFS($AQ$8:$AQ$507,"&lt;"&amp;$AQ35)+COUNTIFS($AQ$8:$AQ$507,$AQ35,$AS$8:$AS$507,"&lt;"&amp;$AS35)+1,Constants!$B$14),$AF35))</f>
        <v/>
      </c>
      <c r="AU35" s="99" t="str">
        <f aca="false">IF(ISBLANK($C35),"",IF($AF35=Constants!$B$7,IF(ISNUMBER(AQ35),AQ35-AT35,Constants!$B$14),$AF35))</f>
        <v/>
      </c>
      <c r="AV35" s="100"/>
      <c r="AW35" s="101" t="str">
        <f aca="false">IF(ISBLANK($C35),"",IF($AF35&lt;&gt;Constants!$B$7,"",AN35))</f>
        <v/>
      </c>
      <c r="AX35" s="102" t="str">
        <f aca="false">IF(ISBLANK($C35),"",IF($AF35&lt;&gt;Constants!$B$7,"",IF(AN35=1,AH35,AK35)))</f>
        <v/>
      </c>
      <c r="AY35" s="103" t="str">
        <f aca="false">IF(ISBLANK($C35),"",IF($AF35&lt;&gt;Constants!$B$7,"",IF(AN35=1,AI35,AL35)))</f>
        <v/>
      </c>
      <c r="AZ35" s="104" t="str">
        <f aca="false">IF(ISBLANK($C35),"",IF($AF35&lt;&gt;Constants!$B$7,$AF35,AP35))</f>
        <v/>
      </c>
      <c r="BA35" s="105" t="str">
        <f aca="false">IF(ISBLANK($C35),"",IF($AF35&lt;&gt;Constants!$B$7,$AF35,AG35))</f>
        <v/>
      </c>
      <c r="BB35" s="106" t="str">
        <f aca="false">IF(ISBLANK($C35),"",AU35)</f>
        <v/>
      </c>
      <c r="BC35" s="106" t="str">
        <f aca="false">IF(ISBLANK($C35),"",AT35)</f>
        <v/>
      </c>
      <c r="BD35" s="107" t="str">
        <f aca="false">IF(ISBLANK($C35),"",IFERROR(_xlfn.SWITCH(BC35,Constants!$B$4,COUNTA($C$8:$C$507)+2,Constants!$B$5,COUNTA($C$8:$C$507)+1,Constants!$B$6,COUNTA($C$8:$C$507)),BC35))</f>
        <v/>
      </c>
      <c r="BE35" s="5"/>
      <c r="BF35" s="108" t="n">
        <f aca="false">IF(OR(ISNUMBER(BC35),BC35=Constants!$B$4,BC35=Constants!$B$6,BC35=Constants!$B$5),1,0)</f>
        <v>0</v>
      </c>
      <c r="BG35" s="108" t="n">
        <v>28</v>
      </c>
      <c r="BH35" s="108" t="str">
        <f aca="false">IF(ISBLANK($C35),"",IF(ISNUMBER(BD35),BD35+ROW($B35)/1000,""))</f>
        <v/>
      </c>
      <c r="BI35" s="108" t="str">
        <f aca="false">IF(ISNUMBER(BH35),RANK(BH35,$BH$8:$BH$507,1),"")</f>
        <v/>
      </c>
      <c r="BJ35" s="108" t="str">
        <f aca="false">IF(ISBLANK($C35),"",$B35)</f>
        <v/>
      </c>
      <c r="BK35" s="108" t="str">
        <f aca="false">IF(ISBLANK($C35),"",$C35)</f>
        <v/>
      </c>
      <c r="BL35" s="108" t="str">
        <f aca="false">IF(ISBLANK($C35),"",$D35)</f>
        <v/>
      </c>
      <c r="BM35" s="109" t="str">
        <f aca="false">BA35</f>
        <v/>
      </c>
      <c r="BN35" s="110" t="str">
        <f aca="false">AZ35</f>
        <v/>
      </c>
      <c r="BO35" s="108" t="str">
        <f aca="false">IF(ISBLANK($C35),"",BC35)</f>
        <v/>
      </c>
      <c r="BP35" s="111" t="str">
        <f aca="false">IF($BG35&gt;$BF$7,"",VLOOKUP($BG35,$BI$8:$BO$507,7,FALSE()))</f>
        <v/>
      </c>
      <c r="BQ35" s="112" t="str">
        <f aca="false">IF($BG35&gt;$BF$7,"",VLOOKUP($BG35,$BI$8:$BO$507,2,FALSE()))</f>
        <v/>
      </c>
      <c r="BR35" s="112" t="str">
        <f aca="false">IF($BG35&gt;$BF$7,"",VLOOKUP($BG35,$BI$8:$BO$507,3,FALSE()))</f>
        <v/>
      </c>
      <c r="BS35" s="112" t="str">
        <f aca="false">IF($BG35&gt;$BF$7,"",VLOOKUP($BG35,$BI$8:$BO$507,4,FALSE()))</f>
        <v/>
      </c>
      <c r="BT35" s="112" t="str">
        <f aca="false">IF($BG35&gt;$BF$7,"",VLOOKUP($BG35,$BI$8:$BO$507,5,FALSE()))</f>
        <v/>
      </c>
      <c r="BU35" s="113" t="str">
        <f aca="false">IF($BG35&gt;$BF$7,"",VLOOKUP($BG35,$BI$8:$BO$507,6,FALSE()))</f>
        <v/>
      </c>
      <c r="BV35" s="54"/>
    </row>
    <row r="36" customFormat="false" ht="15.75" hidden="false" customHeight="false" outlineLevel="0" collapsed="false">
      <c r="A36" s="5"/>
      <c r="B36" s="128"/>
      <c r="C36" s="129"/>
      <c r="D36" s="114"/>
      <c r="E36" s="130"/>
      <c r="F36" s="131"/>
      <c r="G36" s="93"/>
      <c r="H36" s="132"/>
      <c r="I36" s="95"/>
      <c r="J36" s="95"/>
      <c r="K36" s="93"/>
      <c r="L36" s="133"/>
      <c r="M36" s="95"/>
      <c r="N36" s="95"/>
      <c r="O36" s="93"/>
      <c r="P36" s="134"/>
      <c r="Q36" s="98"/>
      <c r="R36" s="99" t="str">
        <f aca="false">IF(ISBLANK($C36),"",IF(E36=Constants!$B$2, TRUE(), IF(E36=Constants!$B$3, FALSE(), TRUE())))</f>
        <v/>
      </c>
      <c r="S36" s="99" t="str">
        <f aca="false">IF(ISBLANK($C36),"",IF(F36=Constants!$B$2, TRUE(), IF(F36=Constants!$B$3, FALSE(), TRUE())))</f>
        <v/>
      </c>
      <c r="T36" s="99" t="str">
        <f aca="false">IF(ISBLANK($C36),"",IF(G36=Constants!$B$16,Constants!$B$9,IF(G36=Constants!$B$17,Constants!$B$10,Constants!$B$8)))</f>
        <v/>
      </c>
      <c r="U36" s="99" t="str">
        <f aca="false">IF(ISBLANK($C36),"",IF(H36=Constants!$B$19,Constants!$B$19,Constants!$B$18))</f>
        <v/>
      </c>
      <c r="V36" s="99" t="str">
        <f aca="false">IF(ISBLANK($C36),"",IF(ISNUMBER(I36),IF(I36&gt;=0,I36,""),""))</f>
        <v/>
      </c>
      <c r="W36" s="99" t="str">
        <f aca="false">IF(ISBLANK($C36),"",IF(J36=Constants!$B$2, TRUE(), IF(J36=Constants!$B$3, FALSE(), TRUE())))</f>
        <v/>
      </c>
      <c r="X36" s="99" t="str">
        <f aca="false">IF(ISBLANK($C36),"",IF(K36=Constants!$B$2, TRUE(), IF(K36=Constants!$B$3, FALSE(), TRUE())))</f>
        <v/>
      </c>
      <c r="Y36" s="99" t="str">
        <f aca="false">IF(ISBLANK($C36),"",IF(L36=Constants!$B$19,Constants!$B$19,Constants!$B$18))</f>
        <v/>
      </c>
      <c r="Z36" s="99" t="str">
        <f aca="false">IF(ISBLANK($C36),"",IF(ISNUMBER(M36),IF(M36&gt;=0,M36,""),""))</f>
        <v/>
      </c>
      <c r="AA36" s="99" t="str">
        <f aca="false">IF(ISBLANK($C36),"",IF(N36=Constants!$B$2, TRUE(), IF(N36=Constants!$B$3, FALSE(), TRUE())))</f>
        <v/>
      </c>
      <c r="AB36" s="99" t="str">
        <f aca="false">IF(ISBLANK($C36),"",IF(O36=Constants!$B$2, TRUE(), IF(O36=Constants!$B$3, FALSE(), TRUE())))</f>
        <v/>
      </c>
      <c r="AC36" s="99" t="str">
        <f aca="false">IF(ISBLANK($C36),"",IF(P36=Constants!$B$2, TRUE(), IF(P36=Constants!$B$3, FALSE(), FALSE())))</f>
        <v/>
      </c>
      <c r="AD36" s="99" t="str">
        <f aca="false">IF(ISBLANK($C36),"",AND(V36&lt;&gt;"",IF(U36=Constants!$B$19,S36,R36)))</f>
        <v/>
      </c>
      <c r="AE36" s="99" t="str">
        <f aca="false">IF(ISBLANK($C36),"",AND(Z36&lt;&gt;"",IF(Y36=Constants!$B$19,S36,R36)))</f>
        <v/>
      </c>
      <c r="AF36" s="99" t="str">
        <f aca="false">IF(ISBLANK($C36),"",IF(AC36,Constants!$B$4,IF(COUNTA(E36:O36)=0,Constants!$B$5,IF(AND(NOT(AD36),NOT(AE36)),Constants!$B$6,Constants!$B$7))))</f>
        <v/>
      </c>
      <c r="AG36" s="99" t="str">
        <f aca="false">IF(ISBLANK($C36),"",IF($AF36&lt;&gt;Constants!$B$7,$AF36,Constants!$B$20))</f>
        <v/>
      </c>
      <c r="AH36" s="99" t="str">
        <f aca="false">IF($AF36=Constants!$B$7,IF(AD36,V36,Constants!$B$13),"")</f>
        <v/>
      </c>
      <c r="AI36" s="99" t="str">
        <f aca="false">IF($AF36=Constants!$B$7,IF(AD36,T36*IF(W36, 1, Constants!$B$11)*IF(X36, 1, Constants!$B$12),Constants!$B$13),"")</f>
        <v/>
      </c>
      <c r="AJ36" s="99" t="str">
        <f aca="false">IF($AF36=Constants!$B$7,AH36*AI36,"")</f>
        <v/>
      </c>
      <c r="AK36" s="99" t="str">
        <f aca="false">IF($AF36=Constants!$B$7,IF(AE36,Z36,Constants!$B$13),"")</f>
        <v/>
      </c>
      <c r="AL36" s="99" t="str">
        <f aca="false">IF($AF36=Constants!$B$7,IF(AE36,T36*IF(AA36, 1, Constants!$B$11)*IF(AB36, 1, Constants!$B$12),Constants!$B$13),"")</f>
        <v/>
      </c>
      <c r="AM36" s="99" t="str">
        <f aca="false">IF($AF36=Constants!$B$7,AK36*AL36,"")</f>
        <v/>
      </c>
      <c r="AN36" s="99" t="str">
        <f aca="false">IF($AF36=Constants!$B$7,IF(AM36&gt;AJ36,2,1),"")</f>
        <v/>
      </c>
      <c r="AO36" s="99" t="str">
        <f aca="false">IF($AF36=Constants!$B$7,IF(AN36=1,2,1),"")</f>
        <v/>
      </c>
      <c r="AP36" s="99" t="str">
        <f aca="false">IF(ISBLANK($C36),"",IF($AF36&lt;&gt;Constants!$B$7,$AF36,IF(AN36=1,AJ36,AM36)))</f>
        <v/>
      </c>
      <c r="AQ36" s="99" t="str">
        <f aca="false">IF(ISBLANK($C36),"",IF($AF36=Constants!$B$7,IF(ISNUMBER(AP36),RANK(AP36,$AP$8:$AP$507),Constants!$B$14),$AF36))</f>
        <v/>
      </c>
      <c r="AR36" s="99" t="str">
        <f aca="false">IF(ISBLANK($C36),"",IF($AF36=Constants!$B$7,IF(AO36=1,AJ36,AM36),""))</f>
        <v/>
      </c>
      <c r="AS36" s="99" t="str">
        <f aca="false">IF(ISBLANK($C36),"",IF($AF36=Constants!$B$7,RANK(AR36,$AR$8:$AR$507),$AF36))</f>
        <v/>
      </c>
      <c r="AT36" s="99" t="str">
        <f aca="false">IF(ISBLANK($C36),"",IF($AF36=Constants!$B$7,IF(ISNUMBER(AQ36),COUNTIFS($AQ$8:$AQ$507,"&lt;"&amp;$AQ36)+COUNTIFS($AQ$8:$AQ$507,$AQ36,$AS$8:$AS$507,"&lt;"&amp;$AS36)+1,Constants!$B$14),$AF36))</f>
        <v/>
      </c>
      <c r="AU36" s="99" t="str">
        <f aca="false">IF(ISBLANK($C36),"",IF($AF36=Constants!$B$7,IF(ISNUMBER(AQ36),AQ36-AT36,Constants!$B$14),$AF36))</f>
        <v/>
      </c>
      <c r="AV36" s="100"/>
      <c r="AW36" s="101" t="str">
        <f aca="false">IF(ISBLANK($C36),"",IF($AF36&lt;&gt;Constants!$B$7,"",AN36))</f>
        <v/>
      </c>
      <c r="AX36" s="102" t="str">
        <f aca="false">IF(ISBLANK($C36),"",IF($AF36&lt;&gt;Constants!$B$7,"",IF(AN36=1,AH36,AK36)))</f>
        <v/>
      </c>
      <c r="AY36" s="103" t="str">
        <f aca="false">IF(ISBLANK($C36),"",IF($AF36&lt;&gt;Constants!$B$7,"",IF(AN36=1,AI36,AL36)))</f>
        <v/>
      </c>
      <c r="AZ36" s="104" t="str">
        <f aca="false">IF(ISBLANK($C36),"",IF($AF36&lt;&gt;Constants!$B$7,$AF36,AP36))</f>
        <v/>
      </c>
      <c r="BA36" s="105" t="str">
        <f aca="false">IF(ISBLANK($C36),"",IF($AF36&lt;&gt;Constants!$B$7,$AF36,AG36))</f>
        <v/>
      </c>
      <c r="BB36" s="106" t="str">
        <f aca="false">IF(ISBLANK($C36),"",AU36)</f>
        <v/>
      </c>
      <c r="BC36" s="106" t="str">
        <f aca="false">IF(ISBLANK($C36),"",AT36)</f>
        <v/>
      </c>
      <c r="BD36" s="107" t="str">
        <f aca="false">IF(ISBLANK($C36),"",IFERROR(_xlfn.SWITCH(BC36,Constants!$B$4,COUNTA($C$8:$C$507)+2,Constants!$B$5,COUNTA($C$8:$C$507)+1,Constants!$B$6,COUNTA($C$8:$C$507)),BC36))</f>
        <v/>
      </c>
      <c r="BE36" s="5"/>
      <c r="BF36" s="108" t="n">
        <f aca="false">IF(OR(ISNUMBER(BC36),BC36=Constants!$B$4,BC36=Constants!$B$6,BC36=Constants!$B$5),1,0)</f>
        <v>0</v>
      </c>
      <c r="BG36" s="108" t="n">
        <v>29</v>
      </c>
      <c r="BH36" s="108" t="str">
        <f aca="false">IF(ISBLANK($C36),"",IF(ISNUMBER(BD36),BD36+ROW($B36)/1000,""))</f>
        <v/>
      </c>
      <c r="BI36" s="108" t="str">
        <f aca="false">IF(ISNUMBER(BH36),RANK(BH36,$BH$8:$BH$507,1),"")</f>
        <v/>
      </c>
      <c r="BJ36" s="108" t="str">
        <f aca="false">IF(ISBLANK($C36),"",$B36)</f>
        <v/>
      </c>
      <c r="BK36" s="108" t="str">
        <f aca="false">IF(ISBLANK($C36),"",$C36)</f>
        <v/>
      </c>
      <c r="BL36" s="108" t="str">
        <f aca="false">IF(ISBLANK($C36),"",$D36)</f>
        <v/>
      </c>
      <c r="BM36" s="109" t="str">
        <f aca="false">BA36</f>
        <v/>
      </c>
      <c r="BN36" s="110" t="str">
        <f aca="false">AZ36</f>
        <v/>
      </c>
      <c r="BO36" s="108" t="str">
        <f aca="false">IF(ISBLANK($C36),"",BC36)</f>
        <v/>
      </c>
      <c r="BP36" s="111" t="str">
        <f aca="false">IF($BG36&gt;$BF$7,"",VLOOKUP($BG36,$BI$8:$BO$507,7,FALSE()))</f>
        <v/>
      </c>
      <c r="BQ36" s="112" t="str">
        <f aca="false">IF($BG36&gt;$BF$7,"",VLOOKUP($BG36,$BI$8:$BO$507,2,FALSE()))</f>
        <v/>
      </c>
      <c r="BR36" s="112" t="str">
        <f aca="false">IF($BG36&gt;$BF$7,"",VLOOKUP($BG36,$BI$8:$BO$507,3,FALSE()))</f>
        <v/>
      </c>
      <c r="BS36" s="112" t="str">
        <f aca="false">IF($BG36&gt;$BF$7,"",VLOOKUP($BG36,$BI$8:$BO$507,4,FALSE()))</f>
        <v/>
      </c>
      <c r="BT36" s="112" t="str">
        <f aca="false">IF($BG36&gt;$BF$7,"",VLOOKUP($BG36,$BI$8:$BO$507,5,FALSE()))</f>
        <v/>
      </c>
      <c r="BU36" s="113" t="str">
        <f aca="false">IF($BG36&gt;$BF$7,"",VLOOKUP($BG36,$BI$8:$BO$507,6,FALSE()))</f>
        <v/>
      </c>
      <c r="BV36" s="54"/>
    </row>
    <row r="37" customFormat="false" ht="15.75" hidden="false" customHeight="false" outlineLevel="0" collapsed="false">
      <c r="A37" s="5"/>
      <c r="B37" s="128"/>
      <c r="C37" s="129"/>
      <c r="D37" s="114"/>
      <c r="E37" s="130"/>
      <c r="F37" s="131"/>
      <c r="G37" s="93"/>
      <c r="H37" s="132"/>
      <c r="I37" s="95"/>
      <c r="J37" s="95"/>
      <c r="K37" s="93"/>
      <c r="L37" s="133"/>
      <c r="M37" s="95"/>
      <c r="N37" s="95"/>
      <c r="O37" s="93"/>
      <c r="P37" s="134"/>
      <c r="Q37" s="98"/>
      <c r="R37" s="99" t="str">
        <f aca="false">IF(ISBLANK($C37),"",IF(E37=Constants!$B$2, TRUE(), IF(E37=Constants!$B$3, FALSE(), TRUE())))</f>
        <v/>
      </c>
      <c r="S37" s="99" t="str">
        <f aca="false">IF(ISBLANK($C37),"",IF(F37=Constants!$B$2, TRUE(), IF(F37=Constants!$B$3, FALSE(), TRUE())))</f>
        <v/>
      </c>
      <c r="T37" s="99" t="str">
        <f aca="false">IF(ISBLANK($C37),"",IF(G37=Constants!$B$16,Constants!$B$9,IF(G37=Constants!$B$17,Constants!$B$10,Constants!$B$8)))</f>
        <v/>
      </c>
      <c r="U37" s="99" t="str">
        <f aca="false">IF(ISBLANK($C37),"",IF(H37=Constants!$B$19,Constants!$B$19,Constants!$B$18))</f>
        <v/>
      </c>
      <c r="V37" s="99" t="str">
        <f aca="false">IF(ISBLANK($C37),"",IF(ISNUMBER(I37),IF(I37&gt;=0,I37,""),""))</f>
        <v/>
      </c>
      <c r="W37" s="99" t="str">
        <f aca="false">IF(ISBLANK($C37),"",IF(J37=Constants!$B$2, TRUE(), IF(J37=Constants!$B$3, FALSE(), TRUE())))</f>
        <v/>
      </c>
      <c r="X37" s="99" t="str">
        <f aca="false">IF(ISBLANK($C37),"",IF(K37=Constants!$B$2, TRUE(), IF(K37=Constants!$B$3, FALSE(), TRUE())))</f>
        <v/>
      </c>
      <c r="Y37" s="99" t="str">
        <f aca="false">IF(ISBLANK($C37),"",IF(L37=Constants!$B$19,Constants!$B$19,Constants!$B$18))</f>
        <v/>
      </c>
      <c r="Z37" s="99" t="str">
        <f aca="false">IF(ISBLANK($C37),"",IF(ISNUMBER(M37),IF(M37&gt;=0,M37,""),""))</f>
        <v/>
      </c>
      <c r="AA37" s="99" t="str">
        <f aca="false">IF(ISBLANK($C37),"",IF(N37=Constants!$B$2, TRUE(), IF(N37=Constants!$B$3, FALSE(), TRUE())))</f>
        <v/>
      </c>
      <c r="AB37" s="99" t="str">
        <f aca="false">IF(ISBLANK($C37),"",IF(O37=Constants!$B$2, TRUE(), IF(O37=Constants!$B$3, FALSE(), TRUE())))</f>
        <v/>
      </c>
      <c r="AC37" s="99" t="str">
        <f aca="false">IF(ISBLANK($C37),"",IF(P37=Constants!$B$2, TRUE(), IF(P37=Constants!$B$3, FALSE(), FALSE())))</f>
        <v/>
      </c>
      <c r="AD37" s="99" t="str">
        <f aca="false">IF(ISBLANK($C37),"",AND(V37&lt;&gt;"",IF(U37=Constants!$B$19,S37,R37)))</f>
        <v/>
      </c>
      <c r="AE37" s="99" t="str">
        <f aca="false">IF(ISBLANK($C37),"",AND(Z37&lt;&gt;"",IF(Y37=Constants!$B$19,S37,R37)))</f>
        <v/>
      </c>
      <c r="AF37" s="99" t="str">
        <f aca="false">IF(ISBLANK($C37),"",IF(AC37,Constants!$B$4,IF(COUNTA(E37:O37)=0,Constants!$B$5,IF(AND(NOT(AD37),NOT(AE37)),Constants!$B$6,Constants!$B$7))))</f>
        <v/>
      </c>
      <c r="AG37" s="99" t="str">
        <f aca="false">IF(ISBLANK($C37),"",IF($AF37&lt;&gt;Constants!$B$7,$AF37,Constants!$B$20))</f>
        <v/>
      </c>
      <c r="AH37" s="99" t="str">
        <f aca="false">IF($AF37=Constants!$B$7,IF(AD37,V37,Constants!$B$13),"")</f>
        <v/>
      </c>
      <c r="AI37" s="99" t="str">
        <f aca="false">IF($AF37=Constants!$B$7,IF(AD37,T37*IF(W37, 1, Constants!$B$11)*IF(X37, 1, Constants!$B$12),Constants!$B$13),"")</f>
        <v/>
      </c>
      <c r="AJ37" s="99" t="str">
        <f aca="false">IF($AF37=Constants!$B$7,AH37*AI37,"")</f>
        <v/>
      </c>
      <c r="AK37" s="99" t="str">
        <f aca="false">IF($AF37=Constants!$B$7,IF(AE37,Z37,Constants!$B$13),"")</f>
        <v/>
      </c>
      <c r="AL37" s="99" t="str">
        <f aca="false">IF($AF37=Constants!$B$7,IF(AE37,T37*IF(AA37, 1, Constants!$B$11)*IF(AB37, 1, Constants!$B$12),Constants!$B$13),"")</f>
        <v/>
      </c>
      <c r="AM37" s="99" t="str">
        <f aca="false">IF($AF37=Constants!$B$7,AK37*AL37,"")</f>
        <v/>
      </c>
      <c r="AN37" s="99" t="str">
        <f aca="false">IF($AF37=Constants!$B$7,IF(AM37&gt;AJ37,2,1),"")</f>
        <v/>
      </c>
      <c r="AO37" s="99" t="str">
        <f aca="false">IF($AF37=Constants!$B$7,IF(AN37=1,2,1),"")</f>
        <v/>
      </c>
      <c r="AP37" s="99" t="str">
        <f aca="false">IF(ISBLANK($C37),"",IF($AF37&lt;&gt;Constants!$B$7,$AF37,IF(AN37=1,AJ37,AM37)))</f>
        <v/>
      </c>
      <c r="AQ37" s="99" t="str">
        <f aca="false">IF(ISBLANK($C37),"",IF($AF37=Constants!$B$7,IF(ISNUMBER(AP37),RANK(AP37,$AP$8:$AP$507),Constants!$B$14),$AF37))</f>
        <v/>
      </c>
      <c r="AR37" s="99" t="str">
        <f aca="false">IF(ISBLANK($C37),"",IF($AF37=Constants!$B$7,IF(AO37=1,AJ37,AM37),""))</f>
        <v/>
      </c>
      <c r="AS37" s="99" t="str">
        <f aca="false">IF(ISBLANK($C37),"",IF($AF37=Constants!$B$7,RANK(AR37,$AR$8:$AR$507),$AF37))</f>
        <v/>
      </c>
      <c r="AT37" s="99" t="str">
        <f aca="false">IF(ISBLANK($C37),"",IF($AF37=Constants!$B$7,IF(ISNUMBER(AQ37),COUNTIFS($AQ$8:$AQ$507,"&lt;"&amp;$AQ37)+COUNTIFS($AQ$8:$AQ$507,$AQ37,$AS$8:$AS$507,"&lt;"&amp;$AS37)+1,Constants!$B$14),$AF37))</f>
        <v/>
      </c>
      <c r="AU37" s="99" t="str">
        <f aca="false">IF(ISBLANK($C37),"",IF($AF37=Constants!$B$7,IF(ISNUMBER(AQ37),AQ37-AT37,Constants!$B$14),$AF37))</f>
        <v/>
      </c>
      <c r="AV37" s="100"/>
      <c r="AW37" s="101" t="str">
        <f aca="false">IF(ISBLANK($C37),"",IF($AF37&lt;&gt;Constants!$B$7,"",AN37))</f>
        <v/>
      </c>
      <c r="AX37" s="102" t="str">
        <f aca="false">IF(ISBLANK($C37),"",IF($AF37&lt;&gt;Constants!$B$7,"",IF(AN37=1,AH37,AK37)))</f>
        <v/>
      </c>
      <c r="AY37" s="103" t="str">
        <f aca="false">IF(ISBLANK($C37),"",IF($AF37&lt;&gt;Constants!$B$7,"",IF(AN37=1,AI37,AL37)))</f>
        <v/>
      </c>
      <c r="AZ37" s="104" t="str">
        <f aca="false">IF(ISBLANK($C37),"",IF($AF37&lt;&gt;Constants!$B$7,$AF37,AP37))</f>
        <v/>
      </c>
      <c r="BA37" s="105" t="str">
        <f aca="false">IF(ISBLANK($C37),"",IF($AF37&lt;&gt;Constants!$B$7,$AF37,AG37))</f>
        <v/>
      </c>
      <c r="BB37" s="106" t="str">
        <f aca="false">IF(ISBLANK($C37),"",AU37)</f>
        <v/>
      </c>
      <c r="BC37" s="106" t="str">
        <f aca="false">IF(ISBLANK($C37),"",AT37)</f>
        <v/>
      </c>
      <c r="BD37" s="107" t="str">
        <f aca="false">IF(ISBLANK($C37),"",IFERROR(_xlfn.SWITCH(BC37,Constants!$B$4,COUNTA($C$8:$C$507)+2,Constants!$B$5,COUNTA($C$8:$C$507)+1,Constants!$B$6,COUNTA($C$8:$C$507)),BC37))</f>
        <v/>
      </c>
      <c r="BE37" s="5"/>
      <c r="BF37" s="108" t="n">
        <f aca="false">IF(OR(ISNUMBER(BC37),BC37=Constants!$B$4,BC37=Constants!$B$6,BC37=Constants!$B$5),1,0)</f>
        <v>0</v>
      </c>
      <c r="BG37" s="108" t="n">
        <v>30</v>
      </c>
      <c r="BH37" s="108" t="str">
        <f aca="false">IF(ISBLANK($C37),"",IF(ISNUMBER(BD37),BD37+ROW($B37)/1000,""))</f>
        <v/>
      </c>
      <c r="BI37" s="108" t="str">
        <f aca="false">IF(ISNUMBER(BH37),RANK(BH37,$BH$8:$BH$507,1),"")</f>
        <v/>
      </c>
      <c r="BJ37" s="108" t="str">
        <f aca="false">IF(ISBLANK($C37),"",$B37)</f>
        <v/>
      </c>
      <c r="BK37" s="108" t="str">
        <f aca="false">IF(ISBLANK($C37),"",$C37)</f>
        <v/>
      </c>
      <c r="BL37" s="108" t="str">
        <f aca="false">IF(ISBLANK($C37),"",$D37)</f>
        <v/>
      </c>
      <c r="BM37" s="109" t="str">
        <f aca="false">BA37</f>
        <v/>
      </c>
      <c r="BN37" s="110" t="str">
        <f aca="false">AZ37</f>
        <v/>
      </c>
      <c r="BO37" s="108" t="str">
        <f aca="false">IF(ISBLANK($C37),"",BC37)</f>
        <v/>
      </c>
      <c r="BP37" s="111" t="str">
        <f aca="false">IF($BG37&gt;$BF$7,"",VLOOKUP($BG37,$BI$8:$BO$507,7,FALSE()))</f>
        <v/>
      </c>
      <c r="BQ37" s="112" t="str">
        <f aca="false">IF($BG37&gt;$BF$7,"",VLOOKUP($BG37,$BI$8:$BO$507,2,FALSE()))</f>
        <v/>
      </c>
      <c r="BR37" s="112" t="str">
        <f aca="false">IF($BG37&gt;$BF$7,"",VLOOKUP($BG37,$BI$8:$BO$507,3,FALSE()))</f>
        <v/>
      </c>
      <c r="BS37" s="112" t="str">
        <f aca="false">IF($BG37&gt;$BF$7,"",VLOOKUP($BG37,$BI$8:$BO$507,4,FALSE()))</f>
        <v/>
      </c>
      <c r="BT37" s="112" t="str">
        <f aca="false">IF($BG37&gt;$BF$7,"",VLOOKUP($BG37,$BI$8:$BO$507,5,FALSE()))</f>
        <v/>
      </c>
      <c r="BU37" s="113" t="str">
        <f aca="false">IF($BG37&gt;$BF$7,"",VLOOKUP($BG37,$BI$8:$BO$507,6,FALSE()))</f>
        <v/>
      </c>
      <c r="BV37" s="54"/>
    </row>
    <row r="38" customFormat="false" ht="15.75" hidden="false" customHeight="false" outlineLevel="0" collapsed="false">
      <c r="A38" s="5"/>
      <c r="B38" s="135"/>
      <c r="C38" s="56"/>
      <c r="D38" s="57"/>
      <c r="E38" s="124"/>
      <c r="F38" s="125"/>
      <c r="G38" s="60"/>
      <c r="H38" s="126"/>
      <c r="I38" s="62"/>
      <c r="J38" s="62"/>
      <c r="K38" s="60"/>
      <c r="L38" s="127"/>
      <c r="M38" s="62"/>
      <c r="N38" s="62"/>
      <c r="O38" s="60"/>
      <c r="P38" s="84"/>
      <c r="Q38" s="65"/>
      <c r="R38" s="67" t="str">
        <f aca="false">IF(ISBLANK($C38),"",IF(E38=Constants!$B$2, TRUE(), IF(E38=Constants!$B$3, FALSE(), TRUE())))</f>
        <v/>
      </c>
      <c r="S38" s="67" t="str">
        <f aca="false">IF(ISBLANK($C38),"",IF(F38=Constants!$B$2, TRUE(), IF(F38=Constants!$B$3, FALSE(), TRUE())))</f>
        <v/>
      </c>
      <c r="T38" s="67" t="str">
        <f aca="false">IF(ISBLANK($C38),"",IF(G38=Constants!$B$16,Constants!$B$9,IF(G38=Constants!$B$17,Constants!$B$10,Constants!$B$8)))</f>
        <v/>
      </c>
      <c r="U38" s="67" t="str">
        <f aca="false">IF(ISBLANK($C38),"",IF(H38=Constants!$B$19,Constants!$B$19,Constants!$B$18))</f>
        <v/>
      </c>
      <c r="V38" s="67" t="str">
        <f aca="false">IF(ISBLANK($C38),"",IF(ISNUMBER(I38),IF(I38&gt;=0,I38,""),""))</f>
        <v/>
      </c>
      <c r="W38" s="67" t="str">
        <f aca="false">IF(ISBLANK($C38),"",IF(J38=Constants!$B$2, TRUE(), IF(J38=Constants!$B$3, FALSE(), TRUE())))</f>
        <v/>
      </c>
      <c r="X38" s="67" t="str">
        <f aca="false">IF(ISBLANK($C38),"",IF(K38=Constants!$B$2, TRUE(), IF(K38=Constants!$B$3, FALSE(), TRUE())))</f>
        <v/>
      </c>
      <c r="Y38" s="67" t="str">
        <f aca="false">IF(ISBLANK($C38),"",IF(L38=Constants!$B$19,Constants!$B$19,Constants!$B$18))</f>
        <v/>
      </c>
      <c r="Z38" s="67" t="str">
        <f aca="false">IF(ISBLANK($C38),"",IF(ISNUMBER(M38),IF(M38&gt;=0,M38,""),""))</f>
        <v/>
      </c>
      <c r="AA38" s="67" t="str">
        <f aca="false">IF(ISBLANK($C38),"",IF(N38=Constants!$B$2, TRUE(), IF(N38=Constants!$B$3, FALSE(), TRUE())))</f>
        <v/>
      </c>
      <c r="AB38" s="67" t="str">
        <f aca="false">IF(ISBLANK($C38),"",IF(O38=Constants!$B$2, TRUE(), IF(O38=Constants!$B$3, FALSE(), TRUE())))</f>
        <v/>
      </c>
      <c r="AC38" s="67" t="str">
        <f aca="false">IF(ISBLANK($C38),"",IF(P38=Constants!$B$2, TRUE(), IF(P38=Constants!$B$3, FALSE(), FALSE())))</f>
        <v/>
      </c>
      <c r="AD38" s="67" t="str">
        <f aca="false">IF(ISBLANK($C38),"",AND(V38&lt;&gt;"",IF(U38=Constants!$B$19,S38,R38)))</f>
        <v/>
      </c>
      <c r="AE38" s="67" t="str">
        <f aca="false">IF(ISBLANK($C38),"",AND(Z38&lt;&gt;"",IF(Y38=Constants!$B$19,S38,R38)))</f>
        <v/>
      </c>
      <c r="AF38" s="67" t="str">
        <f aca="false">IF(ISBLANK($C38),"",IF(AC38,Constants!$B$4,IF(COUNTA(E38:O38)=0,Constants!$B$5,IF(AND(NOT(AD38),NOT(AE38)),Constants!$B$6,Constants!$B$7))))</f>
        <v/>
      </c>
      <c r="AG38" s="67" t="str">
        <f aca="false">IF(ISBLANK($C38),"",IF($AF38&lt;&gt;Constants!$B$7,$AF38,Constants!$B$20))</f>
        <v/>
      </c>
      <c r="AH38" s="67" t="str">
        <f aca="false">IF($AF38=Constants!$B$7,IF(AD38,V38,Constants!$B$13),"")</f>
        <v/>
      </c>
      <c r="AI38" s="67" t="str">
        <f aca="false">IF($AF38=Constants!$B$7,IF(AD38,T38*IF(W38, 1, Constants!$B$11)*IF(X38, 1, Constants!$B$12),Constants!$B$13),"")</f>
        <v/>
      </c>
      <c r="AJ38" s="67" t="str">
        <f aca="false">IF($AF38=Constants!$B$7,AH38*AI38,"")</f>
        <v/>
      </c>
      <c r="AK38" s="67" t="str">
        <f aca="false">IF($AF38=Constants!$B$7,IF(AE38,Z38,Constants!$B$13),"")</f>
        <v/>
      </c>
      <c r="AL38" s="67" t="str">
        <f aca="false">IF($AF38=Constants!$B$7,IF(AE38,T38*IF(AA38, 1, Constants!$B$11)*IF(AB38, 1, Constants!$B$12),Constants!$B$13),"")</f>
        <v/>
      </c>
      <c r="AM38" s="67" t="str">
        <f aca="false">IF($AF38=Constants!$B$7,AK38*AL38,"")</f>
        <v/>
      </c>
      <c r="AN38" s="67" t="str">
        <f aca="false">IF($AF38=Constants!$B$7,IF(AM38&gt;AJ38,2,1),"")</f>
        <v/>
      </c>
      <c r="AO38" s="67" t="str">
        <f aca="false">IF($AF38=Constants!$B$7,IF(AN38=1,2,1),"")</f>
        <v/>
      </c>
      <c r="AP38" s="67" t="str">
        <f aca="false">IF(ISBLANK($C38),"",IF($AF38&lt;&gt;Constants!$B$7,$AF38,IF(AN38=1,AJ38,AM38)))</f>
        <v/>
      </c>
      <c r="AQ38" s="67" t="str">
        <f aca="false">IF(ISBLANK($C38),"",IF($AF38=Constants!$B$7,IF(ISNUMBER(AP38),RANK(AP38,$AP$8:$AP$507),Constants!$B$14),$AF38))</f>
        <v/>
      </c>
      <c r="AR38" s="67" t="str">
        <f aca="false">IF(ISBLANK($C38),"",IF($AF38=Constants!$B$7,IF(AO38=1,AJ38,AM38),""))</f>
        <v/>
      </c>
      <c r="AS38" s="67" t="str">
        <f aca="false">IF(ISBLANK($C38),"",IF($AF38=Constants!$B$7,RANK(AR38,$AR$8:$AR$507),$AF38))</f>
        <v/>
      </c>
      <c r="AT38" s="67" t="str">
        <f aca="false">IF(ISBLANK($C38),"",IF($AF38=Constants!$B$7,IF(ISNUMBER(AQ38),COUNTIFS($AQ$8:$AQ$507,"&lt;"&amp;$AQ38)+COUNTIFS($AQ$8:$AQ$507,$AQ38,$AS$8:$AS$507,"&lt;"&amp;$AS38)+1,Constants!$B$14),$AF38))</f>
        <v/>
      </c>
      <c r="AU38" s="67" t="str">
        <f aca="false">IF(ISBLANK($C38),"",IF($AF38=Constants!$B$7,IF(ISNUMBER(AQ38),AQ38-AT38,Constants!$B$14),$AF38))</f>
        <v/>
      </c>
      <c r="AV38" s="69"/>
      <c r="AW38" s="70" t="str">
        <f aca="false">IF(ISBLANK($C38),"",IF($AF38&lt;&gt;Constants!$B$7,"",AN38))</f>
        <v/>
      </c>
      <c r="AX38" s="85" t="str">
        <f aca="false">IF(ISBLANK($C38),"",IF($AF38&lt;&gt;Constants!$B$7,"",IF(AN38=1,AH38,AK38)))</f>
        <v/>
      </c>
      <c r="AY38" s="72" t="str">
        <f aca="false">IF(ISBLANK($C38),"",IF($AF38&lt;&gt;Constants!$B$7,"",IF(AN38=1,AI38,AL38)))</f>
        <v/>
      </c>
      <c r="AZ38" s="73" t="str">
        <f aca="false">IF(ISBLANK($C38),"",IF($AF38&lt;&gt;Constants!$B$7,$AF38,AP38))</f>
        <v/>
      </c>
      <c r="BA38" s="74" t="str">
        <f aca="false">IF(ISBLANK($C38),"",IF($AF38&lt;&gt;Constants!$B$7,$AF38,AG38))</f>
        <v/>
      </c>
      <c r="BB38" s="75" t="str">
        <f aca="false">IF(ISBLANK($C38),"",AU38)</f>
        <v/>
      </c>
      <c r="BC38" s="75" t="str">
        <f aca="false">IF(ISBLANK($C38),"",AT38)</f>
        <v/>
      </c>
      <c r="BD38" s="76" t="str">
        <f aca="false">IF(ISBLANK($C38),"",IFERROR(_xlfn.SWITCH(BC38,Constants!$B$4,COUNTA($C$8:$C$507)+2,Constants!$B$5,COUNTA($C$8:$C$507)+1,Constants!$B$6,COUNTA($C$8:$C$507)),BC38))</f>
        <v/>
      </c>
      <c r="BE38" s="5"/>
      <c r="BF38" s="77" t="n">
        <f aca="false">IF(OR(ISNUMBER(BC38),BC38=Constants!$B$4,BC38=Constants!$B$6,BC38=Constants!$B$5),1,0)</f>
        <v>0</v>
      </c>
      <c r="BG38" s="77" t="n">
        <v>31</v>
      </c>
      <c r="BH38" s="77" t="str">
        <f aca="false">IF(ISBLANK($C38),"",IF(ISNUMBER(BD38),BD38+ROW($B38)/1000,""))</f>
        <v/>
      </c>
      <c r="BI38" s="77" t="str">
        <f aca="false">IF(ISNUMBER(BH38),RANK(BH38,$BH$8:$BH$507,1),"")</f>
        <v/>
      </c>
      <c r="BJ38" s="77" t="str">
        <f aca="false">IF(ISBLANK($C38),"",$B38)</f>
        <v/>
      </c>
      <c r="BK38" s="77" t="str">
        <f aca="false">IF(ISBLANK($C38),"",$C38)</f>
        <v/>
      </c>
      <c r="BL38" s="77" t="str">
        <f aca="false">IF(ISBLANK($C38),"",$D38)</f>
        <v/>
      </c>
      <c r="BM38" s="78" t="str">
        <f aca="false">BA38</f>
        <v/>
      </c>
      <c r="BN38" s="79" t="str">
        <f aca="false">AZ38</f>
        <v/>
      </c>
      <c r="BO38" s="77" t="str">
        <f aca="false">IF(ISBLANK($C38),"",BC38)</f>
        <v/>
      </c>
      <c r="BP38" s="80" t="str">
        <f aca="false">IF($BG38&gt;$BF$7,"",VLOOKUP($BG38,$BI$8:$BO$507,7,FALSE()))</f>
        <v/>
      </c>
      <c r="BQ38" s="81" t="str">
        <f aca="false">IF($BG38&gt;$BF$7,"",VLOOKUP($BG38,$BI$8:$BO$507,2,FALSE()))</f>
        <v/>
      </c>
      <c r="BR38" s="81" t="str">
        <f aca="false">IF($BG38&gt;$BF$7,"",VLOOKUP($BG38,$BI$8:$BO$507,3,FALSE()))</f>
        <v/>
      </c>
      <c r="BS38" s="81" t="str">
        <f aca="false">IF($BG38&gt;$BF$7,"",VLOOKUP($BG38,$BI$8:$BO$507,4,FALSE()))</f>
        <v/>
      </c>
      <c r="BT38" s="81" t="str">
        <f aca="false">IF($BG38&gt;$BF$7,"",VLOOKUP($BG38,$BI$8:$BO$507,5,FALSE()))</f>
        <v/>
      </c>
      <c r="BU38" s="82" t="str">
        <f aca="false">IF($BG38&gt;$BF$7,"",VLOOKUP($BG38,$BI$8:$BO$507,6,FALSE()))</f>
        <v/>
      </c>
      <c r="BV38" s="54"/>
    </row>
    <row r="39" customFormat="false" ht="15.75" hidden="false" customHeight="false" outlineLevel="0" collapsed="false">
      <c r="A39" s="5"/>
      <c r="B39" s="135"/>
      <c r="C39" s="56"/>
      <c r="D39" s="57"/>
      <c r="E39" s="84"/>
      <c r="F39" s="136"/>
      <c r="G39" s="60"/>
      <c r="H39" s="137"/>
      <c r="I39" s="62"/>
      <c r="J39" s="62"/>
      <c r="K39" s="60"/>
      <c r="L39" s="138"/>
      <c r="M39" s="62"/>
      <c r="N39" s="62"/>
      <c r="O39" s="60"/>
      <c r="P39" s="84"/>
      <c r="Q39" s="65"/>
      <c r="R39" s="67" t="str">
        <f aca="false">IF(ISBLANK($C39),"",IF(E39=Constants!$B$2, TRUE(), IF(E39=Constants!$B$3, FALSE(), TRUE())))</f>
        <v/>
      </c>
      <c r="S39" s="67" t="str">
        <f aca="false">IF(ISBLANK($C39),"",IF(F39=Constants!$B$2, TRUE(), IF(F39=Constants!$B$3, FALSE(), TRUE())))</f>
        <v/>
      </c>
      <c r="T39" s="67" t="str">
        <f aca="false">IF(ISBLANK($C39),"",IF(G39=Constants!$B$16,Constants!$B$9,IF(G39=Constants!$B$17,Constants!$B$10,Constants!$B$8)))</f>
        <v/>
      </c>
      <c r="U39" s="67" t="str">
        <f aca="false">IF(ISBLANK($C39),"",IF(H39=Constants!$B$19,Constants!$B$19,Constants!$B$18))</f>
        <v/>
      </c>
      <c r="V39" s="67" t="str">
        <f aca="false">IF(ISBLANK($C39),"",IF(ISNUMBER(I39),IF(I39&gt;=0,I39,""),""))</f>
        <v/>
      </c>
      <c r="W39" s="67" t="str">
        <f aca="false">IF(ISBLANK($C39),"",IF(J39=Constants!$B$2, TRUE(), IF(J39=Constants!$B$3, FALSE(), TRUE())))</f>
        <v/>
      </c>
      <c r="X39" s="67" t="str">
        <f aca="false">IF(ISBLANK($C39),"",IF(K39=Constants!$B$2, TRUE(), IF(K39=Constants!$B$3, FALSE(), TRUE())))</f>
        <v/>
      </c>
      <c r="Y39" s="67" t="str">
        <f aca="false">IF(ISBLANK($C39),"",IF(L39=Constants!$B$19,Constants!$B$19,Constants!$B$18))</f>
        <v/>
      </c>
      <c r="Z39" s="67" t="str">
        <f aca="false">IF(ISBLANK($C39),"",IF(ISNUMBER(M39),IF(M39&gt;=0,M39,""),""))</f>
        <v/>
      </c>
      <c r="AA39" s="67" t="str">
        <f aca="false">IF(ISBLANK($C39),"",IF(N39=Constants!$B$2, TRUE(), IF(N39=Constants!$B$3, FALSE(), TRUE())))</f>
        <v/>
      </c>
      <c r="AB39" s="67" t="str">
        <f aca="false">IF(ISBLANK($C39),"",IF(O39=Constants!$B$2, TRUE(), IF(O39=Constants!$B$3, FALSE(), TRUE())))</f>
        <v/>
      </c>
      <c r="AC39" s="67" t="str">
        <f aca="false">IF(ISBLANK($C39),"",IF(P39=Constants!$B$2, TRUE(), IF(P39=Constants!$B$3, FALSE(), FALSE())))</f>
        <v/>
      </c>
      <c r="AD39" s="67" t="str">
        <f aca="false">IF(ISBLANK($C39),"",AND(V39&lt;&gt;"",IF(U39=Constants!$B$19,S39,R39)))</f>
        <v/>
      </c>
      <c r="AE39" s="67" t="str">
        <f aca="false">IF(ISBLANK($C39),"",AND(Z39&lt;&gt;"",IF(Y39=Constants!$B$19,S39,R39)))</f>
        <v/>
      </c>
      <c r="AF39" s="67" t="str">
        <f aca="false">IF(ISBLANK($C39),"",IF(AC39,Constants!$B$4,IF(COUNTA(E39:O39)=0,Constants!$B$5,IF(AND(NOT(AD39),NOT(AE39)),Constants!$B$6,Constants!$B$7))))</f>
        <v/>
      </c>
      <c r="AG39" s="67" t="str">
        <f aca="false">IF(ISBLANK($C39),"",IF($AF39&lt;&gt;Constants!$B$7,$AF39,Constants!$B$20))</f>
        <v/>
      </c>
      <c r="AH39" s="67" t="str">
        <f aca="false">IF($AF39=Constants!$B$7,IF(AD39,V39,Constants!$B$13),"")</f>
        <v/>
      </c>
      <c r="AI39" s="67" t="str">
        <f aca="false">IF($AF39=Constants!$B$7,IF(AD39,T39*IF(W39, 1, Constants!$B$11)*IF(X39, 1, Constants!$B$12),Constants!$B$13),"")</f>
        <v/>
      </c>
      <c r="AJ39" s="67" t="str">
        <f aca="false">IF($AF39=Constants!$B$7,AH39*AI39,"")</f>
        <v/>
      </c>
      <c r="AK39" s="67" t="str">
        <f aca="false">IF($AF39=Constants!$B$7,IF(AE39,Z39,Constants!$B$13),"")</f>
        <v/>
      </c>
      <c r="AL39" s="67" t="str">
        <f aca="false">IF($AF39=Constants!$B$7,IF(AE39,T39*IF(AA39, 1, Constants!$B$11)*IF(AB39, 1, Constants!$B$12),Constants!$B$13),"")</f>
        <v/>
      </c>
      <c r="AM39" s="67" t="str">
        <f aca="false">IF($AF39=Constants!$B$7,AK39*AL39,"")</f>
        <v/>
      </c>
      <c r="AN39" s="67" t="str">
        <f aca="false">IF($AF39=Constants!$B$7,IF(AM39&gt;AJ39,2,1),"")</f>
        <v/>
      </c>
      <c r="AO39" s="67" t="str">
        <f aca="false">IF($AF39=Constants!$B$7,IF(AN39=1,2,1),"")</f>
        <v/>
      </c>
      <c r="AP39" s="67" t="str">
        <f aca="false">IF(ISBLANK($C39),"",IF($AF39&lt;&gt;Constants!$B$7,$AF39,IF(AN39=1,AJ39,AM39)))</f>
        <v/>
      </c>
      <c r="AQ39" s="67" t="str">
        <f aca="false">IF(ISBLANK($C39),"",IF($AF39=Constants!$B$7,IF(ISNUMBER(AP39),RANK(AP39,$AP$8:$AP$507),Constants!$B$14),$AF39))</f>
        <v/>
      </c>
      <c r="AR39" s="67" t="str">
        <f aca="false">IF(ISBLANK($C39),"",IF($AF39=Constants!$B$7,IF(AO39=1,AJ39,AM39),""))</f>
        <v/>
      </c>
      <c r="AS39" s="67" t="str">
        <f aca="false">IF(ISBLANK($C39),"",IF($AF39=Constants!$B$7,RANK(AR39,$AR$8:$AR$507),$AF39))</f>
        <v/>
      </c>
      <c r="AT39" s="67" t="str">
        <f aca="false">IF(ISBLANK($C39),"",IF($AF39=Constants!$B$7,IF(ISNUMBER(AQ39),COUNTIFS($AQ$8:$AQ$507,"&lt;"&amp;$AQ39)+COUNTIFS($AQ$8:$AQ$507,$AQ39,$AS$8:$AS$507,"&lt;"&amp;$AS39)+1,Constants!$B$14),$AF39))</f>
        <v/>
      </c>
      <c r="AU39" s="67" t="str">
        <f aca="false">IF(ISBLANK($C39),"",IF($AF39=Constants!$B$7,IF(ISNUMBER(AQ39),AQ39-AT39,Constants!$B$14),$AF39))</f>
        <v/>
      </c>
      <c r="AV39" s="69"/>
      <c r="AW39" s="70" t="str">
        <f aca="false">IF(ISBLANK($C39),"",IF($AF39&lt;&gt;Constants!$B$7,"",AN39))</f>
        <v/>
      </c>
      <c r="AX39" s="85" t="str">
        <f aca="false">IF(ISBLANK($C39),"",IF($AF39&lt;&gt;Constants!$B$7,"",IF(AN39=1,AH39,AK39)))</f>
        <v/>
      </c>
      <c r="AY39" s="72" t="str">
        <f aca="false">IF(ISBLANK($C39),"",IF($AF39&lt;&gt;Constants!$B$7,"",IF(AN39=1,AI39,AL39)))</f>
        <v/>
      </c>
      <c r="AZ39" s="73" t="str">
        <f aca="false">IF(ISBLANK($C39),"",IF($AF39&lt;&gt;Constants!$B$7,$AF39,AP39))</f>
        <v/>
      </c>
      <c r="BA39" s="74" t="str">
        <f aca="false">IF(ISBLANK($C39),"",IF($AF39&lt;&gt;Constants!$B$7,$AF39,AG39))</f>
        <v/>
      </c>
      <c r="BB39" s="75" t="str">
        <f aca="false">IF(ISBLANK($C39),"",AU39)</f>
        <v/>
      </c>
      <c r="BC39" s="75" t="str">
        <f aca="false">IF(ISBLANK($C39),"",AT39)</f>
        <v/>
      </c>
      <c r="BD39" s="76" t="str">
        <f aca="false">IF(ISBLANK($C39),"",IFERROR(_xlfn.SWITCH(BC39,Constants!$B$4,COUNTA($C$8:$C$507)+2,Constants!$B$5,COUNTA($C$8:$C$507)+1,Constants!$B$6,COUNTA($C$8:$C$507)),BC39))</f>
        <v/>
      </c>
      <c r="BE39" s="5"/>
      <c r="BF39" s="77" t="n">
        <f aca="false">IF(OR(ISNUMBER(BC39),BC39=Constants!$B$4,BC39=Constants!$B$6,BC39=Constants!$B$5),1,0)</f>
        <v>0</v>
      </c>
      <c r="BG39" s="77" t="n">
        <v>32</v>
      </c>
      <c r="BH39" s="77" t="str">
        <f aca="false">IF(ISBLANK($C39),"",IF(ISNUMBER(BD39),BD39+ROW($B39)/1000,""))</f>
        <v/>
      </c>
      <c r="BI39" s="77" t="str">
        <f aca="false">IF(ISNUMBER(BH39),RANK(BH39,$BH$8:$BH$507,1),"")</f>
        <v/>
      </c>
      <c r="BJ39" s="77" t="str">
        <f aca="false">IF(ISBLANK($C39),"",$B39)</f>
        <v/>
      </c>
      <c r="BK39" s="77" t="str">
        <f aca="false">IF(ISBLANK($C39),"",$C39)</f>
        <v/>
      </c>
      <c r="BL39" s="77" t="str">
        <f aca="false">IF(ISBLANK($C39),"",$D39)</f>
        <v/>
      </c>
      <c r="BM39" s="78" t="str">
        <f aca="false">BA39</f>
        <v/>
      </c>
      <c r="BN39" s="79" t="str">
        <f aca="false">AZ39</f>
        <v/>
      </c>
      <c r="BO39" s="77" t="str">
        <f aca="false">IF(ISBLANK($C39),"",BC39)</f>
        <v/>
      </c>
      <c r="BP39" s="80" t="str">
        <f aca="false">IF($BG39&gt;$BF$7,"",VLOOKUP($BG39,$BI$8:$BO$507,7,FALSE()))</f>
        <v/>
      </c>
      <c r="BQ39" s="81" t="str">
        <f aca="false">IF($BG39&gt;$BF$7,"",VLOOKUP($BG39,$BI$8:$BO$507,2,FALSE()))</f>
        <v/>
      </c>
      <c r="BR39" s="81" t="str">
        <f aca="false">IF($BG39&gt;$BF$7,"",VLOOKUP($BG39,$BI$8:$BO$507,3,FALSE()))</f>
        <v/>
      </c>
      <c r="BS39" s="81" t="str">
        <f aca="false">IF($BG39&gt;$BF$7,"",VLOOKUP($BG39,$BI$8:$BO$507,4,FALSE()))</f>
        <v/>
      </c>
      <c r="BT39" s="81" t="str">
        <f aca="false">IF($BG39&gt;$BF$7,"",VLOOKUP($BG39,$BI$8:$BO$507,5,FALSE()))</f>
        <v/>
      </c>
      <c r="BU39" s="82" t="str">
        <f aca="false">IF($BG39&gt;$BF$7,"",VLOOKUP($BG39,$BI$8:$BO$507,6,FALSE()))</f>
        <v/>
      </c>
      <c r="BV39" s="54"/>
    </row>
    <row r="40" customFormat="false" ht="15.75" hidden="false" customHeight="false" outlineLevel="0" collapsed="false">
      <c r="A40" s="5"/>
      <c r="B40" s="135"/>
      <c r="C40" s="56"/>
      <c r="D40" s="57"/>
      <c r="E40" s="84"/>
      <c r="F40" s="136"/>
      <c r="G40" s="60"/>
      <c r="H40" s="137"/>
      <c r="I40" s="62"/>
      <c r="J40" s="62"/>
      <c r="K40" s="60"/>
      <c r="L40" s="138"/>
      <c r="M40" s="62"/>
      <c r="N40" s="62"/>
      <c r="O40" s="60"/>
      <c r="P40" s="84"/>
      <c r="Q40" s="65"/>
      <c r="R40" s="67" t="str">
        <f aca="false">IF(ISBLANK($C40),"",IF(E40=Constants!$B$2, TRUE(), IF(E40=Constants!$B$3, FALSE(), TRUE())))</f>
        <v/>
      </c>
      <c r="S40" s="67" t="str">
        <f aca="false">IF(ISBLANK($C40),"",IF(F40=Constants!$B$2, TRUE(), IF(F40=Constants!$B$3, FALSE(), TRUE())))</f>
        <v/>
      </c>
      <c r="T40" s="67" t="str">
        <f aca="false">IF(ISBLANK($C40),"",IF(G40=Constants!$B$16,Constants!$B$9,IF(G40=Constants!$B$17,Constants!$B$10,Constants!$B$8)))</f>
        <v/>
      </c>
      <c r="U40" s="67" t="str">
        <f aca="false">IF(ISBLANK($C40),"",IF(H40=Constants!$B$19,Constants!$B$19,Constants!$B$18))</f>
        <v/>
      </c>
      <c r="V40" s="67" t="str">
        <f aca="false">IF(ISBLANK($C40),"",IF(ISNUMBER(I40),IF(I40&gt;=0,I40,""),""))</f>
        <v/>
      </c>
      <c r="W40" s="67" t="str">
        <f aca="false">IF(ISBLANK($C40),"",IF(J40=Constants!$B$2, TRUE(), IF(J40=Constants!$B$3, FALSE(), TRUE())))</f>
        <v/>
      </c>
      <c r="X40" s="67" t="str">
        <f aca="false">IF(ISBLANK($C40),"",IF(K40=Constants!$B$2, TRUE(), IF(K40=Constants!$B$3, FALSE(), TRUE())))</f>
        <v/>
      </c>
      <c r="Y40" s="67" t="str">
        <f aca="false">IF(ISBLANK($C40),"",IF(L40=Constants!$B$19,Constants!$B$19,Constants!$B$18))</f>
        <v/>
      </c>
      <c r="Z40" s="67" t="str">
        <f aca="false">IF(ISBLANK($C40),"",IF(ISNUMBER(M40),IF(M40&gt;=0,M40,""),""))</f>
        <v/>
      </c>
      <c r="AA40" s="67" t="str">
        <f aca="false">IF(ISBLANK($C40),"",IF(N40=Constants!$B$2, TRUE(), IF(N40=Constants!$B$3, FALSE(), TRUE())))</f>
        <v/>
      </c>
      <c r="AB40" s="67" t="str">
        <f aca="false">IF(ISBLANK($C40),"",IF(O40=Constants!$B$2, TRUE(), IF(O40=Constants!$B$3, FALSE(), TRUE())))</f>
        <v/>
      </c>
      <c r="AC40" s="67" t="str">
        <f aca="false">IF(ISBLANK($C40),"",IF(P40=Constants!$B$2, TRUE(), IF(P40=Constants!$B$3, FALSE(), FALSE())))</f>
        <v/>
      </c>
      <c r="AD40" s="67" t="str">
        <f aca="false">IF(ISBLANK($C40),"",AND(V40&lt;&gt;"",IF(U40=Constants!$B$19,S40,R40)))</f>
        <v/>
      </c>
      <c r="AE40" s="67" t="str">
        <f aca="false">IF(ISBLANK($C40),"",AND(Z40&lt;&gt;"",IF(Y40=Constants!$B$19,S40,R40)))</f>
        <v/>
      </c>
      <c r="AF40" s="67" t="str">
        <f aca="false">IF(ISBLANK($C40),"",IF(AC40,Constants!$B$4,IF(COUNTA(E40:O40)=0,Constants!$B$5,IF(AND(NOT(AD40),NOT(AE40)),Constants!$B$6,Constants!$B$7))))</f>
        <v/>
      </c>
      <c r="AG40" s="67" t="str">
        <f aca="false">IF(ISBLANK($C40),"",IF($AF40&lt;&gt;Constants!$B$7,$AF40,Constants!$B$20))</f>
        <v/>
      </c>
      <c r="AH40" s="67" t="str">
        <f aca="false">IF($AF40=Constants!$B$7,IF(AD40,V40,Constants!$B$13),"")</f>
        <v/>
      </c>
      <c r="AI40" s="67" t="str">
        <f aca="false">IF($AF40=Constants!$B$7,IF(AD40,T40*IF(W40, 1, Constants!$B$11)*IF(X40, 1, Constants!$B$12),Constants!$B$13),"")</f>
        <v/>
      </c>
      <c r="AJ40" s="67" t="str">
        <f aca="false">IF($AF40=Constants!$B$7,AH40*AI40,"")</f>
        <v/>
      </c>
      <c r="AK40" s="67" t="str">
        <f aca="false">IF($AF40=Constants!$B$7,IF(AE40,Z40,Constants!$B$13),"")</f>
        <v/>
      </c>
      <c r="AL40" s="67" t="str">
        <f aca="false">IF($AF40=Constants!$B$7,IF(AE40,T40*IF(AA40, 1, Constants!$B$11)*IF(AB40, 1, Constants!$B$12),Constants!$B$13),"")</f>
        <v/>
      </c>
      <c r="AM40" s="67" t="str">
        <f aca="false">IF($AF40=Constants!$B$7,AK40*AL40,"")</f>
        <v/>
      </c>
      <c r="AN40" s="67" t="str">
        <f aca="false">IF($AF40=Constants!$B$7,IF(AM40&gt;AJ40,2,1),"")</f>
        <v/>
      </c>
      <c r="AO40" s="67" t="str">
        <f aca="false">IF($AF40=Constants!$B$7,IF(AN40=1,2,1),"")</f>
        <v/>
      </c>
      <c r="AP40" s="67" t="str">
        <f aca="false">IF(ISBLANK($C40),"",IF($AF40&lt;&gt;Constants!$B$7,$AF40,IF(AN40=1,AJ40,AM40)))</f>
        <v/>
      </c>
      <c r="AQ40" s="67" t="str">
        <f aca="false">IF(ISBLANK($C40),"",IF($AF40=Constants!$B$7,IF(ISNUMBER(AP40),RANK(AP40,$AP$8:$AP$507),Constants!$B$14),$AF40))</f>
        <v/>
      </c>
      <c r="AR40" s="67" t="str">
        <f aca="false">IF(ISBLANK($C40),"",IF($AF40=Constants!$B$7,IF(AO40=1,AJ40,AM40),""))</f>
        <v/>
      </c>
      <c r="AS40" s="67" t="str">
        <f aca="false">IF(ISBLANK($C40),"",IF($AF40=Constants!$B$7,RANK(AR40,$AR$8:$AR$507),$AF40))</f>
        <v/>
      </c>
      <c r="AT40" s="67" t="str">
        <f aca="false">IF(ISBLANK($C40),"",IF($AF40=Constants!$B$7,IF(ISNUMBER(AQ40),COUNTIFS($AQ$8:$AQ$507,"&lt;"&amp;$AQ40)+COUNTIFS($AQ$8:$AQ$507,$AQ40,$AS$8:$AS$507,"&lt;"&amp;$AS40)+1,Constants!$B$14),$AF40))</f>
        <v/>
      </c>
      <c r="AU40" s="67" t="str">
        <f aca="false">IF(ISBLANK($C40),"",IF($AF40=Constants!$B$7,IF(ISNUMBER(AQ40),AQ40-AT40,Constants!$B$14),$AF40))</f>
        <v/>
      </c>
      <c r="AV40" s="69"/>
      <c r="AW40" s="70" t="str">
        <f aca="false">IF(ISBLANK($C40),"",IF($AF40&lt;&gt;Constants!$B$7,"",AN40))</f>
        <v/>
      </c>
      <c r="AX40" s="85" t="str">
        <f aca="false">IF(ISBLANK($C40),"",IF($AF40&lt;&gt;Constants!$B$7,"",IF(AN40=1,AH40,AK40)))</f>
        <v/>
      </c>
      <c r="AY40" s="72" t="str">
        <f aca="false">IF(ISBLANK($C40),"",IF($AF40&lt;&gt;Constants!$B$7,"",IF(AN40=1,AI40,AL40)))</f>
        <v/>
      </c>
      <c r="AZ40" s="73" t="str">
        <f aca="false">IF(ISBLANK($C40),"",IF($AF40&lt;&gt;Constants!$B$7,$AF40,AP40))</f>
        <v/>
      </c>
      <c r="BA40" s="74" t="str">
        <f aca="false">IF(ISBLANK($C40),"",IF($AF40&lt;&gt;Constants!$B$7,$AF40,AG40))</f>
        <v/>
      </c>
      <c r="BB40" s="75" t="str">
        <f aca="false">IF(ISBLANK($C40),"",AU40)</f>
        <v/>
      </c>
      <c r="BC40" s="75" t="str">
        <f aca="false">IF(ISBLANK($C40),"",AT40)</f>
        <v/>
      </c>
      <c r="BD40" s="76" t="str">
        <f aca="false">IF(ISBLANK($C40),"",IFERROR(_xlfn.SWITCH(BC40,Constants!$B$4,COUNTA($C$8:$C$507)+2,Constants!$B$5,COUNTA($C$8:$C$507)+1,Constants!$B$6,COUNTA($C$8:$C$507)),BC40))</f>
        <v/>
      </c>
      <c r="BE40" s="5"/>
      <c r="BF40" s="77" t="n">
        <f aca="false">IF(OR(ISNUMBER(BC40),BC40=Constants!$B$4,BC40=Constants!$B$6,BC40=Constants!$B$5),1,0)</f>
        <v>0</v>
      </c>
      <c r="BG40" s="77" t="n">
        <v>33</v>
      </c>
      <c r="BH40" s="77" t="str">
        <f aca="false">IF(ISBLANK($C40),"",IF(ISNUMBER(BD40),BD40+ROW($B40)/1000,""))</f>
        <v/>
      </c>
      <c r="BI40" s="77" t="str">
        <f aca="false">IF(ISNUMBER(BH40),RANK(BH40,$BH$8:$BH$507,1),"")</f>
        <v/>
      </c>
      <c r="BJ40" s="77" t="str">
        <f aca="false">IF(ISBLANK($C40),"",$B40)</f>
        <v/>
      </c>
      <c r="BK40" s="77" t="str">
        <f aca="false">IF(ISBLANK($C40),"",$C40)</f>
        <v/>
      </c>
      <c r="BL40" s="77" t="str">
        <f aca="false">IF(ISBLANK($C40),"",$D40)</f>
        <v/>
      </c>
      <c r="BM40" s="78" t="str">
        <f aca="false">BA40</f>
        <v/>
      </c>
      <c r="BN40" s="79" t="str">
        <f aca="false">AZ40</f>
        <v/>
      </c>
      <c r="BO40" s="77" t="str">
        <f aca="false">IF(ISBLANK($C40),"",BC40)</f>
        <v/>
      </c>
      <c r="BP40" s="80" t="str">
        <f aca="false">IF($BG40&gt;$BF$7,"",VLOOKUP($BG40,$BI$8:$BO$507,7,FALSE()))</f>
        <v/>
      </c>
      <c r="BQ40" s="81" t="str">
        <f aca="false">IF($BG40&gt;$BF$7,"",VLOOKUP($BG40,$BI$8:$BO$507,2,FALSE()))</f>
        <v/>
      </c>
      <c r="BR40" s="81" t="str">
        <f aca="false">IF($BG40&gt;$BF$7,"",VLOOKUP($BG40,$BI$8:$BO$507,3,FALSE()))</f>
        <v/>
      </c>
      <c r="BS40" s="81" t="str">
        <f aca="false">IF($BG40&gt;$BF$7,"",VLOOKUP($BG40,$BI$8:$BO$507,4,FALSE()))</f>
        <v/>
      </c>
      <c r="BT40" s="81" t="str">
        <f aca="false">IF($BG40&gt;$BF$7,"",VLOOKUP($BG40,$BI$8:$BO$507,5,FALSE()))</f>
        <v/>
      </c>
      <c r="BU40" s="82" t="str">
        <f aca="false">IF($BG40&gt;$BF$7,"",VLOOKUP($BG40,$BI$8:$BO$507,6,FALSE()))</f>
        <v/>
      </c>
      <c r="BV40" s="54"/>
    </row>
    <row r="41" customFormat="false" ht="15.75" hidden="false" customHeight="false" outlineLevel="0" collapsed="false">
      <c r="A41" s="5"/>
      <c r="B41" s="128"/>
      <c r="C41" s="129"/>
      <c r="D41" s="114"/>
      <c r="E41" s="134"/>
      <c r="F41" s="139"/>
      <c r="G41" s="93"/>
      <c r="H41" s="140"/>
      <c r="I41" s="95"/>
      <c r="J41" s="95"/>
      <c r="K41" s="93"/>
      <c r="L41" s="141"/>
      <c r="M41" s="95"/>
      <c r="N41" s="95"/>
      <c r="O41" s="93"/>
      <c r="P41" s="134"/>
      <c r="Q41" s="98"/>
      <c r="R41" s="99" t="str">
        <f aca="false">IF(ISBLANK($C41),"",IF(E41=Constants!$B$2, TRUE(), IF(E41=Constants!$B$3, FALSE(), TRUE())))</f>
        <v/>
      </c>
      <c r="S41" s="99" t="str">
        <f aca="false">IF(ISBLANK($C41),"",IF(F41=Constants!$B$2, TRUE(), IF(F41=Constants!$B$3, FALSE(), TRUE())))</f>
        <v/>
      </c>
      <c r="T41" s="99" t="str">
        <f aca="false">IF(ISBLANK($C41),"",IF(G41=Constants!$B$16,Constants!$B$9,IF(G41=Constants!$B$17,Constants!$B$10,Constants!$B$8)))</f>
        <v/>
      </c>
      <c r="U41" s="99" t="str">
        <f aca="false">IF(ISBLANK($C41),"",IF(H41=Constants!$B$19,Constants!$B$19,Constants!$B$18))</f>
        <v/>
      </c>
      <c r="V41" s="99" t="str">
        <f aca="false">IF(ISBLANK($C41),"",IF(ISNUMBER(I41),IF(I41&gt;=0,I41,""),""))</f>
        <v/>
      </c>
      <c r="W41" s="99" t="str">
        <f aca="false">IF(ISBLANK($C41),"",IF(J41=Constants!$B$2, TRUE(), IF(J41=Constants!$B$3, FALSE(), TRUE())))</f>
        <v/>
      </c>
      <c r="X41" s="99" t="str">
        <f aca="false">IF(ISBLANK($C41),"",IF(K41=Constants!$B$2, TRUE(), IF(K41=Constants!$B$3, FALSE(), TRUE())))</f>
        <v/>
      </c>
      <c r="Y41" s="99" t="str">
        <f aca="false">IF(ISBLANK($C41),"",IF(L41=Constants!$B$19,Constants!$B$19,Constants!$B$18))</f>
        <v/>
      </c>
      <c r="Z41" s="99" t="str">
        <f aca="false">IF(ISBLANK($C41),"",IF(ISNUMBER(M41),IF(M41&gt;=0,M41,""),""))</f>
        <v/>
      </c>
      <c r="AA41" s="99" t="str">
        <f aca="false">IF(ISBLANK($C41),"",IF(N41=Constants!$B$2, TRUE(), IF(N41=Constants!$B$3, FALSE(), TRUE())))</f>
        <v/>
      </c>
      <c r="AB41" s="99" t="str">
        <f aca="false">IF(ISBLANK($C41),"",IF(O41=Constants!$B$2, TRUE(), IF(O41=Constants!$B$3, FALSE(), TRUE())))</f>
        <v/>
      </c>
      <c r="AC41" s="99" t="str">
        <f aca="false">IF(ISBLANK($C41),"",IF(P41=Constants!$B$2, TRUE(), IF(P41=Constants!$B$3, FALSE(), FALSE())))</f>
        <v/>
      </c>
      <c r="AD41" s="99" t="str">
        <f aca="false">IF(ISBLANK($C41),"",AND(V41&lt;&gt;"",IF(U41=Constants!$B$19,S41,R41)))</f>
        <v/>
      </c>
      <c r="AE41" s="99" t="str">
        <f aca="false">IF(ISBLANK($C41),"",AND(Z41&lt;&gt;"",IF(Y41=Constants!$B$19,S41,R41)))</f>
        <v/>
      </c>
      <c r="AF41" s="99" t="str">
        <f aca="false">IF(ISBLANK($C41),"",IF(AC41,Constants!$B$4,IF(COUNTA(E41:O41)=0,Constants!$B$5,IF(AND(NOT(AD41),NOT(AE41)),Constants!$B$6,Constants!$B$7))))</f>
        <v/>
      </c>
      <c r="AG41" s="99" t="str">
        <f aca="false">IF(ISBLANK($C41),"",IF($AF41&lt;&gt;Constants!$B$7,$AF41,Constants!$B$20))</f>
        <v/>
      </c>
      <c r="AH41" s="99" t="str">
        <f aca="false">IF($AF41=Constants!$B$7,IF(AD41,V41,Constants!$B$13),"")</f>
        <v/>
      </c>
      <c r="AI41" s="99" t="str">
        <f aca="false">IF($AF41=Constants!$B$7,IF(AD41,T41*IF(W41, 1, Constants!$B$11)*IF(X41, 1, Constants!$B$12),Constants!$B$13),"")</f>
        <v/>
      </c>
      <c r="AJ41" s="99" t="str">
        <f aca="false">IF($AF41=Constants!$B$7,AH41*AI41,"")</f>
        <v/>
      </c>
      <c r="AK41" s="99" t="str">
        <f aca="false">IF($AF41=Constants!$B$7,IF(AE41,Z41,Constants!$B$13),"")</f>
        <v/>
      </c>
      <c r="AL41" s="99" t="str">
        <f aca="false">IF($AF41=Constants!$B$7,IF(AE41,T41*IF(AA41, 1, Constants!$B$11)*IF(AB41, 1, Constants!$B$12),Constants!$B$13),"")</f>
        <v/>
      </c>
      <c r="AM41" s="99" t="str">
        <f aca="false">IF($AF41=Constants!$B$7,AK41*AL41,"")</f>
        <v/>
      </c>
      <c r="AN41" s="99" t="str">
        <f aca="false">IF($AF41=Constants!$B$7,IF(AM41&gt;AJ41,2,1),"")</f>
        <v/>
      </c>
      <c r="AO41" s="99" t="str">
        <f aca="false">IF($AF41=Constants!$B$7,IF(AN41=1,2,1),"")</f>
        <v/>
      </c>
      <c r="AP41" s="99" t="str">
        <f aca="false">IF(ISBLANK($C41),"",IF($AF41&lt;&gt;Constants!$B$7,$AF41,IF(AN41=1,AJ41,AM41)))</f>
        <v/>
      </c>
      <c r="AQ41" s="99" t="str">
        <f aca="false">IF(ISBLANK($C41),"",IF($AF41=Constants!$B$7,IF(ISNUMBER(AP41),RANK(AP41,$AP$8:$AP$507),Constants!$B$14),$AF41))</f>
        <v/>
      </c>
      <c r="AR41" s="99" t="str">
        <f aca="false">IF(ISBLANK($C41),"",IF($AF41=Constants!$B$7,IF(AO41=1,AJ41,AM41),""))</f>
        <v/>
      </c>
      <c r="AS41" s="99" t="str">
        <f aca="false">IF(ISBLANK($C41),"",IF($AF41=Constants!$B$7,RANK(AR41,$AR$8:$AR$507),$AF41))</f>
        <v/>
      </c>
      <c r="AT41" s="99" t="str">
        <f aca="false">IF(ISBLANK($C41),"",IF($AF41=Constants!$B$7,IF(ISNUMBER(AQ41),COUNTIFS($AQ$8:$AQ$507,"&lt;"&amp;$AQ41)+COUNTIFS($AQ$8:$AQ$507,$AQ41,$AS$8:$AS$507,"&lt;"&amp;$AS41)+1,Constants!$B$14),$AF41))</f>
        <v/>
      </c>
      <c r="AU41" s="99" t="str">
        <f aca="false">IF(ISBLANK($C41),"",IF($AF41=Constants!$B$7,IF(ISNUMBER(AQ41),AQ41-AT41,Constants!$B$14),$AF41))</f>
        <v/>
      </c>
      <c r="AV41" s="100"/>
      <c r="AW41" s="101" t="str">
        <f aca="false">IF(ISBLANK($C41),"",IF($AF41&lt;&gt;Constants!$B$7,"",AN41))</f>
        <v/>
      </c>
      <c r="AX41" s="102" t="str">
        <f aca="false">IF(ISBLANK($C41),"",IF($AF41&lt;&gt;Constants!$B$7,"",IF(AN41=1,AH41,AK41)))</f>
        <v/>
      </c>
      <c r="AY41" s="103" t="str">
        <f aca="false">IF(ISBLANK($C41),"",IF($AF41&lt;&gt;Constants!$B$7,"",IF(AN41=1,AI41,AL41)))</f>
        <v/>
      </c>
      <c r="AZ41" s="104" t="str">
        <f aca="false">IF(ISBLANK($C41),"",IF($AF41&lt;&gt;Constants!$B$7,$AF41,AP41))</f>
        <v/>
      </c>
      <c r="BA41" s="105" t="str">
        <f aca="false">IF(ISBLANK($C41),"",IF($AF41&lt;&gt;Constants!$B$7,$AF41,AG41))</f>
        <v/>
      </c>
      <c r="BB41" s="106" t="str">
        <f aca="false">IF(ISBLANK($C41),"",AU41)</f>
        <v/>
      </c>
      <c r="BC41" s="106" t="str">
        <f aca="false">IF(ISBLANK($C41),"",AT41)</f>
        <v/>
      </c>
      <c r="BD41" s="107" t="str">
        <f aca="false">IF(ISBLANK($C41),"",IFERROR(_xlfn.SWITCH(BC41,Constants!$B$4,COUNTA($C$8:$C$507)+2,Constants!$B$5,COUNTA($C$8:$C$507)+1,Constants!$B$6,COUNTA($C$8:$C$507)),BC41))</f>
        <v/>
      </c>
      <c r="BE41" s="5"/>
      <c r="BF41" s="108" t="n">
        <f aca="false">IF(OR(ISNUMBER(BC41),BC41=Constants!$B$4,BC41=Constants!$B$6,BC41=Constants!$B$5),1,0)</f>
        <v>0</v>
      </c>
      <c r="BG41" s="108" t="n">
        <v>34</v>
      </c>
      <c r="BH41" s="108" t="str">
        <f aca="false">IF(ISBLANK($C41),"",IF(ISNUMBER(BD41),BD41+ROW($B41)/1000,""))</f>
        <v/>
      </c>
      <c r="BI41" s="108" t="str">
        <f aca="false">IF(ISNUMBER(BH41),RANK(BH41,$BH$8:$BH$507,1),"")</f>
        <v/>
      </c>
      <c r="BJ41" s="108" t="str">
        <f aca="false">IF(ISBLANK($C41),"",$B41)</f>
        <v/>
      </c>
      <c r="BK41" s="108" t="str">
        <f aca="false">IF(ISBLANK($C41),"",$C41)</f>
        <v/>
      </c>
      <c r="BL41" s="108" t="str">
        <f aca="false">IF(ISBLANK($C41),"",$D41)</f>
        <v/>
      </c>
      <c r="BM41" s="109" t="str">
        <f aca="false">BA41</f>
        <v/>
      </c>
      <c r="BN41" s="110" t="str">
        <f aca="false">AZ41</f>
        <v/>
      </c>
      <c r="BO41" s="108" t="str">
        <f aca="false">IF(ISBLANK($C41),"",BC41)</f>
        <v/>
      </c>
      <c r="BP41" s="111" t="str">
        <f aca="false">IF($BG41&gt;$BF$7,"",VLOOKUP($BG41,$BI$8:$BO$507,7,FALSE()))</f>
        <v/>
      </c>
      <c r="BQ41" s="112" t="str">
        <f aca="false">IF($BG41&gt;$BF$7,"",VLOOKUP($BG41,$BI$8:$BO$507,2,FALSE()))</f>
        <v/>
      </c>
      <c r="BR41" s="112" t="str">
        <f aca="false">IF($BG41&gt;$BF$7,"",VLOOKUP($BG41,$BI$8:$BO$507,3,FALSE()))</f>
        <v/>
      </c>
      <c r="BS41" s="112" t="str">
        <f aca="false">IF($BG41&gt;$BF$7,"",VLOOKUP($BG41,$BI$8:$BO$507,4,FALSE()))</f>
        <v/>
      </c>
      <c r="BT41" s="112" t="str">
        <f aca="false">IF($BG41&gt;$BF$7,"",VLOOKUP($BG41,$BI$8:$BO$507,5,FALSE()))</f>
        <v/>
      </c>
      <c r="BU41" s="113" t="str">
        <f aca="false">IF($BG41&gt;$BF$7,"",VLOOKUP($BG41,$BI$8:$BO$507,6,FALSE()))</f>
        <v/>
      </c>
      <c r="BV41" s="54"/>
    </row>
    <row r="42" customFormat="false" ht="15.75" hidden="false" customHeight="false" outlineLevel="0" collapsed="false">
      <c r="A42" s="5"/>
      <c r="B42" s="128"/>
      <c r="C42" s="129"/>
      <c r="D42" s="114"/>
      <c r="E42" s="134"/>
      <c r="F42" s="139"/>
      <c r="G42" s="93"/>
      <c r="H42" s="140"/>
      <c r="I42" s="95"/>
      <c r="J42" s="95"/>
      <c r="K42" s="93"/>
      <c r="L42" s="141"/>
      <c r="M42" s="95"/>
      <c r="N42" s="95"/>
      <c r="O42" s="93"/>
      <c r="P42" s="134"/>
      <c r="Q42" s="98"/>
      <c r="R42" s="99" t="str">
        <f aca="false">IF(ISBLANK($C42),"",IF(E42=Constants!$B$2, TRUE(), IF(E42=Constants!$B$3, FALSE(), TRUE())))</f>
        <v/>
      </c>
      <c r="S42" s="99" t="str">
        <f aca="false">IF(ISBLANK($C42),"",IF(F42=Constants!$B$2, TRUE(), IF(F42=Constants!$B$3, FALSE(), TRUE())))</f>
        <v/>
      </c>
      <c r="T42" s="99" t="str">
        <f aca="false">IF(ISBLANK($C42),"",IF(G42=Constants!$B$16,Constants!$B$9,IF(G42=Constants!$B$17,Constants!$B$10,Constants!$B$8)))</f>
        <v/>
      </c>
      <c r="U42" s="99" t="str">
        <f aca="false">IF(ISBLANK($C42),"",IF(H42=Constants!$B$19,Constants!$B$19,Constants!$B$18))</f>
        <v/>
      </c>
      <c r="V42" s="99" t="str">
        <f aca="false">IF(ISBLANK($C42),"",IF(ISNUMBER(I42),IF(I42&gt;=0,I42,""),""))</f>
        <v/>
      </c>
      <c r="W42" s="99" t="str">
        <f aca="false">IF(ISBLANK($C42),"",IF(J42=Constants!$B$2, TRUE(), IF(J42=Constants!$B$3, FALSE(), TRUE())))</f>
        <v/>
      </c>
      <c r="X42" s="99" t="str">
        <f aca="false">IF(ISBLANK($C42),"",IF(K42=Constants!$B$2, TRUE(), IF(K42=Constants!$B$3, FALSE(), TRUE())))</f>
        <v/>
      </c>
      <c r="Y42" s="99" t="str">
        <f aca="false">IF(ISBLANK($C42),"",IF(L42=Constants!$B$19,Constants!$B$19,Constants!$B$18))</f>
        <v/>
      </c>
      <c r="Z42" s="99" t="str">
        <f aca="false">IF(ISBLANK($C42),"",IF(ISNUMBER(M42),IF(M42&gt;=0,M42,""),""))</f>
        <v/>
      </c>
      <c r="AA42" s="99" t="str">
        <f aca="false">IF(ISBLANK($C42),"",IF(N42=Constants!$B$2, TRUE(), IF(N42=Constants!$B$3, FALSE(), TRUE())))</f>
        <v/>
      </c>
      <c r="AB42" s="99" t="str">
        <f aca="false">IF(ISBLANK($C42),"",IF(O42=Constants!$B$2, TRUE(), IF(O42=Constants!$B$3, FALSE(), TRUE())))</f>
        <v/>
      </c>
      <c r="AC42" s="99" t="str">
        <f aca="false">IF(ISBLANK($C42),"",IF(P42=Constants!$B$2, TRUE(), IF(P42=Constants!$B$3, FALSE(), FALSE())))</f>
        <v/>
      </c>
      <c r="AD42" s="99" t="str">
        <f aca="false">IF(ISBLANK($C42),"",AND(V42&lt;&gt;"",IF(U42=Constants!$B$19,S42,R42)))</f>
        <v/>
      </c>
      <c r="AE42" s="99" t="str">
        <f aca="false">IF(ISBLANK($C42),"",AND(Z42&lt;&gt;"",IF(Y42=Constants!$B$19,S42,R42)))</f>
        <v/>
      </c>
      <c r="AF42" s="99" t="str">
        <f aca="false">IF(ISBLANK($C42),"",IF(AC42,Constants!$B$4,IF(COUNTA(E42:O42)=0,Constants!$B$5,IF(AND(NOT(AD42),NOT(AE42)),Constants!$B$6,Constants!$B$7))))</f>
        <v/>
      </c>
      <c r="AG42" s="99" t="str">
        <f aca="false">IF(ISBLANK($C42),"",IF($AF42&lt;&gt;Constants!$B$7,$AF42,Constants!$B$20))</f>
        <v/>
      </c>
      <c r="AH42" s="99" t="str">
        <f aca="false">IF($AF42=Constants!$B$7,IF(AD42,V42,Constants!$B$13),"")</f>
        <v/>
      </c>
      <c r="AI42" s="99" t="str">
        <f aca="false">IF($AF42=Constants!$B$7,IF(AD42,T42*IF(W42, 1, Constants!$B$11)*IF(X42, 1, Constants!$B$12),Constants!$B$13),"")</f>
        <v/>
      </c>
      <c r="AJ42" s="99" t="str">
        <f aca="false">IF($AF42=Constants!$B$7,AH42*AI42,"")</f>
        <v/>
      </c>
      <c r="AK42" s="99" t="str">
        <f aca="false">IF($AF42=Constants!$B$7,IF(AE42,Z42,Constants!$B$13),"")</f>
        <v/>
      </c>
      <c r="AL42" s="99" t="str">
        <f aca="false">IF($AF42=Constants!$B$7,IF(AE42,T42*IF(AA42, 1, Constants!$B$11)*IF(AB42, 1, Constants!$B$12),Constants!$B$13),"")</f>
        <v/>
      </c>
      <c r="AM42" s="99" t="str">
        <f aca="false">IF($AF42=Constants!$B$7,AK42*AL42,"")</f>
        <v/>
      </c>
      <c r="AN42" s="99" t="str">
        <f aca="false">IF($AF42=Constants!$B$7,IF(AM42&gt;AJ42,2,1),"")</f>
        <v/>
      </c>
      <c r="AO42" s="99" t="str">
        <f aca="false">IF($AF42=Constants!$B$7,IF(AN42=1,2,1),"")</f>
        <v/>
      </c>
      <c r="AP42" s="99" t="str">
        <f aca="false">IF(ISBLANK($C42),"",IF($AF42&lt;&gt;Constants!$B$7,$AF42,IF(AN42=1,AJ42,AM42)))</f>
        <v/>
      </c>
      <c r="AQ42" s="99" t="str">
        <f aca="false">IF(ISBLANK($C42),"",IF($AF42=Constants!$B$7,IF(ISNUMBER(AP42),RANK(AP42,$AP$8:$AP$507),Constants!$B$14),$AF42))</f>
        <v/>
      </c>
      <c r="AR42" s="99" t="str">
        <f aca="false">IF(ISBLANK($C42),"",IF($AF42=Constants!$B$7,IF(AO42=1,AJ42,AM42),""))</f>
        <v/>
      </c>
      <c r="AS42" s="99" t="str">
        <f aca="false">IF(ISBLANK($C42),"",IF($AF42=Constants!$B$7,RANK(AR42,$AR$8:$AR$507),$AF42))</f>
        <v/>
      </c>
      <c r="AT42" s="99" t="str">
        <f aca="false">IF(ISBLANK($C42),"",IF($AF42=Constants!$B$7,IF(ISNUMBER(AQ42),COUNTIFS($AQ$8:$AQ$507,"&lt;"&amp;$AQ42)+COUNTIFS($AQ$8:$AQ$507,$AQ42,$AS$8:$AS$507,"&lt;"&amp;$AS42)+1,Constants!$B$14),$AF42))</f>
        <v/>
      </c>
      <c r="AU42" s="99" t="str">
        <f aca="false">IF(ISBLANK($C42),"",IF($AF42=Constants!$B$7,IF(ISNUMBER(AQ42),AQ42-AT42,Constants!$B$14),$AF42))</f>
        <v/>
      </c>
      <c r="AV42" s="100"/>
      <c r="AW42" s="101" t="str">
        <f aca="false">IF(ISBLANK($C42),"",IF($AF42&lt;&gt;Constants!$B$7,"",AN42))</f>
        <v/>
      </c>
      <c r="AX42" s="102" t="str">
        <f aca="false">IF(ISBLANK($C42),"",IF($AF42&lt;&gt;Constants!$B$7,"",IF(AN42=1,AH42,AK42)))</f>
        <v/>
      </c>
      <c r="AY42" s="103" t="str">
        <f aca="false">IF(ISBLANK($C42),"",IF($AF42&lt;&gt;Constants!$B$7,"",IF(AN42=1,AI42,AL42)))</f>
        <v/>
      </c>
      <c r="AZ42" s="104" t="str">
        <f aca="false">IF(ISBLANK($C42),"",IF($AF42&lt;&gt;Constants!$B$7,$AF42,AP42))</f>
        <v/>
      </c>
      <c r="BA42" s="105" t="str">
        <f aca="false">IF(ISBLANK($C42),"",IF($AF42&lt;&gt;Constants!$B$7,$AF42,AG42))</f>
        <v/>
      </c>
      <c r="BB42" s="106" t="str">
        <f aca="false">IF(ISBLANK($C42),"",AU42)</f>
        <v/>
      </c>
      <c r="BC42" s="106" t="str">
        <f aca="false">IF(ISBLANK($C42),"",AT42)</f>
        <v/>
      </c>
      <c r="BD42" s="107" t="str">
        <f aca="false">IF(ISBLANK($C42),"",IFERROR(_xlfn.SWITCH(BC42,Constants!$B$4,COUNTA($C$8:$C$507)+2,Constants!$B$5,COUNTA($C$8:$C$507)+1,Constants!$B$6,COUNTA($C$8:$C$507)),BC42))</f>
        <v/>
      </c>
      <c r="BE42" s="5"/>
      <c r="BF42" s="108" t="n">
        <f aca="false">IF(OR(ISNUMBER(BC42),BC42=Constants!$B$4,BC42=Constants!$B$6,BC42=Constants!$B$5),1,0)</f>
        <v>0</v>
      </c>
      <c r="BG42" s="108" t="n">
        <v>35</v>
      </c>
      <c r="BH42" s="108" t="str">
        <f aca="false">IF(ISBLANK($C42),"",IF(ISNUMBER(BD42),BD42+ROW($B42)/1000,""))</f>
        <v/>
      </c>
      <c r="BI42" s="108" t="str">
        <f aca="false">IF(ISNUMBER(BH42),RANK(BH42,$BH$8:$BH$507,1),"")</f>
        <v/>
      </c>
      <c r="BJ42" s="108" t="str">
        <f aca="false">IF(ISBLANK($C42),"",$B42)</f>
        <v/>
      </c>
      <c r="BK42" s="108" t="str">
        <f aca="false">IF(ISBLANK($C42),"",$C42)</f>
        <v/>
      </c>
      <c r="BL42" s="108" t="str">
        <f aca="false">IF(ISBLANK($C42),"",$D42)</f>
        <v/>
      </c>
      <c r="BM42" s="109" t="str">
        <f aca="false">BA42</f>
        <v/>
      </c>
      <c r="BN42" s="110" t="str">
        <f aca="false">AZ42</f>
        <v/>
      </c>
      <c r="BO42" s="108" t="str">
        <f aca="false">IF(ISBLANK($C42),"",BC42)</f>
        <v/>
      </c>
      <c r="BP42" s="111" t="str">
        <f aca="false">IF($BG42&gt;$BF$7,"",VLOOKUP($BG42,$BI$8:$BO$507,7,FALSE()))</f>
        <v/>
      </c>
      <c r="BQ42" s="112" t="str">
        <f aca="false">IF($BG42&gt;$BF$7,"",VLOOKUP($BG42,$BI$8:$BO$507,2,FALSE()))</f>
        <v/>
      </c>
      <c r="BR42" s="112" t="str">
        <f aca="false">IF($BG42&gt;$BF$7,"",VLOOKUP($BG42,$BI$8:$BO$507,3,FALSE()))</f>
        <v/>
      </c>
      <c r="BS42" s="112" t="str">
        <f aca="false">IF($BG42&gt;$BF$7,"",VLOOKUP($BG42,$BI$8:$BO$507,4,FALSE()))</f>
        <v/>
      </c>
      <c r="BT42" s="112" t="str">
        <f aca="false">IF($BG42&gt;$BF$7,"",VLOOKUP($BG42,$BI$8:$BO$507,5,FALSE()))</f>
        <v/>
      </c>
      <c r="BU42" s="113" t="str">
        <f aca="false">IF($BG42&gt;$BF$7,"",VLOOKUP($BG42,$BI$8:$BO$507,6,FALSE()))</f>
        <v/>
      </c>
      <c r="BV42" s="54"/>
    </row>
    <row r="43" customFormat="false" ht="15.75" hidden="false" customHeight="false" outlineLevel="0" collapsed="false">
      <c r="A43" s="5"/>
      <c r="B43" s="128"/>
      <c r="C43" s="129"/>
      <c r="D43" s="114"/>
      <c r="E43" s="134"/>
      <c r="F43" s="139"/>
      <c r="G43" s="93"/>
      <c r="H43" s="140"/>
      <c r="I43" s="95"/>
      <c r="J43" s="95"/>
      <c r="K43" s="93"/>
      <c r="L43" s="141"/>
      <c r="M43" s="95"/>
      <c r="N43" s="95"/>
      <c r="O43" s="93"/>
      <c r="P43" s="134"/>
      <c r="Q43" s="98"/>
      <c r="R43" s="99" t="str">
        <f aca="false">IF(ISBLANK($C43),"",IF(E43=Constants!$B$2, TRUE(), IF(E43=Constants!$B$3, FALSE(), TRUE())))</f>
        <v/>
      </c>
      <c r="S43" s="99" t="str">
        <f aca="false">IF(ISBLANK($C43),"",IF(F43=Constants!$B$2, TRUE(), IF(F43=Constants!$B$3, FALSE(), TRUE())))</f>
        <v/>
      </c>
      <c r="T43" s="99" t="str">
        <f aca="false">IF(ISBLANK($C43),"",IF(G43=Constants!$B$16,Constants!$B$9,IF(G43=Constants!$B$17,Constants!$B$10,Constants!$B$8)))</f>
        <v/>
      </c>
      <c r="U43" s="99" t="str">
        <f aca="false">IF(ISBLANK($C43),"",IF(H43=Constants!$B$19,Constants!$B$19,Constants!$B$18))</f>
        <v/>
      </c>
      <c r="V43" s="99" t="str">
        <f aca="false">IF(ISBLANK($C43),"",IF(ISNUMBER(I43),IF(I43&gt;=0,I43,""),""))</f>
        <v/>
      </c>
      <c r="W43" s="99" t="str">
        <f aca="false">IF(ISBLANK($C43),"",IF(J43=Constants!$B$2, TRUE(), IF(J43=Constants!$B$3, FALSE(), TRUE())))</f>
        <v/>
      </c>
      <c r="X43" s="99" t="str">
        <f aca="false">IF(ISBLANK($C43),"",IF(K43=Constants!$B$2, TRUE(), IF(K43=Constants!$B$3, FALSE(), TRUE())))</f>
        <v/>
      </c>
      <c r="Y43" s="99" t="str">
        <f aca="false">IF(ISBLANK($C43),"",IF(L43=Constants!$B$19,Constants!$B$19,Constants!$B$18))</f>
        <v/>
      </c>
      <c r="Z43" s="99" t="str">
        <f aca="false">IF(ISBLANK($C43),"",IF(ISNUMBER(M43),IF(M43&gt;=0,M43,""),""))</f>
        <v/>
      </c>
      <c r="AA43" s="99" t="str">
        <f aca="false">IF(ISBLANK($C43),"",IF(N43=Constants!$B$2, TRUE(), IF(N43=Constants!$B$3, FALSE(), TRUE())))</f>
        <v/>
      </c>
      <c r="AB43" s="99" t="str">
        <f aca="false">IF(ISBLANK($C43),"",IF(O43=Constants!$B$2, TRUE(), IF(O43=Constants!$B$3, FALSE(), TRUE())))</f>
        <v/>
      </c>
      <c r="AC43" s="99" t="str">
        <f aca="false">IF(ISBLANK($C43),"",IF(P43=Constants!$B$2, TRUE(), IF(P43=Constants!$B$3, FALSE(), FALSE())))</f>
        <v/>
      </c>
      <c r="AD43" s="99" t="str">
        <f aca="false">IF(ISBLANK($C43),"",AND(V43&lt;&gt;"",IF(U43=Constants!$B$19,S43,R43)))</f>
        <v/>
      </c>
      <c r="AE43" s="99" t="str">
        <f aca="false">IF(ISBLANK($C43),"",AND(Z43&lt;&gt;"",IF(Y43=Constants!$B$19,S43,R43)))</f>
        <v/>
      </c>
      <c r="AF43" s="99" t="str">
        <f aca="false">IF(ISBLANK($C43),"",IF(AC43,Constants!$B$4,IF(COUNTA(E43:O43)=0,Constants!$B$5,IF(AND(NOT(AD43),NOT(AE43)),Constants!$B$6,Constants!$B$7))))</f>
        <v/>
      </c>
      <c r="AG43" s="99" t="str">
        <f aca="false">IF(ISBLANK($C43),"",IF($AF43&lt;&gt;Constants!$B$7,$AF43,Constants!$B$20))</f>
        <v/>
      </c>
      <c r="AH43" s="99" t="str">
        <f aca="false">IF($AF43=Constants!$B$7,IF(AD43,V43,Constants!$B$13),"")</f>
        <v/>
      </c>
      <c r="AI43" s="99" t="str">
        <f aca="false">IF($AF43=Constants!$B$7,IF(AD43,T43*IF(W43, 1, Constants!$B$11)*IF(X43, 1, Constants!$B$12),Constants!$B$13),"")</f>
        <v/>
      </c>
      <c r="AJ43" s="99" t="str">
        <f aca="false">IF($AF43=Constants!$B$7,AH43*AI43,"")</f>
        <v/>
      </c>
      <c r="AK43" s="99" t="str">
        <f aca="false">IF($AF43=Constants!$B$7,IF(AE43,Z43,Constants!$B$13),"")</f>
        <v/>
      </c>
      <c r="AL43" s="99" t="str">
        <f aca="false">IF($AF43=Constants!$B$7,IF(AE43,T43*IF(AA43, 1, Constants!$B$11)*IF(AB43, 1, Constants!$B$12),Constants!$B$13),"")</f>
        <v/>
      </c>
      <c r="AM43" s="99" t="str">
        <f aca="false">IF($AF43=Constants!$B$7,AK43*AL43,"")</f>
        <v/>
      </c>
      <c r="AN43" s="99" t="str">
        <f aca="false">IF($AF43=Constants!$B$7,IF(AM43&gt;AJ43,2,1),"")</f>
        <v/>
      </c>
      <c r="AO43" s="99" t="str">
        <f aca="false">IF($AF43=Constants!$B$7,IF(AN43=1,2,1),"")</f>
        <v/>
      </c>
      <c r="AP43" s="99" t="str">
        <f aca="false">IF(ISBLANK($C43),"",IF($AF43&lt;&gt;Constants!$B$7,$AF43,IF(AN43=1,AJ43,AM43)))</f>
        <v/>
      </c>
      <c r="AQ43" s="99" t="str">
        <f aca="false">IF(ISBLANK($C43),"",IF($AF43=Constants!$B$7,IF(ISNUMBER(AP43),RANK(AP43,$AP$8:$AP$507),Constants!$B$14),$AF43))</f>
        <v/>
      </c>
      <c r="AR43" s="99" t="str">
        <f aca="false">IF(ISBLANK($C43),"",IF($AF43=Constants!$B$7,IF(AO43=1,AJ43,AM43),""))</f>
        <v/>
      </c>
      <c r="AS43" s="99" t="str">
        <f aca="false">IF(ISBLANK($C43),"",IF($AF43=Constants!$B$7,RANK(AR43,$AR$8:$AR$507),$AF43))</f>
        <v/>
      </c>
      <c r="AT43" s="99" t="str">
        <f aca="false">IF(ISBLANK($C43),"",IF($AF43=Constants!$B$7,IF(ISNUMBER(AQ43),COUNTIFS($AQ$8:$AQ$507,"&lt;"&amp;$AQ43)+COUNTIFS($AQ$8:$AQ$507,$AQ43,$AS$8:$AS$507,"&lt;"&amp;$AS43)+1,Constants!$B$14),$AF43))</f>
        <v/>
      </c>
      <c r="AU43" s="99" t="str">
        <f aca="false">IF(ISBLANK($C43),"",IF($AF43=Constants!$B$7,IF(ISNUMBER(AQ43),AQ43-AT43,Constants!$B$14),$AF43))</f>
        <v/>
      </c>
      <c r="AV43" s="100"/>
      <c r="AW43" s="101" t="str">
        <f aca="false">IF(ISBLANK($C43),"",IF($AF43&lt;&gt;Constants!$B$7,"",AN43))</f>
        <v/>
      </c>
      <c r="AX43" s="102" t="str">
        <f aca="false">IF(ISBLANK($C43),"",IF($AF43&lt;&gt;Constants!$B$7,"",IF(AN43=1,AH43,AK43)))</f>
        <v/>
      </c>
      <c r="AY43" s="103" t="str">
        <f aca="false">IF(ISBLANK($C43),"",IF($AF43&lt;&gt;Constants!$B$7,"",IF(AN43=1,AI43,AL43)))</f>
        <v/>
      </c>
      <c r="AZ43" s="104" t="str">
        <f aca="false">IF(ISBLANK($C43),"",IF($AF43&lt;&gt;Constants!$B$7,$AF43,AP43))</f>
        <v/>
      </c>
      <c r="BA43" s="105" t="str">
        <f aca="false">IF(ISBLANK($C43),"",IF($AF43&lt;&gt;Constants!$B$7,$AF43,AG43))</f>
        <v/>
      </c>
      <c r="BB43" s="106" t="str">
        <f aca="false">IF(ISBLANK($C43),"",AU43)</f>
        <v/>
      </c>
      <c r="BC43" s="106" t="str">
        <f aca="false">IF(ISBLANK($C43),"",AT43)</f>
        <v/>
      </c>
      <c r="BD43" s="107" t="str">
        <f aca="false">IF(ISBLANK($C43),"",IFERROR(_xlfn.SWITCH(BC43,Constants!$B$4,COUNTA($C$8:$C$507)+2,Constants!$B$5,COUNTA($C$8:$C$507)+1,Constants!$B$6,COUNTA($C$8:$C$507)),BC43))</f>
        <v/>
      </c>
      <c r="BE43" s="5"/>
      <c r="BF43" s="108" t="n">
        <f aca="false">IF(OR(ISNUMBER(BC43),BC43=Constants!$B$4,BC43=Constants!$B$6,BC43=Constants!$B$5),1,0)</f>
        <v>0</v>
      </c>
      <c r="BG43" s="108" t="n">
        <v>36</v>
      </c>
      <c r="BH43" s="108" t="str">
        <f aca="false">IF(ISBLANK($C43),"",IF(ISNUMBER(BD43),BD43+ROW($B43)/1000,""))</f>
        <v/>
      </c>
      <c r="BI43" s="108" t="str">
        <f aca="false">IF(ISNUMBER(BH43),RANK(BH43,$BH$8:$BH$507,1),"")</f>
        <v/>
      </c>
      <c r="BJ43" s="108" t="str">
        <f aca="false">IF(ISBLANK($C43),"",$B43)</f>
        <v/>
      </c>
      <c r="BK43" s="108" t="str">
        <f aca="false">IF(ISBLANK($C43),"",$C43)</f>
        <v/>
      </c>
      <c r="BL43" s="108" t="str">
        <f aca="false">IF(ISBLANK($C43),"",$D43)</f>
        <v/>
      </c>
      <c r="BM43" s="109" t="str">
        <f aca="false">BA43</f>
        <v/>
      </c>
      <c r="BN43" s="110" t="str">
        <f aca="false">AZ43</f>
        <v/>
      </c>
      <c r="BO43" s="108" t="str">
        <f aca="false">IF(ISBLANK($C43),"",BC43)</f>
        <v/>
      </c>
      <c r="BP43" s="111" t="str">
        <f aca="false">IF($BG43&gt;$BF$7,"",VLOOKUP($BG43,$BI$8:$BO$507,7,FALSE()))</f>
        <v/>
      </c>
      <c r="BQ43" s="112" t="str">
        <f aca="false">IF($BG43&gt;$BF$7,"",VLOOKUP($BG43,$BI$8:$BO$507,2,FALSE()))</f>
        <v/>
      </c>
      <c r="BR43" s="112" t="str">
        <f aca="false">IF($BG43&gt;$BF$7,"",VLOOKUP($BG43,$BI$8:$BO$507,3,FALSE()))</f>
        <v/>
      </c>
      <c r="BS43" s="112" t="str">
        <f aca="false">IF($BG43&gt;$BF$7,"",VLOOKUP($BG43,$BI$8:$BO$507,4,FALSE()))</f>
        <v/>
      </c>
      <c r="BT43" s="112" t="str">
        <f aca="false">IF($BG43&gt;$BF$7,"",VLOOKUP($BG43,$BI$8:$BO$507,5,FALSE()))</f>
        <v/>
      </c>
      <c r="BU43" s="113" t="str">
        <f aca="false">IF($BG43&gt;$BF$7,"",VLOOKUP($BG43,$BI$8:$BO$507,6,FALSE()))</f>
        <v/>
      </c>
      <c r="BV43" s="54"/>
    </row>
    <row r="44" customFormat="false" ht="15.75" hidden="false" customHeight="false" outlineLevel="0" collapsed="false">
      <c r="A44" s="5"/>
      <c r="B44" s="135"/>
      <c r="C44" s="56"/>
      <c r="D44" s="57"/>
      <c r="E44" s="84"/>
      <c r="F44" s="136"/>
      <c r="G44" s="60"/>
      <c r="H44" s="137"/>
      <c r="I44" s="62"/>
      <c r="J44" s="62"/>
      <c r="K44" s="60"/>
      <c r="L44" s="138"/>
      <c r="M44" s="62"/>
      <c r="N44" s="62"/>
      <c r="O44" s="60"/>
      <c r="P44" s="84"/>
      <c r="Q44" s="65"/>
      <c r="R44" s="67" t="str">
        <f aca="false">IF(ISBLANK($C44),"",IF(E44=Constants!$B$2, TRUE(), IF(E44=Constants!$B$3, FALSE(), TRUE())))</f>
        <v/>
      </c>
      <c r="S44" s="67" t="str">
        <f aca="false">IF(ISBLANK($C44),"",IF(F44=Constants!$B$2, TRUE(), IF(F44=Constants!$B$3, FALSE(), TRUE())))</f>
        <v/>
      </c>
      <c r="T44" s="67" t="str">
        <f aca="false">IF(ISBLANK($C44),"",IF(G44=Constants!$B$16,Constants!$B$9,IF(G44=Constants!$B$17,Constants!$B$10,Constants!$B$8)))</f>
        <v/>
      </c>
      <c r="U44" s="67" t="str">
        <f aca="false">IF(ISBLANK($C44),"",IF(H44=Constants!$B$19,Constants!$B$19,Constants!$B$18))</f>
        <v/>
      </c>
      <c r="V44" s="67" t="str">
        <f aca="false">IF(ISBLANK($C44),"",IF(ISNUMBER(I44),IF(I44&gt;=0,I44,""),""))</f>
        <v/>
      </c>
      <c r="W44" s="67" t="str">
        <f aca="false">IF(ISBLANK($C44),"",IF(J44=Constants!$B$2, TRUE(), IF(J44=Constants!$B$3, FALSE(), TRUE())))</f>
        <v/>
      </c>
      <c r="X44" s="67" t="str">
        <f aca="false">IF(ISBLANK($C44),"",IF(K44=Constants!$B$2, TRUE(), IF(K44=Constants!$B$3, FALSE(), TRUE())))</f>
        <v/>
      </c>
      <c r="Y44" s="67" t="str">
        <f aca="false">IF(ISBLANK($C44),"",IF(L44=Constants!$B$19,Constants!$B$19,Constants!$B$18))</f>
        <v/>
      </c>
      <c r="Z44" s="67" t="str">
        <f aca="false">IF(ISBLANK($C44),"",IF(ISNUMBER(M44),IF(M44&gt;=0,M44,""),""))</f>
        <v/>
      </c>
      <c r="AA44" s="67" t="str">
        <f aca="false">IF(ISBLANK($C44),"",IF(N44=Constants!$B$2, TRUE(), IF(N44=Constants!$B$3, FALSE(), TRUE())))</f>
        <v/>
      </c>
      <c r="AB44" s="67" t="str">
        <f aca="false">IF(ISBLANK($C44),"",IF(O44=Constants!$B$2, TRUE(), IF(O44=Constants!$B$3, FALSE(), TRUE())))</f>
        <v/>
      </c>
      <c r="AC44" s="67" t="str">
        <f aca="false">IF(ISBLANK($C44),"",IF(P44=Constants!$B$2, TRUE(), IF(P44=Constants!$B$3, FALSE(), FALSE())))</f>
        <v/>
      </c>
      <c r="AD44" s="67" t="str">
        <f aca="false">IF(ISBLANK($C44),"",AND(V44&lt;&gt;"",IF(U44=Constants!$B$19,S44,R44)))</f>
        <v/>
      </c>
      <c r="AE44" s="67" t="str">
        <f aca="false">IF(ISBLANK($C44),"",AND(Z44&lt;&gt;"",IF(Y44=Constants!$B$19,S44,R44)))</f>
        <v/>
      </c>
      <c r="AF44" s="67" t="str">
        <f aca="false">IF(ISBLANK($C44),"",IF(AC44,Constants!$B$4,IF(COUNTA(E44:O44)=0,Constants!$B$5,IF(AND(NOT(AD44),NOT(AE44)),Constants!$B$6,Constants!$B$7))))</f>
        <v/>
      </c>
      <c r="AG44" s="67" t="str">
        <f aca="false">IF(ISBLANK($C44),"",IF($AF44&lt;&gt;Constants!$B$7,$AF44,Constants!$B$20))</f>
        <v/>
      </c>
      <c r="AH44" s="67" t="str">
        <f aca="false">IF($AF44=Constants!$B$7,IF(AD44,V44,Constants!$B$13),"")</f>
        <v/>
      </c>
      <c r="AI44" s="67" t="str">
        <f aca="false">IF($AF44=Constants!$B$7,IF(AD44,T44*IF(W44, 1, Constants!$B$11)*IF(X44, 1, Constants!$B$12),Constants!$B$13),"")</f>
        <v/>
      </c>
      <c r="AJ44" s="67" t="str">
        <f aca="false">IF($AF44=Constants!$B$7,AH44*AI44,"")</f>
        <v/>
      </c>
      <c r="AK44" s="67" t="str">
        <f aca="false">IF($AF44=Constants!$B$7,IF(AE44,Z44,Constants!$B$13),"")</f>
        <v/>
      </c>
      <c r="AL44" s="67" t="str">
        <f aca="false">IF($AF44=Constants!$B$7,IF(AE44,T44*IF(AA44, 1, Constants!$B$11)*IF(AB44, 1, Constants!$B$12),Constants!$B$13),"")</f>
        <v/>
      </c>
      <c r="AM44" s="67" t="str">
        <f aca="false">IF($AF44=Constants!$B$7,AK44*AL44,"")</f>
        <v/>
      </c>
      <c r="AN44" s="67" t="str">
        <f aca="false">IF($AF44=Constants!$B$7,IF(AM44&gt;AJ44,2,1),"")</f>
        <v/>
      </c>
      <c r="AO44" s="67" t="str">
        <f aca="false">IF($AF44=Constants!$B$7,IF(AN44=1,2,1),"")</f>
        <v/>
      </c>
      <c r="AP44" s="67" t="str">
        <f aca="false">IF(ISBLANK($C44),"",IF($AF44&lt;&gt;Constants!$B$7,$AF44,IF(AN44=1,AJ44,AM44)))</f>
        <v/>
      </c>
      <c r="AQ44" s="67" t="str">
        <f aca="false">IF(ISBLANK($C44),"",IF($AF44=Constants!$B$7,IF(ISNUMBER(AP44),RANK(AP44,$AP$8:$AP$507),Constants!$B$14),$AF44))</f>
        <v/>
      </c>
      <c r="AR44" s="67" t="str">
        <f aca="false">IF(ISBLANK($C44),"",IF($AF44=Constants!$B$7,IF(AO44=1,AJ44,AM44),""))</f>
        <v/>
      </c>
      <c r="AS44" s="67" t="str">
        <f aca="false">IF(ISBLANK($C44),"",IF($AF44=Constants!$B$7,RANK(AR44,$AR$8:$AR$507),$AF44))</f>
        <v/>
      </c>
      <c r="AT44" s="67" t="str">
        <f aca="false">IF(ISBLANK($C44),"",IF($AF44=Constants!$B$7,IF(ISNUMBER(AQ44),COUNTIFS($AQ$8:$AQ$507,"&lt;"&amp;$AQ44)+COUNTIFS($AQ$8:$AQ$507,$AQ44,$AS$8:$AS$507,"&lt;"&amp;$AS44)+1,Constants!$B$14),$AF44))</f>
        <v/>
      </c>
      <c r="AU44" s="67" t="str">
        <f aca="false">IF(ISBLANK($C44),"",IF($AF44=Constants!$B$7,IF(ISNUMBER(AQ44),AQ44-AT44,Constants!$B$14),$AF44))</f>
        <v/>
      </c>
      <c r="AV44" s="69"/>
      <c r="AW44" s="70" t="str">
        <f aca="false">IF(ISBLANK($C44),"",IF($AF44&lt;&gt;Constants!$B$7,"",AN44))</f>
        <v/>
      </c>
      <c r="AX44" s="85" t="str">
        <f aca="false">IF(ISBLANK($C44),"",IF($AF44&lt;&gt;Constants!$B$7,"",IF(AN44=1,AH44,AK44)))</f>
        <v/>
      </c>
      <c r="AY44" s="72" t="str">
        <f aca="false">IF(ISBLANK($C44),"",IF($AF44&lt;&gt;Constants!$B$7,"",IF(AN44=1,AI44,AL44)))</f>
        <v/>
      </c>
      <c r="AZ44" s="73" t="str">
        <f aca="false">IF(ISBLANK($C44),"",IF($AF44&lt;&gt;Constants!$B$7,$AF44,AP44))</f>
        <v/>
      </c>
      <c r="BA44" s="74" t="str">
        <f aca="false">IF(ISBLANK($C44),"",IF($AF44&lt;&gt;Constants!$B$7,$AF44,AG44))</f>
        <v/>
      </c>
      <c r="BB44" s="75" t="str">
        <f aca="false">IF(ISBLANK($C44),"",AU44)</f>
        <v/>
      </c>
      <c r="BC44" s="75" t="str">
        <f aca="false">IF(ISBLANK($C44),"",AT44)</f>
        <v/>
      </c>
      <c r="BD44" s="76" t="str">
        <f aca="false">IF(ISBLANK($C44),"",IFERROR(_xlfn.SWITCH(BC44,Constants!$B$4,COUNTA($C$8:$C$507)+2,Constants!$B$5,COUNTA($C$8:$C$507)+1,Constants!$B$6,COUNTA($C$8:$C$507)),BC44))</f>
        <v/>
      </c>
      <c r="BE44" s="5"/>
      <c r="BF44" s="77" t="n">
        <f aca="false">IF(OR(ISNUMBER(BC44),BC44=Constants!$B$4,BC44=Constants!$B$6,BC44=Constants!$B$5),1,0)</f>
        <v>0</v>
      </c>
      <c r="BG44" s="77" t="n">
        <v>37</v>
      </c>
      <c r="BH44" s="77" t="str">
        <f aca="false">IF(ISBLANK($C44),"",IF(ISNUMBER(BD44),BD44+ROW($B44)/1000,""))</f>
        <v/>
      </c>
      <c r="BI44" s="77" t="str">
        <f aca="false">IF(ISNUMBER(BH44),RANK(BH44,$BH$8:$BH$507,1),"")</f>
        <v/>
      </c>
      <c r="BJ44" s="77" t="str">
        <f aca="false">IF(ISBLANK($C44),"",$B44)</f>
        <v/>
      </c>
      <c r="BK44" s="77" t="str">
        <f aca="false">IF(ISBLANK($C44),"",$C44)</f>
        <v/>
      </c>
      <c r="BL44" s="77" t="str">
        <f aca="false">IF(ISBLANK($C44),"",$D44)</f>
        <v/>
      </c>
      <c r="BM44" s="78" t="str">
        <f aca="false">BA44</f>
        <v/>
      </c>
      <c r="BN44" s="79" t="str">
        <f aca="false">AZ44</f>
        <v/>
      </c>
      <c r="BO44" s="77" t="str">
        <f aca="false">IF(ISBLANK($C44),"",BC44)</f>
        <v/>
      </c>
      <c r="BP44" s="80" t="str">
        <f aca="false">IF($BG44&gt;$BF$7,"",VLOOKUP($BG44,$BI$8:$BO$507,7,FALSE()))</f>
        <v/>
      </c>
      <c r="BQ44" s="81" t="str">
        <f aca="false">IF($BG44&gt;$BF$7,"",VLOOKUP($BG44,$BI$8:$BO$507,2,FALSE()))</f>
        <v/>
      </c>
      <c r="BR44" s="81" t="str">
        <f aca="false">IF($BG44&gt;$BF$7,"",VLOOKUP($BG44,$BI$8:$BO$507,3,FALSE()))</f>
        <v/>
      </c>
      <c r="BS44" s="81" t="str">
        <f aca="false">IF($BG44&gt;$BF$7,"",VLOOKUP($BG44,$BI$8:$BO$507,4,FALSE()))</f>
        <v/>
      </c>
      <c r="BT44" s="81" t="str">
        <f aca="false">IF($BG44&gt;$BF$7,"",VLOOKUP($BG44,$BI$8:$BO$507,5,FALSE()))</f>
        <v/>
      </c>
      <c r="BU44" s="82" t="str">
        <f aca="false">IF($BG44&gt;$BF$7,"",VLOOKUP($BG44,$BI$8:$BO$507,6,FALSE()))</f>
        <v/>
      </c>
      <c r="BV44" s="54"/>
    </row>
    <row r="45" customFormat="false" ht="15.75" hidden="false" customHeight="false" outlineLevel="0" collapsed="false">
      <c r="A45" s="5"/>
      <c r="B45" s="135"/>
      <c r="C45" s="56"/>
      <c r="D45" s="57"/>
      <c r="E45" s="84"/>
      <c r="F45" s="136"/>
      <c r="G45" s="60"/>
      <c r="H45" s="137"/>
      <c r="I45" s="62"/>
      <c r="J45" s="62"/>
      <c r="K45" s="60"/>
      <c r="L45" s="138"/>
      <c r="M45" s="62"/>
      <c r="N45" s="62"/>
      <c r="O45" s="60"/>
      <c r="P45" s="84"/>
      <c r="Q45" s="65"/>
      <c r="R45" s="67" t="str">
        <f aca="false">IF(ISBLANK($C45),"",IF(E45=Constants!$B$2, TRUE(), IF(E45=Constants!$B$3, FALSE(), TRUE())))</f>
        <v/>
      </c>
      <c r="S45" s="67" t="str">
        <f aca="false">IF(ISBLANK($C45),"",IF(F45=Constants!$B$2, TRUE(), IF(F45=Constants!$B$3, FALSE(), TRUE())))</f>
        <v/>
      </c>
      <c r="T45" s="67" t="str">
        <f aca="false">IF(ISBLANK($C45),"",IF(G45=Constants!$B$16,Constants!$B$9,IF(G45=Constants!$B$17,Constants!$B$10,Constants!$B$8)))</f>
        <v/>
      </c>
      <c r="U45" s="67" t="str">
        <f aca="false">IF(ISBLANK($C45),"",IF(H45=Constants!$B$19,Constants!$B$19,Constants!$B$18))</f>
        <v/>
      </c>
      <c r="V45" s="67" t="str">
        <f aca="false">IF(ISBLANK($C45),"",IF(ISNUMBER(I45),IF(I45&gt;=0,I45,""),""))</f>
        <v/>
      </c>
      <c r="W45" s="67" t="str">
        <f aca="false">IF(ISBLANK($C45),"",IF(J45=Constants!$B$2, TRUE(), IF(J45=Constants!$B$3, FALSE(), TRUE())))</f>
        <v/>
      </c>
      <c r="X45" s="67" t="str">
        <f aca="false">IF(ISBLANK($C45),"",IF(K45=Constants!$B$2, TRUE(), IF(K45=Constants!$B$3, FALSE(), TRUE())))</f>
        <v/>
      </c>
      <c r="Y45" s="67" t="str">
        <f aca="false">IF(ISBLANK($C45),"",IF(L45=Constants!$B$19,Constants!$B$19,Constants!$B$18))</f>
        <v/>
      </c>
      <c r="Z45" s="67" t="str">
        <f aca="false">IF(ISBLANK($C45),"",IF(ISNUMBER(M45),IF(M45&gt;=0,M45,""),""))</f>
        <v/>
      </c>
      <c r="AA45" s="67" t="str">
        <f aca="false">IF(ISBLANK($C45),"",IF(N45=Constants!$B$2, TRUE(), IF(N45=Constants!$B$3, FALSE(), TRUE())))</f>
        <v/>
      </c>
      <c r="AB45" s="67" t="str">
        <f aca="false">IF(ISBLANK($C45),"",IF(O45=Constants!$B$2, TRUE(), IF(O45=Constants!$B$3, FALSE(), TRUE())))</f>
        <v/>
      </c>
      <c r="AC45" s="67" t="str">
        <f aca="false">IF(ISBLANK($C45),"",IF(P45=Constants!$B$2, TRUE(), IF(P45=Constants!$B$3, FALSE(), FALSE())))</f>
        <v/>
      </c>
      <c r="AD45" s="67" t="str">
        <f aca="false">IF(ISBLANK($C45),"",AND(V45&lt;&gt;"",IF(U45=Constants!$B$19,S45,R45)))</f>
        <v/>
      </c>
      <c r="AE45" s="67" t="str">
        <f aca="false">IF(ISBLANK($C45),"",AND(Z45&lt;&gt;"",IF(Y45=Constants!$B$19,S45,R45)))</f>
        <v/>
      </c>
      <c r="AF45" s="67" t="str">
        <f aca="false">IF(ISBLANK($C45),"",IF(AC45,Constants!$B$4,IF(COUNTA(E45:O45)=0,Constants!$B$5,IF(AND(NOT(AD45),NOT(AE45)),Constants!$B$6,Constants!$B$7))))</f>
        <v/>
      </c>
      <c r="AG45" s="67" t="str">
        <f aca="false">IF(ISBLANK($C45),"",IF($AF45&lt;&gt;Constants!$B$7,$AF45,Constants!$B$20))</f>
        <v/>
      </c>
      <c r="AH45" s="67" t="str">
        <f aca="false">IF($AF45=Constants!$B$7,IF(AD45,V45,Constants!$B$13),"")</f>
        <v/>
      </c>
      <c r="AI45" s="67" t="str">
        <f aca="false">IF($AF45=Constants!$B$7,IF(AD45,T45*IF(W45, 1, Constants!$B$11)*IF(X45, 1, Constants!$B$12),Constants!$B$13),"")</f>
        <v/>
      </c>
      <c r="AJ45" s="67" t="str">
        <f aca="false">IF($AF45=Constants!$B$7,AH45*AI45,"")</f>
        <v/>
      </c>
      <c r="AK45" s="67" t="str">
        <f aca="false">IF($AF45=Constants!$B$7,IF(AE45,Z45,Constants!$B$13),"")</f>
        <v/>
      </c>
      <c r="AL45" s="67" t="str">
        <f aca="false">IF($AF45=Constants!$B$7,IF(AE45,T45*IF(AA45, 1, Constants!$B$11)*IF(AB45, 1, Constants!$B$12),Constants!$B$13),"")</f>
        <v/>
      </c>
      <c r="AM45" s="67" t="str">
        <f aca="false">IF($AF45=Constants!$B$7,AK45*AL45,"")</f>
        <v/>
      </c>
      <c r="AN45" s="67" t="str">
        <f aca="false">IF($AF45=Constants!$B$7,IF(AM45&gt;AJ45,2,1),"")</f>
        <v/>
      </c>
      <c r="AO45" s="67" t="str">
        <f aca="false">IF($AF45=Constants!$B$7,IF(AN45=1,2,1),"")</f>
        <v/>
      </c>
      <c r="AP45" s="67" t="str">
        <f aca="false">IF(ISBLANK($C45),"",IF($AF45&lt;&gt;Constants!$B$7,$AF45,IF(AN45=1,AJ45,AM45)))</f>
        <v/>
      </c>
      <c r="AQ45" s="67" t="str">
        <f aca="false">IF(ISBLANK($C45),"",IF($AF45=Constants!$B$7,IF(ISNUMBER(AP45),RANK(AP45,$AP$8:$AP$507),Constants!$B$14),$AF45))</f>
        <v/>
      </c>
      <c r="AR45" s="67" t="str">
        <f aca="false">IF(ISBLANK($C45),"",IF($AF45=Constants!$B$7,IF(AO45=1,AJ45,AM45),""))</f>
        <v/>
      </c>
      <c r="AS45" s="67" t="str">
        <f aca="false">IF(ISBLANK($C45),"",IF($AF45=Constants!$B$7,RANK(AR45,$AR$8:$AR$507),$AF45))</f>
        <v/>
      </c>
      <c r="AT45" s="67" t="str">
        <f aca="false">IF(ISBLANK($C45),"",IF($AF45=Constants!$B$7,IF(ISNUMBER(AQ45),COUNTIFS($AQ$8:$AQ$507,"&lt;"&amp;$AQ45)+COUNTIFS($AQ$8:$AQ$507,$AQ45,$AS$8:$AS$507,"&lt;"&amp;$AS45)+1,Constants!$B$14),$AF45))</f>
        <v/>
      </c>
      <c r="AU45" s="67" t="str">
        <f aca="false">IF(ISBLANK($C45),"",IF($AF45=Constants!$B$7,IF(ISNUMBER(AQ45),AQ45-AT45,Constants!$B$14),$AF45))</f>
        <v/>
      </c>
      <c r="AV45" s="69"/>
      <c r="AW45" s="70" t="str">
        <f aca="false">IF(ISBLANK($C45),"",IF($AF45&lt;&gt;Constants!$B$7,"",AN45))</f>
        <v/>
      </c>
      <c r="AX45" s="85" t="str">
        <f aca="false">IF(ISBLANK($C45),"",IF($AF45&lt;&gt;Constants!$B$7,"",IF(AN45=1,AH45,AK45)))</f>
        <v/>
      </c>
      <c r="AY45" s="72" t="str">
        <f aca="false">IF(ISBLANK($C45),"",IF($AF45&lt;&gt;Constants!$B$7,"",IF(AN45=1,AI45,AL45)))</f>
        <v/>
      </c>
      <c r="AZ45" s="73" t="str">
        <f aca="false">IF(ISBLANK($C45),"",IF($AF45&lt;&gt;Constants!$B$7,$AF45,AP45))</f>
        <v/>
      </c>
      <c r="BA45" s="74" t="str">
        <f aca="false">IF(ISBLANK($C45),"",IF($AF45&lt;&gt;Constants!$B$7,$AF45,AG45))</f>
        <v/>
      </c>
      <c r="BB45" s="75" t="str">
        <f aca="false">IF(ISBLANK($C45),"",AU45)</f>
        <v/>
      </c>
      <c r="BC45" s="75" t="str">
        <f aca="false">IF(ISBLANK($C45),"",AT45)</f>
        <v/>
      </c>
      <c r="BD45" s="76" t="str">
        <f aca="false">IF(ISBLANK($C45),"",IFERROR(_xlfn.SWITCH(BC45,Constants!$B$4,COUNTA($C$8:$C$507)+2,Constants!$B$5,COUNTA($C$8:$C$507)+1,Constants!$B$6,COUNTA($C$8:$C$507)),BC45))</f>
        <v/>
      </c>
      <c r="BE45" s="5"/>
      <c r="BF45" s="77" t="n">
        <f aca="false">IF(OR(ISNUMBER(BC45),BC45=Constants!$B$4,BC45=Constants!$B$6,BC45=Constants!$B$5),1,0)</f>
        <v>0</v>
      </c>
      <c r="BG45" s="77" t="n">
        <v>38</v>
      </c>
      <c r="BH45" s="77" t="str">
        <f aca="false">IF(ISBLANK($C45),"",IF(ISNUMBER(BD45),BD45+ROW($B45)/1000,""))</f>
        <v/>
      </c>
      <c r="BI45" s="77" t="str">
        <f aca="false">IF(ISNUMBER(BH45),RANK(BH45,$BH$8:$BH$507,1),"")</f>
        <v/>
      </c>
      <c r="BJ45" s="77" t="str">
        <f aca="false">IF(ISBLANK($C45),"",$B45)</f>
        <v/>
      </c>
      <c r="BK45" s="77" t="str">
        <f aca="false">IF(ISBLANK($C45),"",$C45)</f>
        <v/>
      </c>
      <c r="BL45" s="77" t="str">
        <f aca="false">IF(ISBLANK($C45),"",$D45)</f>
        <v/>
      </c>
      <c r="BM45" s="78" t="str">
        <f aca="false">BA45</f>
        <v/>
      </c>
      <c r="BN45" s="79" t="str">
        <f aca="false">AZ45</f>
        <v/>
      </c>
      <c r="BO45" s="77" t="str">
        <f aca="false">IF(ISBLANK($C45),"",BC45)</f>
        <v/>
      </c>
      <c r="BP45" s="80" t="str">
        <f aca="false">IF($BG45&gt;$BF$7,"",VLOOKUP($BG45,$BI$8:$BO$507,7,FALSE()))</f>
        <v/>
      </c>
      <c r="BQ45" s="81" t="str">
        <f aca="false">IF($BG45&gt;$BF$7,"",VLOOKUP($BG45,$BI$8:$BO$507,2,FALSE()))</f>
        <v/>
      </c>
      <c r="BR45" s="81" t="str">
        <f aca="false">IF($BG45&gt;$BF$7,"",VLOOKUP($BG45,$BI$8:$BO$507,3,FALSE()))</f>
        <v/>
      </c>
      <c r="BS45" s="81" t="str">
        <f aca="false">IF($BG45&gt;$BF$7,"",VLOOKUP($BG45,$BI$8:$BO$507,4,FALSE()))</f>
        <v/>
      </c>
      <c r="BT45" s="81" t="str">
        <f aca="false">IF($BG45&gt;$BF$7,"",VLOOKUP($BG45,$BI$8:$BO$507,5,FALSE()))</f>
        <v/>
      </c>
      <c r="BU45" s="82" t="str">
        <f aca="false">IF($BG45&gt;$BF$7,"",VLOOKUP($BG45,$BI$8:$BO$507,6,FALSE()))</f>
        <v/>
      </c>
      <c r="BV45" s="54"/>
    </row>
    <row r="46" customFormat="false" ht="15.75" hidden="false" customHeight="false" outlineLevel="0" collapsed="false">
      <c r="A46" s="5"/>
      <c r="B46" s="135"/>
      <c r="C46" s="56"/>
      <c r="D46" s="57"/>
      <c r="E46" s="84"/>
      <c r="F46" s="136"/>
      <c r="G46" s="60"/>
      <c r="H46" s="137"/>
      <c r="I46" s="62"/>
      <c r="J46" s="62"/>
      <c r="K46" s="60"/>
      <c r="L46" s="138"/>
      <c r="M46" s="62"/>
      <c r="N46" s="62"/>
      <c r="O46" s="60"/>
      <c r="P46" s="84"/>
      <c r="Q46" s="65"/>
      <c r="R46" s="67" t="str">
        <f aca="false">IF(ISBLANK($C46),"",IF(E46=Constants!$B$2, TRUE(), IF(E46=Constants!$B$3, FALSE(), TRUE())))</f>
        <v/>
      </c>
      <c r="S46" s="67" t="str">
        <f aca="false">IF(ISBLANK($C46),"",IF(F46=Constants!$B$2, TRUE(), IF(F46=Constants!$B$3, FALSE(), TRUE())))</f>
        <v/>
      </c>
      <c r="T46" s="67" t="str">
        <f aca="false">IF(ISBLANK($C46),"",IF(G46=Constants!$B$16,Constants!$B$9,IF(G46=Constants!$B$17,Constants!$B$10,Constants!$B$8)))</f>
        <v/>
      </c>
      <c r="U46" s="67" t="str">
        <f aca="false">IF(ISBLANK($C46),"",IF(H46=Constants!$B$19,Constants!$B$19,Constants!$B$18))</f>
        <v/>
      </c>
      <c r="V46" s="67" t="str">
        <f aca="false">IF(ISBLANK($C46),"",IF(ISNUMBER(I46),IF(I46&gt;=0,I46,""),""))</f>
        <v/>
      </c>
      <c r="W46" s="67" t="str">
        <f aca="false">IF(ISBLANK($C46),"",IF(J46=Constants!$B$2, TRUE(), IF(J46=Constants!$B$3, FALSE(), TRUE())))</f>
        <v/>
      </c>
      <c r="X46" s="67" t="str">
        <f aca="false">IF(ISBLANK($C46),"",IF(K46=Constants!$B$2, TRUE(), IF(K46=Constants!$B$3, FALSE(), TRUE())))</f>
        <v/>
      </c>
      <c r="Y46" s="67" t="str">
        <f aca="false">IF(ISBLANK($C46),"",IF(L46=Constants!$B$19,Constants!$B$19,Constants!$B$18))</f>
        <v/>
      </c>
      <c r="Z46" s="67" t="str">
        <f aca="false">IF(ISBLANK($C46),"",IF(ISNUMBER(M46),IF(M46&gt;=0,M46,""),""))</f>
        <v/>
      </c>
      <c r="AA46" s="67" t="str">
        <f aca="false">IF(ISBLANK($C46),"",IF(N46=Constants!$B$2, TRUE(), IF(N46=Constants!$B$3, FALSE(), TRUE())))</f>
        <v/>
      </c>
      <c r="AB46" s="67" t="str">
        <f aca="false">IF(ISBLANK($C46),"",IF(O46=Constants!$B$2, TRUE(), IF(O46=Constants!$B$3, FALSE(), TRUE())))</f>
        <v/>
      </c>
      <c r="AC46" s="67" t="str">
        <f aca="false">IF(ISBLANK($C46),"",IF(P46=Constants!$B$2, TRUE(), IF(P46=Constants!$B$3, FALSE(), FALSE())))</f>
        <v/>
      </c>
      <c r="AD46" s="67" t="str">
        <f aca="false">IF(ISBLANK($C46),"",AND(V46&lt;&gt;"",IF(U46=Constants!$B$19,S46,R46)))</f>
        <v/>
      </c>
      <c r="AE46" s="67" t="str">
        <f aca="false">IF(ISBLANK($C46),"",AND(Z46&lt;&gt;"",IF(Y46=Constants!$B$19,S46,R46)))</f>
        <v/>
      </c>
      <c r="AF46" s="67" t="str">
        <f aca="false">IF(ISBLANK($C46),"",IF(AC46,Constants!$B$4,IF(COUNTA(E46:O46)=0,Constants!$B$5,IF(AND(NOT(AD46),NOT(AE46)),Constants!$B$6,Constants!$B$7))))</f>
        <v/>
      </c>
      <c r="AG46" s="67" t="str">
        <f aca="false">IF(ISBLANK($C46),"",IF($AF46&lt;&gt;Constants!$B$7,$AF46,Constants!$B$20))</f>
        <v/>
      </c>
      <c r="AH46" s="67" t="str">
        <f aca="false">IF($AF46=Constants!$B$7,IF(AD46,V46,Constants!$B$13),"")</f>
        <v/>
      </c>
      <c r="AI46" s="67" t="str">
        <f aca="false">IF($AF46=Constants!$B$7,IF(AD46,T46*IF(W46, 1, Constants!$B$11)*IF(X46, 1, Constants!$B$12),Constants!$B$13),"")</f>
        <v/>
      </c>
      <c r="AJ46" s="67" t="str">
        <f aca="false">IF($AF46=Constants!$B$7,AH46*AI46,"")</f>
        <v/>
      </c>
      <c r="AK46" s="67" t="str">
        <f aca="false">IF($AF46=Constants!$B$7,IF(AE46,Z46,Constants!$B$13),"")</f>
        <v/>
      </c>
      <c r="AL46" s="67" t="str">
        <f aca="false">IF($AF46=Constants!$B$7,IF(AE46,T46*IF(AA46, 1, Constants!$B$11)*IF(AB46, 1, Constants!$B$12),Constants!$B$13),"")</f>
        <v/>
      </c>
      <c r="AM46" s="67" t="str">
        <f aca="false">IF($AF46=Constants!$B$7,AK46*AL46,"")</f>
        <v/>
      </c>
      <c r="AN46" s="67" t="str">
        <f aca="false">IF($AF46=Constants!$B$7,IF(AM46&gt;AJ46,2,1),"")</f>
        <v/>
      </c>
      <c r="AO46" s="67" t="str">
        <f aca="false">IF($AF46=Constants!$B$7,IF(AN46=1,2,1),"")</f>
        <v/>
      </c>
      <c r="AP46" s="67" t="str">
        <f aca="false">IF(ISBLANK($C46),"",IF($AF46&lt;&gt;Constants!$B$7,$AF46,IF(AN46=1,AJ46,AM46)))</f>
        <v/>
      </c>
      <c r="AQ46" s="67" t="str">
        <f aca="false">IF(ISBLANK($C46),"",IF($AF46=Constants!$B$7,IF(ISNUMBER(AP46),RANK(AP46,$AP$8:$AP$507),Constants!$B$14),$AF46))</f>
        <v/>
      </c>
      <c r="AR46" s="67" t="str">
        <f aca="false">IF(ISBLANK($C46),"",IF($AF46=Constants!$B$7,IF(AO46=1,AJ46,AM46),""))</f>
        <v/>
      </c>
      <c r="AS46" s="67" t="str">
        <f aca="false">IF(ISBLANK($C46),"",IF($AF46=Constants!$B$7,RANK(AR46,$AR$8:$AR$507),$AF46))</f>
        <v/>
      </c>
      <c r="AT46" s="67" t="str">
        <f aca="false">IF(ISBLANK($C46),"",IF($AF46=Constants!$B$7,IF(ISNUMBER(AQ46),COUNTIFS($AQ$8:$AQ$507,"&lt;"&amp;$AQ46)+COUNTIFS($AQ$8:$AQ$507,$AQ46,$AS$8:$AS$507,"&lt;"&amp;$AS46)+1,Constants!$B$14),$AF46))</f>
        <v/>
      </c>
      <c r="AU46" s="67" t="str">
        <f aca="false">IF(ISBLANK($C46),"",IF($AF46=Constants!$B$7,IF(ISNUMBER(AQ46),AQ46-AT46,Constants!$B$14),$AF46))</f>
        <v/>
      </c>
      <c r="AV46" s="69"/>
      <c r="AW46" s="70" t="str">
        <f aca="false">IF(ISBLANK($C46),"",IF($AF46&lt;&gt;Constants!$B$7,"",AN46))</f>
        <v/>
      </c>
      <c r="AX46" s="85" t="str">
        <f aca="false">IF(ISBLANK($C46),"",IF($AF46&lt;&gt;Constants!$B$7,"",IF(AN46=1,AH46,AK46)))</f>
        <v/>
      </c>
      <c r="AY46" s="72" t="str">
        <f aca="false">IF(ISBLANK($C46),"",IF($AF46&lt;&gt;Constants!$B$7,"",IF(AN46=1,AI46,AL46)))</f>
        <v/>
      </c>
      <c r="AZ46" s="73" t="str">
        <f aca="false">IF(ISBLANK($C46),"",IF($AF46&lt;&gt;Constants!$B$7,$AF46,AP46))</f>
        <v/>
      </c>
      <c r="BA46" s="74" t="str">
        <f aca="false">IF(ISBLANK($C46),"",IF($AF46&lt;&gt;Constants!$B$7,$AF46,AG46))</f>
        <v/>
      </c>
      <c r="BB46" s="75" t="str">
        <f aca="false">IF(ISBLANK($C46),"",AU46)</f>
        <v/>
      </c>
      <c r="BC46" s="75" t="str">
        <f aca="false">IF(ISBLANK($C46),"",AT46)</f>
        <v/>
      </c>
      <c r="BD46" s="76" t="str">
        <f aca="false">IF(ISBLANK($C46),"",IFERROR(_xlfn.SWITCH(BC46,Constants!$B$4,COUNTA($C$8:$C$507)+2,Constants!$B$5,COUNTA($C$8:$C$507)+1,Constants!$B$6,COUNTA($C$8:$C$507)),BC46))</f>
        <v/>
      </c>
      <c r="BE46" s="5"/>
      <c r="BF46" s="77" t="n">
        <f aca="false">IF(OR(ISNUMBER(BC46),BC46=Constants!$B$4,BC46=Constants!$B$6,BC46=Constants!$B$5),1,0)</f>
        <v>0</v>
      </c>
      <c r="BG46" s="77" t="n">
        <v>39</v>
      </c>
      <c r="BH46" s="77" t="str">
        <f aca="false">IF(ISBLANK($C46),"",IF(ISNUMBER(BD46),BD46+ROW($B46)/1000,""))</f>
        <v/>
      </c>
      <c r="BI46" s="77" t="str">
        <f aca="false">IF(ISNUMBER(BH46),RANK(BH46,$BH$8:$BH$507,1),"")</f>
        <v/>
      </c>
      <c r="BJ46" s="77" t="str">
        <f aca="false">IF(ISBLANK($C46),"",$B46)</f>
        <v/>
      </c>
      <c r="BK46" s="77" t="str">
        <f aca="false">IF(ISBLANK($C46),"",$C46)</f>
        <v/>
      </c>
      <c r="BL46" s="77" t="str">
        <f aca="false">IF(ISBLANK($C46),"",$D46)</f>
        <v/>
      </c>
      <c r="BM46" s="78" t="str">
        <f aca="false">BA46</f>
        <v/>
      </c>
      <c r="BN46" s="79" t="str">
        <f aca="false">AZ46</f>
        <v/>
      </c>
      <c r="BO46" s="77" t="str">
        <f aca="false">IF(ISBLANK($C46),"",BC46)</f>
        <v/>
      </c>
      <c r="BP46" s="80" t="str">
        <f aca="false">IF($BG46&gt;$BF$7,"",VLOOKUP($BG46,$BI$8:$BO$507,7,FALSE()))</f>
        <v/>
      </c>
      <c r="BQ46" s="81" t="str">
        <f aca="false">IF($BG46&gt;$BF$7,"",VLOOKUP($BG46,$BI$8:$BO$507,2,FALSE()))</f>
        <v/>
      </c>
      <c r="BR46" s="81" t="str">
        <f aca="false">IF($BG46&gt;$BF$7,"",VLOOKUP($BG46,$BI$8:$BO$507,3,FALSE()))</f>
        <v/>
      </c>
      <c r="BS46" s="81" t="str">
        <f aca="false">IF($BG46&gt;$BF$7,"",VLOOKUP($BG46,$BI$8:$BO$507,4,FALSE()))</f>
        <v/>
      </c>
      <c r="BT46" s="81" t="str">
        <f aca="false">IF($BG46&gt;$BF$7,"",VLOOKUP($BG46,$BI$8:$BO$507,5,FALSE()))</f>
        <v/>
      </c>
      <c r="BU46" s="82" t="str">
        <f aca="false">IF($BG46&gt;$BF$7,"",VLOOKUP($BG46,$BI$8:$BO$507,6,FALSE()))</f>
        <v/>
      </c>
      <c r="BV46" s="54"/>
    </row>
    <row r="47" customFormat="false" ht="15.75" hidden="false" customHeight="false" outlineLevel="0" collapsed="false">
      <c r="A47" s="5"/>
      <c r="B47" s="128"/>
      <c r="C47" s="129"/>
      <c r="D47" s="114"/>
      <c r="E47" s="134"/>
      <c r="F47" s="139"/>
      <c r="G47" s="93"/>
      <c r="H47" s="140"/>
      <c r="I47" s="95"/>
      <c r="J47" s="95"/>
      <c r="K47" s="93"/>
      <c r="L47" s="141"/>
      <c r="M47" s="95"/>
      <c r="N47" s="95"/>
      <c r="O47" s="93"/>
      <c r="P47" s="134"/>
      <c r="Q47" s="98"/>
      <c r="R47" s="99" t="str">
        <f aca="false">IF(ISBLANK($C47),"",IF(E47=Constants!$B$2, TRUE(), IF(E47=Constants!$B$3, FALSE(), TRUE())))</f>
        <v/>
      </c>
      <c r="S47" s="99" t="str">
        <f aca="false">IF(ISBLANK($C47),"",IF(F47=Constants!$B$2, TRUE(), IF(F47=Constants!$B$3, FALSE(), TRUE())))</f>
        <v/>
      </c>
      <c r="T47" s="99" t="str">
        <f aca="false">IF(ISBLANK($C47),"",IF(G47=Constants!$B$16,Constants!$B$9,IF(G47=Constants!$B$17,Constants!$B$10,Constants!$B$8)))</f>
        <v/>
      </c>
      <c r="U47" s="99" t="str">
        <f aca="false">IF(ISBLANK($C47),"",IF(H47=Constants!$B$19,Constants!$B$19,Constants!$B$18))</f>
        <v/>
      </c>
      <c r="V47" s="99" t="str">
        <f aca="false">IF(ISBLANK($C47),"",IF(ISNUMBER(I47),IF(I47&gt;=0,I47,""),""))</f>
        <v/>
      </c>
      <c r="W47" s="99" t="str">
        <f aca="false">IF(ISBLANK($C47),"",IF(J47=Constants!$B$2, TRUE(), IF(J47=Constants!$B$3, FALSE(), TRUE())))</f>
        <v/>
      </c>
      <c r="X47" s="99" t="str">
        <f aca="false">IF(ISBLANK($C47),"",IF(K47=Constants!$B$2, TRUE(), IF(K47=Constants!$B$3, FALSE(), TRUE())))</f>
        <v/>
      </c>
      <c r="Y47" s="99" t="str">
        <f aca="false">IF(ISBLANK($C47),"",IF(L47=Constants!$B$19,Constants!$B$19,Constants!$B$18))</f>
        <v/>
      </c>
      <c r="Z47" s="99" t="str">
        <f aca="false">IF(ISBLANK($C47),"",IF(ISNUMBER(M47),IF(M47&gt;=0,M47,""),""))</f>
        <v/>
      </c>
      <c r="AA47" s="99" t="str">
        <f aca="false">IF(ISBLANK($C47),"",IF(N47=Constants!$B$2, TRUE(), IF(N47=Constants!$B$3, FALSE(), TRUE())))</f>
        <v/>
      </c>
      <c r="AB47" s="99" t="str">
        <f aca="false">IF(ISBLANK($C47),"",IF(O47=Constants!$B$2, TRUE(), IF(O47=Constants!$B$3, FALSE(), TRUE())))</f>
        <v/>
      </c>
      <c r="AC47" s="99" t="str">
        <f aca="false">IF(ISBLANK($C47),"",IF(P47=Constants!$B$2, TRUE(), IF(P47=Constants!$B$3, FALSE(), FALSE())))</f>
        <v/>
      </c>
      <c r="AD47" s="99" t="str">
        <f aca="false">IF(ISBLANK($C47),"",AND(V47&lt;&gt;"",IF(U47=Constants!$B$19,S47,R47)))</f>
        <v/>
      </c>
      <c r="AE47" s="99" t="str">
        <f aca="false">IF(ISBLANK($C47),"",AND(Z47&lt;&gt;"",IF(Y47=Constants!$B$19,S47,R47)))</f>
        <v/>
      </c>
      <c r="AF47" s="99" t="str">
        <f aca="false">IF(ISBLANK($C47),"",IF(AC47,Constants!$B$4,IF(COUNTA(E47:O47)=0,Constants!$B$5,IF(AND(NOT(AD47),NOT(AE47)),Constants!$B$6,Constants!$B$7))))</f>
        <v/>
      </c>
      <c r="AG47" s="99" t="str">
        <f aca="false">IF(ISBLANK($C47),"",IF($AF47&lt;&gt;Constants!$B$7,$AF47,Constants!$B$20))</f>
        <v/>
      </c>
      <c r="AH47" s="99" t="str">
        <f aca="false">IF($AF47=Constants!$B$7,IF(AD47,V47,Constants!$B$13),"")</f>
        <v/>
      </c>
      <c r="AI47" s="99" t="str">
        <f aca="false">IF($AF47=Constants!$B$7,IF(AD47,T47*IF(W47, 1, Constants!$B$11)*IF(X47, 1, Constants!$B$12),Constants!$B$13),"")</f>
        <v/>
      </c>
      <c r="AJ47" s="99" t="str">
        <f aca="false">IF($AF47=Constants!$B$7,AH47*AI47,"")</f>
        <v/>
      </c>
      <c r="AK47" s="99" t="str">
        <f aca="false">IF($AF47=Constants!$B$7,IF(AE47,Z47,Constants!$B$13),"")</f>
        <v/>
      </c>
      <c r="AL47" s="99" t="str">
        <f aca="false">IF($AF47=Constants!$B$7,IF(AE47,T47*IF(AA47, 1, Constants!$B$11)*IF(AB47, 1, Constants!$B$12),Constants!$B$13),"")</f>
        <v/>
      </c>
      <c r="AM47" s="99" t="str">
        <f aca="false">IF($AF47=Constants!$B$7,AK47*AL47,"")</f>
        <v/>
      </c>
      <c r="AN47" s="99" t="str">
        <f aca="false">IF($AF47=Constants!$B$7,IF(AM47&gt;AJ47,2,1),"")</f>
        <v/>
      </c>
      <c r="AO47" s="99" t="str">
        <f aca="false">IF($AF47=Constants!$B$7,IF(AN47=1,2,1),"")</f>
        <v/>
      </c>
      <c r="AP47" s="99" t="str">
        <f aca="false">IF(ISBLANK($C47),"",IF($AF47&lt;&gt;Constants!$B$7,$AF47,IF(AN47=1,AJ47,AM47)))</f>
        <v/>
      </c>
      <c r="AQ47" s="99" t="str">
        <f aca="false">IF(ISBLANK($C47),"",IF($AF47=Constants!$B$7,IF(ISNUMBER(AP47),RANK(AP47,$AP$8:$AP$507),Constants!$B$14),$AF47))</f>
        <v/>
      </c>
      <c r="AR47" s="99" t="str">
        <f aca="false">IF(ISBLANK($C47),"",IF($AF47=Constants!$B$7,IF(AO47=1,AJ47,AM47),""))</f>
        <v/>
      </c>
      <c r="AS47" s="99" t="str">
        <f aca="false">IF(ISBLANK($C47),"",IF($AF47=Constants!$B$7,RANK(AR47,$AR$8:$AR$507),$AF47))</f>
        <v/>
      </c>
      <c r="AT47" s="99" t="str">
        <f aca="false">IF(ISBLANK($C47),"",IF($AF47=Constants!$B$7,IF(ISNUMBER(AQ47),COUNTIFS($AQ$8:$AQ$507,"&lt;"&amp;$AQ47)+COUNTIFS($AQ$8:$AQ$507,$AQ47,$AS$8:$AS$507,"&lt;"&amp;$AS47)+1,Constants!$B$14),$AF47))</f>
        <v/>
      </c>
      <c r="AU47" s="99" t="str">
        <f aca="false">IF(ISBLANK($C47),"",IF($AF47=Constants!$B$7,IF(ISNUMBER(AQ47),AQ47-AT47,Constants!$B$14),$AF47))</f>
        <v/>
      </c>
      <c r="AV47" s="100"/>
      <c r="AW47" s="101" t="str">
        <f aca="false">IF(ISBLANK($C47),"",IF($AF47&lt;&gt;Constants!$B$7,"",AN47))</f>
        <v/>
      </c>
      <c r="AX47" s="102" t="str">
        <f aca="false">IF(ISBLANK($C47),"",IF($AF47&lt;&gt;Constants!$B$7,"",IF(AN47=1,AH47,AK47)))</f>
        <v/>
      </c>
      <c r="AY47" s="103" t="str">
        <f aca="false">IF(ISBLANK($C47),"",IF($AF47&lt;&gt;Constants!$B$7,"",IF(AN47=1,AI47,AL47)))</f>
        <v/>
      </c>
      <c r="AZ47" s="104" t="str">
        <f aca="false">IF(ISBLANK($C47),"",IF($AF47&lt;&gt;Constants!$B$7,$AF47,AP47))</f>
        <v/>
      </c>
      <c r="BA47" s="105" t="str">
        <f aca="false">IF(ISBLANK($C47),"",IF($AF47&lt;&gt;Constants!$B$7,$AF47,AG47))</f>
        <v/>
      </c>
      <c r="BB47" s="106" t="str">
        <f aca="false">IF(ISBLANK($C47),"",AU47)</f>
        <v/>
      </c>
      <c r="BC47" s="106" t="str">
        <f aca="false">IF(ISBLANK($C47),"",AT47)</f>
        <v/>
      </c>
      <c r="BD47" s="107" t="str">
        <f aca="false">IF(ISBLANK($C47),"",IFERROR(_xlfn.SWITCH(BC47,Constants!$B$4,COUNTA($C$8:$C$507)+2,Constants!$B$5,COUNTA($C$8:$C$507)+1,Constants!$B$6,COUNTA($C$8:$C$507)),BC47))</f>
        <v/>
      </c>
      <c r="BE47" s="5"/>
      <c r="BF47" s="108" t="n">
        <f aca="false">IF(OR(ISNUMBER(BC47),BC47=Constants!$B$4,BC47=Constants!$B$6,BC47=Constants!$B$5),1,0)</f>
        <v>0</v>
      </c>
      <c r="BG47" s="108" t="n">
        <v>40</v>
      </c>
      <c r="BH47" s="108" t="str">
        <f aca="false">IF(ISBLANK($C47),"",IF(ISNUMBER(BD47),BD47+ROW($B47)/1000,""))</f>
        <v/>
      </c>
      <c r="BI47" s="108" t="str">
        <f aca="false">IF(ISNUMBER(BH47),RANK(BH47,$BH$8:$BH$507,1),"")</f>
        <v/>
      </c>
      <c r="BJ47" s="108" t="str">
        <f aca="false">IF(ISBLANK($C47),"",$B47)</f>
        <v/>
      </c>
      <c r="BK47" s="108" t="str">
        <f aca="false">IF(ISBLANK($C47),"",$C47)</f>
        <v/>
      </c>
      <c r="BL47" s="108" t="str">
        <f aca="false">IF(ISBLANK($C47),"",$D47)</f>
        <v/>
      </c>
      <c r="BM47" s="109" t="str">
        <f aca="false">BA47</f>
        <v/>
      </c>
      <c r="BN47" s="110" t="str">
        <f aca="false">AZ47</f>
        <v/>
      </c>
      <c r="BO47" s="108" t="str">
        <f aca="false">IF(ISBLANK($C47),"",BC47)</f>
        <v/>
      </c>
      <c r="BP47" s="111" t="str">
        <f aca="false">IF($BG47&gt;$BF$7,"",VLOOKUP($BG47,$BI$8:$BO$507,7,FALSE()))</f>
        <v/>
      </c>
      <c r="BQ47" s="112" t="str">
        <f aca="false">IF($BG47&gt;$BF$7,"",VLOOKUP($BG47,$BI$8:$BO$507,2,FALSE()))</f>
        <v/>
      </c>
      <c r="BR47" s="112" t="str">
        <f aca="false">IF($BG47&gt;$BF$7,"",VLOOKUP($BG47,$BI$8:$BO$507,3,FALSE()))</f>
        <v/>
      </c>
      <c r="BS47" s="112" t="str">
        <f aca="false">IF($BG47&gt;$BF$7,"",VLOOKUP($BG47,$BI$8:$BO$507,4,FALSE()))</f>
        <v/>
      </c>
      <c r="BT47" s="112" t="str">
        <f aca="false">IF($BG47&gt;$BF$7,"",VLOOKUP($BG47,$BI$8:$BO$507,5,FALSE()))</f>
        <v/>
      </c>
      <c r="BU47" s="113" t="str">
        <f aca="false">IF($BG47&gt;$BF$7,"",VLOOKUP($BG47,$BI$8:$BO$507,6,FALSE()))</f>
        <v/>
      </c>
      <c r="BV47" s="54"/>
    </row>
    <row r="48" customFormat="false" ht="15.75" hidden="false" customHeight="false" outlineLevel="0" collapsed="false">
      <c r="A48" s="5"/>
      <c r="B48" s="128"/>
      <c r="C48" s="129"/>
      <c r="D48" s="114"/>
      <c r="E48" s="134"/>
      <c r="F48" s="139"/>
      <c r="G48" s="93"/>
      <c r="H48" s="140"/>
      <c r="I48" s="95"/>
      <c r="J48" s="95"/>
      <c r="K48" s="93"/>
      <c r="L48" s="141"/>
      <c r="M48" s="95"/>
      <c r="N48" s="95"/>
      <c r="O48" s="93"/>
      <c r="P48" s="134"/>
      <c r="Q48" s="98"/>
      <c r="R48" s="99" t="str">
        <f aca="false">IF(ISBLANK($C48),"",IF(E48=Constants!$B$2, TRUE(), IF(E48=Constants!$B$3, FALSE(), TRUE())))</f>
        <v/>
      </c>
      <c r="S48" s="99" t="str">
        <f aca="false">IF(ISBLANK($C48),"",IF(F48=Constants!$B$2, TRUE(), IF(F48=Constants!$B$3, FALSE(), TRUE())))</f>
        <v/>
      </c>
      <c r="T48" s="99" t="str">
        <f aca="false">IF(ISBLANK($C48),"",IF(G48=Constants!$B$16,Constants!$B$9,IF(G48=Constants!$B$17,Constants!$B$10,Constants!$B$8)))</f>
        <v/>
      </c>
      <c r="U48" s="99" t="str">
        <f aca="false">IF(ISBLANK($C48),"",IF(H48=Constants!$B$19,Constants!$B$19,Constants!$B$18))</f>
        <v/>
      </c>
      <c r="V48" s="99" t="str">
        <f aca="false">IF(ISBLANK($C48),"",IF(ISNUMBER(I48),IF(I48&gt;=0,I48,""),""))</f>
        <v/>
      </c>
      <c r="W48" s="99" t="str">
        <f aca="false">IF(ISBLANK($C48),"",IF(J48=Constants!$B$2, TRUE(), IF(J48=Constants!$B$3, FALSE(), TRUE())))</f>
        <v/>
      </c>
      <c r="X48" s="99" t="str">
        <f aca="false">IF(ISBLANK($C48),"",IF(K48=Constants!$B$2, TRUE(), IF(K48=Constants!$B$3, FALSE(), TRUE())))</f>
        <v/>
      </c>
      <c r="Y48" s="99" t="str">
        <f aca="false">IF(ISBLANK($C48),"",IF(L48=Constants!$B$19,Constants!$B$19,Constants!$B$18))</f>
        <v/>
      </c>
      <c r="Z48" s="99" t="str">
        <f aca="false">IF(ISBLANK($C48),"",IF(ISNUMBER(M48),IF(M48&gt;=0,M48,""),""))</f>
        <v/>
      </c>
      <c r="AA48" s="99" t="str">
        <f aca="false">IF(ISBLANK($C48),"",IF(N48=Constants!$B$2, TRUE(), IF(N48=Constants!$B$3, FALSE(), TRUE())))</f>
        <v/>
      </c>
      <c r="AB48" s="99" t="str">
        <f aca="false">IF(ISBLANK($C48),"",IF(O48=Constants!$B$2, TRUE(), IF(O48=Constants!$B$3, FALSE(), TRUE())))</f>
        <v/>
      </c>
      <c r="AC48" s="99" t="str">
        <f aca="false">IF(ISBLANK($C48),"",IF(P48=Constants!$B$2, TRUE(), IF(P48=Constants!$B$3, FALSE(), FALSE())))</f>
        <v/>
      </c>
      <c r="AD48" s="99" t="str">
        <f aca="false">IF(ISBLANK($C48),"",AND(V48&lt;&gt;"",IF(U48=Constants!$B$19,S48,R48)))</f>
        <v/>
      </c>
      <c r="AE48" s="99" t="str">
        <f aca="false">IF(ISBLANK($C48),"",AND(Z48&lt;&gt;"",IF(Y48=Constants!$B$19,S48,R48)))</f>
        <v/>
      </c>
      <c r="AF48" s="99" t="str">
        <f aca="false">IF(ISBLANK($C48),"",IF(AC48,Constants!$B$4,IF(COUNTA(E48:O48)=0,Constants!$B$5,IF(AND(NOT(AD48),NOT(AE48)),Constants!$B$6,Constants!$B$7))))</f>
        <v/>
      </c>
      <c r="AG48" s="99" t="str">
        <f aca="false">IF(ISBLANK($C48),"",IF($AF48&lt;&gt;Constants!$B$7,$AF48,Constants!$B$20))</f>
        <v/>
      </c>
      <c r="AH48" s="99" t="str">
        <f aca="false">IF($AF48=Constants!$B$7,IF(AD48,V48,Constants!$B$13),"")</f>
        <v/>
      </c>
      <c r="AI48" s="99" t="str">
        <f aca="false">IF($AF48=Constants!$B$7,IF(AD48,T48*IF(W48, 1, Constants!$B$11)*IF(X48, 1, Constants!$B$12),Constants!$B$13),"")</f>
        <v/>
      </c>
      <c r="AJ48" s="99" t="str">
        <f aca="false">IF($AF48=Constants!$B$7,AH48*AI48,"")</f>
        <v/>
      </c>
      <c r="AK48" s="99" t="str">
        <f aca="false">IF($AF48=Constants!$B$7,IF(AE48,Z48,Constants!$B$13),"")</f>
        <v/>
      </c>
      <c r="AL48" s="99" t="str">
        <f aca="false">IF($AF48=Constants!$B$7,IF(AE48,T48*IF(AA48, 1, Constants!$B$11)*IF(AB48, 1, Constants!$B$12),Constants!$B$13),"")</f>
        <v/>
      </c>
      <c r="AM48" s="99" t="str">
        <f aca="false">IF($AF48=Constants!$B$7,AK48*AL48,"")</f>
        <v/>
      </c>
      <c r="AN48" s="99" t="str">
        <f aca="false">IF($AF48=Constants!$B$7,IF(AM48&gt;AJ48,2,1),"")</f>
        <v/>
      </c>
      <c r="AO48" s="99" t="str">
        <f aca="false">IF($AF48=Constants!$B$7,IF(AN48=1,2,1),"")</f>
        <v/>
      </c>
      <c r="AP48" s="99" t="str">
        <f aca="false">IF(ISBLANK($C48),"",IF($AF48&lt;&gt;Constants!$B$7,$AF48,IF(AN48=1,AJ48,AM48)))</f>
        <v/>
      </c>
      <c r="AQ48" s="99" t="str">
        <f aca="false">IF(ISBLANK($C48),"",IF($AF48=Constants!$B$7,IF(ISNUMBER(AP48),RANK(AP48,$AP$8:$AP$507),Constants!$B$14),$AF48))</f>
        <v/>
      </c>
      <c r="AR48" s="99" t="str">
        <f aca="false">IF(ISBLANK($C48),"",IF($AF48=Constants!$B$7,IF(AO48=1,AJ48,AM48),""))</f>
        <v/>
      </c>
      <c r="AS48" s="99" t="str">
        <f aca="false">IF(ISBLANK($C48),"",IF($AF48=Constants!$B$7,RANK(AR48,$AR$8:$AR$507),$AF48))</f>
        <v/>
      </c>
      <c r="AT48" s="99" t="str">
        <f aca="false">IF(ISBLANK($C48),"",IF($AF48=Constants!$B$7,IF(ISNUMBER(AQ48),COUNTIFS($AQ$8:$AQ$507,"&lt;"&amp;$AQ48)+COUNTIFS($AQ$8:$AQ$507,$AQ48,$AS$8:$AS$507,"&lt;"&amp;$AS48)+1,Constants!$B$14),$AF48))</f>
        <v/>
      </c>
      <c r="AU48" s="99" t="str">
        <f aca="false">IF(ISBLANK($C48),"",IF($AF48=Constants!$B$7,IF(ISNUMBER(AQ48),AQ48-AT48,Constants!$B$14),$AF48))</f>
        <v/>
      </c>
      <c r="AV48" s="100"/>
      <c r="AW48" s="101" t="str">
        <f aca="false">IF(ISBLANK($C48),"",IF($AF48&lt;&gt;Constants!$B$7,"",AN48))</f>
        <v/>
      </c>
      <c r="AX48" s="102" t="str">
        <f aca="false">IF(ISBLANK($C48),"",IF($AF48&lt;&gt;Constants!$B$7,"",IF(AN48=1,AH48,AK48)))</f>
        <v/>
      </c>
      <c r="AY48" s="103" t="str">
        <f aca="false">IF(ISBLANK($C48),"",IF($AF48&lt;&gt;Constants!$B$7,"",IF(AN48=1,AI48,AL48)))</f>
        <v/>
      </c>
      <c r="AZ48" s="104" t="str">
        <f aca="false">IF(ISBLANK($C48),"",IF($AF48&lt;&gt;Constants!$B$7,$AF48,AP48))</f>
        <v/>
      </c>
      <c r="BA48" s="105" t="str">
        <f aca="false">IF(ISBLANK($C48),"",IF($AF48&lt;&gt;Constants!$B$7,$AF48,AG48))</f>
        <v/>
      </c>
      <c r="BB48" s="106" t="str">
        <f aca="false">IF(ISBLANK($C48),"",AU48)</f>
        <v/>
      </c>
      <c r="BC48" s="106" t="str">
        <f aca="false">IF(ISBLANK($C48),"",AT48)</f>
        <v/>
      </c>
      <c r="BD48" s="107" t="str">
        <f aca="false">IF(ISBLANK($C48),"",IFERROR(_xlfn.SWITCH(BC48,Constants!$B$4,COUNTA($C$8:$C$507)+2,Constants!$B$5,COUNTA($C$8:$C$507)+1,Constants!$B$6,COUNTA($C$8:$C$507)),BC48))</f>
        <v/>
      </c>
      <c r="BE48" s="5"/>
      <c r="BF48" s="108" t="n">
        <f aca="false">IF(OR(ISNUMBER(BC48),BC48=Constants!$B$4,BC48=Constants!$B$6,BC48=Constants!$B$5),1,0)</f>
        <v>0</v>
      </c>
      <c r="BG48" s="108" t="n">
        <v>41</v>
      </c>
      <c r="BH48" s="108" t="str">
        <f aca="false">IF(ISBLANK($C48),"",IF(ISNUMBER(BD48),BD48+ROW($B48)/1000,""))</f>
        <v/>
      </c>
      <c r="BI48" s="108" t="str">
        <f aca="false">IF(ISNUMBER(BH48),RANK(BH48,$BH$8:$BH$507,1),"")</f>
        <v/>
      </c>
      <c r="BJ48" s="108" t="str">
        <f aca="false">IF(ISBLANK($C48),"",$B48)</f>
        <v/>
      </c>
      <c r="BK48" s="108" t="str">
        <f aca="false">IF(ISBLANK($C48),"",$C48)</f>
        <v/>
      </c>
      <c r="BL48" s="108" t="str">
        <f aca="false">IF(ISBLANK($C48),"",$D48)</f>
        <v/>
      </c>
      <c r="BM48" s="109" t="str">
        <f aca="false">BA48</f>
        <v/>
      </c>
      <c r="BN48" s="110" t="str">
        <f aca="false">AZ48</f>
        <v/>
      </c>
      <c r="BO48" s="108" t="str">
        <f aca="false">IF(ISBLANK($C48),"",BC48)</f>
        <v/>
      </c>
      <c r="BP48" s="111" t="str">
        <f aca="false">IF($BG48&gt;$BF$7,"",VLOOKUP($BG48,$BI$8:$BO$507,7,FALSE()))</f>
        <v/>
      </c>
      <c r="BQ48" s="112" t="str">
        <f aca="false">IF($BG48&gt;$BF$7,"",VLOOKUP($BG48,$BI$8:$BO$507,2,FALSE()))</f>
        <v/>
      </c>
      <c r="BR48" s="112" t="str">
        <f aca="false">IF($BG48&gt;$BF$7,"",VLOOKUP($BG48,$BI$8:$BO$507,3,FALSE()))</f>
        <v/>
      </c>
      <c r="BS48" s="112" t="str">
        <f aca="false">IF($BG48&gt;$BF$7,"",VLOOKUP($BG48,$BI$8:$BO$507,4,FALSE()))</f>
        <v/>
      </c>
      <c r="BT48" s="112" t="str">
        <f aca="false">IF($BG48&gt;$BF$7,"",VLOOKUP($BG48,$BI$8:$BO$507,5,FALSE()))</f>
        <v/>
      </c>
      <c r="BU48" s="113" t="str">
        <f aca="false">IF($BG48&gt;$BF$7,"",VLOOKUP($BG48,$BI$8:$BO$507,6,FALSE()))</f>
        <v/>
      </c>
      <c r="BV48" s="54"/>
    </row>
    <row r="49" customFormat="false" ht="15.75" hidden="false" customHeight="false" outlineLevel="0" collapsed="false">
      <c r="A49" s="5"/>
      <c r="B49" s="128"/>
      <c r="C49" s="129"/>
      <c r="D49" s="114"/>
      <c r="E49" s="134"/>
      <c r="F49" s="139"/>
      <c r="G49" s="93"/>
      <c r="H49" s="140"/>
      <c r="I49" s="95"/>
      <c r="J49" s="95"/>
      <c r="K49" s="93"/>
      <c r="L49" s="141"/>
      <c r="M49" s="95"/>
      <c r="N49" s="95"/>
      <c r="O49" s="93"/>
      <c r="P49" s="134"/>
      <c r="Q49" s="98"/>
      <c r="R49" s="99" t="str">
        <f aca="false">IF(ISBLANK($C49),"",IF(E49=Constants!$B$2, TRUE(), IF(E49=Constants!$B$3, FALSE(), TRUE())))</f>
        <v/>
      </c>
      <c r="S49" s="99" t="str">
        <f aca="false">IF(ISBLANK($C49),"",IF(F49=Constants!$B$2, TRUE(), IF(F49=Constants!$B$3, FALSE(), TRUE())))</f>
        <v/>
      </c>
      <c r="T49" s="99" t="str">
        <f aca="false">IF(ISBLANK($C49),"",IF(G49=Constants!$B$16,Constants!$B$9,IF(G49=Constants!$B$17,Constants!$B$10,Constants!$B$8)))</f>
        <v/>
      </c>
      <c r="U49" s="99" t="str">
        <f aca="false">IF(ISBLANK($C49),"",IF(H49=Constants!$B$19,Constants!$B$19,Constants!$B$18))</f>
        <v/>
      </c>
      <c r="V49" s="99" t="str">
        <f aca="false">IF(ISBLANK($C49),"",IF(ISNUMBER(I49),IF(I49&gt;=0,I49,""),""))</f>
        <v/>
      </c>
      <c r="W49" s="99" t="str">
        <f aca="false">IF(ISBLANK($C49),"",IF(J49=Constants!$B$2, TRUE(), IF(J49=Constants!$B$3, FALSE(), TRUE())))</f>
        <v/>
      </c>
      <c r="X49" s="99" t="str">
        <f aca="false">IF(ISBLANK($C49),"",IF(K49=Constants!$B$2, TRUE(), IF(K49=Constants!$B$3, FALSE(), TRUE())))</f>
        <v/>
      </c>
      <c r="Y49" s="99" t="str">
        <f aca="false">IF(ISBLANK($C49),"",IF(L49=Constants!$B$19,Constants!$B$19,Constants!$B$18))</f>
        <v/>
      </c>
      <c r="Z49" s="99" t="str">
        <f aca="false">IF(ISBLANK($C49),"",IF(ISNUMBER(M49),IF(M49&gt;=0,M49,""),""))</f>
        <v/>
      </c>
      <c r="AA49" s="99" t="str">
        <f aca="false">IF(ISBLANK($C49),"",IF(N49=Constants!$B$2, TRUE(), IF(N49=Constants!$B$3, FALSE(), TRUE())))</f>
        <v/>
      </c>
      <c r="AB49" s="99" t="str">
        <f aca="false">IF(ISBLANK($C49),"",IF(O49=Constants!$B$2, TRUE(), IF(O49=Constants!$B$3, FALSE(), TRUE())))</f>
        <v/>
      </c>
      <c r="AC49" s="99" t="str">
        <f aca="false">IF(ISBLANK($C49),"",IF(P49=Constants!$B$2, TRUE(), IF(P49=Constants!$B$3, FALSE(), FALSE())))</f>
        <v/>
      </c>
      <c r="AD49" s="99" t="str">
        <f aca="false">IF(ISBLANK($C49),"",AND(V49&lt;&gt;"",IF(U49=Constants!$B$19,S49,R49)))</f>
        <v/>
      </c>
      <c r="AE49" s="99" t="str">
        <f aca="false">IF(ISBLANK($C49),"",AND(Z49&lt;&gt;"",IF(Y49=Constants!$B$19,S49,R49)))</f>
        <v/>
      </c>
      <c r="AF49" s="99" t="str">
        <f aca="false">IF(ISBLANK($C49),"",IF(AC49,Constants!$B$4,IF(COUNTA(E49:O49)=0,Constants!$B$5,IF(AND(NOT(AD49),NOT(AE49)),Constants!$B$6,Constants!$B$7))))</f>
        <v/>
      </c>
      <c r="AG49" s="99" t="str">
        <f aca="false">IF(ISBLANK($C49),"",IF($AF49&lt;&gt;Constants!$B$7,$AF49,Constants!$B$20))</f>
        <v/>
      </c>
      <c r="AH49" s="99" t="str">
        <f aca="false">IF($AF49=Constants!$B$7,IF(AD49,V49,Constants!$B$13),"")</f>
        <v/>
      </c>
      <c r="AI49" s="99" t="str">
        <f aca="false">IF($AF49=Constants!$B$7,IF(AD49,T49*IF(W49, 1, Constants!$B$11)*IF(X49, 1, Constants!$B$12),Constants!$B$13),"")</f>
        <v/>
      </c>
      <c r="AJ49" s="99" t="str">
        <f aca="false">IF($AF49=Constants!$B$7,AH49*AI49,"")</f>
        <v/>
      </c>
      <c r="AK49" s="99" t="str">
        <f aca="false">IF($AF49=Constants!$B$7,IF(AE49,Z49,Constants!$B$13),"")</f>
        <v/>
      </c>
      <c r="AL49" s="99" t="str">
        <f aca="false">IF($AF49=Constants!$B$7,IF(AE49,T49*IF(AA49, 1, Constants!$B$11)*IF(AB49, 1, Constants!$B$12),Constants!$B$13),"")</f>
        <v/>
      </c>
      <c r="AM49" s="99" t="str">
        <f aca="false">IF($AF49=Constants!$B$7,AK49*AL49,"")</f>
        <v/>
      </c>
      <c r="AN49" s="99" t="str">
        <f aca="false">IF($AF49=Constants!$B$7,IF(AM49&gt;AJ49,2,1),"")</f>
        <v/>
      </c>
      <c r="AO49" s="99" t="str">
        <f aca="false">IF($AF49=Constants!$B$7,IF(AN49=1,2,1),"")</f>
        <v/>
      </c>
      <c r="AP49" s="99" t="str">
        <f aca="false">IF(ISBLANK($C49),"",IF($AF49&lt;&gt;Constants!$B$7,$AF49,IF(AN49=1,AJ49,AM49)))</f>
        <v/>
      </c>
      <c r="AQ49" s="99" t="str">
        <f aca="false">IF(ISBLANK($C49),"",IF($AF49=Constants!$B$7,IF(ISNUMBER(AP49),RANK(AP49,$AP$8:$AP$507),Constants!$B$14),$AF49))</f>
        <v/>
      </c>
      <c r="AR49" s="99" t="str">
        <f aca="false">IF(ISBLANK($C49),"",IF($AF49=Constants!$B$7,IF(AO49=1,AJ49,AM49),""))</f>
        <v/>
      </c>
      <c r="AS49" s="99" t="str">
        <f aca="false">IF(ISBLANK($C49),"",IF($AF49=Constants!$B$7,RANK(AR49,$AR$8:$AR$507),$AF49))</f>
        <v/>
      </c>
      <c r="AT49" s="99" t="str">
        <f aca="false">IF(ISBLANK($C49),"",IF($AF49=Constants!$B$7,IF(ISNUMBER(AQ49),COUNTIFS($AQ$8:$AQ$507,"&lt;"&amp;$AQ49)+COUNTIFS($AQ$8:$AQ$507,$AQ49,$AS$8:$AS$507,"&lt;"&amp;$AS49)+1,Constants!$B$14),$AF49))</f>
        <v/>
      </c>
      <c r="AU49" s="99" t="str">
        <f aca="false">IF(ISBLANK($C49),"",IF($AF49=Constants!$B$7,IF(ISNUMBER(AQ49),AQ49-AT49,Constants!$B$14),$AF49))</f>
        <v/>
      </c>
      <c r="AV49" s="100"/>
      <c r="AW49" s="101" t="str">
        <f aca="false">IF(ISBLANK($C49),"",IF($AF49&lt;&gt;Constants!$B$7,"",AN49))</f>
        <v/>
      </c>
      <c r="AX49" s="102" t="str">
        <f aca="false">IF(ISBLANK($C49),"",IF($AF49&lt;&gt;Constants!$B$7,"",IF(AN49=1,AH49,AK49)))</f>
        <v/>
      </c>
      <c r="AY49" s="103" t="str">
        <f aca="false">IF(ISBLANK($C49),"",IF($AF49&lt;&gt;Constants!$B$7,"",IF(AN49=1,AI49,AL49)))</f>
        <v/>
      </c>
      <c r="AZ49" s="104" t="str">
        <f aca="false">IF(ISBLANK($C49),"",IF($AF49&lt;&gt;Constants!$B$7,$AF49,AP49))</f>
        <v/>
      </c>
      <c r="BA49" s="105" t="str">
        <f aca="false">IF(ISBLANK($C49),"",IF($AF49&lt;&gt;Constants!$B$7,$AF49,AG49))</f>
        <v/>
      </c>
      <c r="BB49" s="106" t="str">
        <f aca="false">IF(ISBLANK($C49),"",AU49)</f>
        <v/>
      </c>
      <c r="BC49" s="106" t="str">
        <f aca="false">IF(ISBLANK($C49),"",AT49)</f>
        <v/>
      </c>
      <c r="BD49" s="107" t="str">
        <f aca="false">IF(ISBLANK($C49),"",IFERROR(_xlfn.SWITCH(BC49,Constants!$B$4,COUNTA($C$8:$C$507)+2,Constants!$B$5,COUNTA($C$8:$C$507)+1,Constants!$B$6,COUNTA($C$8:$C$507)),BC49))</f>
        <v/>
      </c>
      <c r="BE49" s="5"/>
      <c r="BF49" s="108" t="n">
        <f aca="false">IF(OR(ISNUMBER(BC49),BC49=Constants!$B$4,BC49=Constants!$B$6,BC49=Constants!$B$5),1,0)</f>
        <v>0</v>
      </c>
      <c r="BG49" s="108" t="n">
        <v>42</v>
      </c>
      <c r="BH49" s="108" t="str">
        <f aca="false">IF(ISBLANK($C49),"",IF(ISNUMBER(BD49),BD49+ROW($B49)/1000,""))</f>
        <v/>
      </c>
      <c r="BI49" s="108" t="str">
        <f aca="false">IF(ISNUMBER(BH49),RANK(BH49,$BH$8:$BH$507,1),"")</f>
        <v/>
      </c>
      <c r="BJ49" s="108" t="str">
        <f aca="false">IF(ISBLANK($C49),"",$B49)</f>
        <v/>
      </c>
      <c r="BK49" s="108" t="str">
        <f aca="false">IF(ISBLANK($C49),"",$C49)</f>
        <v/>
      </c>
      <c r="BL49" s="108" t="str">
        <f aca="false">IF(ISBLANK($C49),"",$D49)</f>
        <v/>
      </c>
      <c r="BM49" s="109" t="str">
        <f aca="false">BA49</f>
        <v/>
      </c>
      <c r="BN49" s="110" t="str">
        <f aca="false">AZ49</f>
        <v/>
      </c>
      <c r="BO49" s="108" t="str">
        <f aca="false">IF(ISBLANK($C49),"",BC49)</f>
        <v/>
      </c>
      <c r="BP49" s="111" t="str">
        <f aca="false">IF($BG49&gt;$BF$7,"",VLOOKUP($BG49,$BI$8:$BO$507,7,FALSE()))</f>
        <v/>
      </c>
      <c r="BQ49" s="112" t="str">
        <f aca="false">IF($BG49&gt;$BF$7,"",VLOOKUP($BG49,$BI$8:$BO$507,2,FALSE()))</f>
        <v/>
      </c>
      <c r="BR49" s="112" t="str">
        <f aca="false">IF($BG49&gt;$BF$7,"",VLOOKUP($BG49,$BI$8:$BO$507,3,FALSE()))</f>
        <v/>
      </c>
      <c r="BS49" s="112" t="str">
        <f aca="false">IF($BG49&gt;$BF$7,"",VLOOKUP($BG49,$BI$8:$BO$507,4,FALSE()))</f>
        <v/>
      </c>
      <c r="BT49" s="112" t="str">
        <f aca="false">IF($BG49&gt;$BF$7,"",VLOOKUP($BG49,$BI$8:$BO$507,5,FALSE()))</f>
        <v/>
      </c>
      <c r="BU49" s="113" t="str">
        <f aca="false">IF($BG49&gt;$BF$7,"",VLOOKUP($BG49,$BI$8:$BO$507,6,FALSE()))</f>
        <v/>
      </c>
      <c r="BV49" s="54"/>
    </row>
    <row r="50" customFormat="false" ht="15.75" hidden="false" customHeight="false" outlineLevel="0" collapsed="false">
      <c r="A50" s="5"/>
      <c r="B50" s="135"/>
      <c r="C50" s="56"/>
      <c r="D50" s="57"/>
      <c r="E50" s="84"/>
      <c r="F50" s="136"/>
      <c r="G50" s="60"/>
      <c r="H50" s="137"/>
      <c r="I50" s="62"/>
      <c r="J50" s="62"/>
      <c r="K50" s="60"/>
      <c r="L50" s="138"/>
      <c r="M50" s="62"/>
      <c r="N50" s="62"/>
      <c r="O50" s="60"/>
      <c r="P50" s="84"/>
      <c r="Q50" s="65"/>
      <c r="R50" s="67" t="str">
        <f aca="false">IF(ISBLANK($C50),"",IF(E50=Constants!$B$2, TRUE(), IF(E50=Constants!$B$3, FALSE(), TRUE())))</f>
        <v/>
      </c>
      <c r="S50" s="67" t="str">
        <f aca="false">IF(ISBLANK($C50),"",IF(F50=Constants!$B$2, TRUE(), IF(F50=Constants!$B$3, FALSE(), TRUE())))</f>
        <v/>
      </c>
      <c r="T50" s="67" t="str">
        <f aca="false">IF(ISBLANK($C50),"",IF(G50=Constants!$B$16,Constants!$B$9,IF(G50=Constants!$B$17,Constants!$B$10,Constants!$B$8)))</f>
        <v/>
      </c>
      <c r="U50" s="67" t="str">
        <f aca="false">IF(ISBLANK($C50),"",IF(H50=Constants!$B$19,Constants!$B$19,Constants!$B$18))</f>
        <v/>
      </c>
      <c r="V50" s="67" t="str">
        <f aca="false">IF(ISBLANK($C50),"",IF(ISNUMBER(I50),IF(I50&gt;=0,I50,""),""))</f>
        <v/>
      </c>
      <c r="W50" s="67" t="str">
        <f aca="false">IF(ISBLANK($C50),"",IF(J50=Constants!$B$2, TRUE(), IF(J50=Constants!$B$3, FALSE(), TRUE())))</f>
        <v/>
      </c>
      <c r="X50" s="67" t="str">
        <f aca="false">IF(ISBLANK($C50),"",IF(K50=Constants!$B$2, TRUE(), IF(K50=Constants!$B$3, FALSE(), TRUE())))</f>
        <v/>
      </c>
      <c r="Y50" s="67" t="str">
        <f aca="false">IF(ISBLANK($C50),"",IF(L50=Constants!$B$19,Constants!$B$19,Constants!$B$18))</f>
        <v/>
      </c>
      <c r="Z50" s="67" t="str">
        <f aca="false">IF(ISBLANK($C50),"",IF(ISNUMBER(M50),IF(M50&gt;=0,M50,""),""))</f>
        <v/>
      </c>
      <c r="AA50" s="67" t="str">
        <f aca="false">IF(ISBLANK($C50),"",IF(N50=Constants!$B$2, TRUE(), IF(N50=Constants!$B$3, FALSE(), TRUE())))</f>
        <v/>
      </c>
      <c r="AB50" s="67" t="str">
        <f aca="false">IF(ISBLANK($C50),"",IF(O50=Constants!$B$2, TRUE(), IF(O50=Constants!$B$3, FALSE(), TRUE())))</f>
        <v/>
      </c>
      <c r="AC50" s="67" t="str">
        <f aca="false">IF(ISBLANK($C50),"",IF(P50=Constants!$B$2, TRUE(), IF(P50=Constants!$B$3, FALSE(), FALSE())))</f>
        <v/>
      </c>
      <c r="AD50" s="67" t="str">
        <f aca="false">IF(ISBLANK($C50),"",AND(V50&lt;&gt;"",IF(U50=Constants!$B$19,S50,R50)))</f>
        <v/>
      </c>
      <c r="AE50" s="67" t="str">
        <f aca="false">IF(ISBLANK($C50),"",AND(Z50&lt;&gt;"",IF(Y50=Constants!$B$19,S50,R50)))</f>
        <v/>
      </c>
      <c r="AF50" s="67" t="str">
        <f aca="false">IF(ISBLANK($C50),"",IF(AC50,Constants!$B$4,IF(COUNTA(E50:O50)=0,Constants!$B$5,IF(AND(NOT(AD50),NOT(AE50)),Constants!$B$6,Constants!$B$7))))</f>
        <v/>
      </c>
      <c r="AG50" s="67" t="str">
        <f aca="false">IF(ISBLANK($C50),"",IF($AF50&lt;&gt;Constants!$B$7,$AF50,Constants!$B$20))</f>
        <v/>
      </c>
      <c r="AH50" s="67" t="str">
        <f aca="false">IF($AF50=Constants!$B$7,IF(AD50,V50,Constants!$B$13),"")</f>
        <v/>
      </c>
      <c r="AI50" s="67" t="str">
        <f aca="false">IF($AF50=Constants!$B$7,IF(AD50,T50*IF(W50, 1, Constants!$B$11)*IF(X50, 1, Constants!$B$12),Constants!$B$13),"")</f>
        <v/>
      </c>
      <c r="AJ50" s="67" t="str">
        <f aca="false">IF($AF50=Constants!$B$7,AH50*AI50,"")</f>
        <v/>
      </c>
      <c r="AK50" s="67" t="str">
        <f aca="false">IF($AF50=Constants!$B$7,IF(AE50,Z50,Constants!$B$13),"")</f>
        <v/>
      </c>
      <c r="AL50" s="67" t="str">
        <f aca="false">IF($AF50=Constants!$B$7,IF(AE50,T50*IF(AA50, 1, Constants!$B$11)*IF(AB50, 1, Constants!$B$12),Constants!$B$13),"")</f>
        <v/>
      </c>
      <c r="AM50" s="67" t="str">
        <f aca="false">IF($AF50=Constants!$B$7,AK50*AL50,"")</f>
        <v/>
      </c>
      <c r="AN50" s="67" t="str">
        <f aca="false">IF($AF50=Constants!$B$7,IF(AM50&gt;AJ50,2,1),"")</f>
        <v/>
      </c>
      <c r="AO50" s="67" t="str">
        <f aca="false">IF($AF50=Constants!$B$7,IF(AN50=1,2,1),"")</f>
        <v/>
      </c>
      <c r="AP50" s="67" t="str">
        <f aca="false">IF(ISBLANK($C50),"",IF($AF50&lt;&gt;Constants!$B$7,$AF50,IF(AN50=1,AJ50,AM50)))</f>
        <v/>
      </c>
      <c r="AQ50" s="67" t="str">
        <f aca="false">IF(ISBLANK($C50),"",IF($AF50=Constants!$B$7,IF(ISNUMBER(AP50),RANK(AP50,$AP$8:$AP$507),Constants!$B$14),$AF50))</f>
        <v/>
      </c>
      <c r="AR50" s="67" t="str">
        <f aca="false">IF(ISBLANK($C50),"",IF($AF50=Constants!$B$7,IF(AO50=1,AJ50,AM50),""))</f>
        <v/>
      </c>
      <c r="AS50" s="67" t="str">
        <f aca="false">IF(ISBLANK($C50),"",IF($AF50=Constants!$B$7,RANK(AR50,$AR$8:$AR$507),$AF50))</f>
        <v/>
      </c>
      <c r="AT50" s="67" t="str">
        <f aca="false">IF(ISBLANK($C50),"",IF($AF50=Constants!$B$7,IF(ISNUMBER(AQ50),COUNTIFS($AQ$8:$AQ$507,"&lt;"&amp;$AQ50)+COUNTIFS($AQ$8:$AQ$507,$AQ50,$AS$8:$AS$507,"&lt;"&amp;$AS50)+1,Constants!$B$14),$AF50))</f>
        <v/>
      </c>
      <c r="AU50" s="67" t="str">
        <f aca="false">IF(ISBLANK($C50),"",IF($AF50=Constants!$B$7,IF(ISNUMBER(AQ50),AQ50-AT50,Constants!$B$14),$AF50))</f>
        <v/>
      </c>
      <c r="AV50" s="69"/>
      <c r="AW50" s="70" t="str">
        <f aca="false">IF(ISBLANK($C50),"",IF($AF50&lt;&gt;Constants!$B$7,"",AN50))</f>
        <v/>
      </c>
      <c r="AX50" s="85" t="str">
        <f aca="false">IF(ISBLANK($C50),"",IF($AF50&lt;&gt;Constants!$B$7,"",IF(AN50=1,AH50,AK50)))</f>
        <v/>
      </c>
      <c r="AY50" s="72" t="str">
        <f aca="false">IF(ISBLANK($C50),"",IF($AF50&lt;&gt;Constants!$B$7,"",IF(AN50=1,AI50,AL50)))</f>
        <v/>
      </c>
      <c r="AZ50" s="73" t="str">
        <f aca="false">IF(ISBLANK($C50),"",IF($AF50&lt;&gt;Constants!$B$7,$AF50,AP50))</f>
        <v/>
      </c>
      <c r="BA50" s="74" t="str">
        <f aca="false">IF(ISBLANK($C50),"",IF($AF50&lt;&gt;Constants!$B$7,$AF50,AG50))</f>
        <v/>
      </c>
      <c r="BB50" s="75" t="str">
        <f aca="false">IF(ISBLANK($C50),"",AU50)</f>
        <v/>
      </c>
      <c r="BC50" s="75" t="str">
        <f aca="false">IF(ISBLANK($C50),"",AT50)</f>
        <v/>
      </c>
      <c r="BD50" s="76" t="str">
        <f aca="false">IF(ISBLANK($C50),"",IFERROR(_xlfn.SWITCH(BC50,Constants!$B$4,COUNTA($C$8:$C$507)+2,Constants!$B$5,COUNTA($C$8:$C$507)+1,Constants!$B$6,COUNTA($C$8:$C$507)),BC50))</f>
        <v/>
      </c>
      <c r="BE50" s="5"/>
      <c r="BF50" s="77" t="n">
        <f aca="false">IF(OR(ISNUMBER(BC50),BC50=Constants!$B$4,BC50=Constants!$B$6,BC50=Constants!$B$5),1,0)</f>
        <v>0</v>
      </c>
      <c r="BG50" s="77" t="n">
        <v>43</v>
      </c>
      <c r="BH50" s="77" t="str">
        <f aca="false">IF(ISBLANK($C50),"",IF(ISNUMBER(BD50),BD50+ROW($B50)/1000,""))</f>
        <v/>
      </c>
      <c r="BI50" s="77" t="str">
        <f aca="false">IF(ISNUMBER(BH50),RANK(BH50,$BH$8:$BH$507,1),"")</f>
        <v/>
      </c>
      <c r="BJ50" s="77" t="str">
        <f aca="false">IF(ISBLANK($C50),"",$B50)</f>
        <v/>
      </c>
      <c r="BK50" s="77" t="str">
        <f aca="false">IF(ISBLANK($C50),"",$C50)</f>
        <v/>
      </c>
      <c r="BL50" s="77" t="str">
        <f aca="false">IF(ISBLANK($C50),"",$D50)</f>
        <v/>
      </c>
      <c r="BM50" s="78" t="str">
        <f aca="false">BA50</f>
        <v/>
      </c>
      <c r="BN50" s="79" t="str">
        <f aca="false">AZ50</f>
        <v/>
      </c>
      <c r="BO50" s="77" t="str">
        <f aca="false">IF(ISBLANK($C50),"",BC50)</f>
        <v/>
      </c>
      <c r="BP50" s="80" t="str">
        <f aca="false">IF($BG50&gt;$BF$7,"",VLOOKUP($BG50,$BI$8:$BO$507,7,FALSE()))</f>
        <v/>
      </c>
      <c r="BQ50" s="81" t="str">
        <f aca="false">IF($BG50&gt;$BF$7,"",VLOOKUP($BG50,$BI$8:$BO$507,2,FALSE()))</f>
        <v/>
      </c>
      <c r="BR50" s="81" t="str">
        <f aca="false">IF($BG50&gt;$BF$7,"",VLOOKUP($BG50,$BI$8:$BO$507,3,FALSE()))</f>
        <v/>
      </c>
      <c r="BS50" s="81" t="str">
        <f aca="false">IF($BG50&gt;$BF$7,"",VLOOKUP($BG50,$BI$8:$BO$507,4,FALSE()))</f>
        <v/>
      </c>
      <c r="BT50" s="81" t="str">
        <f aca="false">IF($BG50&gt;$BF$7,"",VLOOKUP($BG50,$BI$8:$BO$507,5,FALSE()))</f>
        <v/>
      </c>
      <c r="BU50" s="82" t="str">
        <f aca="false">IF($BG50&gt;$BF$7,"",VLOOKUP($BG50,$BI$8:$BO$507,6,FALSE()))</f>
        <v/>
      </c>
      <c r="BV50" s="54"/>
    </row>
    <row r="51" customFormat="false" ht="15.75" hidden="false" customHeight="false" outlineLevel="0" collapsed="false">
      <c r="A51" s="5"/>
      <c r="B51" s="135"/>
      <c r="C51" s="56"/>
      <c r="D51" s="57"/>
      <c r="E51" s="84"/>
      <c r="F51" s="136"/>
      <c r="G51" s="60"/>
      <c r="H51" s="137"/>
      <c r="I51" s="62"/>
      <c r="J51" s="62"/>
      <c r="K51" s="60"/>
      <c r="L51" s="138"/>
      <c r="M51" s="62"/>
      <c r="N51" s="62"/>
      <c r="O51" s="60"/>
      <c r="P51" s="84"/>
      <c r="Q51" s="65"/>
      <c r="R51" s="67" t="str">
        <f aca="false">IF(ISBLANK($C51),"",IF(E51=Constants!$B$2, TRUE(), IF(E51=Constants!$B$3, FALSE(), TRUE())))</f>
        <v/>
      </c>
      <c r="S51" s="67" t="str">
        <f aca="false">IF(ISBLANK($C51),"",IF(F51=Constants!$B$2, TRUE(), IF(F51=Constants!$B$3, FALSE(), TRUE())))</f>
        <v/>
      </c>
      <c r="T51" s="67" t="str">
        <f aca="false">IF(ISBLANK($C51),"",IF(G51=Constants!$B$16,Constants!$B$9,IF(G51=Constants!$B$17,Constants!$B$10,Constants!$B$8)))</f>
        <v/>
      </c>
      <c r="U51" s="67" t="str">
        <f aca="false">IF(ISBLANK($C51),"",IF(H51=Constants!$B$19,Constants!$B$19,Constants!$B$18))</f>
        <v/>
      </c>
      <c r="V51" s="67" t="str">
        <f aca="false">IF(ISBLANK($C51),"",IF(ISNUMBER(I51),IF(I51&gt;=0,I51,""),""))</f>
        <v/>
      </c>
      <c r="W51" s="67" t="str">
        <f aca="false">IF(ISBLANK($C51),"",IF(J51=Constants!$B$2, TRUE(), IF(J51=Constants!$B$3, FALSE(), TRUE())))</f>
        <v/>
      </c>
      <c r="X51" s="67" t="str">
        <f aca="false">IF(ISBLANK($C51),"",IF(K51=Constants!$B$2, TRUE(), IF(K51=Constants!$B$3, FALSE(), TRUE())))</f>
        <v/>
      </c>
      <c r="Y51" s="67" t="str">
        <f aca="false">IF(ISBLANK($C51),"",IF(L51=Constants!$B$19,Constants!$B$19,Constants!$B$18))</f>
        <v/>
      </c>
      <c r="Z51" s="67" t="str">
        <f aca="false">IF(ISBLANK($C51),"",IF(ISNUMBER(M51),IF(M51&gt;=0,M51,""),""))</f>
        <v/>
      </c>
      <c r="AA51" s="67" t="str">
        <f aca="false">IF(ISBLANK($C51),"",IF(N51=Constants!$B$2, TRUE(), IF(N51=Constants!$B$3, FALSE(), TRUE())))</f>
        <v/>
      </c>
      <c r="AB51" s="67" t="str">
        <f aca="false">IF(ISBLANK($C51),"",IF(O51=Constants!$B$2, TRUE(), IF(O51=Constants!$B$3, FALSE(), TRUE())))</f>
        <v/>
      </c>
      <c r="AC51" s="67" t="str">
        <f aca="false">IF(ISBLANK($C51),"",IF(P51=Constants!$B$2, TRUE(), IF(P51=Constants!$B$3, FALSE(), FALSE())))</f>
        <v/>
      </c>
      <c r="AD51" s="67" t="str">
        <f aca="false">IF(ISBLANK($C51),"",AND(V51&lt;&gt;"",IF(U51=Constants!$B$19,S51,R51)))</f>
        <v/>
      </c>
      <c r="AE51" s="67" t="str">
        <f aca="false">IF(ISBLANK($C51),"",AND(Z51&lt;&gt;"",IF(Y51=Constants!$B$19,S51,R51)))</f>
        <v/>
      </c>
      <c r="AF51" s="67" t="str">
        <f aca="false">IF(ISBLANK($C51),"",IF(AC51,Constants!$B$4,IF(COUNTA(E51:O51)=0,Constants!$B$5,IF(AND(NOT(AD51),NOT(AE51)),Constants!$B$6,Constants!$B$7))))</f>
        <v/>
      </c>
      <c r="AG51" s="67" t="str">
        <f aca="false">IF(ISBLANK($C51),"",IF($AF51&lt;&gt;Constants!$B$7,$AF51,Constants!$B$20))</f>
        <v/>
      </c>
      <c r="AH51" s="67" t="str">
        <f aca="false">IF($AF51=Constants!$B$7,IF(AD51,V51,Constants!$B$13),"")</f>
        <v/>
      </c>
      <c r="AI51" s="67" t="str">
        <f aca="false">IF($AF51=Constants!$B$7,IF(AD51,T51*IF(W51, 1, Constants!$B$11)*IF(X51, 1, Constants!$B$12),Constants!$B$13),"")</f>
        <v/>
      </c>
      <c r="AJ51" s="67" t="str">
        <f aca="false">IF($AF51=Constants!$B$7,AH51*AI51,"")</f>
        <v/>
      </c>
      <c r="AK51" s="67" t="str">
        <f aca="false">IF($AF51=Constants!$B$7,IF(AE51,Z51,Constants!$B$13),"")</f>
        <v/>
      </c>
      <c r="AL51" s="67" t="str">
        <f aca="false">IF($AF51=Constants!$B$7,IF(AE51,T51*IF(AA51, 1, Constants!$B$11)*IF(AB51, 1, Constants!$B$12),Constants!$B$13),"")</f>
        <v/>
      </c>
      <c r="AM51" s="67" t="str">
        <f aca="false">IF($AF51=Constants!$B$7,AK51*AL51,"")</f>
        <v/>
      </c>
      <c r="AN51" s="67" t="str">
        <f aca="false">IF($AF51=Constants!$B$7,IF(AM51&gt;AJ51,2,1),"")</f>
        <v/>
      </c>
      <c r="AO51" s="67" t="str">
        <f aca="false">IF($AF51=Constants!$B$7,IF(AN51=1,2,1),"")</f>
        <v/>
      </c>
      <c r="AP51" s="67" t="str">
        <f aca="false">IF(ISBLANK($C51),"",IF($AF51&lt;&gt;Constants!$B$7,$AF51,IF(AN51=1,AJ51,AM51)))</f>
        <v/>
      </c>
      <c r="AQ51" s="67" t="str">
        <f aca="false">IF(ISBLANK($C51),"",IF($AF51=Constants!$B$7,IF(ISNUMBER(AP51),RANK(AP51,$AP$8:$AP$507),Constants!$B$14),$AF51))</f>
        <v/>
      </c>
      <c r="AR51" s="67" t="str">
        <f aca="false">IF(ISBLANK($C51),"",IF($AF51=Constants!$B$7,IF(AO51=1,AJ51,AM51),""))</f>
        <v/>
      </c>
      <c r="AS51" s="67" t="str">
        <f aca="false">IF(ISBLANK($C51),"",IF($AF51=Constants!$B$7,RANK(AR51,$AR$8:$AR$507),$AF51))</f>
        <v/>
      </c>
      <c r="AT51" s="67" t="str">
        <f aca="false">IF(ISBLANK($C51),"",IF($AF51=Constants!$B$7,IF(ISNUMBER(AQ51),COUNTIFS($AQ$8:$AQ$507,"&lt;"&amp;$AQ51)+COUNTIFS($AQ$8:$AQ$507,$AQ51,$AS$8:$AS$507,"&lt;"&amp;$AS51)+1,Constants!$B$14),$AF51))</f>
        <v/>
      </c>
      <c r="AU51" s="67" t="str">
        <f aca="false">IF(ISBLANK($C51),"",IF($AF51=Constants!$B$7,IF(ISNUMBER(AQ51),AQ51-AT51,Constants!$B$14),$AF51))</f>
        <v/>
      </c>
      <c r="AV51" s="69"/>
      <c r="AW51" s="70" t="str">
        <f aca="false">IF(ISBLANK($C51),"",IF($AF51&lt;&gt;Constants!$B$7,"",AN51))</f>
        <v/>
      </c>
      <c r="AX51" s="85" t="str">
        <f aca="false">IF(ISBLANK($C51),"",IF($AF51&lt;&gt;Constants!$B$7,"",IF(AN51=1,AH51,AK51)))</f>
        <v/>
      </c>
      <c r="AY51" s="72" t="str">
        <f aca="false">IF(ISBLANK($C51),"",IF($AF51&lt;&gt;Constants!$B$7,"",IF(AN51=1,AI51,AL51)))</f>
        <v/>
      </c>
      <c r="AZ51" s="73" t="str">
        <f aca="false">IF(ISBLANK($C51),"",IF($AF51&lt;&gt;Constants!$B$7,$AF51,AP51))</f>
        <v/>
      </c>
      <c r="BA51" s="74" t="str">
        <f aca="false">IF(ISBLANK($C51),"",IF($AF51&lt;&gt;Constants!$B$7,$AF51,AG51))</f>
        <v/>
      </c>
      <c r="BB51" s="75" t="str">
        <f aca="false">IF(ISBLANK($C51),"",AU51)</f>
        <v/>
      </c>
      <c r="BC51" s="75" t="str">
        <f aca="false">IF(ISBLANK($C51),"",AT51)</f>
        <v/>
      </c>
      <c r="BD51" s="76" t="str">
        <f aca="false">IF(ISBLANK($C51),"",IFERROR(_xlfn.SWITCH(BC51,Constants!$B$4,COUNTA($C$8:$C$507)+2,Constants!$B$5,COUNTA($C$8:$C$507)+1,Constants!$B$6,COUNTA($C$8:$C$507)),BC51))</f>
        <v/>
      </c>
      <c r="BE51" s="5"/>
      <c r="BF51" s="77" t="n">
        <f aca="false">IF(OR(ISNUMBER(BC51),BC51=Constants!$B$4,BC51=Constants!$B$6,BC51=Constants!$B$5),1,0)</f>
        <v>0</v>
      </c>
      <c r="BG51" s="77" t="n">
        <v>44</v>
      </c>
      <c r="BH51" s="77" t="str">
        <f aca="false">IF(ISBLANK($C51),"",IF(ISNUMBER(BD51),BD51+ROW($B51)/1000,""))</f>
        <v/>
      </c>
      <c r="BI51" s="77" t="str">
        <f aca="false">IF(ISNUMBER(BH51),RANK(BH51,$BH$8:$BH$507,1),"")</f>
        <v/>
      </c>
      <c r="BJ51" s="77" t="str">
        <f aca="false">IF(ISBLANK($C51),"",$B51)</f>
        <v/>
      </c>
      <c r="BK51" s="77" t="str">
        <f aca="false">IF(ISBLANK($C51),"",$C51)</f>
        <v/>
      </c>
      <c r="BL51" s="77" t="str">
        <f aca="false">IF(ISBLANK($C51),"",$D51)</f>
        <v/>
      </c>
      <c r="BM51" s="78" t="str">
        <f aca="false">BA51</f>
        <v/>
      </c>
      <c r="BN51" s="79" t="str">
        <f aca="false">AZ51</f>
        <v/>
      </c>
      <c r="BO51" s="77" t="str">
        <f aca="false">IF(ISBLANK($C51),"",BC51)</f>
        <v/>
      </c>
      <c r="BP51" s="80" t="str">
        <f aca="false">IF($BG51&gt;$BF$7,"",VLOOKUP($BG51,$BI$8:$BO$507,7,FALSE()))</f>
        <v/>
      </c>
      <c r="BQ51" s="81" t="str">
        <f aca="false">IF($BG51&gt;$BF$7,"",VLOOKUP($BG51,$BI$8:$BO$507,2,FALSE()))</f>
        <v/>
      </c>
      <c r="BR51" s="81" t="str">
        <f aca="false">IF($BG51&gt;$BF$7,"",VLOOKUP($BG51,$BI$8:$BO$507,3,FALSE()))</f>
        <v/>
      </c>
      <c r="BS51" s="81" t="str">
        <f aca="false">IF($BG51&gt;$BF$7,"",VLOOKUP($BG51,$BI$8:$BO$507,4,FALSE()))</f>
        <v/>
      </c>
      <c r="BT51" s="81" t="str">
        <f aca="false">IF($BG51&gt;$BF$7,"",VLOOKUP($BG51,$BI$8:$BO$507,5,FALSE()))</f>
        <v/>
      </c>
      <c r="BU51" s="82" t="str">
        <f aca="false">IF($BG51&gt;$BF$7,"",VLOOKUP($BG51,$BI$8:$BO$507,6,FALSE()))</f>
        <v/>
      </c>
      <c r="BV51" s="54"/>
    </row>
    <row r="52" customFormat="false" ht="15.75" hidden="false" customHeight="false" outlineLevel="0" collapsed="false">
      <c r="A52" s="5"/>
      <c r="B52" s="135"/>
      <c r="C52" s="56"/>
      <c r="D52" s="57"/>
      <c r="E52" s="84"/>
      <c r="F52" s="136"/>
      <c r="G52" s="60"/>
      <c r="H52" s="137"/>
      <c r="I52" s="62"/>
      <c r="J52" s="62"/>
      <c r="K52" s="60"/>
      <c r="L52" s="138"/>
      <c r="M52" s="62"/>
      <c r="N52" s="62"/>
      <c r="O52" s="60"/>
      <c r="P52" s="84"/>
      <c r="Q52" s="65"/>
      <c r="R52" s="67" t="str">
        <f aca="false">IF(ISBLANK($C52),"",IF(E52=Constants!$B$2, TRUE(), IF(E52=Constants!$B$3, FALSE(), TRUE())))</f>
        <v/>
      </c>
      <c r="S52" s="67" t="str">
        <f aca="false">IF(ISBLANK($C52),"",IF(F52=Constants!$B$2, TRUE(), IF(F52=Constants!$B$3, FALSE(), TRUE())))</f>
        <v/>
      </c>
      <c r="T52" s="67" t="str">
        <f aca="false">IF(ISBLANK($C52),"",IF(G52=Constants!$B$16,Constants!$B$9,IF(G52=Constants!$B$17,Constants!$B$10,Constants!$B$8)))</f>
        <v/>
      </c>
      <c r="U52" s="67" t="str">
        <f aca="false">IF(ISBLANK($C52),"",IF(H52=Constants!$B$19,Constants!$B$19,Constants!$B$18))</f>
        <v/>
      </c>
      <c r="V52" s="67" t="str">
        <f aca="false">IF(ISBLANK($C52),"",IF(ISNUMBER(I52),IF(I52&gt;=0,I52,""),""))</f>
        <v/>
      </c>
      <c r="W52" s="67" t="str">
        <f aca="false">IF(ISBLANK($C52),"",IF(J52=Constants!$B$2, TRUE(), IF(J52=Constants!$B$3, FALSE(), TRUE())))</f>
        <v/>
      </c>
      <c r="X52" s="67" t="str">
        <f aca="false">IF(ISBLANK($C52),"",IF(K52=Constants!$B$2, TRUE(), IF(K52=Constants!$B$3, FALSE(), TRUE())))</f>
        <v/>
      </c>
      <c r="Y52" s="67" t="str">
        <f aca="false">IF(ISBLANK($C52),"",IF(L52=Constants!$B$19,Constants!$B$19,Constants!$B$18))</f>
        <v/>
      </c>
      <c r="Z52" s="67" t="str">
        <f aca="false">IF(ISBLANK($C52),"",IF(ISNUMBER(M52),IF(M52&gt;=0,M52,""),""))</f>
        <v/>
      </c>
      <c r="AA52" s="67" t="str">
        <f aca="false">IF(ISBLANK($C52),"",IF(N52=Constants!$B$2, TRUE(), IF(N52=Constants!$B$3, FALSE(), TRUE())))</f>
        <v/>
      </c>
      <c r="AB52" s="67" t="str">
        <f aca="false">IF(ISBLANK($C52),"",IF(O52=Constants!$B$2, TRUE(), IF(O52=Constants!$B$3, FALSE(), TRUE())))</f>
        <v/>
      </c>
      <c r="AC52" s="67" t="str">
        <f aca="false">IF(ISBLANK($C52),"",IF(P52=Constants!$B$2, TRUE(), IF(P52=Constants!$B$3, FALSE(), FALSE())))</f>
        <v/>
      </c>
      <c r="AD52" s="67" t="str">
        <f aca="false">IF(ISBLANK($C52),"",AND(V52&lt;&gt;"",IF(U52=Constants!$B$19,S52,R52)))</f>
        <v/>
      </c>
      <c r="AE52" s="67" t="str">
        <f aca="false">IF(ISBLANK($C52),"",AND(Z52&lt;&gt;"",IF(Y52=Constants!$B$19,S52,R52)))</f>
        <v/>
      </c>
      <c r="AF52" s="67" t="str">
        <f aca="false">IF(ISBLANK($C52),"",IF(AC52,Constants!$B$4,IF(COUNTA(E52:O52)=0,Constants!$B$5,IF(AND(NOT(AD52),NOT(AE52)),Constants!$B$6,Constants!$B$7))))</f>
        <v/>
      </c>
      <c r="AG52" s="67" t="str">
        <f aca="false">IF(ISBLANK($C52),"",IF($AF52&lt;&gt;Constants!$B$7,$AF52,Constants!$B$20))</f>
        <v/>
      </c>
      <c r="AH52" s="67" t="str">
        <f aca="false">IF($AF52=Constants!$B$7,IF(AD52,V52,Constants!$B$13),"")</f>
        <v/>
      </c>
      <c r="AI52" s="67" t="str">
        <f aca="false">IF($AF52=Constants!$B$7,IF(AD52,T52*IF(W52, 1, Constants!$B$11)*IF(X52, 1, Constants!$B$12),Constants!$B$13),"")</f>
        <v/>
      </c>
      <c r="AJ52" s="67" t="str">
        <f aca="false">IF($AF52=Constants!$B$7,AH52*AI52,"")</f>
        <v/>
      </c>
      <c r="AK52" s="67" t="str">
        <f aca="false">IF($AF52=Constants!$B$7,IF(AE52,Z52,Constants!$B$13),"")</f>
        <v/>
      </c>
      <c r="AL52" s="67" t="str">
        <f aca="false">IF($AF52=Constants!$B$7,IF(AE52,T52*IF(AA52, 1, Constants!$B$11)*IF(AB52, 1, Constants!$B$12),Constants!$B$13),"")</f>
        <v/>
      </c>
      <c r="AM52" s="67" t="str">
        <f aca="false">IF($AF52=Constants!$B$7,AK52*AL52,"")</f>
        <v/>
      </c>
      <c r="AN52" s="67" t="str">
        <f aca="false">IF($AF52=Constants!$B$7,IF(AM52&gt;AJ52,2,1),"")</f>
        <v/>
      </c>
      <c r="AO52" s="67" t="str">
        <f aca="false">IF($AF52=Constants!$B$7,IF(AN52=1,2,1),"")</f>
        <v/>
      </c>
      <c r="AP52" s="67" t="str">
        <f aca="false">IF(ISBLANK($C52),"",IF($AF52&lt;&gt;Constants!$B$7,$AF52,IF(AN52=1,AJ52,AM52)))</f>
        <v/>
      </c>
      <c r="AQ52" s="67" t="str">
        <f aca="false">IF(ISBLANK($C52),"",IF($AF52=Constants!$B$7,IF(ISNUMBER(AP52),RANK(AP52,$AP$8:$AP$507),Constants!$B$14),$AF52))</f>
        <v/>
      </c>
      <c r="AR52" s="67" t="str">
        <f aca="false">IF(ISBLANK($C52),"",IF($AF52=Constants!$B$7,IF(AO52=1,AJ52,AM52),""))</f>
        <v/>
      </c>
      <c r="AS52" s="67" t="str">
        <f aca="false">IF(ISBLANK($C52),"",IF($AF52=Constants!$B$7,RANK(AR52,$AR$8:$AR$507),$AF52))</f>
        <v/>
      </c>
      <c r="AT52" s="67" t="str">
        <f aca="false">IF(ISBLANK($C52),"",IF($AF52=Constants!$B$7,IF(ISNUMBER(AQ52),COUNTIFS($AQ$8:$AQ$507,"&lt;"&amp;$AQ52)+COUNTIFS($AQ$8:$AQ$507,$AQ52,$AS$8:$AS$507,"&lt;"&amp;$AS52)+1,Constants!$B$14),$AF52))</f>
        <v/>
      </c>
      <c r="AU52" s="67" t="str">
        <f aca="false">IF(ISBLANK($C52),"",IF($AF52=Constants!$B$7,IF(ISNUMBER(AQ52),AQ52-AT52,Constants!$B$14),$AF52))</f>
        <v/>
      </c>
      <c r="AV52" s="69"/>
      <c r="AW52" s="70" t="str">
        <f aca="false">IF(ISBLANK($C52),"",IF($AF52&lt;&gt;Constants!$B$7,"",AN52))</f>
        <v/>
      </c>
      <c r="AX52" s="85" t="str">
        <f aca="false">IF(ISBLANK($C52),"",IF($AF52&lt;&gt;Constants!$B$7,"",IF(AN52=1,AH52,AK52)))</f>
        <v/>
      </c>
      <c r="AY52" s="72" t="str">
        <f aca="false">IF(ISBLANK($C52),"",IF($AF52&lt;&gt;Constants!$B$7,"",IF(AN52=1,AI52,AL52)))</f>
        <v/>
      </c>
      <c r="AZ52" s="73" t="str">
        <f aca="false">IF(ISBLANK($C52),"",IF($AF52&lt;&gt;Constants!$B$7,$AF52,AP52))</f>
        <v/>
      </c>
      <c r="BA52" s="74" t="str">
        <f aca="false">IF(ISBLANK($C52),"",IF($AF52&lt;&gt;Constants!$B$7,$AF52,AG52))</f>
        <v/>
      </c>
      <c r="BB52" s="75" t="str">
        <f aca="false">IF(ISBLANK($C52),"",AU52)</f>
        <v/>
      </c>
      <c r="BC52" s="75" t="str">
        <f aca="false">IF(ISBLANK($C52),"",AT52)</f>
        <v/>
      </c>
      <c r="BD52" s="76" t="str">
        <f aca="false">IF(ISBLANK($C52),"",IFERROR(_xlfn.SWITCH(BC52,Constants!$B$4,COUNTA($C$8:$C$507)+2,Constants!$B$5,COUNTA($C$8:$C$507)+1,Constants!$B$6,COUNTA($C$8:$C$507)),BC52))</f>
        <v/>
      </c>
      <c r="BE52" s="5"/>
      <c r="BF52" s="77" t="n">
        <f aca="false">IF(OR(ISNUMBER(BC52),BC52=Constants!$B$4,BC52=Constants!$B$6,BC52=Constants!$B$5),1,0)</f>
        <v>0</v>
      </c>
      <c r="BG52" s="77" t="n">
        <v>45</v>
      </c>
      <c r="BH52" s="77" t="str">
        <f aca="false">IF(ISBLANK($C52),"",IF(ISNUMBER(BD52),BD52+ROW($B52)/1000,""))</f>
        <v/>
      </c>
      <c r="BI52" s="77" t="str">
        <f aca="false">IF(ISNUMBER(BH52),RANK(BH52,$BH$8:$BH$507,1),"")</f>
        <v/>
      </c>
      <c r="BJ52" s="77" t="str">
        <f aca="false">IF(ISBLANK($C52),"",$B52)</f>
        <v/>
      </c>
      <c r="BK52" s="77" t="str">
        <f aca="false">IF(ISBLANK($C52),"",$C52)</f>
        <v/>
      </c>
      <c r="BL52" s="77" t="str">
        <f aca="false">IF(ISBLANK($C52),"",$D52)</f>
        <v/>
      </c>
      <c r="BM52" s="78" t="str">
        <f aca="false">BA52</f>
        <v/>
      </c>
      <c r="BN52" s="79" t="str">
        <f aca="false">AZ52</f>
        <v/>
      </c>
      <c r="BO52" s="77" t="str">
        <f aca="false">IF(ISBLANK($C52),"",BC52)</f>
        <v/>
      </c>
      <c r="BP52" s="80" t="str">
        <f aca="false">IF($BG52&gt;$BF$7,"",VLOOKUP($BG52,$BI$8:$BO$507,7,FALSE()))</f>
        <v/>
      </c>
      <c r="BQ52" s="81" t="str">
        <f aca="false">IF($BG52&gt;$BF$7,"",VLOOKUP($BG52,$BI$8:$BO$507,2,FALSE()))</f>
        <v/>
      </c>
      <c r="BR52" s="81" t="str">
        <f aca="false">IF($BG52&gt;$BF$7,"",VLOOKUP($BG52,$BI$8:$BO$507,3,FALSE()))</f>
        <v/>
      </c>
      <c r="BS52" s="81" t="str">
        <f aca="false">IF($BG52&gt;$BF$7,"",VLOOKUP($BG52,$BI$8:$BO$507,4,FALSE()))</f>
        <v/>
      </c>
      <c r="BT52" s="81" t="str">
        <f aca="false">IF($BG52&gt;$BF$7,"",VLOOKUP($BG52,$BI$8:$BO$507,5,FALSE()))</f>
        <v/>
      </c>
      <c r="BU52" s="82" t="str">
        <f aca="false">IF($BG52&gt;$BF$7,"",VLOOKUP($BG52,$BI$8:$BO$507,6,FALSE()))</f>
        <v/>
      </c>
      <c r="BV52" s="54"/>
    </row>
    <row r="53" customFormat="false" ht="15.75" hidden="false" customHeight="false" outlineLevel="0" collapsed="false">
      <c r="A53" s="5"/>
      <c r="B53" s="128"/>
      <c r="C53" s="129"/>
      <c r="D53" s="114"/>
      <c r="E53" s="134"/>
      <c r="F53" s="139"/>
      <c r="G53" s="93"/>
      <c r="H53" s="140"/>
      <c r="I53" s="95"/>
      <c r="J53" s="95"/>
      <c r="K53" s="93"/>
      <c r="L53" s="141"/>
      <c r="M53" s="95"/>
      <c r="N53" s="95"/>
      <c r="O53" s="93"/>
      <c r="P53" s="134"/>
      <c r="Q53" s="98"/>
      <c r="R53" s="99" t="str">
        <f aca="false">IF(ISBLANK($C53),"",IF(E53=Constants!$B$2, TRUE(), IF(E53=Constants!$B$3, FALSE(), TRUE())))</f>
        <v/>
      </c>
      <c r="S53" s="99" t="str">
        <f aca="false">IF(ISBLANK($C53),"",IF(F53=Constants!$B$2, TRUE(), IF(F53=Constants!$B$3, FALSE(), TRUE())))</f>
        <v/>
      </c>
      <c r="T53" s="99" t="str">
        <f aca="false">IF(ISBLANK($C53),"",IF(G53=Constants!$B$16,Constants!$B$9,IF(G53=Constants!$B$17,Constants!$B$10,Constants!$B$8)))</f>
        <v/>
      </c>
      <c r="U53" s="99" t="str">
        <f aca="false">IF(ISBLANK($C53),"",IF(H53=Constants!$B$19,Constants!$B$19,Constants!$B$18))</f>
        <v/>
      </c>
      <c r="V53" s="99" t="str">
        <f aca="false">IF(ISBLANK($C53),"",IF(ISNUMBER(I53),IF(I53&gt;=0,I53,""),""))</f>
        <v/>
      </c>
      <c r="W53" s="99" t="str">
        <f aca="false">IF(ISBLANK($C53),"",IF(J53=Constants!$B$2, TRUE(), IF(J53=Constants!$B$3, FALSE(), TRUE())))</f>
        <v/>
      </c>
      <c r="X53" s="99" t="str">
        <f aca="false">IF(ISBLANK($C53),"",IF(K53=Constants!$B$2, TRUE(), IF(K53=Constants!$B$3, FALSE(), TRUE())))</f>
        <v/>
      </c>
      <c r="Y53" s="99" t="str">
        <f aca="false">IF(ISBLANK($C53),"",IF(L53=Constants!$B$19,Constants!$B$19,Constants!$B$18))</f>
        <v/>
      </c>
      <c r="Z53" s="99" t="str">
        <f aca="false">IF(ISBLANK($C53),"",IF(ISNUMBER(M53),IF(M53&gt;=0,M53,""),""))</f>
        <v/>
      </c>
      <c r="AA53" s="99" t="str">
        <f aca="false">IF(ISBLANK($C53),"",IF(N53=Constants!$B$2, TRUE(), IF(N53=Constants!$B$3, FALSE(), TRUE())))</f>
        <v/>
      </c>
      <c r="AB53" s="99" t="str">
        <f aca="false">IF(ISBLANK($C53),"",IF(O53=Constants!$B$2, TRUE(), IF(O53=Constants!$B$3, FALSE(), TRUE())))</f>
        <v/>
      </c>
      <c r="AC53" s="99" t="str">
        <f aca="false">IF(ISBLANK($C53),"",IF(P53=Constants!$B$2, TRUE(), IF(P53=Constants!$B$3, FALSE(), FALSE())))</f>
        <v/>
      </c>
      <c r="AD53" s="99" t="str">
        <f aca="false">IF(ISBLANK($C53),"",AND(V53&lt;&gt;"",IF(U53=Constants!$B$19,S53,R53)))</f>
        <v/>
      </c>
      <c r="AE53" s="99" t="str">
        <f aca="false">IF(ISBLANK($C53),"",AND(Z53&lt;&gt;"",IF(Y53=Constants!$B$19,S53,R53)))</f>
        <v/>
      </c>
      <c r="AF53" s="99" t="str">
        <f aca="false">IF(ISBLANK($C53),"",IF(AC53,Constants!$B$4,IF(COUNTA(E53:O53)=0,Constants!$B$5,IF(AND(NOT(AD53),NOT(AE53)),Constants!$B$6,Constants!$B$7))))</f>
        <v/>
      </c>
      <c r="AG53" s="99" t="str">
        <f aca="false">IF(ISBLANK($C53),"",IF($AF53&lt;&gt;Constants!$B$7,$AF53,Constants!$B$20))</f>
        <v/>
      </c>
      <c r="AH53" s="99" t="str">
        <f aca="false">IF($AF53=Constants!$B$7,IF(AD53,V53,Constants!$B$13),"")</f>
        <v/>
      </c>
      <c r="AI53" s="99" t="str">
        <f aca="false">IF($AF53=Constants!$B$7,IF(AD53,T53*IF(W53, 1, Constants!$B$11)*IF(X53, 1, Constants!$B$12),Constants!$B$13),"")</f>
        <v/>
      </c>
      <c r="AJ53" s="99" t="str">
        <f aca="false">IF($AF53=Constants!$B$7,AH53*AI53,"")</f>
        <v/>
      </c>
      <c r="AK53" s="99" t="str">
        <f aca="false">IF($AF53=Constants!$B$7,IF(AE53,Z53,Constants!$B$13),"")</f>
        <v/>
      </c>
      <c r="AL53" s="99" t="str">
        <f aca="false">IF($AF53=Constants!$B$7,IF(AE53,T53*IF(AA53, 1, Constants!$B$11)*IF(AB53, 1, Constants!$B$12),Constants!$B$13),"")</f>
        <v/>
      </c>
      <c r="AM53" s="99" t="str">
        <f aca="false">IF($AF53=Constants!$B$7,AK53*AL53,"")</f>
        <v/>
      </c>
      <c r="AN53" s="99" t="str">
        <f aca="false">IF($AF53=Constants!$B$7,IF(AM53&gt;AJ53,2,1),"")</f>
        <v/>
      </c>
      <c r="AO53" s="99" t="str">
        <f aca="false">IF($AF53=Constants!$B$7,IF(AN53=1,2,1),"")</f>
        <v/>
      </c>
      <c r="AP53" s="99" t="str">
        <f aca="false">IF(ISBLANK($C53),"",IF($AF53&lt;&gt;Constants!$B$7,$AF53,IF(AN53=1,AJ53,AM53)))</f>
        <v/>
      </c>
      <c r="AQ53" s="99" t="str">
        <f aca="false">IF(ISBLANK($C53),"",IF($AF53=Constants!$B$7,IF(ISNUMBER(AP53),RANK(AP53,$AP$8:$AP$507),Constants!$B$14),$AF53))</f>
        <v/>
      </c>
      <c r="AR53" s="99" t="str">
        <f aca="false">IF(ISBLANK($C53),"",IF($AF53=Constants!$B$7,IF(AO53=1,AJ53,AM53),""))</f>
        <v/>
      </c>
      <c r="AS53" s="99" t="str">
        <f aca="false">IF(ISBLANK($C53),"",IF($AF53=Constants!$B$7,RANK(AR53,$AR$8:$AR$507),$AF53))</f>
        <v/>
      </c>
      <c r="AT53" s="99" t="str">
        <f aca="false">IF(ISBLANK($C53),"",IF($AF53=Constants!$B$7,IF(ISNUMBER(AQ53),COUNTIFS($AQ$8:$AQ$507,"&lt;"&amp;$AQ53)+COUNTIFS($AQ$8:$AQ$507,$AQ53,$AS$8:$AS$507,"&lt;"&amp;$AS53)+1,Constants!$B$14),$AF53))</f>
        <v/>
      </c>
      <c r="AU53" s="99" t="str">
        <f aca="false">IF(ISBLANK($C53),"",IF($AF53=Constants!$B$7,IF(ISNUMBER(AQ53),AQ53-AT53,Constants!$B$14),$AF53))</f>
        <v/>
      </c>
      <c r="AV53" s="100"/>
      <c r="AW53" s="101" t="str">
        <f aca="false">IF(ISBLANK($C53),"",IF($AF53&lt;&gt;Constants!$B$7,"",AN53))</f>
        <v/>
      </c>
      <c r="AX53" s="102" t="str">
        <f aca="false">IF(ISBLANK($C53),"",IF($AF53&lt;&gt;Constants!$B$7,"",IF(AN53=1,AH53,AK53)))</f>
        <v/>
      </c>
      <c r="AY53" s="103" t="str">
        <f aca="false">IF(ISBLANK($C53),"",IF($AF53&lt;&gt;Constants!$B$7,"",IF(AN53=1,AI53,AL53)))</f>
        <v/>
      </c>
      <c r="AZ53" s="104" t="str">
        <f aca="false">IF(ISBLANK($C53),"",IF($AF53&lt;&gt;Constants!$B$7,$AF53,AP53))</f>
        <v/>
      </c>
      <c r="BA53" s="105" t="str">
        <f aca="false">IF(ISBLANK($C53),"",IF($AF53&lt;&gt;Constants!$B$7,$AF53,AG53))</f>
        <v/>
      </c>
      <c r="BB53" s="106" t="str">
        <f aca="false">IF(ISBLANK($C53),"",AU53)</f>
        <v/>
      </c>
      <c r="BC53" s="106" t="str">
        <f aca="false">IF(ISBLANK($C53),"",AT53)</f>
        <v/>
      </c>
      <c r="BD53" s="107" t="str">
        <f aca="false">IF(ISBLANK($C53),"",IFERROR(_xlfn.SWITCH(BC53,Constants!$B$4,COUNTA($C$8:$C$507)+2,Constants!$B$5,COUNTA($C$8:$C$507)+1,Constants!$B$6,COUNTA($C$8:$C$507)),BC53))</f>
        <v/>
      </c>
      <c r="BE53" s="5"/>
      <c r="BF53" s="108" t="n">
        <f aca="false">IF(OR(ISNUMBER(BC53),BC53=Constants!$B$4,BC53=Constants!$B$6,BC53=Constants!$B$5),1,0)</f>
        <v>0</v>
      </c>
      <c r="BG53" s="108" t="n">
        <v>46</v>
      </c>
      <c r="BH53" s="108" t="str">
        <f aca="false">IF(ISBLANK($C53),"",IF(ISNUMBER(BD53),BD53+ROW($B53)/1000,""))</f>
        <v/>
      </c>
      <c r="BI53" s="108" t="str">
        <f aca="false">IF(ISNUMBER(BH53),RANK(BH53,$BH$8:$BH$507,1),"")</f>
        <v/>
      </c>
      <c r="BJ53" s="108" t="str">
        <f aca="false">IF(ISBLANK($C53),"",$B53)</f>
        <v/>
      </c>
      <c r="BK53" s="108" t="str">
        <f aca="false">IF(ISBLANK($C53),"",$C53)</f>
        <v/>
      </c>
      <c r="BL53" s="108" t="str">
        <f aca="false">IF(ISBLANK($C53),"",$D53)</f>
        <v/>
      </c>
      <c r="BM53" s="109" t="str">
        <f aca="false">BA53</f>
        <v/>
      </c>
      <c r="BN53" s="110" t="str">
        <f aca="false">AZ53</f>
        <v/>
      </c>
      <c r="BO53" s="108" t="str">
        <f aca="false">IF(ISBLANK($C53),"",BC53)</f>
        <v/>
      </c>
      <c r="BP53" s="111" t="str">
        <f aca="false">IF($BG53&gt;$BF$7,"",VLOOKUP($BG53,$BI$8:$BO$507,7,FALSE()))</f>
        <v/>
      </c>
      <c r="BQ53" s="112" t="str">
        <f aca="false">IF($BG53&gt;$BF$7,"",VLOOKUP($BG53,$BI$8:$BO$507,2,FALSE()))</f>
        <v/>
      </c>
      <c r="BR53" s="112" t="str">
        <f aca="false">IF($BG53&gt;$BF$7,"",VLOOKUP($BG53,$BI$8:$BO$507,3,FALSE()))</f>
        <v/>
      </c>
      <c r="BS53" s="112" t="str">
        <f aca="false">IF($BG53&gt;$BF$7,"",VLOOKUP($BG53,$BI$8:$BO$507,4,FALSE()))</f>
        <v/>
      </c>
      <c r="BT53" s="112" t="str">
        <f aca="false">IF($BG53&gt;$BF$7,"",VLOOKUP($BG53,$BI$8:$BO$507,5,FALSE()))</f>
        <v/>
      </c>
      <c r="BU53" s="113" t="str">
        <f aca="false">IF($BG53&gt;$BF$7,"",VLOOKUP($BG53,$BI$8:$BO$507,6,FALSE()))</f>
        <v/>
      </c>
      <c r="BV53" s="54"/>
    </row>
    <row r="54" customFormat="false" ht="15.75" hidden="false" customHeight="false" outlineLevel="0" collapsed="false">
      <c r="A54" s="5"/>
      <c r="B54" s="128"/>
      <c r="C54" s="129"/>
      <c r="D54" s="114"/>
      <c r="E54" s="134"/>
      <c r="F54" s="139"/>
      <c r="G54" s="93"/>
      <c r="H54" s="140"/>
      <c r="I54" s="95"/>
      <c r="J54" s="95"/>
      <c r="K54" s="93"/>
      <c r="L54" s="141"/>
      <c r="M54" s="95"/>
      <c r="N54" s="95"/>
      <c r="O54" s="93"/>
      <c r="P54" s="134"/>
      <c r="Q54" s="98"/>
      <c r="R54" s="99" t="str">
        <f aca="false">IF(ISBLANK($C54),"",IF(E54=Constants!$B$2, TRUE(), IF(E54=Constants!$B$3, FALSE(), TRUE())))</f>
        <v/>
      </c>
      <c r="S54" s="99" t="str">
        <f aca="false">IF(ISBLANK($C54),"",IF(F54=Constants!$B$2, TRUE(), IF(F54=Constants!$B$3, FALSE(), TRUE())))</f>
        <v/>
      </c>
      <c r="T54" s="99" t="str">
        <f aca="false">IF(ISBLANK($C54),"",IF(G54=Constants!$B$16,Constants!$B$9,IF(G54=Constants!$B$17,Constants!$B$10,Constants!$B$8)))</f>
        <v/>
      </c>
      <c r="U54" s="99" t="str">
        <f aca="false">IF(ISBLANK($C54),"",IF(H54=Constants!$B$19,Constants!$B$19,Constants!$B$18))</f>
        <v/>
      </c>
      <c r="V54" s="99" t="str">
        <f aca="false">IF(ISBLANK($C54),"",IF(ISNUMBER(I54),IF(I54&gt;=0,I54,""),""))</f>
        <v/>
      </c>
      <c r="W54" s="99" t="str">
        <f aca="false">IF(ISBLANK($C54),"",IF(J54=Constants!$B$2, TRUE(), IF(J54=Constants!$B$3, FALSE(), TRUE())))</f>
        <v/>
      </c>
      <c r="X54" s="99" t="str">
        <f aca="false">IF(ISBLANK($C54),"",IF(K54=Constants!$B$2, TRUE(), IF(K54=Constants!$B$3, FALSE(), TRUE())))</f>
        <v/>
      </c>
      <c r="Y54" s="99" t="str">
        <f aca="false">IF(ISBLANK($C54),"",IF(L54=Constants!$B$19,Constants!$B$19,Constants!$B$18))</f>
        <v/>
      </c>
      <c r="Z54" s="99" t="str">
        <f aca="false">IF(ISBLANK($C54),"",IF(ISNUMBER(M54),IF(M54&gt;=0,M54,""),""))</f>
        <v/>
      </c>
      <c r="AA54" s="99" t="str">
        <f aca="false">IF(ISBLANK($C54),"",IF(N54=Constants!$B$2, TRUE(), IF(N54=Constants!$B$3, FALSE(), TRUE())))</f>
        <v/>
      </c>
      <c r="AB54" s="99" t="str">
        <f aca="false">IF(ISBLANK($C54),"",IF(O54=Constants!$B$2, TRUE(), IF(O54=Constants!$B$3, FALSE(), TRUE())))</f>
        <v/>
      </c>
      <c r="AC54" s="99" t="str">
        <f aca="false">IF(ISBLANK($C54),"",IF(P54=Constants!$B$2, TRUE(), IF(P54=Constants!$B$3, FALSE(), FALSE())))</f>
        <v/>
      </c>
      <c r="AD54" s="99" t="str">
        <f aca="false">IF(ISBLANK($C54),"",AND(V54&lt;&gt;"",IF(U54=Constants!$B$19,S54,R54)))</f>
        <v/>
      </c>
      <c r="AE54" s="99" t="str">
        <f aca="false">IF(ISBLANK($C54),"",AND(Z54&lt;&gt;"",IF(Y54=Constants!$B$19,S54,R54)))</f>
        <v/>
      </c>
      <c r="AF54" s="99" t="str">
        <f aca="false">IF(ISBLANK($C54),"",IF(AC54,Constants!$B$4,IF(COUNTA(E54:O54)=0,Constants!$B$5,IF(AND(NOT(AD54),NOT(AE54)),Constants!$B$6,Constants!$B$7))))</f>
        <v/>
      </c>
      <c r="AG54" s="99" t="str">
        <f aca="false">IF(ISBLANK($C54),"",IF($AF54&lt;&gt;Constants!$B$7,$AF54,Constants!$B$20))</f>
        <v/>
      </c>
      <c r="AH54" s="99" t="str">
        <f aca="false">IF($AF54=Constants!$B$7,IF(AD54,V54,Constants!$B$13),"")</f>
        <v/>
      </c>
      <c r="AI54" s="99" t="str">
        <f aca="false">IF($AF54=Constants!$B$7,IF(AD54,T54*IF(W54, 1, Constants!$B$11)*IF(X54, 1, Constants!$B$12),Constants!$B$13),"")</f>
        <v/>
      </c>
      <c r="AJ54" s="99" t="str">
        <f aca="false">IF($AF54=Constants!$B$7,AH54*AI54,"")</f>
        <v/>
      </c>
      <c r="AK54" s="99" t="str">
        <f aca="false">IF($AF54=Constants!$B$7,IF(AE54,Z54,Constants!$B$13),"")</f>
        <v/>
      </c>
      <c r="AL54" s="99" t="str">
        <f aca="false">IF($AF54=Constants!$B$7,IF(AE54,T54*IF(AA54, 1, Constants!$B$11)*IF(AB54, 1, Constants!$B$12),Constants!$B$13),"")</f>
        <v/>
      </c>
      <c r="AM54" s="99" t="str">
        <f aca="false">IF($AF54=Constants!$B$7,AK54*AL54,"")</f>
        <v/>
      </c>
      <c r="AN54" s="99" t="str">
        <f aca="false">IF($AF54=Constants!$B$7,IF(AM54&gt;AJ54,2,1),"")</f>
        <v/>
      </c>
      <c r="AO54" s="99" t="str">
        <f aca="false">IF($AF54=Constants!$B$7,IF(AN54=1,2,1),"")</f>
        <v/>
      </c>
      <c r="AP54" s="99" t="str">
        <f aca="false">IF(ISBLANK($C54),"",IF($AF54&lt;&gt;Constants!$B$7,$AF54,IF(AN54=1,AJ54,AM54)))</f>
        <v/>
      </c>
      <c r="AQ54" s="99" t="str">
        <f aca="false">IF(ISBLANK($C54),"",IF($AF54=Constants!$B$7,IF(ISNUMBER(AP54),RANK(AP54,$AP$8:$AP$507),Constants!$B$14),$AF54))</f>
        <v/>
      </c>
      <c r="AR54" s="99" t="str">
        <f aca="false">IF(ISBLANK($C54),"",IF($AF54=Constants!$B$7,IF(AO54=1,AJ54,AM54),""))</f>
        <v/>
      </c>
      <c r="AS54" s="99" t="str">
        <f aca="false">IF(ISBLANK($C54),"",IF($AF54=Constants!$B$7,RANK(AR54,$AR$8:$AR$507),$AF54))</f>
        <v/>
      </c>
      <c r="AT54" s="99" t="str">
        <f aca="false">IF(ISBLANK($C54),"",IF($AF54=Constants!$B$7,IF(ISNUMBER(AQ54),COUNTIFS($AQ$8:$AQ$507,"&lt;"&amp;$AQ54)+COUNTIFS($AQ$8:$AQ$507,$AQ54,$AS$8:$AS$507,"&lt;"&amp;$AS54)+1,Constants!$B$14),$AF54))</f>
        <v/>
      </c>
      <c r="AU54" s="99" t="str">
        <f aca="false">IF(ISBLANK($C54),"",IF($AF54=Constants!$B$7,IF(ISNUMBER(AQ54),AQ54-AT54,Constants!$B$14),$AF54))</f>
        <v/>
      </c>
      <c r="AV54" s="100"/>
      <c r="AW54" s="101" t="str">
        <f aca="false">IF(ISBLANK($C54),"",IF($AF54&lt;&gt;Constants!$B$7,"",AN54))</f>
        <v/>
      </c>
      <c r="AX54" s="102" t="str">
        <f aca="false">IF(ISBLANK($C54),"",IF($AF54&lt;&gt;Constants!$B$7,"",IF(AN54=1,AH54,AK54)))</f>
        <v/>
      </c>
      <c r="AY54" s="103" t="str">
        <f aca="false">IF(ISBLANK($C54),"",IF($AF54&lt;&gt;Constants!$B$7,"",IF(AN54=1,AI54,AL54)))</f>
        <v/>
      </c>
      <c r="AZ54" s="104" t="str">
        <f aca="false">IF(ISBLANK($C54),"",IF($AF54&lt;&gt;Constants!$B$7,$AF54,AP54))</f>
        <v/>
      </c>
      <c r="BA54" s="105" t="str">
        <f aca="false">IF(ISBLANK($C54),"",IF($AF54&lt;&gt;Constants!$B$7,$AF54,AG54))</f>
        <v/>
      </c>
      <c r="BB54" s="106" t="str">
        <f aca="false">IF(ISBLANK($C54),"",AU54)</f>
        <v/>
      </c>
      <c r="BC54" s="106" t="str">
        <f aca="false">IF(ISBLANK($C54),"",AT54)</f>
        <v/>
      </c>
      <c r="BD54" s="107" t="str">
        <f aca="false">IF(ISBLANK($C54),"",IFERROR(_xlfn.SWITCH(BC54,Constants!$B$4,COUNTA($C$8:$C$507)+2,Constants!$B$5,COUNTA($C$8:$C$507)+1,Constants!$B$6,COUNTA($C$8:$C$507)),BC54))</f>
        <v/>
      </c>
      <c r="BE54" s="5"/>
      <c r="BF54" s="108" t="n">
        <f aca="false">IF(OR(ISNUMBER(BC54),BC54=Constants!$B$4,BC54=Constants!$B$6,BC54=Constants!$B$5),1,0)</f>
        <v>0</v>
      </c>
      <c r="BG54" s="108" t="n">
        <v>47</v>
      </c>
      <c r="BH54" s="108" t="str">
        <f aca="false">IF(ISBLANK($C54),"",IF(ISNUMBER(BD54),BD54+ROW($B54)/1000,""))</f>
        <v/>
      </c>
      <c r="BI54" s="108" t="str">
        <f aca="false">IF(ISNUMBER(BH54),RANK(BH54,$BH$8:$BH$507,1),"")</f>
        <v/>
      </c>
      <c r="BJ54" s="108" t="str">
        <f aca="false">IF(ISBLANK($C54),"",$B54)</f>
        <v/>
      </c>
      <c r="BK54" s="108" t="str">
        <f aca="false">IF(ISBLANK($C54),"",$C54)</f>
        <v/>
      </c>
      <c r="BL54" s="108" t="str">
        <f aca="false">IF(ISBLANK($C54),"",$D54)</f>
        <v/>
      </c>
      <c r="BM54" s="109" t="str">
        <f aca="false">BA54</f>
        <v/>
      </c>
      <c r="BN54" s="110" t="str">
        <f aca="false">AZ54</f>
        <v/>
      </c>
      <c r="BO54" s="108" t="str">
        <f aca="false">IF(ISBLANK($C54),"",BC54)</f>
        <v/>
      </c>
      <c r="BP54" s="111" t="str">
        <f aca="false">IF($BG54&gt;$BF$7,"",VLOOKUP($BG54,$BI$8:$BO$507,7,FALSE()))</f>
        <v/>
      </c>
      <c r="BQ54" s="112" t="str">
        <f aca="false">IF($BG54&gt;$BF$7,"",VLOOKUP($BG54,$BI$8:$BO$507,2,FALSE()))</f>
        <v/>
      </c>
      <c r="BR54" s="112" t="str">
        <f aca="false">IF($BG54&gt;$BF$7,"",VLOOKUP($BG54,$BI$8:$BO$507,3,FALSE()))</f>
        <v/>
      </c>
      <c r="BS54" s="112" t="str">
        <f aca="false">IF($BG54&gt;$BF$7,"",VLOOKUP($BG54,$BI$8:$BO$507,4,FALSE()))</f>
        <v/>
      </c>
      <c r="BT54" s="112" t="str">
        <f aca="false">IF($BG54&gt;$BF$7,"",VLOOKUP($BG54,$BI$8:$BO$507,5,FALSE()))</f>
        <v/>
      </c>
      <c r="BU54" s="113" t="str">
        <f aca="false">IF($BG54&gt;$BF$7,"",VLOOKUP($BG54,$BI$8:$BO$507,6,FALSE()))</f>
        <v/>
      </c>
      <c r="BV54" s="54"/>
    </row>
    <row r="55" customFormat="false" ht="15.75" hidden="false" customHeight="false" outlineLevel="0" collapsed="false">
      <c r="A55" s="5"/>
      <c r="B55" s="128"/>
      <c r="C55" s="129"/>
      <c r="D55" s="114"/>
      <c r="E55" s="134"/>
      <c r="F55" s="139"/>
      <c r="G55" s="93"/>
      <c r="H55" s="140"/>
      <c r="I55" s="95"/>
      <c r="J55" s="95"/>
      <c r="K55" s="93"/>
      <c r="L55" s="141"/>
      <c r="M55" s="95"/>
      <c r="N55" s="95"/>
      <c r="O55" s="93"/>
      <c r="P55" s="134"/>
      <c r="Q55" s="98"/>
      <c r="R55" s="99" t="str">
        <f aca="false">IF(ISBLANK($C55),"",IF(E55=Constants!$B$2, TRUE(), IF(E55=Constants!$B$3, FALSE(), TRUE())))</f>
        <v/>
      </c>
      <c r="S55" s="99" t="str">
        <f aca="false">IF(ISBLANK($C55),"",IF(F55=Constants!$B$2, TRUE(), IF(F55=Constants!$B$3, FALSE(), TRUE())))</f>
        <v/>
      </c>
      <c r="T55" s="99" t="str">
        <f aca="false">IF(ISBLANK($C55),"",IF(G55=Constants!$B$16,Constants!$B$9,IF(G55=Constants!$B$17,Constants!$B$10,Constants!$B$8)))</f>
        <v/>
      </c>
      <c r="U55" s="99" t="str">
        <f aca="false">IF(ISBLANK($C55),"",IF(H55=Constants!$B$19,Constants!$B$19,Constants!$B$18))</f>
        <v/>
      </c>
      <c r="V55" s="99" t="str">
        <f aca="false">IF(ISBLANK($C55),"",IF(ISNUMBER(I55),IF(I55&gt;=0,I55,""),""))</f>
        <v/>
      </c>
      <c r="W55" s="99" t="str">
        <f aca="false">IF(ISBLANK($C55),"",IF(J55=Constants!$B$2, TRUE(), IF(J55=Constants!$B$3, FALSE(), TRUE())))</f>
        <v/>
      </c>
      <c r="X55" s="99" t="str">
        <f aca="false">IF(ISBLANK($C55),"",IF(K55=Constants!$B$2, TRUE(), IF(K55=Constants!$B$3, FALSE(), TRUE())))</f>
        <v/>
      </c>
      <c r="Y55" s="99" t="str">
        <f aca="false">IF(ISBLANK($C55),"",IF(L55=Constants!$B$19,Constants!$B$19,Constants!$B$18))</f>
        <v/>
      </c>
      <c r="Z55" s="99" t="str">
        <f aca="false">IF(ISBLANK($C55),"",IF(ISNUMBER(M55),IF(M55&gt;=0,M55,""),""))</f>
        <v/>
      </c>
      <c r="AA55" s="99" t="str">
        <f aca="false">IF(ISBLANK($C55),"",IF(N55=Constants!$B$2, TRUE(), IF(N55=Constants!$B$3, FALSE(), TRUE())))</f>
        <v/>
      </c>
      <c r="AB55" s="99" t="str">
        <f aca="false">IF(ISBLANK($C55),"",IF(O55=Constants!$B$2, TRUE(), IF(O55=Constants!$B$3, FALSE(), TRUE())))</f>
        <v/>
      </c>
      <c r="AC55" s="99" t="str">
        <f aca="false">IF(ISBLANK($C55),"",IF(P55=Constants!$B$2, TRUE(), IF(P55=Constants!$B$3, FALSE(), FALSE())))</f>
        <v/>
      </c>
      <c r="AD55" s="99" t="str">
        <f aca="false">IF(ISBLANK($C55),"",AND(V55&lt;&gt;"",IF(U55=Constants!$B$19,S55,R55)))</f>
        <v/>
      </c>
      <c r="AE55" s="99" t="str">
        <f aca="false">IF(ISBLANK($C55),"",AND(Z55&lt;&gt;"",IF(Y55=Constants!$B$19,S55,R55)))</f>
        <v/>
      </c>
      <c r="AF55" s="99" t="str">
        <f aca="false">IF(ISBLANK($C55),"",IF(AC55,Constants!$B$4,IF(COUNTA(E55:O55)=0,Constants!$B$5,IF(AND(NOT(AD55),NOT(AE55)),Constants!$B$6,Constants!$B$7))))</f>
        <v/>
      </c>
      <c r="AG55" s="99" t="str">
        <f aca="false">IF(ISBLANK($C55),"",IF($AF55&lt;&gt;Constants!$B$7,$AF55,Constants!$B$20))</f>
        <v/>
      </c>
      <c r="AH55" s="99" t="str">
        <f aca="false">IF($AF55=Constants!$B$7,IF(AD55,V55,Constants!$B$13),"")</f>
        <v/>
      </c>
      <c r="AI55" s="99" t="str">
        <f aca="false">IF($AF55=Constants!$B$7,IF(AD55,T55*IF(W55, 1, Constants!$B$11)*IF(X55, 1, Constants!$B$12),Constants!$B$13),"")</f>
        <v/>
      </c>
      <c r="AJ55" s="99" t="str">
        <f aca="false">IF($AF55=Constants!$B$7,AH55*AI55,"")</f>
        <v/>
      </c>
      <c r="AK55" s="99" t="str">
        <f aca="false">IF($AF55=Constants!$B$7,IF(AE55,Z55,Constants!$B$13),"")</f>
        <v/>
      </c>
      <c r="AL55" s="99" t="str">
        <f aca="false">IF($AF55=Constants!$B$7,IF(AE55,T55*IF(AA55, 1, Constants!$B$11)*IF(AB55, 1, Constants!$B$12),Constants!$B$13),"")</f>
        <v/>
      </c>
      <c r="AM55" s="99" t="str">
        <f aca="false">IF($AF55=Constants!$B$7,AK55*AL55,"")</f>
        <v/>
      </c>
      <c r="AN55" s="99" t="str">
        <f aca="false">IF($AF55=Constants!$B$7,IF(AM55&gt;AJ55,2,1),"")</f>
        <v/>
      </c>
      <c r="AO55" s="99" t="str">
        <f aca="false">IF($AF55=Constants!$B$7,IF(AN55=1,2,1),"")</f>
        <v/>
      </c>
      <c r="AP55" s="99" t="str">
        <f aca="false">IF(ISBLANK($C55),"",IF($AF55&lt;&gt;Constants!$B$7,$AF55,IF(AN55=1,AJ55,AM55)))</f>
        <v/>
      </c>
      <c r="AQ55" s="99" t="str">
        <f aca="false">IF(ISBLANK($C55),"",IF($AF55=Constants!$B$7,IF(ISNUMBER(AP55),RANK(AP55,$AP$8:$AP$507),Constants!$B$14),$AF55))</f>
        <v/>
      </c>
      <c r="AR55" s="99" t="str">
        <f aca="false">IF(ISBLANK($C55),"",IF($AF55=Constants!$B$7,IF(AO55=1,AJ55,AM55),""))</f>
        <v/>
      </c>
      <c r="AS55" s="99" t="str">
        <f aca="false">IF(ISBLANK($C55),"",IF($AF55=Constants!$B$7,RANK(AR55,$AR$8:$AR$507),$AF55))</f>
        <v/>
      </c>
      <c r="AT55" s="99" t="str">
        <f aca="false">IF(ISBLANK($C55),"",IF($AF55=Constants!$B$7,IF(ISNUMBER(AQ55),COUNTIFS($AQ$8:$AQ$507,"&lt;"&amp;$AQ55)+COUNTIFS($AQ$8:$AQ$507,$AQ55,$AS$8:$AS$507,"&lt;"&amp;$AS55)+1,Constants!$B$14),$AF55))</f>
        <v/>
      </c>
      <c r="AU55" s="99" t="str">
        <f aca="false">IF(ISBLANK($C55),"",IF($AF55=Constants!$B$7,IF(ISNUMBER(AQ55),AQ55-AT55,Constants!$B$14),$AF55))</f>
        <v/>
      </c>
      <c r="AV55" s="100"/>
      <c r="AW55" s="101" t="str">
        <f aca="false">IF(ISBLANK($C55),"",IF($AF55&lt;&gt;Constants!$B$7,"",AN55))</f>
        <v/>
      </c>
      <c r="AX55" s="102" t="str">
        <f aca="false">IF(ISBLANK($C55),"",IF($AF55&lt;&gt;Constants!$B$7,"",IF(AN55=1,AH55,AK55)))</f>
        <v/>
      </c>
      <c r="AY55" s="103" t="str">
        <f aca="false">IF(ISBLANK($C55),"",IF($AF55&lt;&gt;Constants!$B$7,"",IF(AN55=1,AI55,AL55)))</f>
        <v/>
      </c>
      <c r="AZ55" s="104" t="str">
        <f aca="false">IF(ISBLANK($C55),"",IF($AF55&lt;&gt;Constants!$B$7,$AF55,AP55))</f>
        <v/>
      </c>
      <c r="BA55" s="105" t="str">
        <f aca="false">IF(ISBLANK($C55),"",IF($AF55&lt;&gt;Constants!$B$7,$AF55,AG55))</f>
        <v/>
      </c>
      <c r="BB55" s="106" t="str">
        <f aca="false">IF(ISBLANK($C55),"",AU55)</f>
        <v/>
      </c>
      <c r="BC55" s="106" t="str">
        <f aca="false">IF(ISBLANK($C55),"",AT55)</f>
        <v/>
      </c>
      <c r="BD55" s="107" t="str">
        <f aca="false">IF(ISBLANK($C55),"",IFERROR(_xlfn.SWITCH(BC55,Constants!$B$4,COUNTA($C$8:$C$507)+2,Constants!$B$5,COUNTA($C$8:$C$507)+1,Constants!$B$6,COUNTA($C$8:$C$507)),BC55))</f>
        <v/>
      </c>
      <c r="BE55" s="5"/>
      <c r="BF55" s="108" t="n">
        <f aca="false">IF(OR(ISNUMBER(BC55),BC55=Constants!$B$4,BC55=Constants!$B$6,BC55=Constants!$B$5),1,0)</f>
        <v>0</v>
      </c>
      <c r="BG55" s="108" t="n">
        <v>48</v>
      </c>
      <c r="BH55" s="108" t="str">
        <f aca="false">IF(ISBLANK($C55),"",IF(ISNUMBER(BD55),BD55+ROW($B55)/1000,""))</f>
        <v/>
      </c>
      <c r="BI55" s="108" t="str">
        <f aca="false">IF(ISNUMBER(BH55),RANK(BH55,$BH$8:$BH$507,1),"")</f>
        <v/>
      </c>
      <c r="BJ55" s="108" t="str">
        <f aca="false">IF(ISBLANK($C55),"",$B55)</f>
        <v/>
      </c>
      <c r="BK55" s="108" t="str">
        <f aca="false">IF(ISBLANK($C55),"",$C55)</f>
        <v/>
      </c>
      <c r="BL55" s="108" t="str">
        <f aca="false">IF(ISBLANK($C55),"",$D55)</f>
        <v/>
      </c>
      <c r="BM55" s="109" t="str">
        <f aca="false">BA55</f>
        <v/>
      </c>
      <c r="BN55" s="110" t="str">
        <f aca="false">AZ55</f>
        <v/>
      </c>
      <c r="BO55" s="108" t="str">
        <f aca="false">IF(ISBLANK($C55),"",BC55)</f>
        <v/>
      </c>
      <c r="BP55" s="111" t="str">
        <f aca="false">IF($BG55&gt;$BF$7,"",VLOOKUP($BG55,$BI$8:$BO$507,7,FALSE()))</f>
        <v/>
      </c>
      <c r="BQ55" s="112" t="str">
        <f aca="false">IF($BG55&gt;$BF$7,"",VLOOKUP($BG55,$BI$8:$BO$507,2,FALSE()))</f>
        <v/>
      </c>
      <c r="BR55" s="112" t="str">
        <f aca="false">IF($BG55&gt;$BF$7,"",VLOOKUP($BG55,$BI$8:$BO$507,3,FALSE()))</f>
        <v/>
      </c>
      <c r="BS55" s="112" t="str">
        <f aca="false">IF($BG55&gt;$BF$7,"",VLOOKUP($BG55,$BI$8:$BO$507,4,FALSE()))</f>
        <v/>
      </c>
      <c r="BT55" s="112" t="str">
        <f aca="false">IF($BG55&gt;$BF$7,"",VLOOKUP($BG55,$BI$8:$BO$507,5,FALSE()))</f>
        <v/>
      </c>
      <c r="BU55" s="113" t="str">
        <f aca="false">IF($BG55&gt;$BF$7,"",VLOOKUP($BG55,$BI$8:$BO$507,6,FALSE()))</f>
        <v/>
      </c>
      <c r="BV55" s="54"/>
    </row>
    <row r="56" customFormat="false" ht="15.75" hidden="false" customHeight="false" outlineLevel="0" collapsed="false">
      <c r="A56" s="5"/>
      <c r="B56" s="135"/>
      <c r="C56" s="56"/>
      <c r="D56" s="57"/>
      <c r="E56" s="84"/>
      <c r="F56" s="136"/>
      <c r="G56" s="60"/>
      <c r="H56" s="137"/>
      <c r="I56" s="62"/>
      <c r="J56" s="62"/>
      <c r="K56" s="60"/>
      <c r="L56" s="138"/>
      <c r="M56" s="62"/>
      <c r="N56" s="62"/>
      <c r="O56" s="60"/>
      <c r="P56" s="84"/>
      <c r="Q56" s="65"/>
      <c r="R56" s="67" t="str">
        <f aca="false">IF(ISBLANK($C56),"",IF(E56=Constants!$B$2, TRUE(), IF(E56=Constants!$B$3, FALSE(), TRUE())))</f>
        <v/>
      </c>
      <c r="S56" s="67" t="str">
        <f aca="false">IF(ISBLANK($C56),"",IF(F56=Constants!$B$2, TRUE(), IF(F56=Constants!$B$3, FALSE(), TRUE())))</f>
        <v/>
      </c>
      <c r="T56" s="67" t="str">
        <f aca="false">IF(ISBLANK($C56),"",IF(G56=Constants!$B$16,Constants!$B$9,IF(G56=Constants!$B$17,Constants!$B$10,Constants!$B$8)))</f>
        <v/>
      </c>
      <c r="U56" s="67" t="str">
        <f aca="false">IF(ISBLANK($C56),"",IF(H56=Constants!$B$19,Constants!$B$19,Constants!$B$18))</f>
        <v/>
      </c>
      <c r="V56" s="67" t="str">
        <f aca="false">IF(ISBLANK($C56),"",IF(ISNUMBER(I56),IF(I56&gt;=0,I56,""),""))</f>
        <v/>
      </c>
      <c r="W56" s="67" t="str">
        <f aca="false">IF(ISBLANK($C56),"",IF(J56=Constants!$B$2, TRUE(), IF(J56=Constants!$B$3, FALSE(), TRUE())))</f>
        <v/>
      </c>
      <c r="X56" s="67" t="str">
        <f aca="false">IF(ISBLANK($C56),"",IF(K56=Constants!$B$2, TRUE(), IF(K56=Constants!$B$3, FALSE(), TRUE())))</f>
        <v/>
      </c>
      <c r="Y56" s="67" t="str">
        <f aca="false">IF(ISBLANK($C56),"",IF(L56=Constants!$B$19,Constants!$B$19,Constants!$B$18))</f>
        <v/>
      </c>
      <c r="Z56" s="67" t="str">
        <f aca="false">IF(ISBLANK($C56),"",IF(ISNUMBER(M56),IF(M56&gt;=0,M56,""),""))</f>
        <v/>
      </c>
      <c r="AA56" s="67" t="str">
        <f aca="false">IF(ISBLANK($C56),"",IF(N56=Constants!$B$2, TRUE(), IF(N56=Constants!$B$3, FALSE(), TRUE())))</f>
        <v/>
      </c>
      <c r="AB56" s="67" t="str">
        <f aca="false">IF(ISBLANK($C56),"",IF(O56=Constants!$B$2, TRUE(), IF(O56=Constants!$B$3, FALSE(), TRUE())))</f>
        <v/>
      </c>
      <c r="AC56" s="67" t="str">
        <f aca="false">IF(ISBLANK($C56),"",IF(P56=Constants!$B$2, TRUE(), IF(P56=Constants!$B$3, FALSE(), FALSE())))</f>
        <v/>
      </c>
      <c r="AD56" s="67" t="str">
        <f aca="false">IF(ISBLANK($C56),"",AND(V56&lt;&gt;"",IF(U56=Constants!$B$19,S56,R56)))</f>
        <v/>
      </c>
      <c r="AE56" s="67" t="str">
        <f aca="false">IF(ISBLANK($C56),"",AND(Z56&lt;&gt;"",IF(Y56=Constants!$B$19,S56,R56)))</f>
        <v/>
      </c>
      <c r="AF56" s="67" t="str">
        <f aca="false">IF(ISBLANK($C56),"",IF(AC56,Constants!$B$4,IF(COUNTA(E56:O56)=0,Constants!$B$5,IF(AND(NOT(AD56),NOT(AE56)),Constants!$B$6,Constants!$B$7))))</f>
        <v/>
      </c>
      <c r="AG56" s="67" t="str">
        <f aca="false">IF(ISBLANK($C56),"",IF($AF56&lt;&gt;Constants!$B$7,$AF56,Constants!$B$20))</f>
        <v/>
      </c>
      <c r="AH56" s="67" t="str">
        <f aca="false">IF($AF56=Constants!$B$7,IF(AD56,V56,Constants!$B$13),"")</f>
        <v/>
      </c>
      <c r="AI56" s="67" t="str">
        <f aca="false">IF($AF56=Constants!$B$7,IF(AD56,T56*IF(W56, 1, Constants!$B$11)*IF(X56, 1, Constants!$B$12),Constants!$B$13),"")</f>
        <v/>
      </c>
      <c r="AJ56" s="67" t="str">
        <f aca="false">IF($AF56=Constants!$B$7,AH56*AI56,"")</f>
        <v/>
      </c>
      <c r="AK56" s="67" t="str">
        <f aca="false">IF($AF56=Constants!$B$7,IF(AE56,Z56,Constants!$B$13),"")</f>
        <v/>
      </c>
      <c r="AL56" s="67" t="str">
        <f aca="false">IF($AF56=Constants!$B$7,IF(AE56,T56*IF(AA56, 1, Constants!$B$11)*IF(AB56, 1, Constants!$B$12),Constants!$B$13),"")</f>
        <v/>
      </c>
      <c r="AM56" s="67" t="str">
        <f aca="false">IF($AF56=Constants!$B$7,AK56*AL56,"")</f>
        <v/>
      </c>
      <c r="AN56" s="67" t="str">
        <f aca="false">IF($AF56=Constants!$B$7,IF(AM56&gt;AJ56,2,1),"")</f>
        <v/>
      </c>
      <c r="AO56" s="67" t="str">
        <f aca="false">IF($AF56=Constants!$B$7,IF(AN56=1,2,1),"")</f>
        <v/>
      </c>
      <c r="AP56" s="67" t="str">
        <f aca="false">IF(ISBLANK($C56),"",IF($AF56&lt;&gt;Constants!$B$7,$AF56,IF(AN56=1,AJ56,AM56)))</f>
        <v/>
      </c>
      <c r="AQ56" s="67" t="str">
        <f aca="false">IF(ISBLANK($C56),"",IF($AF56=Constants!$B$7,IF(ISNUMBER(AP56),RANK(AP56,$AP$8:$AP$507),Constants!$B$14),$AF56))</f>
        <v/>
      </c>
      <c r="AR56" s="67" t="str">
        <f aca="false">IF(ISBLANK($C56),"",IF($AF56=Constants!$B$7,IF(AO56=1,AJ56,AM56),""))</f>
        <v/>
      </c>
      <c r="AS56" s="67" t="str">
        <f aca="false">IF(ISBLANK($C56),"",IF($AF56=Constants!$B$7,RANK(AR56,$AR$8:$AR$507),$AF56))</f>
        <v/>
      </c>
      <c r="AT56" s="67" t="str">
        <f aca="false">IF(ISBLANK($C56),"",IF($AF56=Constants!$B$7,IF(ISNUMBER(AQ56),COUNTIFS($AQ$8:$AQ$507,"&lt;"&amp;$AQ56)+COUNTIFS($AQ$8:$AQ$507,$AQ56,$AS$8:$AS$507,"&lt;"&amp;$AS56)+1,Constants!$B$14),$AF56))</f>
        <v/>
      </c>
      <c r="AU56" s="67" t="str">
        <f aca="false">IF(ISBLANK($C56),"",IF($AF56=Constants!$B$7,IF(ISNUMBER(AQ56),AQ56-AT56,Constants!$B$14),$AF56))</f>
        <v/>
      </c>
      <c r="AV56" s="69"/>
      <c r="AW56" s="70" t="str">
        <f aca="false">IF(ISBLANK($C56),"",IF($AF56&lt;&gt;Constants!$B$7,"",AN56))</f>
        <v/>
      </c>
      <c r="AX56" s="85" t="str">
        <f aca="false">IF(ISBLANK($C56),"",IF($AF56&lt;&gt;Constants!$B$7,"",IF(AN56=1,AH56,AK56)))</f>
        <v/>
      </c>
      <c r="AY56" s="72" t="str">
        <f aca="false">IF(ISBLANK($C56),"",IF($AF56&lt;&gt;Constants!$B$7,"",IF(AN56=1,AI56,AL56)))</f>
        <v/>
      </c>
      <c r="AZ56" s="73" t="str">
        <f aca="false">IF(ISBLANK($C56),"",IF($AF56&lt;&gt;Constants!$B$7,$AF56,AP56))</f>
        <v/>
      </c>
      <c r="BA56" s="74" t="str">
        <f aca="false">IF(ISBLANK($C56),"",IF($AF56&lt;&gt;Constants!$B$7,$AF56,AG56))</f>
        <v/>
      </c>
      <c r="BB56" s="75" t="str">
        <f aca="false">IF(ISBLANK($C56),"",AU56)</f>
        <v/>
      </c>
      <c r="BC56" s="75" t="str">
        <f aca="false">IF(ISBLANK($C56),"",AT56)</f>
        <v/>
      </c>
      <c r="BD56" s="76" t="str">
        <f aca="false">IF(ISBLANK($C56),"",IFERROR(_xlfn.SWITCH(BC56,Constants!$B$4,COUNTA($C$8:$C$507)+2,Constants!$B$5,COUNTA($C$8:$C$507)+1,Constants!$B$6,COUNTA($C$8:$C$507)),BC56))</f>
        <v/>
      </c>
      <c r="BE56" s="5"/>
      <c r="BF56" s="77" t="n">
        <f aca="false">IF(OR(ISNUMBER(BC56),BC56=Constants!$B$4,BC56=Constants!$B$6,BC56=Constants!$B$5),1,0)</f>
        <v>0</v>
      </c>
      <c r="BG56" s="77" t="n">
        <v>49</v>
      </c>
      <c r="BH56" s="77" t="str">
        <f aca="false">IF(ISBLANK($C56),"",IF(ISNUMBER(BD56),BD56+ROW($B56)/1000,""))</f>
        <v/>
      </c>
      <c r="BI56" s="77" t="str">
        <f aca="false">IF(ISNUMBER(BH56),RANK(BH56,$BH$8:$BH$507,1),"")</f>
        <v/>
      </c>
      <c r="BJ56" s="77" t="str">
        <f aca="false">IF(ISBLANK($C56),"",$B56)</f>
        <v/>
      </c>
      <c r="BK56" s="77" t="str">
        <f aca="false">IF(ISBLANK($C56),"",$C56)</f>
        <v/>
      </c>
      <c r="BL56" s="77" t="str">
        <f aca="false">IF(ISBLANK($C56),"",$D56)</f>
        <v/>
      </c>
      <c r="BM56" s="78" t="str">
        <f aca="false">BA56</f>
        <v/>
      </c>
      <c r="BN56" s="79" t="str">
        <f aca="false">AZ56</f>
        <v/>
      </c>
      <c r="BO56" s="77" t="str">
        <f aca="false">IF(ISBLANK($C56),"",BC56)</f>
        <v/>
      </c>
      <c r="BP56" s="80" t="str">
        <f aca="false">IF($BG56&gt;$BF$7,"",VLOOKUP($BG56,$BI$8:$BO$507,7,FALSE()))</f>
        <v/>
      </c>
      <c r="BQ56" s="81" t="str">
        <f aca="false">IF($BG56&gt;$BF$7,"",VLOOKUP($BG56,$BI$8:$BO$507,2,FALSE()))</f>
        <v/>
      </c>
      <c r="BR56" s="81" t="str">
        <f aca="false">IF($BG56&gt;$BF$7,"",VLOOKUP($BG56,$BI$8:$BO$507,3,FALSE()))</f>
        <v/>
      </c>
      <c r="BS56" s="81" t="str">
        <f aca="false">IF($BG56&gt;$BF$7,"",VLOOKUP($BG56,$BI$8:$BO$507,4,FALSE()))</f>
        <v/>
      </c>
      <c r="BT56" s="81" t="str">
        <f aca="false">IF($BG56&gt;$BF$7,"",VLOOKUP($BG56,$BI$8:$BO$507,5,FALSE()))</f>
        <v/>
      </c>
      <c r="BU56" s="82" t="str">
        <f aca="false">IF($BG56&gt;$BF$7,"",VLOOKUP($BG56,$BI$8:$BO$507,6,FALSE()))</f>
        <v/>
      </c>
      <c r="BV56" s="54"/>
    </row>
    <row r="57" customFormat="false" ht="15.75" hidden="false" customHeight="false" outlineLevel="0" collapsed="false">
      <c r="A57" s="5"/>
      <c r="B57" s="135"/>
      <c r="C57" s="56"/>
      <c r="D57" s="57"/>
      <c r="E57" s="84"/>
      <c r="F57" s="136"/>
      <c r="G57" s="60"/>
      <c r="H57" s="137"/>
      <c r="I57" s="62"/>
      <c r="J57" s="62"/>
      <c r="K57" s="60"/>
      <c r="L57" s="138"/>
      <c r="M57" s="62"/>
      <c r="N57" s="62"/>
      <c r="O57" s="60"/>
      <c r="P57" s="84"/>
      <c r="Q57" s="65"/>
      <c r="R57" s="67" t="str">
        <f aca="false">IF(ISBLANK($C57),"",IF(E57=Constants!$B$2, TRUE(), IF(E57=Constants!$B$3, FALSE(), TRUE())))</f>
        <v/>
      </c>
      <c r="S57" s="67" t="str">
        <f aca="false">IF(ISBLANK($C57),"",IF(F57=Constants!$B$2, TRUE(), IF(F57=Constants!$B$3, FALSE(), TRUE())))</f>
        <v/>
      </c>
      <c r="T57" s="67" t="str">
        <f aca="false">IF(ISBLANK($C57),"",IF(G57=Constants!$B$16,Constants!$B$9,IF(G57=Constants!$B$17,Constants!$B$10,Constants!$B$8)))</f>
        <v/>
      </c>
      <c r="U57" s="67" t="str">
        <f aca="false">IF(ISBLANK($C57),"",IF(H57=Constants!$B$19,Constants!$B$19,Constants!$B$18))</f>
        <v/>
      </c>
      <c r="V57" s="67" t="str">
        <f aca="false">IF(ISBLANK($C57),"",IF(ISNUMBER(I57),IF(I57&gt;=0,I57,""),""))</f>
        <v/>
      </c>
      <c r="W57" s="67" t="str">
        <f aca="false">IF(ISBLANK($C57),"",IF(J57=Constants!$B$2, TRUE(), IF(J57=Constants!$B$3, FALSE(), TRUE())))</f>
        <v/>
      </c>
      <c r="X57" s="67" t="str">
        <f aca="false">IF(ISBLANK($C57),"",IF(K57=Constants!$B$2, TRUE(), IF(K57=Constants!$B$3, FALSE(), TRUE())))</f>
        <v/>
      </c>
      <c r="Y57" s="67" t="str">
        <f aca="false">IF(ISBLANK($C57),"",IF(L57=Constants!$B$19,Constants!$B$19,Constants!$B$18))</f>
        <v/>
      </c>
      <c r="Z57" s="67" t="str">
        <f aca="false">IF(ISBLANK($C57),"",IF(ISNUMBER(M57),IF(M57&gt;=0,M57,""),""))</f>
        <v/>
      </c>
      <c r="AA57" s="67" t="str">
        <f aca="false">IF(ISBLANK($C57),"",IF(N57=Constants!$B$2, TRUE(), IF(N57=Constants!$B$3, FALSE(), TRUE())))</f>
        <v/>
      </c>
      <c r="AB57" s="67" t="str">
        <f aca="false">IF(ISBLANK($C57),"",IF(O57=Constants!$B$2, TRUE(), IF(O57=Constants!$B$3, FALSE(), TRUE())))</f>
        <v/>
      </c>
      <c r="AC57" s="67" t="str">
        <f aca="false">IF(ISBLANK($C57),"",IF(P57=Constants!$B$2, TRUE(), IF(P57=Constants!$B$3, FALSE(), FALSE())))</f>
        <v/>
      </c>
      <c r="AD57" s="67" t="str">
        <f aca="false">IF(ISBLANK($C57),"",AND(V57&lt;&gt;"",IF(U57=Constants!$B$19,S57,R57)))</f>
        <v/>
      </c>
      <c r="AE57" s="67" t="str">
        <f aca="false">IF(ISBLANK($C57),"",AND(Z57&lt;&gt;"",IF(Y57=Constants!$B$19,S57,R57)))</f>
        <v/>
      </c>
      <c r="AF57" s="67" t="str">
        <f aca="false">IF(ISBLANK($C57),"",IF(AC57,Constants!$B$4,IF(COUNTA(E57:O57)=0,Constants!$B$5,IF(AND(NOT(AD57),NOT(AE57)),Constants!$B$6,Constants!$B$7))))</f>
        <v/>
      </c>
      <c r="AG57" s="67" t="str">
        <f aca="false">IF(ISBLANK($C57),"",IF($AF57&lt;&gt;Constants!$B$7,$AF57,Constants!$B$20))</f>
        <v/>
      </c>
      <c r="AH57" s="67" t="str">
        <f aca="false">IF($AF57=Constants!$B$7,IF(AD57,V57,Constants!$B$13),"")</f>
        <v/>
      </c>
      <c r="AI57" s="67" t="str">
        <f aca="false">IF($AF57=Constants!$B$7,IF(AD57,T57*IF(W57, 1, Constants!$B$11)*IF(X57, 1, Constants!$B$12),Constants!$B$13),"")</f>
        <v/>
      </c>
      <c r="AJ57" s="67" t="str">
        <f aca="false">IF($AF57=Constants!$B$7,AH57*AI57,"")</f>
        <v/>
      </c>
      <c r="AK57" s="67" t="str">
        <f aca="false">IF($AF57=Constants!$B$7,IF(AE57,Z57,Constants!$B$13),"")</f>
        <v/>
      </c>
      <c r="AL57" s="67" t="str">
        <f aca="false">IF($AF57=Constants!$B$7,IF(AE57,T57*IF(AA57, 1, Constants!$B$11)*IF(AB57, 1, Constants!$B$12),Constants!$B$13),"")</f>
        <v/>
      </c>
      <c r="AM57" s="67" t="str">
        <f aca="false">IF($AF57=Constants!$B$7,AK57*AL57,"")</f>
        <v/>
      </c>
      <c r="AN57" s="67" t="str">
        <f aca="false">IF($AF57=Constants!$B$7,IF(AM57&gt;AJ57,2,1),"")</f>
        <v/>
      </c>
      <c r="AO57" s="67" t="str">
        <f aca="false">IF($AF57=Constants!$B$7,IF(AN57=1,2,1),"")</f>
        <v/>
      </c>
      <c r="AP57" s="67" t="str">
        <f aca="false">IF(ISBLANK($C57),"",IF($AF57&lt;&gt;Constants!$B$7,$AF57,IF(AN57=1,AJ57,AM57)))</f>
        <v/>
      </c>
      <c r="AQ57" s="67" t="str">
        <f aca="false">IF(ISBLANK($C57),"",IF($AF57=Constants!$B$7,IF(ISNUMBER(AP57),RANK(AP57,$AP$8:$AP$507),Constants!$B$14),$AF57))</f>
        <v/>
      </c>
      <c r="AR57" s="67" t="str">
        <f aca="false">IF(ISBLANK($C57),"",IF($AF57=Constants!$B$7,IF(AO57=1,AJ57,AM57),""))</f>
        <v/>
      </c>
      <c r="AS57" s="67" t="str">
        <f aca="false">IF(ISBLANK($C57),"",IF($AF57=Constants!$B$7,RANK(AR57,$AR$8:$AR$507),$AF57))</f>
        <v/>
      </c>
      <c r="AT57" s="67" t="str">
        <f aca="false">IF(ISBLANK($C57),"",IF($AF57=Constants!$B$7,IF(ISNUMBER(AQ57),COUNTIFS($AQ$8:$AQ$507,"&lt;"&amp;$AQ57)+COUNTIFS($AQ$8:$AQ$507,$AQ57,$AS$8:$AS$507,"&lt;"&amp;$AS57)+1,Constants!$B$14),$AF57))</f>
        <v/>
      </c>
      <c r="AU57" s="67" t="str">
        <f aca="false">IF(ISBLANK($C57),"",IF($AF57=Constants!$B$7,IF(ISNUMBER(AQ57),AQ57-AT57,Constants!$B$14),$AF57))</f>
        <v/>
      </c>
      <c r="AV57" s="69"/>
      <c r="AW57" s="70" t="str">
        <f aca="false">IF(ISBLANK($C57),"",IF($AF57&lt;&gt;Constants!$B$7,"",AN57))</f>
        <v/>
      </c>
      <c r="AX57" s="85" t="str">
        <f aca="false">IF(ISBLANK($C57),"",IF($AF57&lt;&gt;Constants!$B$7,"",IF(AN57=1,AH57,AK57)))</f>
        <v/>
      </c>
      <c r="AY57" s="72" t="str">
        <f aca="false">IF(ISBLANK($C57),"",IF($AF57&lt;&gt;Constants!$B$7,"",IF(AN57=1,AI57,AL57)))</f>
        <v/>
      </c>
      <c r="AZ57" s="73" t="str">
        <f aca="false">IF(ISBLANK($C57),"",IF($AF57&lt;&gt;Constants!$B$7,$AF57,AP57))</f>
        <v/>
      </c>
      <c r="BA57" s="74" t="str">
        <f aca="false">IF(ISBLANK($C57),"",IF($AF57&lt;&gt;Constants!$B$7,$AF57,AG57))</f>
        <v/>
      </c>
      <c r="BB57" s="75" t="str">
        <f aca="false">IF(ISBLANK($C57),"",AU57)</f>
        <v/>
      </c>
      <c r="BC57" s="75" t="str">
        <f aca="false">IF(ISBLANK($C57),"",AT57)</f>
        <v/>
      </c>
      <c r="BD57" s="76" t="str">
        <f aca="false">IF(ISBLANK($C57),"",IFERROR(_xlfn.SWITCH(BC57,Constants!$B$4,COUNTA($C$8:$C$507)+2,Constants!$B$5,COUNTA($C$8:$C$507)+1,Constants!$B$6,COUNTA($C$8:$C$507)),BC57))</f>
        <v/>
      </c>
      <c r="BE57" s="5"/>
      <c r="BF57" s="77" t="n">
        <f aca="false">IF(OR(ISNUMBER(BC57),BC57=Constants!$B$4,BC57=Constants!$B$6,BC57=Constants!$B$5),1,0)</f>
        <v>0</v>
      </c>
      <c r="BG57" s="77" t="n">
        <v>50</v>
      </c>
      <c r="BH57" s="77" t="str">
        <f aca="false">IF(ISBLANK($C57),"",IF(ISNUMBER(BD57),BD57+ROW($B57)/1000,""))</f>
        <v/>
      </c>
      <c r="BI57" s="77" t="str">
        <f aca="false">IF(ISNUMBER(BH57),RANK(BH57,$BH$8:$BH$507,1),"")</f>
        <v/>
      </c>
      <c r="BJ57" s="77" t="str">
        <f aca="false">IF(ISBLANK($C57),"",$B57)</f>
        <v/>
      </c>
      <c r="BK57" s="77" t="str">
        <f aca="false">IF(ISBLANK($C57),"",$C57)</f>
        <v/>
      </c>
      <c r="BL57" s="77" t="str">
        <f aca="false">IF(ISBLANK($C57),"",$D57)</f>
        <v/>
      </c>
      <c r="BM57" s="78" t="str">
        <f aca="false">BA57</f>
        <v/>
      </c>
      <c r="BN57" s="79" t="str">
        <f aca="false">AZ57</f>
        <v/>
      </c>
      <c r="BO57" s="77" t="str">
        <f aca="false">IF(ISBLANK($C57),"",BC57)</f>
        <v/>
      </c>
      <c r="BP57" s="80" t="str">
        <f aca="false">IF($BG57&gt;$BF$7,"",VLOOKUP($BG57,$BI$8:$BO$507,7,FALSE()))</f>
        <v/>
      </c>
      <c r="BQ57" s="81" t="str">
        <f aca="false">IF($BG57&gt;$BF$7,"",VLOOKUP($BG57,$BI$8:$BO$507,2,FALSE()))</f>
        <v/>
      </c>
      <c r="BR57" s="81" t="str">
        <f aca="false">IF($BG57&gt;$BF$7,"",VLOOKUP($BG57,$BI$8:$BO$507,3,FALSE()))</f>
        <v/>
      </c>
      <c r="BS57" s="81" t="str">
        <f aca="false">IF($BG57&gt;$BF$7,"",VLOOKUP($BG57,$BI$8:$BO$507,4,FALSE()))</f>
        <v/>
      </c>
      <c r="BT57" s="81" t="str">
        <f aca="false">IF($BG57&gt;$BF$7,"",VLOOKUP($BG57,$BI$8:$BO$507,5,FALSE()))</f>
        <v/>
      </c>
      <c r="BU57" s="82" t="str">
        <f aca="false">IF($BG57&gt;$BF$7,"",VLOOKUP($BG57,$BI$8:$BO$507,6,FALSE()))</f>
        <v/>
      </c>
      <c r="BV57" s="54"/>
    </row>
    <row r="58" customFormat="false" ht="15.75" hidden="false" customHeight="false" outlineLevel="0" collapsed="false">
      <c r="A58" s="5"/>
      <c r="B58" s="135"/>
      <c r="C58" s="56"/>
      <c r="D58" s="57"/>
      <c r="E58" s="84"/>
      <c r="F58" s="136"/>
      <c r="G58" s="60"/>
      <c r="H58" s="137"/>
      <c r="I58" s="62"/>
      <c r="J58" s="62"/>
      <c r="K58" s="60"/>
      <c r="L58" s="138"/>
      <c r="M58" s="62"/>
      <c r="N58" s="62"/>
      <c r="O58" s="60"/>
      <c r="P58" s="84"/>
      <c r="Q58" s="65"/>
      <c r="R58" s="67" t="str">
        <f aca="false">IF(ISBLANK($C58),"",IF(E58=Constants!$B$2, TRUE(), IF(E58=Constants!$B$3, FALSE(), TRUE())))</f>
        <v/>
      </c>
      <c r="S58" s="67" t="str">
        <f aca="false">IF(ISBLANK($C58),"",IF(F58=Constants!$B$2, TRUE(), IF(F58=Constants!$B$3, FALSE(), TRUE())))</f>
        <v/>
      </c>
      <c r="T58" s="67" t="str">
        <f aca="false">IF(ISBLANK($C58),"",IF(G58=Constants!$B$16,Constants!$B$9,IF(G58=Constants!$B$17,Constants!$B$10,Constants!$B$8)))</f>
        <v/>
      </c>
      <c r="U58" s="67" t="str">
        <f aca="false">IF(ISBLANK($C58),"",IF(H58=Constants!$B$19,Constants!$B$19,Constants!$B$18))</f>
        <v/>
      </c>
      <c r="V58" s="67" t="str">
        <f aca="false">IF(ISBLANK($C58),"",IF(ISNUMBER(I58),IF(I58&gt;=0,I58,""),""))</f>
        <v/>
      </c>
      <c r="W58" s="67" t="str">
        <f aca="false">IF(ISBLANK($C58),"",IF(J58=Constants!$B$2, TRUE(), IF(J58=Constants!$B$3, FALSE(), TRUE())))</f>
        <v/>
      </c>
      <c r="X58" s="67" t="str">
        <f aca="false">IF(ISBLANK($C58),"",IF(K58=Constants!$B$2, TRUE(), IF(K58=Constants!$B$3, FALSE(), TRUE())))</f>
        <v/>
      </c>
      <c r="Y58" s="67" t="str">
        <f aca="false">IF(ISBLANK($C58),"",IF(L58=Constants!$B$19,Constants!$B$19,Constants!$B$18))</f>
        <v/>
      </c>
      <c r="Z58" s="67" t="str">
        <f aca="false">IF(ISBLANK($C58),"",IF(ISNUMBER(M58),IF(M58&gt;=0,M58,""),""))</f>
        <v/>
      </c>
      <c r="AA58" s="67" t="str">
        <f aca="false">IF(ISBLANK($C58),"",IF(N58=Constants!$B$2, TRUE(), IF(N58=Constants!$B$3, FALSE(), TRUE())))</f>
        <v/>
      </c>
      <c r="AB58" s="67" t="str">
        <f aca="false">IF(ISBLANK($C58),"",IF(O58=Constants!$B$2, TRUE(), IF(O58=Constants!$B$3, FALSE(), TRUE())))</f>
        <v/>
      </c>
      <c r="AC58" s="67" t="str">
        <f aca="false">IF(ISBLANK($C58),"",IF(P58=Constants!$B$2, TRUE(), IF(P58=Constants!$B$3, FALSE(), FALSE())))</f>
        <v/>
      </c>
      <c r="AD58" s="67" t="str">
        <f aca="false">IF(ISBLANK($C58),"",AND(V58&lt;&gt;"",IF(U58=Constants!$B$19,S58,R58)))</f>
        <v/>
      </c>
      <c r="AE58" s="67" t="str">
        <f aca="false">IF(ISBLANK($C58),"",AND(Z58&lt;&gt;"",IF(Y58=Constants!$B$19,S58,R58)))</f>
        <v/>
      </c>
      <c r="AF58" s="67" t="str">
        <f aca="false">IF(ISBLANK($C58),"",IF(AC58,Constants!$B$4,IF(COUNTA(E58:O58)=0,Constants!$B$5,IF(AND(NOT(AD58),NOT(AE58)),Constants!$B$6,Constants!$B$7))))</f>
        <v/>
      </c>
      <c r="AG58" s="67" t="str">
        <f aca="false">IF(ISBLANK($C58),"",IF($AF58&lt;&gt;Constants!$B$7,$AF58,Constants!$B$20))</f>
        <v/>
      </c>
      <c r="AH58" s="67" t="str">
        <f aca="false">IF($AF58=Constants!$B$7,IF(AD58,V58,Constants!$B$13),"")</f>
        <v/>
      </c>
      <c r="AI58" s="67" t="str">
        <f aca="false">IF($AF58=Constants!$B$7,IF(AD58,T58*IF(W58, 1, Constants!$B$11)*IF(X58, 1, Constants!$B$12),Constants!$B$13),"")</f>
        <v/>
      </c>
      <c r="AJ58" s="67" t="str">
        <f aca="false">IF($AF58=Constants!$B$7,AH58*AI58,"")</f>
        <v/>
      </c>
      <c r="AK58" s="67" t="str">
        <f aca="false">IF($AF58=Constants!$B$7,IF(AE58,Z58,Constants!$B$13),"")</f>
        <v/>
      </c>
      <c r="AL58" s="67" t="str">
        <f aca="false">IF($AF58=Constants!$B$7,IF(AE58,T58*IF(AA58, 1, Constants!$B$11)*IF(AB58, 1, Constants!$B$12),Constants!$B$13),"")</f>
        <v/>
      </c>
      <c r="AM58" s="67" t="str">
        <f aca="false">IF($AF58=Constants!$B$7,AK58*AL58,"")</f>
        <v/>
      </c>
      <c r="AN58" s="67" t="str">
        <f aca="false">IF($AF58=Constants!$B$7,IF(AM58&gt;AJ58,2,1),"")</f>
        <v/>
      </c>
      <c r="AO58" s="67" t="str">
        <f aca="false">IF($AF58=Constants!$B$7,IF(AN58=1,2,1),"")</f>
        <v/>
      </c>
      <c r="AP58" s="67" t="str">
        <f aca="false">IF(ISBLANK($C58),"",IF($AF58&lt;&gt;Constants!$B$7,$AF58,IF(AN58=1,AJ58,AM58)))</f>
        <v/>
      </c>
      <c r="AQ58" s="67" t="str">
        <f aca="false">IF(ISBLANK($C58),"",IF($AF58=Constants!$B$7,IF(ISNUMBER(AP58),RANK(AP58,$AP$8:$AP$507),Constants!$B$14),$AF58))</f>
        <v/>
      </c>
      <c r="AR58" s="67" t="str">
        <f aca="false">IF(ISBLANK($C58),"",IF($AF58=Constants!$B$7,IF(AO58=1,AJ58,AM58),""))</f>
        <v/>
      </c>
      <c r="AS58" s="67" t="str">
        <f aca="false">IF(ISBLANK($C58),"",IF($AF58=Constants!$B$7,RANK(AR58,$AR$8:$AR$507),$AF58))</f>
        <v/>
      </c>
      <c r="AT58" s="67" t="str">
        <f aca="false">IF(ISBLANK($C58),"",IF($AF58=Constants!$B$7,IF(ISNUMBER(AQ58),COUNTIFS($AQ$8:$AQ$507,"&lt;"&amp;$AQ58)+COUNTIFS($AQ$8:$AQ$507,$AQ58,$AS$8:$AS$507,"&lt;"&amp;$AS58)+1,Constants!$B$14),$AF58))</f>
        <v/>
      </c>
      <c r="AU58" s="67" t="str">
        <f aca="false">IF(ISBLANK($C58),"",IF($AF58=Constants!$B$7,IF(ISNUMBER(AQ58),AQ58-AT58,Constants!$B$14),$AF58))</f>
        <v/>
      </c>
      <c r="AV58" s="69"/>
      <c r="AW58" s="70" t="str">
        <f aca="false">IF(ISBLANK($C58),"",IF($AF58&lt;&gt;Constants!$B$7,"",AN58))</f>
        <v/>
      </c>
      <c r="AX58" s="85" t="str">
        <f aca="false">IF(ISBLANK($C58),"",IF($AF58&lt;&gt;Constants!$B$7,"",IF(AN58=1,AH58,AK58)))</f>
        <v/>
      </c>
      <c r="AY58" s="72" t="str">
        <f aca="false">IF(ISBLANK($C58),"",IF($AF58&lt;&gt;Constants!$B$7,"",IF(AN58=1,AI58,AL58)))</f>
        <v/>
      </c>
      <c r="AZ58" s="73" t="str">
        <f aca="false">IF(ISBLANK($C58),"",IF($AF58&lt;&gt;Constants!$B$7,$AF58,AP58))</f>
        <v/>
      </c>
      <c r="BA58" s="74" t="str">
        <f aca="false">IF(ISBLANK($C58),"",IF($AF58&lt;&gt;Constants!$B$7,$AF58,AG58))</f>
        <v/>
      </c>
      <c r="BB58" s="75" t="str">
        <f aca="false">IF(ISBLANK($C58),"",AU58)</f>
        <v/>
      </c>
      <c r="BC58" s="75" t="str">
        <f aca="false">IF(ISBLANK($C58),"",AT58)</f>
        <v/>
      </c>
      <c r="BD58" s="76" t="str">
        <f aca="false">IF(ISBLANK($C58),"",IFERROR(_xlfn.SWITCH(BC58,Constants!$B$4,COUNTA($C$8:$C$507)+2,Constants!$B$5,COUNTA($C$8:$C$507)+1,Constants!$B$6,COUNTA($C$8:$C$507)),BC58))</f>
        <v/>
      </c>
      <c r="BE58" s="5"/>
      <c r="BF58" s="77" t="n">
        <f aca="false">IF(OR(ISNUMBER(BC58),BC58=Constants!$B$4,BC58=Constants!$B$6,BC58=Constants!$B$5),1,0)</f>
        <v>0</v>
      </c>
      <c r="BG58" s="77" t="n">
        <v>51</v>
      </c>
      <c r="BH58" s="77" t="str">
        <f aca="false">IF(ISBLANK($C58),"",IF(ISNUMBER(BD58),BD58+ROW($B58)/1000,""))</f>
        <v/>
      </c>
      <c r="BI58" s="77" t="str">
        <f aca="false">IF(ISNUMBER(BH58),RANK(BH58,$BH$8:$BH$507,1),"")</f>
        <v/>
      </c>
      <c r="BJ58" s="77" t="str">
        <f aca="false">IF(ISBLANK($C58),"",$B58)</f>
        <v/>
      </c>
      <c r="BK58" s="77" t="str">
        <f aca="false">IF(ISBLANK($C58),"",$C58)</f>
        <v/>
      </c>
      <c r="BL58" s="77" t="str">
        <f aca="false">IF(ISBLANK($C58),"",$D58)</f>
        <v/>
      </c>
      <c r="BM58" s="78" t="str">
        <f aca="false">BA58</f>
        <v/>
      </c>
      <c r="BN58" s="79" t="str">
        <f aca="false">AZ58</f>
        <v/>
      </c>
      <c r="BO58" s="77" t="str">
        <f aca="false">IF(ISBLANK($C58),"",BC58)</f>
        <v/>
      </c>
      <c r="BP58" s="80" t="str">
        <f aca="false">IF($BG58&gt;$BF$7,"",VLOOKUP($BG58,$BI$8:$BO$507,7,FALSE()))</f>
        <v/>
      </c>
      <c r="BQ58" s="81" t="str">
        <f aca="false">IF($BG58&gt;$BF$7,"",VLOOKUP($BG58,$BI$8:$BO$507,2,FALSE()))</f>
        <v/>
      </c>
      <c r="BR58" s="81" t="str">
        <f aca="false">IF($BG58&gt;$BF$7,"",VLOOKUP($BG58,$BI$8:$BO$507,3,FALSE()))</f>
        <v/>
      </c>
      <c r="BS58" s="81" t="str">
        <f aca="false">IF($BG58&gt;$BF$7,"",VLOOKUP($BG58,$BI$8:$BO$507,4,FALSE()))</f>
        <v/>
      </c>
      <c r="BT58" s="81" t="str">
        <f aca="false">IF($BG58&gt;$BF$7,"",VLOOKUP($BG58,$BI$8:$BO$507,5,FALSE()))</f>
        <v/>
      </c>
      <c r="BU58" s="82" t="str">
        <f aca="false">IF($BG58&gt;$BF$7,"",VLOOKUP($BG58,$BI$8:$BO$507,6,FALSE()))</f>
        <v/>
      </c>
      <c r="BV58" s="54"/>
    </row>
    <row r="59" customFormat="false" ht="15.75" hidden="false" customHeight="false" outlineLevel="0" collapsed="false">
      <c r="A59" s="5"/>
      <c r="B59" s="128"/>
      <c r="C59" s="129"/>
      <c r="D59" s="114"/>
      <c r="E59" s="134"/>
      <c r="F59" s="139"/>
      <c r="G59" s="93"/>
      <c r="H59" s="140"/>
      <c r="I59" s="95"/>
      <c r="J59" s="95"/>
      <c r="K59" s="93"/>
      <c r="L59" s="141"/>
      <c r="M59" s="95"/>
      <c r="N59" s="95"/>
      <c r="O59" s="93"/>
      <c r="P59" s="134"/>
      <c r="Q59" s="98"/>
      <c r="R59" s="99" t="str">
        <f aca="false">IF(ISBLANK($C59),"",IF(E59=Constants!$B$2, TRUE(), IF(E59=Constants!$B$3, FALSE(), TRUE())))</f>
        <v/>
      </c>
      <c r="S59" s="99" t="str">
        <f aca="false">IF(ISBLANK($C59),"",IF(F59=Constants!$B$2, TRUE(), IF(F59=Constants!$B$3, FALSE(), TRUE())))</f>
        <v/>
      </c>
      <c r="T59" s="99" t="str">
        <f aca="false">IF(ISBLANK($C59),"",IF(G59=Constants!$B$16,Constants!$B$9,IF(G59=Constants!$B$17,Constants!$B$10,Constants!$B$8)))</f>
        <v/>
      </c>
      <c r="U59" s="99" t="str">
        <f aca="false">IF(ISBLANK($C59),"",IF(H59=Constants!$B$19,Constants!$B$19,Constants!$B$18))</f>
        <v/>
      </c>
      <c r="V59" s="99" t="str">
        <f aca="false">IF(ISBLANK($C59),"",IF(ISNUMBER(I59),IF(I59&gt;=0,I59,""),""))</f>
        <v/>
      </c>
      <c r="W59" s="99" t="str">
        <f aca="false">IF(ISBLANK($C59),"",IF(J59=Constants!$B$2, TRUE(), IF(J59=Constants!$B$3, FALSE(), TRUE())))</f>
        <v/>
      </c>
      <c r="X59" s="99" t="str">
        <f aca="false">IF(ISBLANK($C59),"",IF(K59=Constants!$B$2, TRUE(), IF(K59=Constants!$B$3, FALSE(), TRUE())))</f>
        <v/>
      </c>
      <c r="Y59" s="99" t="str">
        <f aca="false">IF(ISBLANK($C59),"",IF(L59=Constants!$B$19,Constants!$B$19,Constants!$B$18))</f>
        <v/>
      </c>
      <c r="Z59" s="99" t="str">
        <f aca="false">IF(ISBLANK($C59),"",IF(ISNUMBER(M59),IF(M59&gt;=0,M59,""),""))</f>
        <v/>
      </c>
      <c r="AA59" s="99" t="str">
        <f aca="false">IF(ISBLANK($C59),"",IF(N59=Constants!$B$2, TRUE(), IF(N59=Constants!$B$3, FALSE(), TRUE())))</f>
        <v/>
      </c>
      <c r="AB59" s="99" t="str">
        <f aca="false">IF(ISBLANK($C59),"",IF(O59=Constants!$B$2, TRUE(), IF(O59=Constants!$B$3, FALSE(), TRUE())))</f>
        <v/>
      </c>
      <c r="AC59" s="99" t="str">
        <f aca="false">IF(ISBLANK($C59),"",IF(P59=Constants!$B$2, TRUE(), IF(P59=Constants!$B$3, FALSE(), FALSE())))</f>
        <v/>
      </c>
      <c r="AD59" s="99" t="str">
        <f aca="false">IF(ISBLANK($C59),"",AND(V59&lt;&gt;"",IF(U59=Constants!$B$19,S59,R59)))</f>
        <v/>
      </c>
      <c r="AE59" s="99" t="str">
        <f aca="false">IF(ISBLANK($C59),"",AND(Z59&lt;&gt;"",IF(Y59=Constants!$B$19,S59,R59)))</f>
        <v/>
      </c>
      <c r="AF59" s="99" t="str">
        <f aca="false">IF(ISBLANK($C59),"",IF(AC59,Constants!$B$4,IF(COUNTA(E59:O59)=0,Constants!$B$5,IF(AND(NOT(AD59),NOT(AE59)),Constants!$B$6,Constants!$B$7))))</f>
        <v/>
      </c>
      <c r="AG59" s="99" t="str">
        <f aca="false">IF(ISBLANK($C59),"",IF($AF59&lt;&gt;Constants!$B$7,$AF59,Constants!$B$20))</f>
        <v/>
      </c>
      <c r="AH59" s="99" t="str">
        <f aca="false">IF($AF59=Constants!$B$7,IF(AD59,V59,Constants!$B$13),"")</f>
        <v/>
      </c>
      <c r="AI59" s="99" t="str">
        <f aca="false">IF($AF59=Constants!$B$7,IF(AD59,T59*IF(W59, 1, Constants!$B$11)*IF(X59, 1, Constants!$B$12),Constants!$B$13),"")</f>
        <v/>
      </c>
      <c r="AJ59" s="99" t="str">
        <f aca="false">IF($AF59=Constants!$B$7,AH59*AI59,"")</f>
        <v/>
      </c>
      <c r="AK59" s="99" t="str">
        <f aca="false">IF($AF59=Constants!$B$7,IF(AE59,Z59,Constants!$B$13),"")</f>
        <v/>
      </c>
      <c r="AL59" s="99" t="str">
        <f aca="false">IF($AF59=Constants!$B$7,IF(AE59,T59*IF(AA59, 1, Constants!$B$11)*IF(AB59, 1, Constants!$B$12),Constants!$B$13),"")</f>
        <v/>
      </c>
      <c r="AM59" s="99" t="str">
        <f aca="false">IF($AF59=Constants!$B$7,AK59*AL59,"")</f>
        <v/>
      </c>
      <c r="AN59" s="99" t="str">
        <f aca="false">IF($AF59=Constants!$B$7,IF(AM59&gt;AJ59,2,1),"")</f>
        <v/>
      </c>
      <c r="AO59" s="99" t="str">
        <f aca="false">IF($AF59=Constants!$B$7,IF(AN59=1,2,1),"")</f>
        <v/>
      </c>
      <c r="AP59" s="99" t="str">
        <f aca="false">IF(ISBLANK($C59),"",IF($AF59&lt;&gt;Constants!$B$7,$AF59,IF(AN59=1,AJ59,AM59)))</f>
        <v/>
      </c>
      <c r="AQ59" s="99" t="str">
        <f aca="false">IF(ISBLANK($C59),"",IF($AF59=Constants!$B$7,IF(ISNUMBER(AP59),RANK(AP59,$AP$8:$AP$507),Constants!$B$14),$AF59))</f>
        <v/>
      </c>
      <c r="AR59" s="99" t="str">
        <f aca="false">IF(ISBLANK($C59),"",IF($AF59=Constants!$B$7,IF(AO59=1,AJ59,AM59),""))</f>
        <v/>
      </c>
      <c r="AS59" s="99" t="str">
        <f aca="false">IF(ISBLANK($C59),"",IF($AF59=Constants!$B$7,RANK(AR59,$AR$8:$AR$507),$AF59))</f>
        <v/>
      </c>
      <c r="AT59" s="99" t="str">
        <f aca="false">IF(ISBLANK($C59),"",IF($AF59=Constants!$B$7,IF(ISNUMBER(AQ59),COUNTIFS($AQ$8:$AQ$507,"&lt;"&amp;$AQ59)+COUNTIFS($AQ$8:$AQ$507,$AQ59,$AS$8:$AS$507,"&lt;"&amp;$AS59)+1,Constants!$B$14),$AF59))</f>
        <v/>
      </c>
      <c r="AU59" s="99" t="str">
        <f aca="false">IF(ISBLANK($C59),"",IF($AF59=Constants!$B$7,IF(ISNUMBER(AQ59),AQ59-AT59,Constants!$B$14),$AF59))</f>
        <v/>
      </c>
      <c r="AV59" s="100"/>
      <c r="AW59" s="101" t="str">
        <f aca="false">IF(ISBLANK($C59),"",IF($AF59&lt;&gt;Constants!$B$7,"",AN59))</f>
        <v/>
      </c>
      <c r="AX59" s="102" t="str">
        <f aca="false">IF(ISBLANK($C59),"",IF($AF59&lt;&gt;Constants!$B$7,"",IF(AN59=1,AH59,AK59)))</f>
        <v/>
      </c>
      <c r="AY59" s="103" t="str">
        <f aca="false">IF(ISBLANK($C59),"",IF($AF59&lt;&gt;Constants!$B$7,"",IF(AN59=1,AI59,AL59)))</f>
        <v/>
      </c>
      <c r="AZ59" s="104" t="str">
        <f aca="false">IF(ISBLANK($C59),"",IF($AF59&lt;&gt;Constants!$B$7,$AF59,AP59))</f>
        <v/>
      </c>
      <c r="BA59" s="105" t="str">
        <f aca="false">IF(ISBLANK($C59),"",IF($AF59&lt;&gt;Constants!$B$7,$AF59,AG59))</f>
        <v/>
      </c>
      <c r="BB59" s="106" t="str">
        <f aca="false">IF(ISBLANK($C59),"",AU59)</f>
        <v/>
      </c>
      <c r="BC59" s="106" t="str">
        <f aca="false">IF(ISBLANK($C59),"",AT59)</f>
        <v/>
      </c>
      <c r="BD59" s="107" t="str">
        <f aca="false">IF(ISBLANK($C59),"",IFERROR(_xlfn.SWITCH(BC59,Constants!$B$4,COUNTA($C$8:$C$507)+2,Constants!$B$5,COUNTA($C$8:$C$507)+1,Constants!$B$6,COUNTA($C$8:$C$507)),BC59))</f>
        <v/>
      </c>
      <c r="BE59" s="5"/>
      <c r="BF59" s="108" t="n">
        <f aca="false">IF(OR(ISNUMBER(BC59),BC59=Constants!$B$4,BC59=Constants!$B$6,BC59=Constants!$B$5),1,0)</f>
        <v>0</v>
      </c>
      <c r="BG59" s="108" t="n">
        <v>52</v>
      </c>
      <c r="BH59" s="108" t="str">
        <f aca="false">IF(ISBLANK($C59),"",IF(ISNUMBER(BD59),BD59+ROW($B59)/1000,""))</f>
        <v/>
      </c>
      <c r="BI59" s="108" t="str">
        <f aca="false">IF(ISNUMBER(BH59),RANK(BH59,$BH$8:$BH$507,1),"")</f>
        <v/>
      </c>
      <c r="BJ59" s="108" t="str">
        <f aca="false">IF(ISBLANK($C59),"",$B59)</f>
        <v/>
      </c>
      <c r="BK59" s="108" t="str">
        <f aca="false">IF(ISBLANK($C59),"",$C59)</f>
        <v/>
      </c>
      <c r="BL59" s="108" t="str">
        <f aca="false">IF(ISBLANK($C59),"",$D59)</f>
        <v/>
      </c>
      <c r="BM59" s="109" t="str">
        <f aca="false">BA59</f>
        <v/>
      </c>
      <c r="BN59" s="110" t="str">
        <f aca="false">AZ59</f>
        <v/>
      </c>
      <c r="BO59" s="108" t="str">
        <f aca="false">IF(ISBLANK($C59),"",BC59)</f>
        <v/>
      </c>
      <c r="BP59" s="111" t="str">
        <f aca="false">IF($BG59&gt;$BF$7,"",VLOOKUP($BG59,$BI$8:$BO$507,7,FALSE()))</f>
        <v/>
      </c>
      <c r="BQ59" s="112" t="str">
        <f aca="false">IF($BG59&gt;$BF$7,"",VLOOKUP($BG59,$BI$8:$BO$507,2,FALSE()))</f>
        <v/>
      </c>
      <c r="BR59" s="112" t="str">
        <f aca="false">IF($BG59&gt;$BF$7,"",VLOOKUP($BG59,$BI$8:$BO$507,3,FALSE()))</f>
        <v/>
      </c>
      <c r="BS59" s="112" t="str">
        <f aca="false">IF($BG59&gt;$BF$7,"",VLOOKUP($BG59,$BI$8:$BO$507,4,FALSE()))</f>
        <v/>
      </c>
      <c r="BT59" s="112" t="str">
        <f aca="false">IF($BG59&gt;$BF$7,"",VLOOKUP($BG59,$BI$8:$BO$507,5,FALSE()))</f>
        <v/>
      </c>
      <c r="BU59" s="113" t="str">
        <f aca="false">IF($BG59&gt;$BF$7,"",VLOOKUP($BG59,$BI$8:$BO$507,6,FALSE()))</f>
        <v/>
      </c>
      <c r="BV59" s="54"/>
    </row>
    <row r="60" customFormat="false" ht="15.75" hidden="false" customHeight="false" outlineLevel="0" collapsed="false">
      <c r="A60" s="5"/>
      <c r="B60" s="128"/>
      <c r="C60" s="129"/>
      <c r="D60" s="114"/>
      <c r="E60" s="134"/>
      <c r="F60" s="139"/>
      <c r="G60" s="93"/>
      <c r="H60" s="140"/>
      <c r="I60" s="95"/>
      <c r="J60" s="95"/>
      <c r="K60" s="93"/>
      <c r="L60" s="141"/>
      <c r="M60" s="95"/>
      <c r="N60" s="95"/>
      <c r="O60" s="93"/>
      <c r="P60" s="134"/>
      <c r="Q60" s="98"/>
      <c r="R60" s="99" t="str">
        <f aca="false">IF(ISBLANK($C60),"",IF(E60=Constants!$B$2, TRUE(), IF(E60=Constants!$B$3, FALSE(), TRUE())))</f>
        <v/>
      </c>
      <c r="S60" s="99" t="str">
        <f aca="false">IF(ISBLANK($C60),"",IF(F60=Constants!$B$2, TRUE(), IF(F60=Constants!$B$3, FALSE(), TRUE())))</f>
        <v/>
      </c>
      <c r="T60" s="99" t="str">
        <f aca="false">IF(ISBLANK($C60),"",IF(G60=Constants!$B$16,Constants!$B$9,IF(G60=Constants!$B$17,Constants!$B$10,Constants!$B$8)))</f>
        <v/>
      </c>
      <c r="U60" s="99" t="str">
        <f aca="false">IF(ISBLANK($C60),"",IF(H60=Constants!$B$19,Constants!$B$19,Constants!$B$18))</f>
        <v/>
      </c>
      <c r="V60" s="99" t="str">
        <f aca="false">IF(ISBLANK($C60),"",IF(ISNUMBER(I60),IF(I60&gt;=0,I60,""),""))</f>
        <v/>
      </c>
      <c r="W60" s="99" t="str">
        <f aca="false">IF(ISBLANK($C60),"",IF(J60=Constants!$B$2, TRUE(), IF(J60=Constants!$B$3, FALSE(), TRUE())))</f>
        <v/>
      </c>
      <c r="X60" s="99" t="str">
        <f aca="false">IF(ISBLANK($C60),"",IF(K60=Constants!$B$2, TRUE(), IF(K60=Constants!$B$3, FALSE(), TRUE())))</f>
        <v/>
      </c>
      <c r="Y60" s="99" t="str">
        <f aca="false">IF(ISBLANK($C60),"",IF(L60=Constants!$B$19,Constants!$B$19,Constants!$B$18))</f>
        <v/>
      </c>
      <c r="Z60" s="99" t="str">
        <f aca="false">IF(ISBLANK($C60),"",IF(ISNUMBER(M60),IF(M60&gt;=0,M60,""),""))</f>
        <v/>
      </c>
      <c r="AA60" s="99" t="str">
        <f aca="false">IF(ISBLANK($C60),"",IF(N60=Constants!$B$2, TRUE(), IF(N60=Constants!$B$3, FALSE(), TRUE())))</f>
        <v/>
      </c>
      <c r="AB60" s="99" t="str">
        <f aca="false">IF(ISBLANK($C60),"",IF(O60=Constants!$B$2, TRUE(), IF(O60=Constants!$B$3, FALSE(), TRUE())))</f>
        <v/>
      </c>
      <c r="AC60" s="99" t="str">
        <f aca="false">IF(ISBLANK($C60),"",IF(P60=Constants!$B$2, TRUE(), IF(P60=Constants!$B$3, FALSE(), FALSE())))</f>
        <v/>
      </c>
      <c r="AD60" s="99" t="str">
        <f aca="false">IF(ISBLANK($C60),"",AND(V60&lt;&gt;"",IF(U60=Constants!$B$19,S60,R60)))</f>
        <v/>
      </c>
      <c r="AE60" s="99" t="str">
        <f aca="false">IF(ISBLANK($C60),"",AND(Z60&lt;&gt;"",IF(Y60=Constants!$B$19,S60,R60)))</f>
        <v/>
      </c>
      <c r="AF60" s="99" t="str">
        <f aca="false">IF(ISBLANK($C60),"",IF(AC60,Constants!$B$4,IF(COUNTA(E60:O60)=0,Constants!$B$5,IF(AND(NOT(AD60),NOT(AE60)),Constants!$B$6,Constants!$B$7))))</f>
        <v/>
      </c>
      <c r="AG60" s="99" t="str">
        <f aca="false">IF(ISBLANK($C60),"",IF($AF60&lt;&gt;Constants!$B$7,$AF60,Constants!$B$20))</f>
        <v/>
      </c>
      <c r="AH60" s="99" t="str">
        <f aca="false">IF($AF60=Constants!$B$7,IF(AD60,V60,Constants!$B$13),"")</f>
        <v/>
      </c>
      <c r="AI60" s="99" t="str">
        <f aca="false">IF($AF60=Constants!$B$7,IF(AD60,T60*IF(W60, 1, Constants!$B$11)*IF(X60, 1, Constants!$B$12),Constants!$B$13),"")</f>
        <v/>
      </c>
      <c r="AJ60" s="99" t="str">
        <f aca="false">IF($AF60=Constants!$B$7,AH60*AI60,"")</f>
        <v/>
      </c>
      <c r="AK60" s="99" t="str">
        <f aca="false">IF($AF60=Constants!$B$7,IF(AE60,Z60,Constants!$B$13),"")</f>
        <v/>
      </c>
      <c r="AL60" s="99" t="str">
        <f aca="false">IF($AF60=Constants!$B$7,IF(AE60,T60*IF(AA60, 1, Constants!$B$11)*IF(AB60, 1, Constants!$B$12),Constants!$B$13),"")</f>
        <v/>
      </c>
      <c r="AM60" s="99" t="str">
        <f aca="false">IF($AF60=Constants!$B$7,AK60*AL60,"")</f>
        <v/>
      </c>
      <c r="AN60" s="99" t="str">
        <f aca="false">IF($AF60=Constants!$B$7,IF(AM60&gt;AJ60,2,1),"")</f>
        <v/>
      </c>
      <c r="AO60" s="99" t="str">
        <f aca="false">IF($AF60=Constants!$B$7,IF(AN60=1,2,1),"")</f>
        <v/>
      </c>
      <c r="AP60" s="99" t="str">
        <f aca="false">IF(ISBLANK($C60),"",IF($AF60&lt;&gt;Constants!$B$7,$AF60,IF(AN60=1,AJ60,AM60)))</f>
        <v/>
      </c>
      <c r="AQ60" s="99" t="str">
        <f aca="false">IF(ISBLANK($C60),"",IF($AF60=Constants!$B$7,IF(ISNUMBER(AP60),RANK(AP60,$AP$8:$AP$507),Constants!$B$14),$AF60))</f>
        <v/>
      </c>
      <c r="AR60" s="99" t="str">
        <f aca="false">IF(ISBLANK($C60),"",IF($AF60=Constants!$B$7,IF(AO60=1,AJ60,AM60),""))</f>
        <v/>
      </c>
      <c r="AS60" s="99" t="str">
        <f aca="false">IF(ISBLANK($C60),"",IF($AF60=Constants!$B$7,RANK(AR60,$AR$8:$AR$507),$AF60))</f>
        <v/>
      </c>
      <c r="AT60" s="99" t="str">
        <f aca="false">IF(ISBLANK($C60),"",IF($AF60=Constants!$B$7,IF(ISNUMBER(AQ60),COUNTIFS($AQ$8:$AQ$507,"&lt;"&amp;$AQ60)+COUNTIFS($AQ$8:$AQ$507,$AQ60,$AS$8:$AS$507,"&lt;"&amp;$AS60)+1,Constants!$B$14),$AF60))</f>
        <v/>
      </c>
      <c r="AU60" s="99" t="str">
        <f aca="false">IF(ISBLANK($C60),"",IF($AF60=Constants!$B$7,IF(ISNUMBER(AQ60),AQ60-AT60,Constants!$B$14),$AF60))</f>
        <v/>
      </c>
      <c r="AV60" s="100"/>
      <c r="AW60" s="101" t="str">
        <f aca="false">IF(ISBLANK($C60),"",IF($AF60&lt;&gt;Constants!$B$7,"",AN60))</f>
        <v/>
      </c>
      <c r="AX60" s="102" t="str">
        <f aca="false">IF(ISBLANK($C60),"",IF($AF60&lt;&gt;Constants!$B$7,"",IF(AN60=1,AH60,AK60)))</f>
        <v/>
      </c>
      <c r="AY60" s="103" t="str">
        <f aca="false">IF(ISBLANK($C60),"",IF($AF60&lt;&gt;Constants!$B$7,"",IF(AN60=1,AI60,AL60)))</f>
        <v/>
      </c>
      <c r="AZ60" s="104" t="str">
        <f aca="false">IF(ISBLANK($C60),"",IF($AF60&lt;&gt;Constants!$B$7,$AF60,AP60))</f>
        <v/>
      </c>
      <c r="BA60" s="105" t="str">
        <f aca="false">IF(ISBLANK($C60),"",IF($AF60&lt;&gt;Constants!$B$7,$AF60,AG60))</f>
        <v/>
      </c>
      <c r="BB60" s="106" t="str">
        <f aca="false">IF(ISBLANK($C60),"",AU60)</f>
        <v/>
      </c>
      <c r="BC60" s="106" t="str">
        <f aca="false">IF(ISBLANK($C60),"",AT60)</f>
        <v/>
      </c>
      <c r="BD60" s="107" t="str">
        <f aca="false">IF(ISBLANK($C60),"",IFERROR(_xlfn.SWITCH(BC60,Constants!$B$4,COUNTA($C$8:$C$507)+2,Constants!$B$5,COUNTA($C$8:$C$507)+1,Constants!$B$6,COUNTA($C$8:$C$507)),BC60))</f>
        <v/>
      </c>
      <c r="BE60" s="5"/>
      <c r="BF60" s="108" t="n">
        <f aca="false">IF(OR(ISNUMBER(BC60),BC60=Constants!$B$4,BC60=Constants!$B$6,BC60=Constants!$B$5),1,0)</f>
        <v>0</v>
      </c>
      <c r="BG60" s="108" t="n">
        <v>53</v>
      </c>
      <c r="BH60" s="108" t="str">
        <f aca="false">IF(ISBLANK($C60),"",IF(ISNUMBER(BD60),BD60+ROW($B60)/1000,""))</f>
        <v/>
      </c>
      <c r="BI60" s="108" t="str">
        <f aca="false">IF(ISNUMBER(BH60),RANK(BH60,$BH$8:$BH$507,1),"")</f>
        <v/>
      </c>
      <c r="BJ60" s="108" t="str">
        <f aca="false">IF(ISBLANK($C60),"",$B60)</f>
        <v/>
      </c>
      <c r="BK60" s="108" t="str">
        <f aca="false">IF(ISBLANK($C60),"",$C60)</f>
        <v/>
      </c>
      <c r="BL60" s="108" t="str">
        <f aca="false">IF(ISBLANK($C60),"",$D60)</f>
        <v/>
      </c>
      <c r="BM60" s="109" t="str">
        <f aca="false">BA60</f>
        <v/>
      </c>
      <c r="BN60" s="110" t="str">
        <f aca="false">AZ60</f>
        <v/>
      </c>
      <c r="BO60" s="108" t="str">
        <f aca="false">IF(ISBLANK($C60),"",BC60)</f>
        <v/>
      </c>
      <c r="BP60" s="111" t="str">
        <f aca="false">IF($BG60&gt;$BF$7,"",VLOOKUP($BG60,$BI$8:$BO$507,7,FALSE()))</f>
        <v/>
      </c>
      <c r="BQ60" s="112" t="str">
        <f aca="false">IF($BG60&gt;$BF$7,"",VLOOKUP($BG60,$BI$8:$BO$507,2,FALSE()))</f>
        <v/>
      </c>
      <c r="BR60" s="112" t="str">
        <f aca="false">IF($BG60&gt;$BF$7,"",VLOOKUP($BG60,$BI$8:$BO$507,3,FALSE()))</f>
        <v/>
      </c>
      <c r="BS60" s="112" t="str">
        <f aca="false">IF($BG60&gt;$BF$7,"",VLOOKUP($BG60,$BI$8:$BO$507,4,FALSE()))</f>
        <v/>
      </c>
      <c r="BT60" s="112" t="str">
        <f aca="false">IF($BG60&gt;$BF$7,"",VLOOKUP($BG60,$BI$8:$BO$507,5,FALSE()))</f>
        <v/>
      </c>
      <c r="BU60" s="113" t="str">
        <f aca="false">IF($BG60&gt;$BF$7,"",VLOOKUP($BG60,$BI$8:$BO$507,6,FALSE()))</f>
        <v/>
      </c>
      <c r="BV60" s="54"/>
    </row>
    <row r="61" customFormat="false" ht="15.75" hidden="false" customHeight="false" outlineLevel="0" collapsed="false">
      <c r="A61" s="5"/>
      <c r="B61" s="128"/>
      <c r="C61" s="129"/>
      <c r="D61" s="114"/>
      <c r="E61" s="134"/>
      <c r="F61" s="139"/>
      <c r="G61" s="93"/>
      <c r="H61" s="140"/>
      <c r="I61" s="95"/>
      <c r="J61" s="95"/>
      <c r="K61" s="93"/>
      <c r="L61" s="141"/>
      <c r="M61" s="95"/>
      <c r="N61" s="95"/>
      <c r="O61" s="93"/>
      <c r="P61" s="134"/>
      <c r="Q61" s="98"/>
      <c r="R61" s="99" t="str">
        <f aca="false">IF(ISBLANK($C61),"",IF(E61=Constants!$B$2, TRUE(), IF(E61=Constants!$B$3, FALSE(), TRUE())))</f>
        <v/>
      </c>
      <c r="S61" s="99" t="str">
        <f aca="false">IF(ISBLANK($C61),"",IF(F61=Constants!$B$2, TRUE(), IF(F61=Constants!$B$3, FALSE(), TRUE())))</f>
        <v/>
      </c>
      <c r="T61" s="99" t="str">
        <f aca="false">IF(ISBLANK($C61),"",IF(G61=Constants!$B$16,Constants!$B$9,IF(G61=Constants!$B$17,Constants!$B$10,Constants!$B$8)))</f>
        <v/>
      </c>
      <c r="U61" s="99" t="str">
        <f aca="false">IF(ISBLANK($C61),"",IF(H61=Constants!$B$19,Constants!$B$19,Constants!$B$18))</f>
        <v/>
      </c>
      <c r="V61" s="99" t="str">
        <f aca="false">IF(ISBLANK($C61),"",IF(ISNUMBER(I61),IF(I61&gt;=0,I61,""),""))</f>
        <v/>
      </c>
      <c r="W61" s="99" t="str">
        <f aca="false">IF(ISBLANK($C61),"",IF(J61=Constants!$B$2, TRUE(), IF(J61=Constants!$B$3, FALSE(), TRUE())))</f>
        <v/>
      </c>
      <c r="X61" s="99" t="str">
        <f aca="false">IF(ISBLANK($C61),"",IF(K61=Constants!$B$2, TRUE(), IF(K61=Constants!$B$3, FALSE(), TRUE())))</f>
        <v/>
      </c>
      <c r="Y61" s="99" t="str">
        <f aca="false">IF(ISBLANK($C61),"",IF(L61=Constants!$B$19,Constants!$B$19,Constants!$B$18))</f>
        <v/>
      </c>
      <c r="Z61" s="99" t="str">
        <f aca="false">IF(ISBLANK($C61),"",IF(ISNUMBER(M61),IF(M61&gt;=0,M61,""),""))</f>
        <v/>
      </c>
      <c r="AA61" s="99" t="str">
        <f aca="false">IF(ISBLANK($C61),"",IF(N61=Constants!$B$2, TRUE(), IF(N61=Constants!$B$3, FALSE(), TRUE())))</f>
        <v/>
      </c>
      <c r="AB61" s="99" t="str">
        <f aca="false">IF(ISBLANK($C61),"",IF(O61=Constants!$B$2, TRUE(), IF(O61=Constants!$B$3, FALSE(), TRUE())))</f>
        <v/>
      </c>
      <c r="AC61" s="99" t="str">
        <f aca="false">IF(ISBLANK($C61),"",IF(P61=Constants!$B$2, TRUE(), IF(P61=Constants!$B$3, FALSE(), FALSE())))</f>
        <v/>
      </c>
      <c r="AD61" s="99" t="str">
        <f aca="false">IF(ISBLANK($C61),"",AND(V61&lt;&gt;"",IF(U61=Constants!$B$19,S61,R61)))</f>
        <v/>
      </c>
      <c r="AE61" s="99" t="str">
        <f aca="false">IF(ISBLANK($C61),"",AND(Z61&lt;&gt;"",IF(Y61=Constants!$B$19,S61,R61)))</f>
        <v/>
      </c>
      <c r="AF61" s="99" t="str">
        <f aca="false">IF(ISBLANK($C61),"",IF(AC61,Constants!$B$4,IF(COUNTA(E61:O61)=0,Constants!$B$5,IF(AND(NOT(AD61),NOT(AE61)),Constants!$B$6,Constants!$B$7))))</f>
        <v/>
      </c>
      <c r="AG61" s="99" t="str">
        <f aca="false">IF(ISBLANK($C61),"",IF($AF61&lt;&gt;Constants!$B$7,$AF61,Constants!$B$20))</f>
        <v/>
      </c>
      <c r="AH61" s="99" t="str">
        <f aca="false">IF($AF61=Constants!$B$7,IF(AD61,V61,Constants!$B$13),"")</f>
        <v/>
      </c>
      <c r="AI61" s="99" t="str">
        <f aca="false">IF($AF61=Constants!$B$7,IF(AD61,T61*IF(W61, 1, Constants!$B$11)*IF(X61, 1, Constants!$B$12),Constants!$B$13),"")</f>
        <v/>
      </c>
      <c r="AJ61" s="99" t="str">
        <f aca="false">IF($AF61=Constants!$B$7,AH61*AI61,"")</f>
        <v/>
      </c>
      <c r="AK61" s="99" t="str">
        <f aca="false">IF($AF61=Constants!$B$7,IF(AE61,Z61,Constants!$B$13),"")</f>
        <v/>
      </c>
      <c r="AL61" s="99" t="str">
        <f aca="false">IF($AF61=Constants!$B$7,IF(AE61,T61*IF(AA61, 1, Constants!$B$11)*IF(AB61, 1, Constants!$B$12),Constants!$B$13),"")</f>
        <v/>
      </c>
      <c r="AM61" s="99" t="str">
        <f aca="false">IF($AF61=Constants!$B$7,AK61*AL61,"")</f>
        <v/>
      </c>
      <c r="AN61" s="99" t="str">
        <f aca="false">IF($AF61=Constants!$B$7,IF(AM61&gt;AJ61,2,1),"")</f>
        <v/>
      </c>
      <c r="AO61" s="99" t="str">
        <f aca="false">IF($AF61=Constants!$B$7,IF(AN61=1,2,1),"")</f>
        <v/>
      </c>
      <c r="AP61" s="99" t="str">
        <f aca="false">IF(ISBLANK($C61),"",IF($AF61&lt;&gt;Constants!$B$7,$AF61,IF(AN61=1,AJ61,AM61)))</f>
        <v/>
      </c>
      <c r="AQ61" s="99" t="str">
        <f aca="false">IF(ISBLANK($C61),"",IF($AF61=Constants!$B$7,IF(ISNUMBER(AP61),RANK(AP61,$AP$8:$AP$507),Constants!$B$14),$AF61))</f>
        <v/>
      </c>
      <c r="AR61" s="99" t="str">
        <f aca="false">IF(ISBLANK($C61),"",IF($AF61=Constants!$B$7,IF(AO61=1,AJ61,AM61),""))</f>
        <v/>
      </c>
      <c r="AS61" s="99" t="str">
        <f aca="false">IF(ISBLANK($C61),"",IF($AF61=Constants!$B$7,RANK(AR61,$AR$8:$AR$507),$AF61))</f>
        <v/>
      </c>
      <c r="AT61" s="99" t="str">
        <f aca="false">IF(ISBLANK($C61),"",IF($AF61=Constants!$B$7,IF(ISNUMBER(AQ61),COUNTIFS($AQ$8:$AQ$507,"&lt;"&amp;$AQ61)+COUNTIFS($AQ$8:$AQ$507,$AQ61,$AS$8:$AS$507,"&lt;"&amp;$AS61)+1,Constants!$B$14),$AF61))</f>
        <v/>
      </c>
      <c r="AU61" s="99" t="str">
        <f aca="false">IF(ISBLANK($C61),"",IF($AF61=Constants!$B$7,IF(ISNUMBER(AQ61),AQ61-AT61,Constants!$B$14),$AF61))</f>
        <v/>
      </c>
      <c r="AV61" s="100"/>
      <c r="AW61" s="101" t="str">
        <f aca="false">IF(ISBLANK($C61),"",IF($AF61&lt;&gt;Constants!$B$7,"",AN61))</f>
        <v/>
      </c>
      <c r="AX61" s="102" t="str">
        <f aca="false">IF(ISBLANK($C61),"",IF($AF61&lt;&gt;Constants!$B$7,"",IF(AN61=1,AH61,AK61)))</f>
        <v/>
      </c>
      <c r="AY61" s="103" t="str">
        <f aca="false">IF(ISBLANK($C61),"",IF($AF61&lt;&gt;Constants!$B$7,"",IF(AN61=1,AI61,AL61)))</f>
        <v/>
      </c>
      <c r="AZ61" s="104" t="str">
        <f aca="false">IF(ISBLANK($C61),"",IF($AF61&lt;&gt;Constants!$B$7,$AF61,AP61))</f>
        <v/>
      </c>
      <c r="BA61" s="105" t="str">
        <f aca="false">IF(ISBLANK($C61),"",IF($AF61&lt;&gt;Constants!$B$7,$AF61,AG61))</f>
        <v/>
      </c>
      <c r="BB61" s="106" t="str">
        <f aca="false">IF(ISBLANK($C61),"",AU61)</f>
        <v/>
      </c>
      <c r="BC61" s="106" t="str">
        <f aca="false">IF(ISBLANK($C61),"",AT61)</f>
        <v/>
      </c>
      <c r="BD61" s="107" t="str">
        <f aca="false">IF(ISBLANK($C61),"",IFERROR(_xlfn.SWITCH(BC61,Constants!$B$4,COUNTA($C$8:$C$507)+2,Constants!$B$5,COUNTA($C$8:$C$507)+1,Constants!$B$6,COUNTA($C$8:$C$507)),BC61))</f>
        <v/>
      </c>
      <c r="BE61" s="5"/>
      <c r="BF61" s="108" t="n">
        <f aca="false">IF(OR(ISNUMBER(BC61),BC61=Constants!$B$4,BC61=Constants!$B$6,BC61=Constants!$B$5),1,0)</f>
        <v>0</v>
      </c>
      <c r="BG61" s="108" t="n">
        <v>54</v>
      </c>
      <c r="BH61" s="108" t="str">
        <f aca="false">IF(ISBLANK($C61),"",IF(ISNUMBER(BD61),BD61+ROW($B61)/1000,""))</f>
        <v/>
      </c>
      <c r="BI61" s="108" t="str">
        <f aca="false">IF(ISNUMBER(BH61),RANK(BH61,$BH$8:$BH$507,1),"")</f>
        <v/>
      </c>
      <c r="BJ61" s="108" t="str">
        <f aca="false">IF(ISBLANK($C61),"",$B61)</f>
        <v/>
      </c>
      <c r="BK61" s="108" t="str">
        <f aca="false">IF(ISBLANK($C61),"",$C61)</f>
        <v/>
      </c>
      <c r="BL61" s="108" t="str">
        <f aca="false">IF(ISBLANK($C61),"",$D61)</f>
        <v/>
      </c>
      <c r="BM61" s="109" t="str">
        <f aca="false">BA61</f>
        <v/>
      </c>
      <c r="BN61" s="110" t="str">
        <f aca="false">AZ61</f>
        <v/>
      </c>
      <c r="BO61" s="108" t="str">
        <f aca="false">IF(ISBLANK($C61),"",BC61)</f>
        <v/>
      </c>
      <c r="BP61" s="111" t="str">
        <f aca="false">IF($BG61&gt;$BF$7,"",VLOOKUP($BG61,$BI$8:$BO$507,7,FALSE()))</f>
        <v/>
      </c>
      <c r="BQ61" s="112" t="str">
        <f aca="false">IF($BG61&gt;$BF$7,"",VLOOKUP($BG61,$BI$8:$BO$507,2,FALSE()))</f>
        <v/>
      </c>
      <c r="BR61" s="112" t="str">
        <f aca="false">IF($BG61&gt;$BF$7,"",VLOOKUP($BG61,$BI$8:$BO$507,3,FALSE()))</f>
        <v/>
      </c>
      <c r="BS61" s="112" t="str">
        <f aca="false">IF($BG61&gt;$BF$7,"",VLOOKUP($BG61,$BI$8:$BO$507,4,FALSE()))</f>
        <v/>
      </c>
      <c r="BT61" s="112" t="str">
        <f aca="false">IF($BG61&gt;$BF$7,"",VLOOKUP($BG61,$BI$8:$BO$507,5,FALSE()))</f>
        <v/>
      </c>
      <c r="BU61" s="113" t="str">
        <f aca="false">IF($BG61&gt;$BF$7,"",VLOOKUP($BG61,$BI$8:$BO$507,6,FALSE()))</f>
        <v/>
      </c>
      <c r="BV61" s="54"/>
    </row>
    <row r="62" customFormat="false" ht="15.75" hidden="false" customHeight="false" outlineLevel="0" collapsed="false">
      <c r="A62" s="5"/>
      <c r="B62" s="135"/>
      <c r="C62" s="56"/>
      <c r="D62" s="57"/>
      <c r="E62" s="84"/>
      <c r="F62" s="136"/>
      <c r="G62" s="60"/>
      <c r="H62" s="137"/>
      <c r="I62" s="62"/>
      <c r="J62" s="62"/>
      <c r="K62" s="60"/>
      <c r="L62" s="138"/>
      <c r="M62" s="62"/>
      <c r="N62" s="62"/>
      <c r="O62" s="60"/>
      <c r="P62" s="84"/>
      <c r="Q62" s="65"/>
      <c r="R62" s="67" t="str">
        <f aca="false">IF(ISBLANK($C62),"",IF(E62=Constants!$B$2, TRUE(), IF(E62=Constants!$B$3, FALSE(), TRUE())))</f>
        <v/>
      </c>
      <c r="S62" s="67" t="str">
        <f aca="false">IF(ISBLANK($C62),"",IF(F62=Constants!$B$2, TRUE(), IF(F62=Constants!$B$3, FALSE(), TRUE())))</f>
        <v/>
      </c>
      <c r="T62" s="67" t="str">
        <f aca="false">IF(ISBLANK($C62),"",IF(G62=Constants!$B$16,Constants!$B$9,IF(G62=Constants!$B$17,Constants!$B$10,Constants!$B$8)))</f>
        <v/>
      </c>
      <c r="U62" s="67" t="str">
        <f aca="false">IF(ISBLANK($C62),"",IF(H62=Constants!$B$19,Constants!$B$19,Constants!$B$18))</f>
        <v/>
      </c>
      <c r="V62" s="67" t="str">
        <f aca="false">IF(ISBLANK($C62),"",IF(ISNUMBER(I62),IF(I62&gt;=0,I62,""),""))</f>
        <v/>
      </c>
      <c r="W62" s="67" t="str">
        <f aca="false">IF(ISBLANK($C62),"",IF(J62=Constants!$B$2, TRUE(), IF(J62=Constants!$B$3, FALSE(), TRUE())))</f>
        <v/>
      </c>
      <c r="X62" s="67" t="str">
        <f aca="false">IF(ISBLANK($C62),"",IF(K62=Constants!$B$2, TRUE(), IF(K62=Constants!$B$3, FALSE(), TRUE())))</f>
        <v/>
      </c>
      <c r="Y62" s="67" t="str">
        <f aca="false">IF(ISBLANK($C62),"",IF(L62=Constants!$B$19,Constants!$B$19,Constants!$B$18))</f>
        <v/>
      </c>
      <c r="Z62" s="67" t="str">
        <f aca="false">IF(ISBLANK($C62),"",IF(ISNUMBER(M62),IF(M62&gt;=0,M62,""),""))</f>
        <v/>
      </c>
      <c r="AA62" s="67" t="str">
        <f aca="false">IF(ISBLANK($C62),"",IF(N62=Constants!$B$2, TRUE(), IF(N62=Constants!$B$3, FALSE(), TRUE())))</f>
        <v/>
      </c>
      <c r="AB62" s="67" t="str">
        <f aca="false">IF(ISBLANK($C62),"",IF(O62=Constants!$B$2, TRUE(), IF(O62=Constants!$B$3, FALSE(), TRUE())))</f>
        <v/>
      </c>
      <c r="AC62" s="67" t="str">
        <f aca="false">IF(ISBLANK($C62),"",IF(P62=Constants!$B$2, TRUE(), IF(P62=Constants!$B$3, FALSE(), FALSE())))</f>
        <v/>
      </c>
      <c r="AD62" s="67" t="str">
        <f aca="false">IF(ISBLANK($C62),"",AND(V62&lt;&gt;"",IF(U62=Constants!$B$19,S62,R62)))</f>
        <v/>
      </c>
      <c r="AE62" s="67" t="str">
        <f aca="false">IF(ISBLANK($C62),"",AND(Z62&lt;&gt;"",IF(Y62=Constants!$B$19,S62,R62)))</f>
        <v/>
      </c>
      <c r="AF62" s="67" t="str">
        <f aca="false">IF(ISBLANK($C62),"",IF(AC62,Constants!$B$4,IF(COUNTA(E62:O62)=0,Constants!$B$5,IF(AND(NOT(AD62),NOT(AE62)),Constants!$B$6,Constants!$B$7))))</f>
        <v/>
      </c>
      <c r="AG62" s="67" t="str">
        <f aca="false">IF(ISBLANK($C62),"",IF($AF62&lt;&gt;Constants!$B$7,$AF62,Constants!$B$20))</f>
        <v/>
      </c>
      <c r="AH62" s="67" t="str">
        <f aca="false">IF($AF62=Constants!$B$7,IF(AD62,V62,Constants!$B$13),"")</f>
        <v/>
      </c>
      <c r="AI62" s="67" t="str">
        <f aca="false">IF($AF62=Constants!$B$7,IF(AD62,T62*IF(W62, 1, Constants!$B$11)*IF(X62, 1, Constants!$B$12),Constants!$B$13),"")</f>
        <v/>
      </c>
      <c r="AJ62" s="67" t="str">
        <f aca="false">IF($AF62=Constants!$B$7,AH62*AI62,"")</f>
        <v/>
      </c>
      <c r="AK62" s="67" t="str">
        <f aca="false">IF($AF62=Constants!$B$7,IF(AE62,Z62,Constants!$B$13),"")</f>
        <v/>
      </c>
      <c r="AL62" s="67" t="str">
        <f aca="false">IF($AF62=Constants!$B$7,IF(AE62,T62*IF(AA62, 1, Constants!$B$11)*IF(AB62, 1, Constants!$B$12),Constants!$B$13),"")</f>
        <v/>
      </c>
      <c r="AM62" s="67" t="str">
        <f aca="false">IF($AF62=Constants!$B$7,AK62*AL62,"")</f>
        <v/>
      </c>
      <c r="AN62" s="67" t="str">
        <f aca="false">IF($AF62=Constants!$B$7,IF(AM62&gt;AJ62,2,1),"")</f>
        <v/>
      </c>
      <c r="AO62" s="67" t="str">
        <f aca="false">IF($AF62=Constants!$B$7,IF(AN62=1,2,1),"")</f>
        <v/>
      </c>
      <c r="AP62" s="67" t="str">
        <f aca="false">IF(ISBLANK($C62),"",IF($AF62&lt;&gt;Constants!$B$7,$AF62,IF(AN62=1,AJ62,AM62)))</f>
        <v/>
      </c>
      <c r="AQ62" s="67" t="str">
        <f aca="false">IF(ISBLANK($C62),"",IF($AF62=Constants!$B$7,IF(ISNUMBER(AP62),RANK(AP62,$AP$8:$AP$507),Constants!$B$14),$AF62))</f>
        <v/>
      </c>
      <c r="AR62" s="67" t="str">
        <f aca="false">IF(ISBLANK($C62),"",IF($AF62=Constants!$B$7,IF(AO62=1,AJ62,AM62),""))</f>
        <v/>
      </c>
      <c r="AS62" s="67" t="str">
        <f aca="false">IF(ISBLANK($C62),"",IF($AF62=Constants!$B$7,RANK(AR62,$AR$8:$AR$507),$AF62))</f>
        <v/>
      </c>
      <c r="AT62" s="67" t="str">
        <f aca="false">IF(ISBLANK($C62),"",IF($AF62=Constants!$B$7,IF(ISNUMBER(AQ62),COUNTIFS($AQ$8:$AQ$507,"&lt;"&amp;$AQ62)+COUNTIFS($AQ$8:$AQ$507,$AQ62,$AS$8:$AS$507,"&lt;"&amp;$AS62)+1,Constants!$B$14),$AF62))</f>
        <v/>
      </c>
      <c r="AU62" s="67" t="str">
        <f aca="false">IF(ISBLANK($C62),"",IF($AF62=Constants!$B$7,IF(ISNUMBER(AQ62),AQ62-AT62,Constants!$B$14),$AF62))</f>
        <v/>
      </c>
      <c r="AV62" s="69"/>
      <c r="AW62" s="70" t="str">
        <f aca="false">IF(ISBLANK($C62),"",IF($AF62&lt;&gt;Constants!$B$7,"",AN62))</f>
        <v/>
      </c>
      <c r="AX62" s="85" t="str">
        <f aca="false">IF(ISBLANK($C62),"",IF($AF62&lt;&gt;Constants!$B$7,"",IF(AN62=1,AH62,AK62)))</f>
        <v/>
      </c>
      <c r="AY62" s="72" t="str">
        <f aca="false">IF(ISBLANK($C62),"",IF($AF62&lt;&gt;Constants!$B$7,"",IF(AN62=1,AI62,AL62)))</f>
        <v/>
      </c>
      <c r="AZ62" s="73" t="str">
        <f aca="false">IF(ISBLANK($C62),"",IF($AF62&lt;&gt;Constants!$B$7,$AF62,AP62))</f>
        <v/>
      </c>
      <c r="BA62" s="74" t="str">
        <f aca="false">IF(ISBLANK($C62),"",IF($AF62&lt;&gt;Constants!$B$7,$AF62,AG62))</f>
        <v/>
      </c>
      <c r="BB62" s="75" t="str">
        <f aca="false">IF(ISBLANK($C62),"",AU62)</f>
        <v/>
      </c>
      <c r="BC62" s="75" t="str">
        <f aca="false">IF(ISBLANK($C62),"",AT62)</f>
        <v/>
      </c>
      <c r="BD62" s="76" t="str">
        <f aca="false">IF(ISBLANK($C62),"",IFERROR(_xlfn.SWITCH(BC62,Constants!$B$4,COUNTA($C$8:$C$507)+2,Constants!$B$5,COUNTA($C$8:$C$507)+1,Constants!$B$6,COUNTA($C$8:$C$507)),BC62))</f>
        <v/>
      </c>
      <c r="BE62" s="5"/>
      <c r="BF62" s="77" t="n">
        <f aca="false">IF(OR(ISNUMBER(BC62),BC62=Constants!$B$4,BC62=Constants!$B$6,BC62=Constants!$B$5),1,0)</f>
        <v>0</v>
      </c>
      <c r="BG62" s="77" t="n">
        <v>55</v>
      </c>
      <c r="BH62" s="77" t="str">
        <f aca="false">IF(ISBLANK($C62),"",IF(ISNUMBER(BD62),BD62+ROW($B62)/1000,""))</f>
        <v/>
      </c>
      <c r="BI62" s="77" t="str">
        <f aca="false">IF(ISNUMBER(BH62),RANK(BH62,$BH$8:$BH$507,1),"")</f>
        <v/>
      </c>
      <c r="BJ62" s="77" t="str">
        <f aca="false">IF(ISBLANK($C62),"",$B62)</f>
        <v/>
      </c>
      <c r="BK62" s="77" t="str">
        <f aca="false">IF(ISBLANK($C62),"",$C62)</f>
        <v/>
      </c>
      <c r="BL62" s="77" t="str">
        <f aca="false">IF(ISBLANK($C62),"",$D62)</f>
        <v/>
      </c>
      <c r="BM62" s="78" t="str">
        <f aca="false">BA62</f>
        <v/>
      </c>
      <c r="BN62" s="79" t="str">
        <f aca="false">AZ62</f>
        <v/>
      </c>
      <c r="BO62" s="77" t="str">
        <f aca="false">IF(ISBLANK($C62),"",BC62)</f>
        <v/>
      </c>
      <c r="BP62" s="80" t="str">
        <f aca="false">IF($BG62&gt;$BF$7,"",VLOOKUP($BG62,$BI$8:$BO$507,7,FALSE()))</f>
        <v/>
      </c>
      <c r="BQ62" s="81" t="str">
        <f aca="false">IF($BG62&gt;$BF$7,"",VLOOKUP($BG62,$BI$8:$BO$507,2,FALSE()))</f>
        <v/>
      </c>
      <c r="BR62" s="81" t="str">
        <f aca="false">IF($BG62&gt;$BF$7,"",VLOOKUP($BG62,$BI$8:$BO$507,3,FALSE()))</f>
        <v/>
      </c>
      <c r="BS62" s="81" t="str">
        <f aca="false">IF($BG62&gt;$BF$7,"",VLOOKUP($BG62,$BI$8:$BO$507,4,FALSE()))</f>
        <v/>
      </c>
      <c r="BT62" s="81" t="str">
        <f aca="false">IF($BG62&gt;$BF$7,"",VLOOKUP($BG62,$BI$8:$BO$507,5,FALSE()))</f>
        <v/>
      </c>
      <c r="BU62" s="82" t="str">
        <f aca="false">IF($BG62&gt;$BF$7,"",VLOOKUP($BG62,$BI$8:$BO$507,6,FALSE()))</f>
        <v/>
      </c>
      <c r="BV62" s="54"/>
    </row>
    <row r="63" customFormat="false" ht="15.75" hidden="false" customHeight="false" outlineLevel="0" collapsed="false">
      <c r="A63" s="5"/>
      <c r="B63" s="135"/>
      <c r="C63" s="56"/>
      <c r="D63" s="57"/>
      <c r="E63" s="84"/>
      <c r="F63" s="136"/>
      <c r="G63" s="60"/>
      <c r="H63" s="137"/>
      <c r="I63" s="62"/>
      <c r="J63" s="62"/>
      <c r="K63" s="60"/>
      <c r="L63" s="138"/>
      <c r="M63" s="62"/>
      <c r="N63" s="62"/>
      <c r="O63" s="60"/>
      <c r="P63" s="84"/>
      <c r="Q63" s="65"/>
      <c r="R63" s="67" t="str">
        <f aca="false">IF(ISBLANK($C63),"",IF(E63=Constants!$B$2, TRUE(), IF(E63=Constants!$B$3, FALSE(), TRUE())))</f>
        <v/>
      </c>
      <c r="S63" s="67" t="str">
        <f aca="false">IF(ISBLANK($C63),"",IF(F63=Constants!$B$2, TRUE(), IF(F63=Constants!$B$3, FALSE(), TRUE())))</f>
        <v/>
      </c>
      <c r="T63" s="67" t="str">
        <f aca="false">IF(ISBLANK($C63),"",IF(G63=Constants!$B$16,Constants!$B$9,IF(G63=Constants!$B$17,Constants!$B$10,Constants!$B$8)))</f>
        <v/>
      </c>
      <c r="U63" s="67" t="str">
        <f aca="false">IF(ISBLANK($C63),"",IF(H63=Constants!$B$19,Constants!$B$19,Constants!$B$18))</f>
        <v/>
      </c>
      <c r="V63" s="67" t="str">
        <f aca="false">IF(ISBLANK($C63),"",IF(ISNUMBER(I63),IF(I63&gt;=0,I63,""),""))</f>
        <v/>
      </c>
      <c r="W63" s="67" t="str">
        <f aca="false">IF(ISBLANK($C63),"",IF(J63=Constants!$B$2, TRUE(), IF(J63=Constants!$B$3, FALSE(), TRUE())))</f>
        <v/>
      </c>
      <c r="X63" s="67" t="str">
        <f aca="false">IF(ISBLANK($C63),"",IF(K63=Constants!$B$2, TRUE(), IF(K63=Constants!$B$3, FALSE(), TRUE())))</f>
        <v/>
      </c>
      <c r="Y63" s="67" t="str">
        <f aca="false">IF(ISBLANK($C63),"",IF(L63=Constants!$B$19,Constants!$B$19,Constants!$B$18))</f>
        <v/>
      </c>
      <c r="Z63" s="67" t="str">
        <f aca="false">IF(ISBLANK($C63),"",IF(ISNUMBER(M63),IF(M63&gt;=0,M63,""),""))</f>
        <v/>
      </c>
      <c r="AA63" s="67" t="str">
        <f aca="false">IF(ISBLANK($C63),"",IF(N63=Constants!$B$2, TRUE(), IF(N63=Constants!$B$3, FALSE(), TRUE())))</f>
        <v/>
      </c>
      <c r="AB63" s="67" t="str">
        <f aca="false">IF(ISBLANK($C63),"",IF(O63=Constants!$B$2, TRUE(), IF(O63=Constants!$B$3, FALSE(), TRUE())))</f>
        <v/>
      </c>
      <c r="AC63" s="67" t="str">
        <f aca="false">IF(ISBLANK($C63),"",IF(P63=Constants!$B$2, TRUE(), IF(P63=Constants!$B$3, FALSE(), FALSE())))</f>
        <v/>
      </c>
      <c r="AD63" s="67" t="str">
        <f aca="false">IF(ISBLANK($C63),"",AND(V63&lt;&gt;"",IF(U63=Constants!$B$19,S63,R63)))</f>
        <v/>
      </c>
      <c r="AE63" s="67" t="str">
        <f aca="false">IF(ISBLANK($C63),"",AND(Z63&lt;&gt;"",IF(Y63=Constants!$B$19,S63,R63)))</f>
        <v/>
      </c>
      <c r="AF63" s="67" t="str">
        <f aca="false">IF(ISBLANK($C63),"",IF(AC63,Constants!$B$4,IF(COUNTA(E63:O63)=0,Constants!$B$5,IF(AND(NOT(AD63),NOT(AE63)),Constants!$B$6,Constants!$B$7))))</f>
        <v/>
      </c>
      <c r="AG63" s="67" t="str">
        <f aca="false">IF(ISBLANK($C63),"",IF($AF63&lt;&gt;Constants!$B$7,$AF63,Constants!$B$20))</f>
        <v/>
      </c>
      <c r="AH63" s="67" t="str">
        <f aca="false">IF($AF63=Constants!$B$7,IF(AD63,V63,Constants!$B$13),"")</f>
        <v/>
      </c>
      <c r="AI63" s="67" t="str">
        <f aca="false">IF($AF63=Constants!$B$7,IF(AD63,T63*IF(W63, 1, Constants!$B$11)*IF(X63, 1, Constants!$B$12),Constants!$B$13),"")</f>
        <v/>
      </c>
      <c r="AJ63" s="67" t="str">
        <f aca="false">IF($AF63=Constants!$B$7,AH63*AI63,"")</f>
        <v/>
      </c>
      <c r="AK63" s="67" t="str">
        <f aca="false">IF($AF63=Constants!$B$7,IF(AE63,Z63,Constants!$B$13),"")</f>
        <v/>
      </c>
      <c r="AL63" s="67" t="str">
        <f aca="false">IF($AF63=Constants!$B$7,IF(AE63,T63*IF(AA63, 1, Constants!$B$11)*IF(AB63, 1, Constants!$B$12),Constants!$B$13),"")</f>
        <v/>
      </c>
      <c r="AM63" s="67" t="str">
        <f aca="false">IF($AF63=Constants!$B$7,AK63*AL63,"")</f>
        <v/>
      </c>
      <c r="AN63" s="67" t="str">
        <f aca="false">IF($AF63=Constants!$B$7,IF(AM63&gt;AJ63,2,1),"")</f>
        <v/>
      </c>
      <c r="AO63" s="67" t="str">
        <f aca="false">IF($AF63=Constants!$B$7,IF(AN63=1,2,1),"")</f>
        <v/>
      </c>
      <c r="AP63" s="67" t="str">
        <f aca="false">IF(ISBLANK($C63),"",IF($AF63&lt;&gt;Constants!$B$7,$AF63,IF(AN63=1,AJ63,AM63)))</f>
        <v/>
      </c>
      <c r="AQ63" s="67" t="str">
        <f aca="false">IF(ISBLANK($C63),"",IF($AF63=Constants!$B$7,IF(ISNUMBER(AP63),RANK(AP63,$AP$8:$AP$507),Constants!$B$14),$AF63))</f>
        <v/>
      </c>
      <c r="AR63" s="67" t="str">
        <f aca="false">IF(ISBLANK($C63),"",IF($AF63=Constants!$B$7,IF(AO63=1,AJ63,AM63),""))</f>
        <v/>
      </c>
      <c r="AS63" s="67" t="str">
        <f aca="false">IF(ISBLANK($C63),"",IF($AF63=Constants!$B$7,RANK(AR63,$AR$8:$AR$507),$AF63))</f>
        <v/>
      </c>
      <c r="AT63" s="67" t="str">
        <f aca="false">IF(ISBLANK($C63),"",IF($AF63=Constants!$B$7,IF(ISNUMBER(AQ63),COUNTIFS($AQ$8:$AQ$507,"&lt;"&amp;$AQ63)+COUNTIFS($AQ$8:$AQ$507,$AQ63,$AS$8:$AS$507,"&lt;"&amp;$AS63)+1,Constants!$B$14),$AF63))</f>
        <v/>
      </c>
      <c r="AU63" s="67" t="str">
        <f aca="false">IF(ISBLANK($C63),"",IF($AF63=Constants!$B$7,IF(ISNUMBER(AQ63),AQ63-AT63,Constants!$B$14),$AF63))</f>
        <v/>
      </c>
      <c r="AV63" s="69"/>
      <c r="AW63" s="70" t="str">
        <f aca="false">IF(ISBLANK($C63),"",IF($AF63&lt;&gt;Constants!$B$7,"",AN63))</f>
        <v/>
      </c>
      <c r="AX63" s="85" t="str">
        <f aca="false">IF(ISBLANK($C63),"",IF($AF63&lt;&gt;Constants!$B$7,"",IF(AN63=1,AH63,AK63)))</f>
        <v/>
      </c>
      <c r="AY63" s="72" t="str">
        <f aca="false">IF(ISBLANK($C63),"",IF($AF63&lt;&gt;Constants!$B$7,"",IF(AN63=1,AI63,AL63)))</f>
        <v/>
      </c>
      <c r="AZ63" s="73" t="str">
        <f aca="false">IF(ISBLANK($C63),"",IF($AF63&lt;&gt;Constants!$B$7,$AF63,AP63))</f>
        <v/>
      </c>
      <c r="BA63" s="74" t="str">
        <f aca="false">IF(ISBLANK($C63),"",IF($AF63&lt;&gt;Constants!$B$7,$AF63,AG63))</f>
        <v/>
      </c>
      <c r="BB63" s="75" t="str">
        <f aca="false">IF(ISBLANK($C63),"",AU63)</f>
        <v/>
      </c>
      <c r="BC63" s="75" t="str">
        <f aca="false">IF(ISBLANK($C63),"",AT63)</f>
        <v/>
      </c>
      <c r="BD63" s="76" t="str">
        <f aca="false">IF(ISBLANK($C63),"",IFERROR(_xlfn.SWITCH(BC63,Constants!$B$4,COUNTA($C$8:$C$507)+2,Constants!$B$5,COUNTA($C$8:$C$507)+1,Constants!$B$6,COUNTA($C$8:$C$507)),BC63))</f>
        <v/>
      </c>
      <c r="BE63" s="5"/>
      <c r="BF63" s="77" t="n">
        <f aca="false">IF(OR(ISNUMBER(BC63),BC63=Constants!$B$4,BC63=Constants!$B$6,BC63=Constants!$B$5),1,0)</f>
        <v>0</v>
      </c>
      <c r="BG63" s="77" t="n">
        <v>56</v>
      </c>
      <c r="BH63" s="77" t="str">
        <f aca="false">IF(ISBLANK($C63),"",IF(ISNUMBER(BD63),BD63+ROW($B63)/1000,""))</f>
        <v/>
      </c>
      <c r="BI63" s="77" t="str">
        <f aca="false">IF(ISNUMBER(BH63),RANK(BH63,$BH$8:$BH$507,1),"")</f>
        <v/>
      </c>
      <c r="BJ63" s="77" t="str">
        <f aca="false">IF(ISBLANK($C63),"",$B63)</f>
        <v/>
      </c>
      <c r="BK63" s="77" t="str">
        <f aca="false">IF(ISBLANK($C63),"",$C63)</f>
        <v/>
      </c>
      <c r="BL63" s="77" t="str">
        <f aca="false">IF(ISBLANK($C63),"",$D63)</f>
        <v/>
      </c>
      <c r="BM63" s="78" t="str">
        <f aca="false">BA63</f>
        <v/>
      </c>
      <c r="BN63" s="79" t="str">
        <f aca="false">AZ63</f>
        <v/>
      </c>
      <c r="BO63" s="77" t="str">
        <f aca="false">IF(ISBLANK($C63),"",BC63)</f>
        <v/>
      </c>
      <c r="BP63" s="80" t="str">
        <f aca="false">IF($BG63&gt;$BF$7,"",VLOOKUP($BG63,$BI$8:$BO$507,7,FALSE()))</f>
        <v/>
      </c>
      <c r="BQ63" s="81" t="str">
        <f aca="false">IF($BG63&gt;$BF$7,"",VLOOKUP($BG63,$BI$8:$BO$507,2,FALSE()))</f>
        <v/>
      </c>
      <c r="BR63" s="81" t="str">
        <f aca="false">IF($BG63&gt;$BF$7,"",VLOOKUP($BG63,$BI$8:$BO$507,3,FALSE()))</f>
        <v/>
      </c>
      <c r="BS63" s="81" t="str">
        <f aca="false">IF($BG63&gt;$BF$7,"",VLOOKUP($BG63,$BI$8:$BO$507,4,FALSE()))</f>
        <v/>
      </c>
      <c r="BT63" s="81" t="str">
        <f aca="false">IF($BG63&gt;$BF$7,"",VLOOKUP($BG63,$BI$8:$BO$507,5,FALSE()))</f>
        <v/>
      </c>
      <c r="BU63" s="82" t="str">
        <f aca="false">IF($BG63&gt;$BF$7,"",VLOOKUP($BG63,$BI$8:$BO$507,6,FALSE()))</f>
        <v/>
      </c>
      <c r="BV63" s="54"/>
    </row>
    <row r="64" customFormat="false" ht="15.75" hidden="false" customHeight="false" outlineLevel="0" collapsed="false">
      <c r="A64" s="5"/>
      <c r="B64" s="135"/>
      <c r="C64" s="56"/>
      <c r="D64" s="57"/>
      <c r="E64" s="84"/>
      <c r="F64" s="136"/>
      <c r="G64" s="60"/>
      <c r="H64" s="137"/>
      <c r="I64" s="62"/>
      <c r="J64" s="62"/>
      <c r="K64" s="60"/>
      <c r="L64" s="138"/>
      <c r="M64" s="62"/>
      <c r="N64" s="62"/>
      <c r="O64" s="60"/>
      <c r="P64" s="84"/>
      <c r="Q64" s="65"/>
      <c r="R64" s="67" t="str">
        <f aca="false">IF(ISBLANK($C64),"",IF(E64=Constants!$B$2, TRUE(), IF(E64=Constants!$B$3, FALSE(), TRUE())))</f>
        <v/>
      </c>
      <c r="S64" s="67" t="str">
        <f aca="false">IF(ISBLANK($C64),"",IF(F64=Constants!$B$2, TRUE(), IF(F64=Constants!$B$3, FALSE(), TRUE())))</f>
        <v/>
      </c>
      <c r="T64" s="67" t="str">
        <f aca="false">IF(ISBLANK($C64),"",IF(G64=Constants!$B$16,Constants!$B$9,IF(G64=Constants!$B$17,Constants!$B$10,Constants!$B$8)))</f>
        <v/>
      </c>
      <c r="U64" s="67" t="str">
        <f aca="false">IF(ISBLANK($C64),"",IF(H64=Constants!$B$19,Constants!$B$19,Constants!$B$18))</f>
        <v/>
      </c>
      <c r="V64" s="67" t="str">
        <f aca="false">IF(ISBLANK($C64),"",IF(ISNUMBER(I64),IF(I64&gt;=0,I64,""),""))</f>
        <v/>
      </c>
      <c r="W64" s="67" t="str">
        <f aca="false">IF(ISBLANK($C64),"",IF(J64=Constants!$B$2, TRUE(), IF(J64=Constants!$B$3, FALSE(), TRUE())))</f>
        <v/>
      </c>
      <c r="X64" s="67" t="str">
        <f aca="false">IF(ISBLANK($C64),"",IF(K64=Constants!$B$2, TRUE(), IF(K64=Constants!$B$3, FALSE(), TRUE())))</f>
        <v/>
      </c>
      <c r="Y64" s="67" t="str">
        <f aca="false">IF(ISBLANK($C64),"",IF(L64=Constants!$B$19,Constants!$B$19,Constants!$B$18))</f>
        <v/>
      </c>
      <c r="Z64" s="67" t="str">
        <f aca="false">IF(ISBLANK($C64),"",IF(ISNUMBER(M64),IF(M64&gt;=0,M64,""),""))</f>
        <v/>
      </c>
      <c r="AA64" s="67" t="str">
        <f aca="false">IF(ISBLANK($C64),"",IF(N64=Constants!$B$2, TRUE(), IF(N64=Constants!$B$3, FALSE(), TRUE())))</f>
        <v/>
      </c>
      <c r="AB64" s="67" t="str">
        <f aca="false">IF(ISBLANK($C64),"",IF(O64=Constants!$B$2, TRUE(), IF(O64=Constants!$B$3, FALSE(), TRUE())))</f>
        <v/>
      </c>
      <c r="AC64" s="67" t="str">
        <f aca="false">IF(ISBLANK($C64),"",IF(P64=Constants!$B$2, TRUE(), IF(P64=Constants!$B$3, FALSE(), FALSE())))</f>
        <v/>
      </c>
      <c r="AD64" s="67" t="str">
        <f aca="false">IF(ISBLANK($C64),"",AND(V64&lt;&gt;"",IF(U64=Constants!$B$19,S64,R64)))</f>
        <v/>
      </c>
      <c r="AE64" s="67" t="str">
        <f aca="false">IF(ISBLANK($C64),"",AND(Z64&lt;&gt;"",IF(Y64=Constants!$B$19,S64,R64)))</f>
        <v/>
      </c>
      <c r="AF64" s="67" t="str">
        <f aca="false">IF(ISBLANK($C64),"",IF(AC64,Constants!$B$4,IF(COUNTA(E64:O64)=0,Constants!$B$5,IF(AND(NOT(AD64),NOT(AE64)),Constants!$B$6,Constants!$B$7))))</f>
        <v/>
      </c>
      <c r="AG64" s="67" t="str">
        <f aca="false">IF(ISBLANK($C64),"",IF($AF64&lt;&gt;Constants!$B$7,$AF64,Constants!$B$20))</f>
        <v/>
      </c>
      <c r="AH64" s="67" t="str">
        <f aca="false">IF($AF64=Constants!$B$7,IF(AD64,V64,Constants!$B$13),"")</f>
        <v/>
      </c>
      <c r="AI64" s="67" t="str">
        <f aca="false">IF($AF64=Constants!$B$7,IF(AD64,T64*IF(W64, 1, Constants!$B$11)*IF(X64, 1, Constants!$B$12),Constants!$B$13),"")</f>
        <v/>
      </c>
      <c r="AJ64" s="67" t="str">
        <f aca="false">IF($AF64=Constants!$B$7,AH64*AI64,"")</f>
        <v/>
      </c>
      <c r="AK64" s="67" t="str">
        <f aca="false">IF($AF64=Constants!$B$7,IF(AE64,Z64,Constants!$B$13),"")</f>
        <v/>
      </c>
      <c r="AL64" s="67" t="str">
        <f aca="false">IF($AF64=Constants!$B$7,IF(AE64,T64*IF(AA64, 1, Constants!$B$11)*IF(AB64, 1, Constants!$B$12),Constants!$B$13),"")</f>
        <v/>
      </c>
      <c r="AM64" s="67" t="str">
        <f aca="false">IF($AF64=Constants!$B$7,AK64*AL64,"")</f>
        <v/>
      </c>
      <c r="AN64" s="67" t="str">
        <f aca="false">IF($AF64=Constants!$B$7,IF(AM64&gt;AJ64,2,1),"")</f>
        <v/>
      </c>
      <c r="AO64" s="67" t="str">
        <f aca="false">IF($AF64=Constants!$B$7,IF(AN64=1,2,1),"")</f>
        <v/>
      </c>
      <c r="AP64" s="67" t="str">
        <f aca="false">IF(ISBLANK($C64),"",IF($AF64&lt;&gt;Constants!$B$7,$AF64,IF(AN64=1,AJ64,AM64)))</f>
        <v/>
      </c>
      <c r="AQ64" s="67" t="str">
        <f aca="false">IF(ISBLANK($C64),"",IF($AF64=Constants!$B$7,IF(ISNUMBER(AP64),RANK(AP64,$AP$8:$AP$507),Constants!$B$14),$AF64))</f>
        <v/>
      </c>
      <c r="AR64" s="67" t="str">
        <f aca="false">IF(ISBLANK($C64),"",IF($AF64=Constants!$B$7,IF(AO64=1,AJ64,AM64),""))</f>
        <v/>
      </c>
      <c r="AS64" s="67" t="str">
        <f aca="false">IF(ISBLANK($C64),"",IF($AF64=Constants!$B$7,RANK(AR64,$AR$8:$AR$507),$AF64))</f>
        <v/>
      </c>
      <c r="AT64" s="67" t="str">
        <f aca="false">IF(ISBLANK($C64),"",IF($AF64=Constants!$B$7,IF(ISNUMBER(AQ64),COUNTIFS($AQ$8:$AQ$507,"&lt;"&amp;$AQ64)+COUNTIFS($AQ$8:$AQ$507,$AQ64,$AS$8:$AS$507,"&lt;"&amp;$AS64)+1,Constants!$B$14),$AF64))</f>
        <v/>
      </c>
      <c r="AU64" s="67" t="str">
        <f aca="false">IF(ISBLANK($C64),"",IF($AF64=Constants!$B$7,IF(ISNUMBER(AQ64),AQ64-AT64,Constants!$B$14),$AF64))</f>
        <v/>
      </c>
      <c r="AV64" s="69"/>
      <c r="AW64" s="70" t="str">
        <f aca="false">IF(ISBLANK($C64),"",IF($AF64&lt;&gt;Constants!$B$7,"",AN64))</f>
        <v/>
      </c>
      <c r="AX64" s="85" t="str">
        <f aca="false">IF(ISBLANK($C64),"",IF($AF64&lt;&gt;Constants!$B$7,"",IF(AN64=1,AH64,AK64)))</f>
        <v/>
      </c>
      <c r="AY64" s="72" t="str">
        <f aca="false">IF(ISBLANK($C64),"",IF($AF64&lt;&gt;Constants!$B$7,"",IF(AN64=1,AI64,AL64)))</f>
        <v/>
      </c>
      <c r="AZ64" s="73" t="str">
        <f aca="false">IF(ISBLANK($C64),"",IF($AF64&lt;&gt;Constants!$B$7,$AF64,AP64))</f>
        <v/>
      </c>
      <c r="BA64" s="74" t="str">
        <f aca="false">IF(ISBLANK($C64),"",IF($AF64&lt;&gt;Constants!$B$7,$AF64,AG64))</f>
        <v/>
      </c>
      <c r="BB64" s="75" t="str">
        <f aca="false">IF(ISBLANK($C64),"",AU64)</f>
        <v/>
      </c>
      <c r="BC64" s="75" t="str">
        <f aca="false">IF(ISBLANK($C64),"",AT64)</f>
        <v/>
      </c>
      <c r="BD64" s="76" t="str">
        <f aca="false">IF(ISBLANK($C64),"",IFERROR(_xlfn.SWITCH(BC64,Constants!$B$4,COUNTA($C$8:$C$507)+2,Constants!$B$5,COUNTA($C$8:$C$507)+1,Constants!$B$6,COUNTA($C$8:$C$507)),BC64))</f>
        <v/>
      </c>
      <c r="BE64" s="5"/>
      <c r="BF64" s="77" t="n">
        <f aca="false">IF(OR(ISNUMBER(BC64),BC64=Constants!$B$4,BC64=Constants!$B$6,BC64=Constants!$B$5),1,0)</f>
        <v>0</v>
      </c>
      <c r="BG64" s="77" t="n">
        <v>57</v>
      </c>
      <c r="BH64" s="77" t="str">
        <f aca="false">IF(ISBLANK($C64),"",IF(ISNUMBER(BD64),BD64+ROW($B64)/1000,""))</f>
        <v/>
      </c>
      <c r="BI64" s="77" t="str">
        <f aca="false">IF(ISNUMBER(BH64),RANK(BH64,$BH$8:$BH$507,1),"")</f>
        <v/>
      </c>
      <c r="BJ64" s="77" t="str">
        <f aca="false">IF(ISBLANK($C64),"",$B64)</f>
        <v/>
      </c>
      <c r="BK64" s="77" t="str">
        <f aca="false">IF(ISBLANK($C64),"",$C64)</f>
        <v/>
      </c>
      <c r="BL64" s="77" t="str">
        <f aca="false">IF(ISBLANK($C64),"",$D64)</f>
        <v/>
      </c>
      <c r="BM64" s="78" t="str">
        <f aca="false">BA64</f>
        <v/>
      </c>
      <c r="BN64" s="79" t="str">
        <f aca="false">AZ64</f>
        <v/>
      </c>
      <c r="BO64" s="77" t="str">
        <f aca="false">IF(ISBLANK($C64),"",BC64)</f>
        <v/>
      </c>
      <c r="BP64" s="80" t="str">
        <f aca="false">IF($BG64&gt;$BF$7,"",VLOOKUP($BG64,$BI$8:$BO$507,7,FALSE()))</f>
        <v/>
      </c>
      <c r="BQ64" s="81" t="str">
        <f aca="false">IF($BG64&gt;$BF$7,"",VLOOKUP($BG64,$BI$8:$BO$507,2,FALSE()))</f>
        <v/>
      </c>
      <c r="BR64" s="81" t="str">
        <f aca="false">IF($BG64&gt;$BF$7,"",VLOOKUP($BG64,$BI$8:$BO$507,3,FALSE()))</f>
        <v/>
      </c>
      <c r="BS64" s="81" t="str">
        <f aca="false">IF($BG64&gt;$BF$7,"",VLOOKUP($BG64,$BI$8:$BO$507,4,FALSE()))</f>
        <v/>
      </c>
      <c r="BT64" s="81" t="str">
        <f aca="false">IF($BG64&gt;$BF$7,"",VLOOKUP($BG64,$BI$8:$BO$507,5,FALSE()))</f>
        <v/>
      </c>
      <c r="BU64" s="82" t="str">
        <f aca="false">IF($BG64&gt;$BF$7,"",VLOOKUP($BG64,$BI$8:$BO$507,6,FALSE()))</f>
        <v/>
      </c>
      <c r="BV64" s="54"/>
    </row>
    <row r="65" customFormat="false" ht="15.75" hidden="false" customHeight="false" outlineLevel="0" collapsed="false">
      <c r="A65" s="5"/>
      <c r="B65" s="128"/>
      <c r="C65" s="129"/>
      <c r="D65" s="114"/>
      <c r="E65" s="134"/>
      <c r="F65" s="139"/>
      <c r="G65" s="93"/>
      <c r="H65" s="140"/>
      <c r="I65" s="95"/>
      <c r="J65" s="95"/>
      <c r="K65" s="93"/>
      <c r="L65" s="141"/>
      <c r="M65" s="95"/>
      <c r="N65" s="95"/>
      <c r="O65" s="93"/>
      <c r="P65" s="134"/>
      <c r="Q65" s="98"/>
      <c r="R65" s="99" t="str">
        <f aca="false">IF(ISBLANK($C65),"",IF(E65=Constants!$B$2, TRUE(), IF(E65=Constants!$B$3, FALSE(), TRUE())))</f>
        <v/>
      </c>
      <c r="S65" s="99" t="str">
        <f aca="false">IF(ISBLANK($C65),"",IF(F65=Constants!$B$2, TRUE(), IF(F65=Constants!$B$3, FALSE(), TRUE())))</f>
        <v/>
      </c>
      <c r="T65" s="99" t="str">
        <f aca="false">IF(ISBLANK($C65),"",IF(G65=Constants!$B$16,Constants!$B$9,IF(G65=Constants!$B$17,Constants!$B$10,Constants!$B$8)))</f>
        <v/>
      </c>
      <c r="U65" s="99" t="str">
        <f aca="false">IF(ISBLANK($C65),"",IF(H65=Constants!$B$19,Constants!$B$19,Constants!$B$18))</f>
        <v/>
      </c>
      <c r="V65" s="99" t="str">
        <f aca="false">IF(ISBLANK($C65),"",IF(ISNUMBER(I65),IF(I65&gt;=0,I65,""),""))</f>
        <v/>
      </c>
      <c r="W65" s="99" t="str">
        <f aca="false">IF(ISBLANK($C65),"",IF(J65=Constants!$B$2, TRUE(), IF(J65=Constants!$B$3, FALSE(), TRUE())))</f>
        <v/>
      </c>
      <c r="X65" s="99" t="str">
        <f aca="false">IF(ISBLANK($C65),"",IF(K65=Constants!$B$2, TRUE(), IF(K65=Constants!$B$3, FALSE(), TRUE())))</f>
        <v/>
      </c>
      <c r="Y65" s="99" t="str">
        <f aca="false">IF(ISBLANK($C65),"",IF(L65=Constants!$B$19,Constants!$B$19,Constants!$B$18))</f>
        <v/>
      </c>
      <c r="Z65" s="99" t="str">
        <f aca="false">IF(ISBLANK($C65),"",IF(ISNUMBER(M65),IF(M65&gt;=0,M65,""),""))</f>
        <v/>
      </c>
      <c r="AA65" s="99" t="str">
        <f aca="false">IF(ISBLANK($C65),"",IF(N65=Constants!$B$2, TRUE(), IF(N65=Constants!$B$3, FALSE(), TRUE())))</f>
        <v/>
      </c>
      <c r="AB65" s="99" t="str">
        <f aca="false">IF(ISBLANK($C65),"",IF(O65=Constants!$B$2, TRUE(), IF(O65=Constants!$B$3, FALSE(), TRUE())))</f>
        <v/>
      </c>
      <c r="AC65" s="99" t="str">
        <f aca="false">IF(ISBLANK($C65),"",IF(P65=Constants!$B$2, TRUE(), IF(P65=Constants!$B$3, FALSE(), FALSE())))</f>
        <v/>
      </c>
      <c r="AD65" s="99" t="str">
        <f aca="false">IF(ISBLANK($C65),"",AND(V65&lt;&gt;"",IF(U65=Constants!$B$19,S65,R65)))</f>
        <v/>
      </c>
      <c r="AE65" s="99" t="str">
        <f aca="false">IF(ISBLANK($C65),"",AND(Z65&lt;&gt;"",IF(Y65=Constants!$B$19,S65,R65)))</f>
        <v/>
      </c>
      <c r="AF65" s="99" t="str">
        <f aca="false">IF(ISBLANK($C65),"",IF(AC65,Constants!$B$4,IF(COUNTA(E65:O65)=0,Constants!$B$5,IF(AND(NOT(AD65),NOT(AE65)),Constants!$B$6,Constants!$B$7))))</f>
        <v/>
      </c>
      <c r="AG65" s="99" t="str">
        <f aca="false">IF(ISBLANK($C65),"",IF($AF65&lt;&gt;Constants!$B$7,$AF65,Constants!$B$20))</f>
        <v/>
      </c>
      <c r="AH65" s="99" t="str">
        <f aca="false">IF($AF65=Constants!$B$7,IF(AD65,V65,Constants!$B$13),"")</f>
        <v/>
      </c>
      <c r="AI65" s="99" t="str">
        <f aca="false">IF($AF65=Constants!$B$7,IF(AD65,T65*IF(W65, 1, Constants!$B$11)*IF(X65, 1, Constants!$B$12),Constants!$B$13),"")</f>
        <v/>
      </c>
      <c r="AJ65" s="99" t="str">
        <f aca="false">IF($AF65=Constants!$B$7,AH65*AI65,"")</f>
        <v/>
      </c>
      <c r="AK65" s="99" t="str">
        <f aca="false">IF($AF65=Constants!$B$7,IF(AE65,Z65,Constants!$B$13),"")</f>
        <v/>
      </c>
      <c r="AL65" s="99" t="str">
        <f aca="false">IF($AF65=Constants!$B$7,IF(AE65,T65*IF(AA65, 1, Constants!$B$11)*IF(AB65, 1, Constants!$B$12),Constants!$B$13),"")</f>
        <v/>
      </c>
      <c r="AM65" s="99" t="str">
        <f aca="false">IF($AF65=Constants!$B$7,AK65*AL65,"")</f>
        <v/>
      </c>
      <c r="AN65" s="99" t="str">
        <f aca="false">IF($AF65=Constants!$B$7,IF(AM65&gt;AJ65,2,1),"")</f>
        <v/>
      </c>
      <c r="AO65" s="99" t="str">
        <f aca="false">IF($AF65=Constants!$B$7,IF(AN65=1,2,1),"")</f>
        <v/>
      </c>
      <c r="AP65" s="99" t="str">
        <f aca="false">IF(ISBLANK($C65),"",IF($AF65&lt;&gt;Constants!$B$7,$AF65,IF(AN65=1,AJ65,AM65)))</f>
        <v/>
      </c>
      <c r="AQ65" s="99" t="str">
        <f aca="false">IF(ISBLANK($C65),"",IF($AF65=Constants!$B$7,IF(ISNUMBER(AP65),RANK(AP65,$AP$8:$AP$507),Constants!$B$14),$AF65))</f>
        <v/>
      </c>
      <c r="AR65" s="99" t="str">
        <f aca="false">IF(ISBLANK($C65),"",IF($AF65=Constants!$B$7,IF(AO65=1,AJ65,AM65),""))</f>
        <v/>
      </c>
      <c r="AS65" s="99" t="str">
        <f aca="false">IF(ISBLANK($C65),"",IF($AF65=Constants!$B$7,RANK(AR65,$AR$8:$AR$507),$AF65))</f>
        <v/>
      </c>
      <c r="AT65" s="99" t="str">
        <f aca="false">IF(ISBLANK($C65),"",IF($AF65=Constants!$B$7,IF(ISNUMBER(AQ65),COUNTIFS($AQ$8:$AQ$507,"&lt;"&amp;$AQ65)+COUNTIFS($AQ$8:$AQ$507,$AQ65,$AS$8:$AS$507,"&lt;"&amp;$AS65)+1,Constants!$B$14),$AF65))</f>
        <v/>
      </c>
      <c r="AU65" s="99" t="str">
        <f aca="false">IF(ISBLANK($C65),"",IF($AF65=Constants!$B$7,IF(ISNUMBER(AQ65),AQ65-AT65,Constants!$B$14),$AF65))</f>
        <v/>
      </c>
      <c r="AV65" s="100"/>
      <c r="AW65" s="101" t="str">
        <f aca="false">IF(ISBLANK($C65),"",IF($AF65&lt;&gt;Constants!$B$7,"",AN65))</f>
        <v/>
      </c>
      <c r="AX65" s="102" t="str">
        <f aca="false">IF(ISBLANK($C65),"",IF($AF65&lt;&gt;Constants!$B$7,"",IF(AN65=1,AH65,AK65)))</f>
        <v/>
      </c>
      <c r="AY65" s="103" t="str">
        <f aca="false">IF(ISBLANK($C65),"",IF($AF65&lt;&gt;Constants!$B$7,"",IF(AN65=1,AI65,AL65)))</f>
        <v/>
      </c>
      <c r="AZ65" s="104" t="str">
        <f aca="false">IF(ISBLANK($C65),"",IF($AF65&lt;&gt;Constants!$B$7,$AF65,AP65))</f>
        <v/>
      </c>
      <c r="BA65" s="105" t="str">
        <f aca="false">IF(ISBLANK($C65),"",IF($AF65&lt;&gt;Constants!$B$7,$AF65,AG65))</f>
        <v/>
      </c>
      <c r="BB65" s="106" t="str">
        <f aca="false">IF(ISBLANK($C65),"",AU65)</f>
        <v/>
      </c>
      <c r="BC65" s="106" t="str">
        <f aca="false">IF(ISBLANK($C65),"",AT65)</f>
        <v/>
      </c>
      <c r="BD65" s="107" t="str">
        <f aca="false">IF(ISBLANK($C65),"",IFERROR(_xlfn.SWITCH(BC65,Constants!$B$4,COUNTA($C$8:$C$507)+2,Constants!$B$5,COUNTA($C$8:$C$507)+1,Constants!$B$6,COUNTA($C$8:$C$507)),BC65))</f>
        <v/>
      </c>
      <c r="BE65" s="5"/>
      <c r="BF65" s="108" t="n">
        <f aca="false">IF(OR(ISNUMBER(BC65),BC65=Constants!$B$4,BC65=Constants!$B$6,BC65=Constants!$B$5),1,0)</f>
        <v>0</v>
      </c>
      <c r="BG65" s="108" t="n">
        <v>58</v>
      </c>
      <c r="BH65" s="108" t="str">
        <f aca="false">IF(ISBLANK($C65),"",IF(ISNUMBER(BD65),BD65+ROW($B65)/1000,""))</f>
        <v/>
      </c>
      <c r="BI65" s="108" t="str">
        <f aca="false">IF(ISNUMBER(BH65),RANK(BH65,$BH$8:$BH$507,1),"")</f>
        <v/>
      </c>
      <c r="BJ65" s="108" t="str">
        <f aca="false">IF(ISBLANK($C65),"",$B65)</f>
        <v/>
      </c>
      <c r="BK65" s="108" t="str">
        <f aca="false">IF(ISBLANK($C65),"",$C65)</f>
        <v/>
      </c>
      <c r="BL65" s="108" t="str">
        <f aca="false">IF(ISBLANK($C65),"",$D65)</f>
        <v/>
      </c>
      <c r="BM65" s="109" t="str">
        <f aca="false">BA65</f>
        <v/>
      </c>
      <c r="BN65" s="110" t="str">
        <f aca="false">AZ65</f>
        <v/>
      </c>
      <c r="BO65" s="108" t="str">
        <f aca="false">IF(ISBLANK($C65),"",BC65)</f>
        <v/>
      </c>
      <c r="BP65" s="111" t="str">
        <f aca="false">IF($BG65&gt;$BF$7,"",VLOOKUP($BG65,$BI$8:$BO$507,7,FALSE()))</f>
        <v/>
      </c>
      <c r="BQ65" s="112" t="str">
        <f aca="false">IF($BG65&gt;$BF$7,"",VLOOKUP($BG65,$BI$8:$BO$507,2,FALSE()))</f>
        <v/>
      </c>
      <c r="BR65" s="112" t="str">
        <f aca="false">IF($BG65&gt;$BF$7,"",VLOOKUP($BG65,$BI$8:$BO$507,3,FALSE()))</f>
        <v/>
      </c>
      <c r="BS65" s="112" t="str">
        <f aca="false">IF($BG65&gt;$BF$7,"",VLOOKUP($BG65,$BI$8:$BO$507,4,FALSE()))</f>
        <v/>
      </c>
      <c r="BT65" s="112" t="str">
        <f aca="false">IF($BG65&gt;$BF$7,"",VLOOKUP($BG65,$BI$8:$BO$507,5,FALSE()))</f>
        <v/>
      </c>
      <c r="BU65" s="113" t="str">
        <f aca="false">IF($BG65&gt;$BF$7,"",VLOOKUP($BG65,$BI$8:$BO$507,6,FALSE()))</f>
        <v/>
      </c>
      <c r="BV65" s="54"/>
    </row>
    <row r="66" customFormat="false" ht="15.75" hidden="false" customHeight="false" outlineLevel="0" collapsed="false">
      <c r="A66" s="5"/>
      <c r="B66" s="128"/>
      <c r="C66" s="129"/>
      <c r="D66" s="114"/>
      <c r="E66" s="134"/>
      <c r="F66" s="139"/>
      <c r="G66" s="93"/>
      <c r="H66" s="140"/>
      <c r="I66" s="95"/>
      <c r="J66" s="95"/>
      <c r="K66" s="93"/>
      <c r="L66" s="141"/>
      <c r="M66" s="95"/>
      <c r="N66" s="95"/>
      <c r="O66" s="93"/>
      <c r="P66" s="134"/>
      <c r="Q66" s="98"/>
      <c r="R66" s="99" t="str">
        <f aca="false">IF(ISBLANK($C66),"",IF(E66=Constants!$B$2, TRUE(), IF(E66=Constants!$B$3, FALSE(), TRUE())))</f>
        <v/>
      </c>
      <c r="S66" s="99" t="str">
        <f aca="false">IF(ISBLANK($C66),"",IF(F66=Constants!$B$2, TRUE(), IF(F66=Constants!$B$3, FALSE(), TRUE())))</f>
        <v/>
      </c>
      <c r="T66" s="99" t="str">
        <f aca="false">IF(ISBLANK($C66),"",IF(G66=Constants!$B$16,Constants!$B$9,IF(G66=Constants!$B$17,Constants!$B$10,Constants!$B$8)))</f>
        <v/>
      </c>
      <c r="U66" s="99" t="str">
        <f aca="false">IF(ISBLANK($C66),"",IF(H66=Constants!$B$19,Constants!$B$19,Constants!$B$18))</f>
        <v/>
      </c>
      <c r="V66" s="99" t="str">
        <f aca="false">IF(ISBLANK($C66),"",IF(ISNUMBER(I66),IF(I66&gt;=0,I66,""),""))</f>
        <v/>
      </c>
      <c r="W66" s="99" t="str">
        <f aca="false">IF(ISBLANK($C66),"",IF(J66=Constants!$B$2, TRUE(), IF(J66=Constants!$B$3, FALSE(), TRUE())))</f>
        <v/>
      </c>
      <c r="X66" s="99" t="str">
        <f aca="false">IF(ISBLANK($C66),"",IF(K66=Constants!$B$2, TRUE(), IF(K66=Constants!$B$3, FALSE(), TRUE())))</f>
        <v/>
      </c>
      <c r="Y66" s="99" t="str">
        <f aca="false">IF(ISBLANK($C66),"",IF(L66=Constants!$B$19,Constants!$B$19,Constants!$B$18))</f>
        <v/>
      </c>
      <c r="Z66" s="99" t="str">
        <f aca="false">IF(ISBLANK($C66),"",IF(ISNUMBER(M66),IF(M66&gt;=0,M66,""),""))</f>
        <v/>
      </c>
      <c r="AA66" s="99" t="str">
        <f aca="false">IF(ISBLANK($C66),"",IF(N66=Constants!$B$2, TRUE(), IF(N66=Constants!$B$3, FALSE(), TRUE())))</f>
        <v/>
      </c>
      <c r="AB66" s="99" t="str">
        <f aca="false">IF(ISBLANK($C66),"",IF(O66=Constants!$B$2, TRUE(), IF(O66=Constants!$B$3, FALSE(), TRUE())))</f>
        <v/>
      </c>
      <c r="AC66" s="99" t="str">
        <f aca="false">IF(ISBLANK($C66),"",IF(P66=Constants!$B$2, TRUE(), IF(P66=Constants!$B$3, FALSE(), FALSE())))</f>
        <v/>
      </c>
      <c r="AD66" s="99" t="str">
        <f aca="false">IF(ISBLANK($C66),"",AND(V66&lt;&gt;"",IF(U66=Constants!$B$19,S66,R66)))</f>
        <v/>
      </c>
      <c r="AE66" s="99" t="str">
        <f aca="false">IF(ISBLANK($C66),"",AND(Z66&lt;&gt;"",IF(Y66=Constants!$B$19,S66,R66)))</f>
        <v/>
      </c>
      <c r="AF66" s="99" t="str">
        <f aca="false">IF(ISBLANK($C66),"",IF(AC66,Constants!$B$4,IF(COUNTA(E66:O66)=0,Constants!$B$5,IF(AND(NOT(AD66),NOT(AE66)),Constants!$B$6,Constants!$B$7))))</f>
        <v/>
      </c>
      <c r="AG66" s="99" t="str">
        <f aca="false">IF(ISBLANK($C66),"",IF($AF66&lt;&gt;Constants!$B$7,$AF66,Constants!$B$20))</f>
        <v/>
      </c>
      <c r="AH66" s="99" t="str">
        <f aca="false">IF($AF66=Constants!$B$7,IF(AD66,V66,Constants!$B$13),"")</f>
        <v/>
      </c>
      <c r="AI66" s="99" t="str">
        <f aca="false">IF($AF66=Constants!$B$7,IF(AD66,T66*IF(W66, 1, Constants!$B$11)*IF(X66, 1, Constants!$B$12),Constants!$B$13),"")</f>
        <v/>
      </c>
      <c r="AJ66" s="99" t="str">
        <f aca="false">IF($AF66=Constants!$B$7,AH66*AI66,"")</f>
        <v/>
      </c>
      <c r="AK66" s="99" t="str">
        <f aca="false">IF($AF66=Constants!$B$7,IF(AE66,Z66,Constants!$B$13),"")</f>
        <v/>
      </c>
      <c r="AL66" s="99" t="str">
        <f aca="false">IF($AF66=Constants!$B$7,IF(AE66,T66*IF(AA66, 1, Constants!$B$11)*IF(AB66, 1, Constants!$B$12),Constants!$B$13),"")</f>
        <v/>
      </c>
      <c r="AM66" s="99" t="str">
        <f aca="false">IF($AF66=Constants!$B$7,AK66*AL66,"")</f>
        <v/>
      </c>
      <c r="AN66" s="99" t="str">
        <f aca="false">IF($AF66=Constants!$B$7,IF(AM66&gt;AJ66,2,1),"")</f>
        <v/>
      </c>
      <c r="AO66" s="99" t="str">
        <f aca="false">IF($AF66=Constants!$B$7,IF(AN66=1,2,1),"")</f>
        <v/>
      </c>
      <c r="AP66" s="99" t="str">
        <f aca="false">IF(ISBLANK($C66),"",IF($AF66&lt;&gt;Constants!$B$7,$AF66,IF(AN66=1,AJ66,AM66)))</f>
        <v/>
      </c>
      <c r="AQ66" s="99" t="str">
        <f aca="false">IF(ISBLANK($C66),"",IF($AF66=Constants!$B$7,IF(ISNUMBER(AP66),RANK(AP66,$AP$8:$AP$507),Constants!$B$14),$AF66))</f>
        <v/>
      </c>
      <c r="AR66" s="99" t="str">
        <f aca="false">IF(ISBLANK($C66),"",IF($AF66=Constants!$B$7,IF(AO66=1,AJ66,AM66),""))</f>
        <v/>
      </c>
      <c r="AS66" s="99" t="str">
        <f aca="false">IF(ISBLANK($C66),"",IF($AF66=Constants!$B$7,RANK(AR66,$AR$8:$AR$507),$AF66))</f>
        <v/>
      </c>
      <c r="AT66" s="99" t="str">
        <f aca="false">IF(ISBLANK($C66),"",IF($AF66=Constants!$B$7,IF(ISNUMBER(AQ66),COUNTIFS($AQ$8:$AQ$507,"&lt;"&amp;$AQ66)+COUNTIFS($AQ$8:$AQ$507,$AQ66,$AS$8:$AS$507,"&lt;"&amp;$AS66)+1,Constants!$B$14),$AF66))</f>
        <v/>
      </c>
      <c r="AU66" s="99" t="str">
        <f aca="false">IF(ISBLANK($C66),"",IF($AF66=Constants!$B$7,IF(ISNUMBER(AQ66),AQ66-AT66,Constants!$B$14),$AF66))</f>
        <v/>
      </c>
      <c r="AV66" s="100"/>
      <c r="AW66" s="101" t="str">
        <f aca="false">IF(ISBLANK($C66),"",IF($AF66&lt;&gt;Constants!$B$7,"",AN66))</f>
        <v/>
      </c>
      <c r="AX66" s="102" t="str">
        <f aca="false">IF(ISBLANK($C66),"",IF($AF66&lt;&gt;Constants!$B$7,"",IF(AN66=1,AH66,AK66)))</f>
        <v/>
      </c>
      <c r="AY66" s="103" t="str">
        <f aca="false">IF(ISBLANK($C66),"",IF($AF66&lt;&gt;Constants!$B$7,"",IF(AN66=1,AI66,AL66)))</f>
        <v/>
      </c>
      <c r="AZ66" s="104" t="str">
        <f aca="false">IF(ISBLANK($C66),"",IF($AF66&lt;&gt;Constants!$B$7,$AF66,AP66))</f>
        <v/>
      </c>
      <c r="BA66" s="105" t="str">
        <f aca="false">IF(ISBLANK($C66),"",IF($AF66&lt;&gt;Constants!$B$7,$AF66,AG66))</f>
        <v/>
      </c>
      <c r="BB66" s="106" t="str">
        <f aca="false">IF(ISBLANK($C66),"",AU66)</f>
        <v/>
      </c>
      <c r="BC66" s="106" t="str">
        <f aca="false">IF(ISBLANK($C66),"",AT66)</f>
        <v/>
      </c>
      <c r="BD66" s="107" t="str">
        <f aca="false">IF(ISBLANK($C66),"",IFERROR(_xlfn.SWITCH(BC66,Constants!$B$4,COUNTA($C$8:$C$507)+2,Constants!$B$5,COUNTA($C$8:$C$507)+1,Constants!$B$6,COUNTA($C$8:$C$507)),BC66))</f>
        <v/>
      </c>
      <c r="BE66" s="5"/>
      <c r="BF66" s="108" t="n">
        <f aca="false">IF(OR(ISNUMBER(BC66),BC66=Constants!$B$4,BC66=Constants!$B$6,BC66=Constants!$B$5),1,0)</f>
        <v>0</v>
      </c>
      <c r="BG66" s="108" t="n">
        <v>59</v>
      </c>
      <c r="BH66" s="108" t="str">
        <f aca="false">IF(ISBLANK($C66),"",IF(ISNUMBER(BD66),BD66+ROW($B66)/1000,""))</f>
        <v/>
      </c>
      <c r="BI66" s="108" t="str">
        <f aca="false">IF(ISNUMBER(BH66),RANK(BH66,$BH$8:$BH$507,1),"")</f>
        <v/>
      </c>
      <c r="BJ66" s="108" t="str">
        <f aca="false">IF(ISBLANK($C66),"",$B66)</f>
        <v/>
      </c>
      <c r="BK66" s="108" t="str">
        <f aca="false">IF(ISBLANK($C66),"",$C66)</f>
        <v/>
      </c>
      <c r="BL66" s="108" t="str">
        <f aca="false">IF(ISBLANK($C66),"",$D66)</f>
        <v/>
      </c>
      <c r="BM66" s="109" t="str">
        <f aca="false">BA66</f>
        <v/>
      </c>
      <c r="BN66" s="110" t="str">
        <f aca="false">AZ66</f>
        <v/>
      </c>
      <c r="BO66" s="108" t="str">
        <f aca="false">IF(ISBLANK($C66),"",BC66)</f>
        <v/>
      </c>
      <c r="BP66" s="111" t="str">
        <f aca="false">IF($BG66&gt;$BF$7,"",VLOOKUP($BG66,$BI$8:$BO$507,7,FALSE()))</f>
        <v/>
      </c>
      <c r="BQ66" s="112" t="str">
        <f aca="false">IF($BG66&gt;$BF$7,"",VLOOKUP($BG66,$BI$8:$BO$507,2,FALSE()))</f>
        <v/>
      </c>
      <c r="BR66" s="112" t="str">
        <f aca="false">IF($BG66&gt;$BF$7,"",VLOOKUP($BG66,$BI$8:$BO$507,3,FALSE()))</f>
        <v/>
      </c>
      <c r="BS66" s="112" t="str">
        <f aca="false">IF($BG66&gt;$BF$7,"",VLOOKUP($BG66,$BI$8:$BO$507,4,FALSE()))</f>
        <v/>
      </c>
      <c r="BT66" s="112" t="str">
        <f aca="false">IF($BG66&gt;$BF$7,"",VLOOKUP($BG66,$BI$8:$BO$507,5,FALSE()))</f>
        <v/>
      </c>
      <c r="BU66" s="113" t="str">
        <f aca="false">IF($BG66&gt;$BF$7,"",VLOOKUP($BG66,$BI$8:$BO$507,6,FALSE()))</f>
        <v/>
      </c>
      <c r="BV66" s="54"/>
    </row>
    <row r="67" customFormat="false" ht="15.75" hidden="false" customHeight="false" outlineLevel="0" collapsed="false">
      <c r="A67" s="5"/>
      <c r="B67" s="128"/>
      <c r="C67" s="129"/>
      <c r="D67" s="114"/>
      <c r="E67" s="134"/>
      <c r="F67" s="139"/>
      <c r="G67" s="93"/>
      <c r="H67" s="140"/>
      <c r="I67" s="95"/>
      <c r="J67" s="95"/>
      <c r="K67" s="93"/>
      <c r="L67" s="141"/>
      <c r="M67" s="95"/>
      <c r="N67" s="95"/>
      <c r="O67" s="93"/>
      <c r="P67" s="134"/>
      <c r="Q67" s="98"/>
      <c r="R67" s="99" t="str">
        <f aca="false">IF(ISBLANK($C67),"",IF(E67=Constants!$B$2, TRUE(), IF(E67=Constants!$B$3, FALSE(), TRUE())))</f>
        <v/>
      </c>
      <c r="S67" s="99" t="str">
        <f aca="false">IF(ISBLANK($C67),"",IF(F67=Constants!$B$2, TRUE(), IF(F67=Constants!$B$3, FALSE(), TRUE())))</f>
        <v/>
      </c>
      <c r="T67" s="99" t="str">
        <f aca="false">IF(ISBLANK($C67),"",IF(G67=Constants!$B$16,Constants!$B$9,IF(G67=Constants!$B$17,Constants!$B$10,Constants!$B$8)))</f>
        <v/>
      </c>
      <c r="U67" s="99" t="str">
        <f aca="false">IF(ISBLANK($C67),"",IF(H67=Constants!$B$19,Constants!$B$19,Constants!$B$18))</f>
        <v/>
      </c>
      <c r="V67" s="99" t="str">
        <f aca="false">IF(ISBLANK($C67),"",IF(ISNUMBER(I67),IF(I67&gt;=0,I67,""),""))</f>
        <v/>
      </c>
      <c r="W67" s="99" t="str">
        <f aca="false">IF(ISBLANK($C67),"",IF(J67=Constants!$B$2, TRUE(), IF(J67=Constants!$B$3, FALSE(), TRUE())))</f>
        <v/>
      </c>
      <c r="X67" s="99" t="str">
        <f aca="false">IF(ISBLANK($C67),"",IF(K67=Constants!$B$2, TRUE(), IF(K67=Constants!$B$3, FALSE(), TRUE())))</f>
        <v/>
      </c>
      <c r="Y67" s="99" t="str">
        <f aca="false">IF(ISBLANK($C67),"",IF(L67=Constants!$B$19,Constants!$B$19,Constants!$B$18))</f>
        <v/>
      </c>
      <c r="Z67" s="99" t="str">
        <f aca="false">IF(ISBLANK($C67),"",IF(ISNUMBER(M67),IF(M67&gt;=0,M67,""),""))</f>
        <v/>
      </c>
      <c r="AA67" s="99" t="str">
        <f aca="false">IF(ISBLANK($C67),"",IF(N67=Constants!$B$2, TRUE(), IF(N67=Constants!$B$3, FALSE(), TRUE())))</f>
        <v/>
      </c>
      <c r="AB67" s="99" t="str">
        <f aca="false">IF(ISBLANK($C67),"",IF(O67=Constants!$B$2, TRUE(), IF(O67=Constants!$B$3, FALSE(), TRUE())))</f>
        <v/>
      </c>
      <c r="AC67" s="99" t="str">
        <f aca="false">IF(ISBLANK($C67),"",IF(P67=Constants!$B$2, TRUE(), IF(P67=Constants!$B$3, FALSE(), FALSE())))</f>
        <v/>
      </c>
      <c r="AD67" s="99" t="str">
        <f aca="false">IF(ISBLANK($C67),"",AND(V67&lt;&gt;"",IF(U67=Constants!$B$19,S67,R67)))</f>
        <v/>
      </c>
      <c r="AE67" s="99" t="str">
        <f aca="false">IF(ISBLANK($C67),"",AND(Z67&lt;&gt;"",IF(Y67=Constants!$B$19,S67,R67)))</f>
        <v/>
      </c>
      <c r="AF67" s="99" t="str">
        <f aca="false">IF(ISBLANK($C67),"",IF(AC67,Constants!$B$4,IF(COUNTA(E67:O67)=0,Constants!$B$5,IF(AND(NOT(AD67),NOT(AE67)),Constants!$B$6,Constants!$B$7))))</f>
        <v/>
      </c>
      <c r="AG67" s="99" t="str">
        <f aca="false">IF(ISBLANK($C67),"",IF($AF67&lt;&gt;Constants!$B$7,$AF67,Constants!$B$20))</f>
        <v/>
      </c>
      <c r="AH67" s="99" t="str">
        <f aca="false">IF($AF67=Constants!$B$7,IF(AD67,V67,Constants!$B$13),"")</f>
        <v/>
      </c>
      <c r="AI67" s="99" t="str">
        <f aca="false">IF($AF67=Constants!$B$7,IF(AD67,T67*IF(W67, 1, Constants!$B$11)*IF(X67, 1, Constants!$B$12),Constants!$B$13),"")</f>
        <v/>
      </c>
      <c r="AJ67" s="99" t="str">
        <f aca="false">IF($AF67=Constants!$B$7,AH67*AI67,"")</f>
        <v/>
      </c>
      <c r="AK67" s="99" t="str">
        <f aca="false">IF($AF67=Constants!$B$7,IF(AE67,Z67,Constants!$B$13),"")</f>
        <v/>
      </c>
      <c r="AL67" s="99" t="str">
        <f aca="false">IF($AF67=Constants!$B$7,IF(AE67,T67*IF(AA67, 1, Constants!$B$11)*IF(AB67, 1, Constants!$B$12),Constants!$B$13),"")</f>
        <v/>
      </c>
      <c r="AM67" s="99" t="str">
        <f aca="false">IF($AF67=Constants!$B$7,AK67*AL67,"")</f>
        <v/>
      </c>
      <c r="AN67" s="99" t="str">
        <f aca="false">IF($AF67=Constants!$B$7,IF(AM67&gt;AJ67,2,1),"")</f>
        <v/>
      </c>
      <c r="AO67" s="99" t="str">
        <f aca="false">IF($AF67=Constants!$B$7,IF(AN67=1,2,1),"")</f>
        <v/>
      </c>
      <c r="AP67" s="99" t="str">
        <f aca="false">IF(ISBLANK($C67),"",IF($AF67&lt;&gt;Constants!$B$7,$AF67,IF(AN67=1,AJ67,AM67)))</f>
        <v/>
      </c>
      <c r="AQ67" s="99" t="str">
        <f aca="false">IF(ISBLANK($C67),"",IF($AF67=Constants!$B$7,IF(ISNUMBER(AP67),RANK(AP67,$AP$8:$AP$507),Constants!$B$14),$AF67))</f>
        <v/>
      </c>
      <c r="AR67" s="99" t="str">
        <f aca="false">IF(ISBLANK($C67),"",IF($AF67=Constants!$B$7,IF(AO67=1,AJ67,AM67),""))</f>
        <v/>
      </c>
      <c r="AS67" s="99" t="str">
        <f aca="false">IF(ISBLANK($C67),"",IF($AF67=Constants!$B$7,RANK(AR67,$AR$8:$AR$507),$AF67))</f>
        <v/>
      </c>
      <c r="AT67" s="99" t="str">
        <f aca="false">IF(ISBLANK($C67),"",IF($AF67=Constants!$B$7,IF(ISNUMBER(AQ67),COUNTIFS($AQ$8:$AQ$507,"&lt;"&amp;$AQ67)+COUNTIFS($AQ$8:$AQ$507,$AQ67,$AS$8:$AS$507,"&lt;"&amp;$AS67)+1,Constants!$B$14),$AF67))</f>
        <v/>
      </c>
      <c r="AU67" s="99" t="str">
        <f aca="false">IF(ISBLANK($C67),"",IF($AF67=Constants!$B$7,IF(ISNUMBER(AQ67),AQ67-AT67,Constants!$B$14),$AF67))</f>
        <v/>
      </c>
      <c r="AV67" s="100"/>
      <c r="AW67" s="101" t="str">
        <f aca="false">IF(ISBLANK($C67),"",IF($AF67&lt;&gt;Constants!$B$7,"",AN67))</f>
        <v/>
      </c>
      <c r="AX67" s="102" t="str">
        <f aca="false">IF(ISBLANK($C67),"",IF($AF67&lt;&gt;Constants!$B$7,"",IF(AN67=1,AH67,AK67)))</f>
        <v/>
      </c>
      <c r="AY67" s="103" t="str">
        <f aca="false">IF(ISBLANK($C67),"",IF($AF67&lt;&gt;Constants!$B$7,"",IF(AN67=1,AI67,AL67)))</f>
        <v/>
      </c>
      <c r="AZ67" s="104" t="str">
        <f aca="false">IF(ISBLANK($C67),"",IF($AF67&lt;&gt;Constants!$B$7,$AF67,AP67))</f>
        <v/>
      </c>
      <c r="BA67" s="105" t="str">
        <f aca="false">IF(ISBLANK($C67),"",IF($AF67&lt;&gt;Constants!$B$7,$AF67,AG67))</f>
        <v/>
      </c>
      <c r="BB67" s="106" t="str">
        <f aca="false">IF(ISBLANK($C67),"",AU67)</f>
        <v/>
      </c>
      <c r="BC67" s="106" t="str">
        <f aca="false">IF(ISBLANK($C67),"",AT67)</f>
        <v/>
      </c>
      <c r="BD67" s="107" t="str">
        <f aca="false">IF(ISBLANK($C67),"",IFERROR(_xlfn.SWITCH(BC67,Constants!$B$4,COUNTA($C$8:$C$507)+2,Constants!$B$5,COUNTA($C$8:$C$507)+1,Constants!$B$6,COUNTA($C$8:$C$507)),BC67))</f>
        <v/>
      </c>
      <c r="BE67" s="5"/>
      <c r="BF67" s="108" t="n">
        <f aca="false">IF(OR(ISNUMBER(BC67),BC67=Constants!$B$4,BC67=Constants!$B$6,BC67=Constants!$B$5),1,0)</f>
        <v>0</v>
      </c>
      <c r="BG67" s="108" t="n">
        <v>60</v>
      </c>
      <c r="BH67" s="108" t="str">
        <f aca="false">IF(ISBLANK($C67),"",IF(ISNUMBER(BD67),BD67+ROW($B67)/1000,""))</f>
        <v/>
      </c>
      <c r="BI67" s="108" t="str">
        <f aca="false">IF(ISNUMBER(BH67),RANK(BH67,$BH$8:$BH$507,1),"")</f>
        <v/>
      </c>
      <c r="BJ67" s="108" t="str">
        <f aca="false">IF(ISBLANK($C67),"",$B67)</f>
        <v/>
      </c>
      <c r="BK67" s="108" t="str">
        <f aca="false">IF(ISBLANK($C67),"",$C67)</f>
        <v/>
      </c>
      <c r="BL67" s="108" t="str">
        <f aca="false">IF(ISBLANK($C67),"",$D67)</f>
        <v/>
      </c>
      <c r="BM67" s="109" t="str">
        <f aca="false">BA67</f>
        <v/>
      </c>
      <c r="BN67" s="110" t="str">
        <f aca="false">AZ67</f>
        <v/>
      </c>
      <c r="BO67" s="108" t="str">
        <f aca="false">IF(ISBLANK($C67),"",BC67)</f>
        <v/>
      </c>
      <c r="BP67" s="111" t="str">
        <f aca="false">IF($BG67&gt;$BF$7,"",VLOOKUP($BG67,$BI$8:$BO$507,7,FALSE()))</f>
        <v/>
      </c>
      <c r="BQ67" s="112" t="str">
        <f aca="false">IF($BG67&gt;$BF$7,"",VLOOKUP($BG67,$BI$8:$BO$507,2,FALSE()))</f>
        <v/>
      </c>
      <c r="BR67" s="112" t="str">
        <f aca="false">IF($BG67&gt;$BF$7,"",VLOOKUP($BG67,$BI$8:$BO$507,3,FALSE()))</f>
        <v/>
      </c>
      <c r="BS67" s="112" t="str">
        <f aca="false">IF($BG67&gt;$BF$7,"",VLOOKUP($BG67,$BI$8:$BO$507,4,FALSE()))</f>
        <v/>
      </c>
      <c r="BT67" s="112" t="str">
        <f aca="false">IF($BG67&gt;$BF$7,"",VLOOKUP($BG67,$BI$8:$BO$507,5,FALSE()))</f>
        <v/>
      </c>
      <c r="BU67" s="113" t="str">
        <f aca="false">IF($BG67&gt;$BF$7,"",VLOOKUP($BG67,$BI$8:$BO$507,6,FALSE()))</f>
        <v/>
      </c>
      <c r="BV67" s="54"/>
    </row>
    <row r="68" customFormat="false" ht="15.75" hidden="false" customHeight="false" outlineLevel="0" collapsed="false">
      <c r="A68" s="5"/>
      <c r="B68" s="135"/>
      <c r="C68" s="56"/>
      <c r="D68" s="57"/>
      <c r="E68" s="84"/>
      <c r="F68" s="136"/>
      <c r="G68" s="60"/>
      <c r="H68" s="137"/>
      <c r="I68" s="62"/>
      <c r="J68" s="62"/>
      <c r="K68" s="60"/>
      <c r="L68" s="138"/>
      <c r="M68" s="62"/>
      <c r="N68" s="62"/>
      <c r="O68" s="60"/>
      <c r="P68" s="84"/>
      <c r="Q68" s="65"/>
      <c r="R68" s="67" t="str">
        <f aca="false">IF(ISBLANK($C68),"",IF(E68=Constants!$B$2, TRUE(), IF(E68=Constants!$B$3, FALSE(), TRUE())))</f>
        <v/>
      </c>
      <c r="S68" s="67" t="str">
        <f aca="false">IF(ISBLANK($C68),"",IF(F68=Constants!$B$2, TRUE(), IF(F68=Constants!$B$3, FALSE(), TRUE())))</f>
        <v/>
      </c>
      <c r="T68" s="67" t="str">
        <f aca="false">IF(ISBLANK($C68),"",IF(G68=Constants!$B$16,Constants!$B$9,IF(G68=Constants!$B$17,Constants!$B$10,Constants!$B$8)))</f>
        <v/>
      </c>
      <c r="U68" s="67" t="str">
        <f aca="false">IF(ISBLANK($C68),"",IF(H68=Constants!$B$19,Constants!$B$19,Constants!$B$18))</f>
        <v/>
      </c>
      <c r="V68" s="67" t="str">
        <f aca="false">IF(ISBLANK($C68),"",IF(ISNUMBER(I68),IF(I68&gt;=0,I68,""),""))</f>
        <v/>
      </c>
      <c r="W68" s="67" t="str">
        <f aca="false">IF(ISBLANK($C68),"",IF(J68=Constants!$B$2, TRUE(), IF(J68=Constants!$B$3, FALSE(), TRUE())))</f>
        <v/>
      </c>
      <c r="X68" s="67" t="str">
        <f aca="false">IF(ISBLANK($C68),"",IF(K68=Constants!$B$2, TRUE(), IF(K68=Constants!$B$3, FALSE(), TRUE())))</f>
        <v/>
      </c>
      <c r="Y68" s="67" t="str">
        <f aca="false">IF(ISBLANK($C68),"",IF(L68=Constants!$B$19,Constants!$B$19,Constants!$B$18))</f>
        <v/>
      </c>
      <c r="Z68" s="67" t="str">
        <f aca="false">IF(ISBLANK($C68),"",IF(ISNUMBER(M68),IF(M68&gt;=0,M68,""),""))</f>
        <v/>
      </c>
      <c r="AA68" s="67" t="str">
        <f aca="false">IF(ISBLANK($C68),"",IF(N68=Constants!$B$2, TRUE(), IF(N68=Constants!$B$3, FALSE(), TRUE())))</f>
        <v/>
      </c>
      <c r="AB68" s="67" t="str">
        <f aca="false">IF(ISBLANK($C68),"",IF(O68=Constants!$B$2, TRUE(), IF(O68=Constants!$B$3, FALSE(), TRUE())))</f>
        <v/>
      </c>
      <c r="AC68" s="67" t="str">
        <f aca="false">IF(ISBLANK($C68),"",IF(P68=Constants!$B$2, TRUE(), IF(P68=Constants!$B$3, FALSE(), FALSE())))</f>
        <v/>
      </c>
      <c r="AD68" s="67" t="str">
        <f aca="false">IF(ISBLANK($C68),"",AND(V68&lt;&gt;"",IF(U68=Constants!$B$19,S68,R68)))</f>
        <v/>
      </c>
      <c r="AE68" s="67" t="str">
        <f aca="false">IF(ISBLANK($C68),"",AND(Z68&lt;&gt;"",IF(Y68=Constants!$B$19,S68,R68)))</f>
        <v/>
      </c>
      <c r="AF68" s="67" t="str">
        <f aca="false">IF(ISBLANK($C68),"",IF(AC68,Constants!$B$4,IF(COUNTA(E68:O68)=0,Constants!$B$5,IF(AND(NOT(AD68),NOT(AE68)),Constants!$B$6,Constants!$B$7))))</f>
        <v/>
      </c>
      <c r="AG68" s="67" t="str">
        <f aca="false">IF(ISBLANK($C68),"",IF($AF68&lt;&gt;Constants!$B$7,$AF68,Constants!$B$20))</f>
        <v/>
      </c>
      <c r="AH68" s="67" t="str">
        <f aca="false">IF($AF68=Constants!$B$7,IF(AD68,V68,Constants!$B$13),"")</f>
        <v/>
      </c>
      <c r="AI68" s="67" t="str">
        <f aca="false">IF($AF68=Constants!$B$7,IF(AD68,T68*IF(W68, 1, Constants!$B$11)*IF(X68, 1, Constants!$B$12),Constants!$B$13),"")</f>
        <v/>
      </c>
      <c r="AJ68" s="67" t="str">
        <f aca="false">IF($AF68=Constants!$B$7,AH68*AI68,"")</f>
        <v/>
      </c>
      <c r="AK68" s="67" t="str">
        <f aca="false">IF($AF68=Constants!$B$7,IF(AE68,Z68,Constants!$B$13),"")</f>
        <v/>
      </c>
      <c r="AL68" s="67" t="str">
        <f aca="false">IF($AF68=Constants!$B$7,IF(AE68,T68*IF(AA68, 1, Constants!$B$11)*IF(AB68, 1, Constants!$B$12),Constants!$B$13),"")</f>
        <v/>
      </c>
      <c r="AM68" s="67" t="str">
        <f aca="false">IF($AF68=Constants!$B$7,AK68*AL68,"")</f>
        <v/>
      </c>
      <c r="AN68" s="67" t="str">
        <f aca="false">IF($AF68=Constants!$B$7,IF(AM68&gt;AJ68,2,1),"")</f>
        <v/>
      </c>
      <c r="AO68" s="67" t="str">
        <f aca="false">IF($AF68=Constants!$B$7,IF(AN68=1,2,1),"")</f>
        <v/>
      </c>
      <c r="AP68" s="67" t="str">
        <f aca="false">IF(ISBLANK($C68),"",IF($AF68&lt;&gt;Constants!$B$7,$AF68,IF(AN68=1,AJ68,AM68)))</f>
        <v/>
      </c>
      <c r="AQ68" s="67" t="str">
        <f aca="false">IF(ISBLANK($C68),"",IF($AF68=Constants!$B$7,IF(ISNUMBER(AP68),RANK(AP68,$AP$8:$AP$507),Constants!$B$14),$AF68))</f>
        <v/>
      </c>
      <c r="AR68" s="67" t="str">
        <f aca="false">IF(ISBLANK($C68),"",IF($AF68=Constants!$B$7,IF(AO68=1,AJ68,AM68),""))</f>
        <v/>
      </c>
      <c r="AS68" s="67" t="str">
        <f aca="false">IF(ISBLANK($C68),"",IF($AF68=Constants!$B$7,RANK(AR68,$AR$8:$AR$507),$AF68))</f>
        <v/>
      </c>
      <c r="AT68" s="67" t="str">
        <f aca="false">IF(ISBLANK($C68),"",IF($AF68=Constants!$B$7,IF(ISNUMBER(AQ68),COUNTIFS($AQ$8:$AQ$507,"&lt;"&amp;$AQ68)+COUNTIFS($AQ$8:$AQ$507,$AQ68,$AS$8:$AS$507,"&lt;"&amp;$AS68)+1,Constants!$B$14),$AF68))</f>
        <v/>
      </c>
      <c r="AU68" s="67" t="str">
        <f aca="false">IF(ISBLANK($C68),"",IF($AF68=Constants!$B$7,IF(ISNUMBER(AQ68),AQ68-AT68,Constants!$B$14),$AF68))</f>
        <v/>
      </c>
      <c r="AV68" s="69"/>
      <c r="AW68" s="70" t="str">
        <f aca="false">IF(ISBLANK($C68),"",IF($AF68&lt;&gt;Constants!$B$7,"",AN68))</f>
        <v/>
      </c>
      <c r="AX68" s="85" t="str">
        <f aca="false">IF(ISBLANK($C68),"",IF($AF68&lt;&gt;Constants!$B$7,"",IF(AN68=1,AH68,AK68)))</f>
        <v/>
      </c>
      <c r="AY68" s="72" t="str">
        <f aca="false">IF(ISBLANK($C68),"",IF($AF68&lt;&gt;Constants!$B$7,"",IF(AN68=1,AI68,AL68)))</f>
        <v/>
      </c>
      <c r="AZ68" s="73" t="str">
        <f aca="false">IF(ISBLANK($C68),"",IF($AF68&lt;&gt;Constants!$B$7,$AF68,AP68))</f>
        <v/>
      </c>
      <c r="BA68" s="74" t="str">
        <f aca="false">IF(ISBLANK($C68),"",IF($AF68&lt;&gt;Constants!$B$7,$AF68,AG68))</f>
        <v/>
      </c>
      <c r="BB68" s="75" t="str">
        <f aca="false">IF(ISBLANK($C68),"",AU68)</f>
        <v/>
      </c>
      <c r="BC68" s="75" t="str">
        <f aca="false">IF(ISBLANK($C68),"",AT68)</f>
        <v/>
      </c>
      <c r="BD68" s="76" t="str">
        <f aca="false">IF(ISBLANK($C68),"",IFERROR(_xlfn.SWITCH(BC68,Constants!$B$4,COUNTA($C$8:$C$507)+2,Constants!$B$5,COUNTA($C$8:$C$507)+1,Constants!$B$6,COUNTA($C$8:$C$507)),BC68))</f>
        <v/>
      </c>
      <c r="BE68" s="5"/>
      <c r="BF68" s="77" t="n">
        <f aca="false">IF(OR(ISNUMBER(BC68),BC68=Constants!$B$4,BC68=Constants!$B$6,BC68=Constants!$B$5),1,0)</f>
        <v>0</v>
      </c>
      <c r="BG68" s="77" t="n">
        <v>61</v>
      </c>
      <c r="BH68" s="77" t="str">
        <f aca="false">IF(ISBLANK($C68),"",IF(ISNUMBER(BD68),BD68+ROW($B68)/1000,""))</f>
        <v/>
      </c>
      <c r="BI68" s="77" t="str">
        <f aca="false">IF(ISNUMBER(BH68),RANK(BH68,$BH$8:$BH$507,1),"")</f>
        <v/>
      </c>
      <c r="BJ68" s="77" t="str">
        <f aca="false">IF(ISBLANK($C68),"",$B68)</f>
        <v/>
      </c>
      <c r="BK68" s="77" t="str">
        <f aca="false">IF(ISBLANK($C68),"",$C68)</f>
        <v/>
      </c>
      <c r="BL68" s="77" t="str">
        <f aca="false">IF(ISBLANK($C68),"",$D68)</f>
        <v/>
      </c>
      <c r="BM68" s="78" t="str">
        <f aca="false">BA68</f>
        <v/>
      </c>
      <c r="BN68" s="79" t="str">
        <f aca="false">AZ68</f>
        <v/>
      </c>
      <c r="BO68" s="77" t="str">
        <f aca="false">IF(ISBLANK($C68),"",BC68)</f>
        <v/>
      </c>
      <c r="BP68" s="80" t="str">
        <f aca="false">IF($BG68&gt;$BF$7,"",VLOOKUP($BG68,$BI$8:$BO$507,7,FALSE()))</f>
        <v/>
      </c>
      <c r="BQ68" s="81" t="str">
        <f aca="false">IF($BG68&gt;$BF$7,"",VLOOKUP($BG68,$BI$8:$BO$507,2,FALSE()))</f>
        <v/>
      </c>
      <c r="BR68" s="81" t="str">
        <f aca="false">IF($BG68&gt;$BF$7,"",VLOOKUP($BG68,$BI$8:$BO$507,3,FALSE()))</f>
        <v/>
      </c>
      <c r="BS68" s="81" t="str">
        <f aca="false">IF($BG68&gt;$BF$7,"",VLOOKUP($BG68,$BI$8:$BO$507,4,FALSE()))</f>
        <v/>
      </c>
      <c r="BT68" s="81" t="str">
        <f aca="false">IF($BG68&gt;$BF$7,"",VLOOKUP($BG68,$BI$8:$BO$507,5,FALSE()))</f>
        <v/>
      </c>
      <c r="BU68" s="82" t="str">
        <f aca="false">IF($BG68&gt;$BF$7,"",VLOOKUP($BG68,$BI$8:$BO$507,6,FALSE()))</f>
        <v/>
      </c>
      <c r="BV68" s="54"/>
    </row>
    <row r="69" customFormat="false" ht="15.75" hidden="false" customHeight="false" outlineLevel="0" collapsed="false">
      <c r="A69" s="5"/>
      <c r="B69" s="135"/>
      <c r="C69" s="56"/>
      <c r="D69" s="57"/>
      <c r="E69" s="84"/>
      <c r="F69" s="136"/>
      <c r="G69" s="60"/>
      <c r="H69" s="137"/>
      <c r="I69" s="62"/>
      <c r="J69" s="62"/>
      <c r="K69" s="60"/>
      <c r="L69" s="138"/>
      <c r="M69" s="62"/>
      <c r="N69" s="62"/>
      <c r="O69" s="60"/>
      <c r="P69" s="84"/>
      <c r="Q69" s="65"/>
      <c r="R69" s="67" t="str">
        <f aca="false">IF(ISBLANK($C69),"",IF(E69=Constants!$B$2, TRUE(), IF(E69=Constants!$B$3, FALSE(), TRUE())))</f>
        <v/>
      </c>
      <c r="S69" s="67" t="str">
        <f aca="false">IF(ISBLANK($C69),"",IF(F69=Constants!$B$2, TRUE(), IF(F69=Constants!$B$3, FALSE(), TRUE())))</f>
        <v/>
      </c>
      <c r="T69" s="67" t="str">
        <f aca="false">IF(ISBLANK($C69),"",IF(G69=Constants!$B$16,Constants!$B$9,IF(G69=Constants!$B$17,Constants!$B$10,Constants!$B$8)))</f>
        <v/>
      </c>
      <c r="U69" s="67" t="str">
        <f aca="false">IF(ISBLANK($C69),"",IF(H69=Constants!$B$19,Constants!$B$19,Constants!$B$18))</f>
        <v/>
      </c>
      <c r="V69" s="67" t="str">
        <f aca="false">IF(ISBLANK($C69),"",IF(ISNUMBER(I69),IF(I69&gt;=0,I69,""),""))</f>
        <v/>
      </c>
      <c r="W69" s="67" t="str">
        <f aca="false">IF(ISBLANK($C69),"",IF(J69=Constants!$B$2, TRUE(), IF(J69=Constants!$B$3, FALSE(), TRUE())))</f>
        <v/>
      </c>
      <c r="X69" s="67" t="str">
        <f aca="false">IF(ISBLANK($C69),"",IF(K69=Constants!$B$2, TRUE(), IF(K69=Constants!$B$3, FALSE(), TRUE())))</f>
        <v/>
      </c>
      <c r="Y69" s="67" t="str">
        <f aca="false">IF(ISBLANK($C69),"",IF(L69=Constants!$B$19,Constants!$B$19,Constants!$B$18))</f>
        <v/>
      </c>
      <c r="Z69" s="67" t="str">
        <f aca="false">IF(ISBLANK($C69),"",IF(ISNUMBER(M69),IF(M69&gt;=0,M69,""),""))</f>
        <v/>
      </c>
      <c r="AA69" s="67" t="str">
        <f aca="false">IF(ISBLANK($C69),"",IF(N69=Constants!$B$2, TRUE(), IF(N69=Constants!$B$3, FALSE(), TRUE())))</f>
        <v/>
      </c>
      <c r="AB69" s="67" t="str">
        <f aca="false">IF(ISBLANK($C69),"",IF(O69=Constants!$B$2, TRUE(), IF(O69=Constants!$B$3, FALSE(), TRUE())))</f>
        <v/>
      </c>
      <c r="AC69" s="67" t="str">
        <f aca="false">IF(ISBLANK($C69),"",IF(P69=Constants!$B$2, TRUE(), IF(P69=Constants!$B$3, FALSE(), FALSE())))</f>
        <v/>
      </c>
      <c r="AD69" s="67" t="str">
        <f aca="false">IF(ISBLANK($C69),"",AND(V69&lt;&gt;"",IF(U69=Constants!$B$19,S69,R69)))</f>
        <v/>
      </c>
      <c r="AE69" s="67" t="str">
        <f aca="false">IF(ISBLANK($C69),"",AND(Z69&lt;&gt;"",IF(Y69=Constants!$B$19,S69,R69)))</f>
        <v/>
      </c>
      <c r="AF69" s="67" t="str">
        <f aca="false">IF(ISBLANK($C69),"",IF(AC69,Constants!$B$4,IF(COUNTA(E69:O69)=0,Constants!$B$5,IF(AND(NOT(AD69),NOT(AE69)),Constants!$B$6,Constants!$B$7))))</f>
        <v/>
      </c>
      <c r="AG69" s="67" t="str">
        <f aca="false">IF(ISBLANK($C69),"",IF($AF69&lt;&gt;Constants!$B$7,$AF69,Constants!$B$20))</f>
        <v/>
      </c>
      <c r="AH69" s="67" t="str">
        <f aca="false">IF($AF69=Constants!$B$7,IF(AD69,V69,Constants!$B$13),"")</f>
        <v/>
      </c>
      <c r="AI69" s="67" t="str">
        <f aca="false">IF($AF69=Constants!$B$7,IF(AD69,T69*IF(W69, 1, Constants!$B$11)*IF(X69, 1, Constants!$B$12),Constants!$B$13),"")</f>
        <v/>
      </c>
      <c r="AJ69" s="67" t="str">
        <f aca="false">IF($AF69=Constants!$B$7,AH69*AI69,"")</f>
        <v/>
      </c>
      <c r="AK69" s="67" t="str">
        <f aca="false">IF($AF69=Constants!$B$7,IF(AE69,Z69,Constants!$B$13),"")</f>
        <v/>
      </c>
      <c r="AL69" s="67" t="str">
        <f aca="false">IF($AF69=Constants!$B$7,IF(AE69,T69*IF(AA69, 1, Constants!$B$11)*IF(AB69, 1, Constants!$B$12),Constants!$B$13),"")</f>
        <v/>
      </c>
      <c r="AM69" s="67" t="str">
        <f aca="false">IF($AF69=Constants!$B$7,AK69*AL69,"")</f>
        <v/>
      </c>
      <c r="AN69" s="67" t="str">
        <f aca="false">IF($AF69=Constants!$B$7,IF(AM69&gt;AJ69,2,1),"")</f>
        <v/>
      </c>
      <c r="AO69" s="67" t="str">
        <f aca="false">IF($AF69=Constants!$B$7,IF(AN69=1,2,1),"")</f>
        <v/>
      </c>
      <c r="AP69" s="67" t="str">
        <f aca="false">IF(ISBLANK($C69),"",IF($AF69&lt;&gt;Constants!$B$7,$AF69,IF(AN69=1,AJ69,AM69)))</f>
        <v/>
      </c>
      <c r="AQ69" s="67" t="str">
        <f aca="false">IF(ISBLANK($C69),"",IF($AF69=Constants!$B$7,IF(ISNUMBER(AP69),RANK(AP69,$AP$8:$AP$507),Constants!$B$14),$AF69))</f>
        <v/>
      </c>
      <c r="AR69" s="67" t="str">
        <f aca="false">IF(ISBLANK($C69),"",IF($AF69=Constants!$B$7,IF(AO69=1,AJ69,AM69),""))</f>
        <v/>
      </c>
      <c r="AS69" s="67" t="str">
        <f aca="false">IF(ISBLANK($C69),"",IF($AF69=Constants!$B$7,RANK(AR69,$AR$8:$AR$507),$AF69))</f>
        <v/>
      </c>
      <c r="AT69" s="67" t="str">
        <f aca="false">IF(ISBLANK($C69),"",IF($AF69=Constants!$B$7,IF(ISNUMBER(AQ69),COUNTIFS($AQ$8:$AQ$507,"&lt;"&amp;$AQ69)+COUNTIFS($AQ$8:$AQ$507,$AQ69,$AS$8:$AS$507,"&lt;"&amp;$AS69)+1,Constants!$B$14),$AF69))</f>
        <v/>
      </c>
      <c r="AU69" s="67" t="str">
        <f aca="false">IF(ISBLANK($C69),"",IF($AF69=Constants!$B$7,IF(ISNUMBER(AQ69),AQ69-AT69,Constants!$B$14),$AF69))</f>
        <v/>
      </c>
      <c r="AV69" s="69"/>
      <c r="AW69" s="70" t="str">
        <f aca="false">IF(ISBLANK($C69),"",IF($AF69&lt;&gt;Constants!$B$7,"",AN69))</f>
        <v/>
      </c>
      <c r="AX69" s="85" t="str">
        <f aca="false">IF(ISBLANK($C69),"",IF($AF69&lt;&gt;Constants!$B$7,"",IF(AN69=1,AH69,AK69)))</f>
        <v/>
      </c>
      <c r="AY69" s="72" t="str">
        <f aca="false">IF(ISBLANK($C69),"",IF($AF69&lt;&gt;Constants!$B$7,"",IF(AN69=1,AI69,AL69)))</f>
        <v/>
      </c>
      <c r="AZ69" s="73" t="str">
        <f aca="false">IF(ISBLANK($C69),"",IF($AF69&lt;&gt;Constants!$B$7,$AF69,AP69))</f>
        <v/>
      </c>
      <c r="BA69" s="74" t="str">
        <f aca="false">IF(ISBLANK($C69),"",IF($AF69&lt;&gt;Constants!$B$7,$AF69,AG69))</f>
        <v/>
      </c>
      <c r="BB69" s="75" t="str">
        <f aca="false">IF(ISBLANK($C69),"",AU69)</f>
        <v/>
      </c>
      <c r="BC69" s="75" t="str">
        <f aca="false">IF(ISBLANK($C69),"",AT69)</f>
        <v/>
      </c>
      <c r="BD69" s="76" t="str">
        <f aca="false">IF(ISBLANK($C69),"",IFERROR(_xlfn.SWITCH(BC69,Constants!$B$4,COUNTA($C$8:$C$507)+2,Constants!$B$5,COUNTA($C$8:$C$507)+1,Constants!$B$6,COUNTA($C$8:$C$507)),BC69))</f>
        <v/>
      </c>
      <c r="BE69" s="5"/>
      <c r="BF69" s="77" t="n">
        <f aca="false">IF(OR(ISNUMBER(BC69),BC69=Constants!$B$4,BC69=Constants!$B$6,BC69=Constants!$B$5),1,0)</f>
        <v>0</v>
      </c>
      <c r="BG69" s="77" t="n">
        <v>62</v>
      </c>
      <c r="BH69" s="77" t="str">
        <f aca="false">IF(ISBLANK($C69),"",IF(ISNUMBER(BD69),BD69+ROW($B69)/1000,""))</f>
        <v/>
      </c>
      <c r="BI69" s="77" t="str">
        <f aca="false">IF(ISNUMBER(BH69),RANK(BH69,$BH$8:$BH$507,1),"")</f>
        <v/>
      </c>
      <c r="BJ69" s="77" t="str">
        <f aca="false">IF(ISBLANK($C69),"",$B69)</f>
        <v/>
      </c>
      <c r="BK69" s="77" t="str">
        <f aca="false">IF(ISBLANK($C69),"",$C69)</f>
        <v/>
      </c>
      <c r="BL69" s="77" t="str">
        <f aca="false">IF(ISBLANK($C69),"",$D69)</f>
        <v/>
      </c>
      <c r="BM69" s="78" t="str">
        <f aca="false">BA69</f>
        <v/>
      </c>
      <c r="BN69" s="79" t="str">
        <f aca="false">AZ69</f>
        <v/>
      </c>
      <c r="BO69" s="77" t="str">
        <f aca="false">IF(ISBLANK($C69),"",BC69)</f>
        <v/>
      </c>
      <c r="BP69" s="80" t="str">
        <f aca="false">IF($BG69&gt;$BF$7,"",VLOOKUP($BG69,$BI$8:$BO$507,7,FALSE()))</f>
        <v/>
      </c>
      <c r="BQ69" s="81" t="str">
        <f aca="false">IF($BG69&gt;$BF$7,"",VLOOKUP($BG69,$BI$8:$BO$507,2,FALSE()))</f>
        <v/>
      </c>
      <c r="BR69" s="81" t="str">
        <f aca="false">IF($BG69&gt;$BF$7,"",VLOOKUP($BG69,$BI$8:$BO$507,3,FALSE()))</f>
        <v/>
      </c>
      <c r="BS69" s="81" t="str">
        <f aca="false">IF($BG69&gt;$BF$7,"",VLOOKUP($BG69,$BI$8:$BO$507,4,FALSE()))</f>
        <v/>
      </c>
      <c r="BT69" s="81" t="str">
        <f aca="false">IF($BG69&gt;$BF$7,"",VLOOKUP($BG69,$BI$8:$BO$507,5,FALSE()))</f>
        <v/>
      </c>
      <c r="BU69" s="82" t="str">
        <f aca="false">IF($BG69&gt;$BF$7,"",VLOOKUP($BG69,$BI$8:$BO$507,6,FALSE()))</f>
        <v/>
      </c>
      <c r="BV69" s="54"/>
    </row>
    <row r="70" customFormat="false" ht="15.75" hidden="false" customHeight="false" outlineLevel="0" collapsed="false">
      <c r="A70" s="5"/>
      <c r="B70" s="135"/>
      <c r="C70" s="56"/>
      <c r="D70" s="57"/>
      <c r="E70" s="84"/>
      <c r="F70" s="136"/>
      <c r="G70" s="60"/>
      <c r="H70" s="137"/>
      <c r="I70" s="62"/>
      <c r="J70" s="62"/>
      <c r="K70" s="60"/>
      <c r="L70" s="138"/>
      <c r="M70" s="62"/>
      <c r="N70" s="62"/>
      <c r="O70" s="60"/>
      <c r="P70" s="84"/>
      <c r="Q70" s="65"/>
      <c r="R70" s="67" t="str">
        <f aca="false">IF(ISBLANK($C70),"",IF(E70=Constants!$B$2, TRUE(), IF(E70=Constants!$B$3, FALSE(), TRUE())))</f>
        <v/>
      </c>
      <c r="S70" s="67" t="str">
        <f aca="false">IF(ISBLANK($C70),"",IF(F70=Constants!$B$2, TRUE(), IF(F70=Constants!$B$3, FALSE(), TRUE())))</f>
        <v/>
      </c>
      <c r="T70" s="67" t="str">
        <f aca="false">IF(ISBLANK($C70),"",IF(G70=Constants!$B$16,Constants!$B$9,IF(G70=Constants!$B$17,Constants!$B$10,Constants!$B$8)))</f>
        <v/>
      </c>
      <c r="U70" s="67" t="str">
        <f aca="false">IF(ISBLANK($C70),"",IF(H70=Constants!$B$19,Constants!$B$19,Constants!$B$18))</f>
        <v/>
      </c>
      <c r="V70" s="67" t="str">
        <f aca="false">IF(ISBLANK($C70),"",IF(ISNUMBER(I70),IF(I70&gt;=0,I70,""),""))</f>
        <v/>
      </c>
      <c r="W70" s="67" t="str">
        <f aca="false">IF(ISBLANK($C70),"",IF(J70=Constants!$B$2, TRUE(), IF(J70=Constants!$B$3, FALSE(), TRUE())))</f>
        <v/>
      </c>
      <c r="X70" s="67" t="str">
        <f aca="false">IF(ISBLANK($C70),"",IF(K70=Constants!$B$2, TRUE(), IF(K70=Constants!$B$3, FALSE(), TRUE())))</f>
        <v/>
      </c>
      <c r="Y70" s="67" t="str">
        <f aca="false">IF(ISBLANK($C70),"",IF(L70=Constants!$B$19,Constants!$B$19,Constants!$B$18))</f>
        <v/>
      </c>
      <c r="Z70" s="67" t="str">
        <f aca="false">IF(ISBLANK($C70),"",IF(ISNUMBER(M70),IF(M70&gt;=0,M70,""),""))</f>
        <v/>
      </c>
      <c r="AA70" s="67" t="str">
        <f aca="false">IF(ISBLANK($C70),"",IF(N70=Constants!$B$2, TRUE(), IF(N70=Constants!$B$3, FALSE(), TRUE())))</f>
        <v/>
      </c>
      <c r="AB70" s="67" t="str">
        <f aca="false">IF(ISBLANK($C70),"",IF(O70=Constants!$B$2, TRUE(), IF(O70=Constants!$B$3, FALSE(), TRUE())))</f>
        <v/>
      </c>
      <c r="AC70" s="67" t="str">
        <f aca="false">IF(ISBLANK($C70),"",IF(P70=Constants!$B$2, TRUE(), IF(P70=Constants!$B$3, FALSE(), FALSE())))</f>
        <v/>
      </c>
      <c r="AD70" s="67" t="str">
        <f aca="false">IF(ISBLANK($C70),"",AND(V70&lt;&gt;"",IF(U70=Constants!$B$19,S70,R70)))</f>
        <v/>
      </c>
      <c r="AE70" s="67" t="str">
        <f aca="false">IF(ISBLANK($C70),"",AND(Z70&lt;&gt;"",IF(Y70=Constants!$B$19,S70,R70)))</f>
        <v/>
      </c>
      <c r="AF70" s="67" t="str">
        <f aca="false">IF(ISBLANK($C70),"",IF(AC70,Constants!$B$4,IF(COUNTA(E70:O70)=0,Constants!$B$5,IF(AND(NOT(AD70),NOT(AE70)),Constants!$B$6,Constants!$B$7))))</f>
        <v/>
      </c>
      <c r="AG70" s="67" t="str">
        <f aca="false">IF(ISBLANK($C70),"",IF($AF70&lt;&gt;Constants!$B$7,$AF70,Constants!$B$20))</f>
        <v/>
      </c>
      <c r="AH70" s="67" t="str">
        <f aca="false">IF($AF70=Constants!$B$7,IF(AD70,V70,Constants!$B$13),"")</f>
        <v/>
      </c>
      <c r="AI70" s="67" t="str">
        <f aca="false">IF($AF70=Constants!$B$7,IF(AD70,T70*IF(W70, 1, Constants!$B$11)*IF(X70, 1, Constants!$B$12),Constants!$B$13),"")</f>
        <v/>
      </c>
      <c r="AJ70" s="67" t="str">
        <f aca="false">IF($AF70=Constants!$B$7,AH70*AI70,"")</f>
        <v/>
      </c>
      <c r="AK70" s="67" t="str">
        <f aca="false">IF($AF70=Constants!$B$7,IF(AE70,Z70,Constants!$B$13),"")</f>
        <v/>
      </c>
      <c r="AL70" s="67" t="str">
        <f aca="false">IF($AF70=Constants!$B$7,IF(AE70,T70*IF(AA70, 1, Constants!$B$11)*IF(AB70, 1, Constants!$B$12),Constants!$B$13),"")</f>
        <v/>
      </c>
      <c r="AM70" s="67" t="str">
        <f aca="false">IF($AF70=Constants!$B$7,AK70*AL70,"")</f>
        <v/>
      </c>
      <c r="AN70" s="67" t="str">
        <f aca="false">IF($AF70=Constants!$B$7,IF(AM70&gt;AJ70,2,1),"")</f>
        <v/>
      </c>
      <c r="AO70" s="67" t="str">
        <f aca="false">IF($AF70=Constants!$B$7,IF(AN70=1,2,1),"")</f>
        <v/>
      </c>
      <c r="AP70" s="67" t="str">
        <f aca="false">IF(ISBLANK($C70),"",IF($AF70&lt;&gt;Constants!$B$7,$AF70,IF(AN70=1,AJ70,AM70)))</f>
        <v/>
      </c>
      <c r="AQ70" s="67" t="str">
        <f aca="false">IF(ISBLANK($C70),"",IF($AF70=Constants!$B$7,IF(ISNUMBER(AP70),RANK(AP70,$AP$8:$AP$507),Constants!$B$14),$AF70))</f>
        <v/>
      </c>
      <c r="AR70" s="67" t="str">
        <f aca="false">IF(ISBLANK($C70),"",IF($AF70=Constants!$B$7,IF(AO70=1,AJ70,AM70),""))</f>
        <v/>
      </c>
      <c r="AS70" s="67" t="str">
        <f aca="false">IF(ISBLANK($C70),"",IF($AF70=Constants!$B$7,RANK(AR70,$AR$8:$AR$507),$AF70))</f>
        <v/>
      </c>
      <c r="AT70" s="67" t="str">
        <f aca="false">IF(ISBLANK($C70),"",IF($AF70=Constants!$B$7,IF(ISNUMBER(AQ70),COUNTIFS($AQ$8:$AQ$507,"&lt;"&amp;$AQ70)+COUNTIFS($AQ$8:$AQ$507,$AQ70,$AS$8:$AS$507,"&lt;"&amp;$AS70)+1,Constants!$B$14),$AF70))</f>
        <v/>
      </c>
      <c r="AU70" s="67" t="str">
        <f aca="false">IF(ISBLANK($C70),"",IF($AF70=Constants!$B$7,IF(ISNUMBER(AQ70),AQ70-AT70,Constants!$B$14),$AF70))</f>
        <v/>
      </c>
      <c r="AV70" s="69"/>
      <c r="AW70" s="70" t="str">
        <f aca="false">IF(ISBLANK($C70),"",IF($AF70&lt;&gt;Constants!$B$7,"",AN70))</f>
        <v/>
      </c>
      <c r="AX70" s="85" t="str">
        <f aca="false">IF(ISBLANK($C70),"",IF($AF70&lt;&gt;Constants!$B$7,"",IF(AN70=1,AH70,AK70)))</f>
        <v/>
      </c>
      <c r="AY70" s="72" t="str">
        <f aca="false">IF(ISBLANK($C70),"",IF($AF70&lt;&gt;Constants!$B$7,"",IF(AN70=1,AI70,AL70)))</f>
        <v/>
      </c>
      <c r="AZ70" s="73" t="str">
        <f aca="false">IF(ISBLANK($C70),"",IF($AF70&lt;&gt;Constants!$B$7,$AF70,AP70))</f>
        <v/>
      </c>
      <c r="BA70" s="74" t="str">
        <f aca="false">IF(ISBLANK($C70),"",IF($AF70&lt;&gt;Constants!$B$7,$AF70,AG70))</f>
        <v/>
      </c>
      <c r="BB70" s="75" t="str">
        <f aca="false">IF(ISBLANK($C70),"",AU70)</f>
        <v/>
      </c>
      <c r="BC70" s="75" t="str">
        <f aca="false">IF(ISBLANK($C70),"",AT70)</f>
        <v/>
      </c>
      <c r="BD70" s="76" t="str">
        <f aca="false">IF(ISBLANK($C70),"",IFERROR(_xlfn.SWITCH(BC70,Constants!$B$4,COUNTA($C$8:$C$507)+2,Constants!$B$5,COUNTA($C$8:$C$507)+1,Constants!$B$6,COUNTA($C$8:$C$507)),BC70))</f>
        <v/>
      </c>
      <c r="BE70" s="5"/>
      <c r="BF70" s="77" t="n">
        <f aca="false">IF(OR(ISNUMBER(BC70),BC70=Constants!$B$4,BC70=Constants!$B$6,BC70=Constants!$B$5),1,0)</f>
        <v>0</v>
      </c>
      <c r="BG70" s="77" t="n">
        <v>63</v>
      </c>
      <c r="BH70" s="77" t="str">
        <f aca="false">IF(ISBLANK($C70),"",IF(ISNUMBER(BD70),BD70+ROW($B70)/1000,""))</f>
        <v/>
      </c>
      <c r="BI70" s="77" t="str">
        <f aca="false">IF(ISNUMBER(BH70),RANK(BH70,$BH$8:$BH$507,1),"")</f>
        <v/>
      </c>
      <c r="BJ70" s="77" t="str">
        <f aca="false">IF(ISBLANK($C70),"",$B70)</f>
        <v/>
      </c>
      <c r="BK70" s="77" t="str">
        <f aca="false">IF(ISBLANK($C70),"",$C70)</f>
        <v/>
      </c>
      <c r="BL70" s="77" t="str">
        <f aca="false">IF(ISBLANK($C70),"",$D70)</f>
        <v/>
      </c>
      <c r="BM70" s="78" t="str">
        <f aca="false">BA70</f>
        <v/>
      </c>
      <c r="BN70" s="79" t="str">
        <f aca="false">AZ70</f>
        <v/>
      </c>
      <c r="BO70" s="77" t="str">
        <f aca="false">IF(ISBLANK($C70),"",BC70)</f>
        <v/>
      </c>
      <c r="BP70" s="80" t="str">
        <f aca="false">IF($BG70&gt;$BF$7,"",VLOOKUP($BG70,$BI$8:$BO$507,7,FALSE()))</f>
        <v/>
      </c>
      <c r="BQ70" s="81" t="str">
        <f aca="false">IF($BG70&gt;$BF$7,"",VLOOKUP($BG70,$BI$8:$BO$507,2,FALSE()))</f>
        <v/>
      </c>
      <c r="BR70" s="81" t="str">
        <f aca="false">IF($BG70&gt;$BF$7,"",VLOOKUP($BG70,$BI$8:$BO$507,3,FALSE()))</f>
        <v/>
      </c>
      <c r="BS70" s="81" t="str">
        <f aca="false">IF($BG70&gt;$BF$7,"",VLOOKUP($BG70,$BI$8:$BO$507,4,FALSE()))</f>
        <v/>
      </c>
      <c r="BT70" s="81" t="str">
        <f aca="false">IF($BG70&gt;$BF$7,"",VLOOKUP($BG70,$BI$8:$BO$507,5,FALSE()))</f>
        <v/>
      </c>
      <c r="BU70" s="82" t="str">
        <f aca="false">IF($BG70&gt;$BF$7,"",VLOOKUP($BG70,$BI$8:$BO$507,6,FALSE()))</f>
        <v/>
      </c>
      <c r="BV70" s="54"/>
    </row>
    <row r="71" customFormat="false" ht="15.75" hidden="false" customHeight="false" outlineLevel="0" collapsed="false">
      <c r="A71" s="5"/>
      <c r="B71" s="128"/>
      <c r="C71" s="129"/>
      <c r="D71" s="114"/>
      <c r="E71" s="134"/>
      <c r="F71" s="139"/>
      <c r="G71" s="93"/>
      <c r="H71" s="140"/>
      <c r="I71" s="95"/>
      <c r="J71" s="95"/>
      <c r="K71" s="93"/>
      <c r="L71" s="141"/>
      <c r="M71" s="95"/>
      <c r="N71" s="95"/>
      <c r="O71" s="93"/>
      <c r="P71" s="134"/>
      <c r="Q71" s="98"/>
      <c r="R71" s="99" t="str">
        <f aca="false">IF(ISBLANK($C71),"",IF(E71=Constants!$B$2, TRUE(), IF(E71=Constants!$B$3, FALSE(), TRUE())))</f>
        <v/>
      </c>
      <c r="S71" s="99" t="str">
        <f aca="false">IF(ISBLANK($C71),"",IF(F71=Constants!$B$2, TRUE(), IF(F71=Constants!$B$3, FALSE(), TRUE())))</f>
        <v/>
      </c>
      <c r="T71" s="99" t="str">
        <f aca="false">IF(ISBLANK($C71),"",IF(G71=Constants!$B$16,Constants!$B$9,IF(G71=Constants!$B$17,Constants!$B$10,Constants!$B$8)))</f>
        <v/>
      </c>
      <c r="U71" s="99" t="str">
        <f aca="false">IF(ISBLANK($C71),"",IF(H71=Constants!$B$19,Constants!$B$19,Constants!$B$18))</f>
        <v/>
      </c>
      <c r="V71" s="99" t="str">
        <f aca="false">IF(ISBLANK($C71),"",IF(ISNUMBER(I71),IF(I71&gt;=0,I71,""),""))</f>
        <v/>
      </c>
      <c r="W71" s="99" t="str">
        <f aca="false">IF(ISBLANK($C71),"",IF(J71=Constants!$B$2, TRUE(), IF(J71=Constants!$B$3, FALSE(), TRUE())))</f>
        <v/>
      </c>
      <c r="X71" s="99" t="str">
        <f aca="false">IF(ISBLANK($C71),"",IF(K71=Constants!$B$2, TRUE(), IF(K71=Constants!$B$3, FALSE(), TRUE())))</f>
        <v/>
      </c>
      <c r="Y71" s="99" t="str">
        <f aca="false">IF(ISBLANK($C71),"",IF(L71=Constants!$B$19,Constants!$B$19,Constants!$B$18))</f>
        <v/>
      </c>
      <c r="Z71" s="99" t="str">
        <f aca="false">IF(ISBLANK($C71),"",IF(ISNUMBER(M71),IF(M71&gt;=0,M71,""),""))</f>
        <v/>
      </c>
      <c r="AA71" s="99" t="str">
        <f aca="false">IF(ISBLANK($C71),"",IF(N71=Constants!$B$2, TRUE(), IF(N71=Constants!$B$3, FALSE(), TRUE())))</f>
        <v/>
      </c>
      <c r="AB71" s="99" t="str">
        <f aca="false">IF(ISBLANK($C71),"",IF(O71=Constants!$B$2, TRUE(), IF(O71=Constants!$B$3, FALSE(), TRUE())))</f>
        <v/>
      </c>
      <c r="AC71" s="99" t="str">
        <f aca="false">IF(ISBLANK($C71),"",IF(P71=Constants!$B$2, TRUE(), IF(P71=Constants!$B$3, FALSE(), FALSE())))</f>
        <v/>
      </c>
      <c r="AD71" s="99" t="str">
        <f aca="false">IF(ISBLANK($C71),"",AND(V71&lt;&gt;"",IF(U71=Constants!$B$19,S71,R71)))</f>
        <v/>
      </c>
      <c r="AE71" s="99" t="str">
        <f aca="false">IF(ISBLANK($C71),"",AND(Z71&lt;&gt;"",IF(Y71=Constants!$B$19,S71,R71)))</f>
        <v/>
      </c>
      <c r="AF71" s="99" t="str">
        <f aca="false">IF(ISBLANK($C71),"",IF(AC71,Constants!$B$4,IF(COUNTA(E71:O71)=0,Constants!$B$5,IF(AND(NOT(AD71),NOT(AE71)),Constants!$B$6,Constants!$B$7))))</f>
        <v/>
      </c>
      <c r="AG71" s="99" t="str">
        <f aca="false">IF(ISBLANK($C71),"",IF($AF71&lt;&gt;Constants!$B$7,$AF71,Constants!$B$20))</f>
        <v/>
      </c>
      <c r="AH71" s="99" t="str">
        <f aca="false">IF($AF71=Constants!$B$7,IF(AD71,V71,Constants!$B$13),"")</f>
        <v/>
      </c>
      <c r="AI71" s="99" t="str">
        <f aca="false">IF($AF71=Constants!$B$7,IF(AD71,T71*IF(W71, 1, Constants!$B$11)*IF(X71, 1, Constants!$B$12),Constants!$B$13),"")</f>
        <v/>
      </c>
      <c r="AJ71" s="99" t="str">
        <f aca="false">IF($AF71=Constants!$B$7,AH71*AI71,"")</f>
        <v/>
      </c>
      <c r="AK71" s="99" t="str">
        <f aca="false">IF($AF71=Constants!$B$7,IF(AE71,Z71,Constants!$B$13),"")</f>
        <v/>
      </c>
      <c r="AL71" s="99" t="str">
        <f aca="false">IF($AF71=Constants!$B$7,IF(AE71,T71*IF(AA71, 1, Constants!$B$11)*IF(AB71, 1, Constants!$B$12),Constants!$B$13),"")</f>
        <v/>
      </c>
      <c r="AM71" s="99" t="str">
        <f aca="false">IF($AF71=Constants!$B$7,AK71*AL71,"")</f>
        <v/>
      </c>
      <c r="AN71" s="99" t="str">
        <f aca="false">IF($AF71=Constants!$B$7,IF(AM71&gt;AJ71,2,1),"")</f>
        <v/>
      </c>
      <c r="AO71" s="99" t="str">
        <f aca="false">IF($AF71=Constants!$B$7,IF(AN71=1,2,1),"")</f>
        <v/>
      </c>
      <c r="AP71" s="99" t="str">
        <f aca="false">IF(ISBLANK($C71),"",IF($AF71&lt;&gt;Constants!$B$7,$AF71,IF(AN71=1,AJ71,AM71)))</f>
        <v/>
      </c>
      <c r="AQ71" s="99" t="str">
        <f aca="false">IF(ISBLANK($C71),"",IF($AF71=Constants!$B$7,IF(ISNUMBER(AP71),RANK(AP71,$AP$8:$AP$507),Constants!$B$14),$AF71))</f>
        <v/>
      </c>
      <c r="AR71" s="99" t="str">
        <f aca="false">IF(ISBLANK($C71),"",IF($AF71=Constants!$B$7,IF(AO71=1,AJ71,AM71),""))</f>
        <v/>
      </c>
      <c r="AS71" s="99" t="str">
        <f aca="false">IF(ISBLANK($C71),"",IF($AF71=Constants!$B$7,RANK(AR71,$AR$8:$AR$507),$AF71))</f>
        <v/>
      </c>
      <c r="AT71" s="99" t="str">
        <f aca="false">IF(ISBLANK($C71),"",IF($AF71=Constants!$B$7,IF(ISNUMBER(AQ71),COUNTIFS($AQ$8:$AQ$507,"&lt;"&amp;$AQ71)+COUNTIFS($AQ$8:$AQ$507,$AQ71,$AS$8:$AS$507,"&lt;"&amp;$AS71)+1,Constants!$B$14),$AF71))</f>
        <v/>
      </c>
      <c r="AU71" s="99" t="str">
        <f aca="false">IF(ISBLANK($C71),"",IF($AF71=Constants!$B$7,IF(ISNUMBER(AQ71),AQ71-AT71,Constants!$B$14),$AF71))</f>
        <v/>
      </c>
      <c r="AV71" s="100"/>
      <c r="AW71" s="101" t="str">
        <f aca="false">IF(ISBLANK($C71),"",IF($AF71&lt;&gt;Constants!$B$7,"",AN71))</f>
        <v/>
      </c>
      <c r="AX71" s="102" t="str">
        <f aca="false">IF(ISBLANK($C71),"",IF($AF71&lt;&gt;Constants!$B$7,"",IF(AN71=1,AH71,AK71)))</f>
        <v/>
      </c>
      <c r="AY71" s="103" t="str">
        <f aca="false">IF(ISBLANK($C71),"",IF($AF71&lt;&gt;Constants!$B$7,"",IF(AN71=1,AI71,AL71)))</f>
        <v/>
      </c>
      <c r="AZ71" s="104" t="str">
        <f aca="false">IF(ISBLANK($C71),"",IF($AF71&lt;&gt;Constants!$B$7,$AF71,AP71))</f>
        <v/>
      </c>
      <c r="BA71" s="105" t="str">
        <f aca="false">IF(ISBLANK($C71),"",IF($AF71&lt;&gt;Constants!$B$7,$AF71,AG71))</f>
        <v/>
      </c>
      <c r="BB71" s="106" t="str">
        <f aca="false">IF(ISBLANK($C71),"",AU71)</f>
        <v/>
      </c>
      <c r="BC71" s="106" t="str">
        <f aca="false">IF(ISBLANK($C71),"",AT71)</f>
        <v/>
      </c>
      <c r="BD71" s="107" t="str">
        <f aca="false">IF(ISBLANK($C71),"",IFERROR(_xlfn.SWITCH(BC71,Constants!$B$4,COUNTA($C$8:$C$507)+2,Constants!$B$5,COUNTA($C$8:$C$507)+1,Constants!$B$6,COUNTA($C$8:$C$507)),BC71))</f>
        <v/>
      </c>
      <c r="BE71" s="5"/>
      <c r="BF71" s="108" t="n">
        <f aca="false">IF(OR(ISNUMBER(BC71),BC71=Constants!$B$4,BC71=Constants!$B$6,BC71=Constants!$B$5),1,0)</f>
        <v>0</v>
      </c>
      <c r="BG71" s="108" t="n">
        <v>64</v>
      </c>
      <c r="BH71" s="108" t="str">
        <f aca="false">IF(ISBLANK($C71),"",IF(ISNUMBER(BD71),BD71+ROW($B71)/1000,""))</f>
        <v/>
      </c>
      <c r="BI71" s="108" t="str">
        <f aca="false">IF(ISNUMBER(BH71),RANK(BH71,$BH$8:$BH$507,1),"")</f>
        <v/>
      </c>
      <c r="BJ71" s="108" t="str">
        <f aca="false">IF(ISBLANK($C71),"",$B71)</f>
        <v/>
      </c>
      <c r="BK71" s="108" t="str">
        <f aca="false">IF(ISBLANK($C71),"",$C71)</f>
        <v/>
      </c>
      <c r="BL71" s="108" t="str">
        <f aca="false">IF(ISBLANK($C71),"",$D71)</f>
        <v/>
      </c>
      <c r="BM71" s="109" t="str">
        <f aca="false">BA71</f>
        <v/>
      </c>
      <c r="BN71" s="110" t="str">
        <f aca="false">AZ71</f>
        <v/>
      </c>
      <c r="BO71" s="108" t="str">
        <f aca="false">IF(ISBLANK($C71),"",BC71)</f>
        <v/>
      </c>
      <c r="BP71" s="111" t="str">
        <f aca="false">IF($BG71&gt;$BF$7,"",VLOOKUP($BG71,$BI$8:$BO$507,7,FALSE()))</f>
        <v/>
      </c>
      <c r="BQ71" s="112" t="str">
        <f aca="false">IF($BG71&gt;$BF$7,"",VLOOKUP($BG71,$BI$8:$BO$507,2,FALSE()))</f>
        <v/>
      </c>
      <c r="BR71" s="112" t="str">
        <f aca="false">IF($BG71&gt;$BF$7,"",VLOOKUP($BG71,$BI$8:$BO$507,3,FALSE()))</f>
        <v/>
      </c>
      <c r="BS71" s="112" t="str">
        <f aca="false">IF($BG71&gt;$BF$7,"",VLOOKUP($BG71,$BI$8:$BO$507,4,FALSE()))</f>
        <v/>
      </c>
      <c r="BT71" s="112" t="str">
        <f aca="false">IF($BG71&gt;$BF$7,"",VLOOKUP($BG71,$BI$8:$BO$507,5,FALSE()))</f>
        <v/>
      </c>
      <c r="BU71" s="113" t="str">
        <f aca="false">IF($BG71&gt;$BF$7,"",VLOOKUP($BG71,$BI$8:$BO$507,6,FALSE()))</f>
        <v/>
      </c>
      <c r="BV71" s="54"/>
    </row>
    <row r="72" customFormat="false" ht="15.75" hidden="false" customHeight="false" outlineLevel="0" collapsed="false">
      <c r="A72" s="5"/>
      <c r="B72" s="128"/>
      <c r="C72" s="129"/>
      <c r="D72" s="114"/>
      <c r="E72" s="134"/>
      <c r="F72" s="139"/>
      <c r="G72" s="93"/>
      <c r="H72" s="140"/>
      <c r="I72" s="95"/>
      <c r="J72" s="95"/>
      <c r="K72" s="93"/>
      <c r="L72" s="141"/>
      <c r="M72" s="95"/>
      <c r="N72" s="95"/>
      <c r="O72" s="93"/>
      <c r="P72" s="134"/>
      <c r="Q72" s="98"/>
      <c r="R72" s="99" t="str">
        <f aca="false">IF(ISBLANK($C72),"",IF(E72=Constants!$B$2, TRUE(), IF(E72=Constants!$B$3, FALSE(), TRUE())))</f>
        <v/>
      </c>
      <c r="S72" s="99" t="str">
        <f aca="false">IF(ISBLANK($C72),"",IF(F72=Constants!$B$2, TRUE(), IF(F72=Constants!$B$3, FALSE(), TRUE())))</f>
        <v/>
      </c>
      <c r="T72" s="99" t="str">
        <f aca="false">IF(ISBLANK($C72),"",IF(G72=Constants!$B$16,Constants!$B$9,IF(G72=Constants!$B$17,Constants!$B$10,Constants!$B$8)))</f>
        <v/>
      </c>
      <c r="U72" s="99" t="str">
        <f aca="false">IF(ISBLANK($C72),"",IF(H72=Constants!$B$19,Constants!$B$19,Constants!$B$18))</f>
        <v/>
      </c>
      <c r="V72" s="99" t="str">
        <f aca="false">IF(ISBLANK($C72),"",IF(ISNUMBER(I72),IF(I72&gt;=0,I72,""),""))</f>
        <v/>
      </c>
      <c r="W72" s="99" t="str">
        <f aca="false">IF(ISBLANK($C72),"",IF(J72=Constants!$B$2, TRUE(), IF(J72=Constants!$B$3, FALSE(), TRUE())))</f>
        <v/>
      </c>
      <c r="X72" s="99" t="str">
        <f aca="false">IF(ISBLANK($C72),"",IF(K72=Constants!$B$2, TRUE(), IF(K72=Constants!$B$3, FALSE(), TRUE())))</f>
        <v/>
      </c>
      <c r="Y72" s="99" t="str">
        <f aca="false">IF(ISBLANK($C72),"",IF(L72=Constants!$B$19,Constants!$B$19,Constants!$B$18))</f>
        <v/>
      </c>
      <c r="Z72" s="99" t="str">
        <f aca="false">IF(ISBLANK($C72),"",IF(ISNUMBER(M72),IF(M72&gt;=0,M72,""),""))</f>
        <v/>
      </c>
      <c r="AA72" s="99" t="str">
        <f aca="false">IF(ISBLANK($C72),"",IF(N72=Constants!$B$2, TRUE(), IF(N72=Constants!$B$3, FALSE(), TRUE())))</f>
        <v/>
      </c>
      <c r="AB72" s="99" t="str">
        <f aca="false">IF(ISBLANK($C72),"",IF(O72=Constants!$B$2, TRUE(), IF(O72=Constants!$B$3, FALSE(), TRUE())))</f>
        <v/>
      </c>
      <c r="AC72" s="99" t="str">
        <f aca="false">IF(ISBLANK($C72),"",IF(P72=Constants!$B$2, TRUE(), IF(P72=Constants!$B$3, FALSE(), FALSE())))</f>
        <v/>
      </c>
      <c r="AD72" s="99" t="str">
        <f aca="false">IF(ISBLANK($C72),"",AND(V72&lt;&gt;"",IF(U72=Constants!$B$19,S72,R72)))</f>
        <v/>
      </c>
      <c r="AE72" s="99" t="str">
        <f aca="false">IF(ISBLANK($C72),"",AND(Z72&lt;&gt;"",IF(Y72=Constants!$B$19,S72,R72)))</f>
        <v/>
      </c>
      <c r="AF72" s="99" t="str">
        <f aca="false">IF(ISBLANK($C72),"",IF(AC72,Constants!$B$4,IF(COUNTA(E72:O72)=0,Constants!$B$5,IF(AND(NOT(AD72),NOT(AE72)),Constants!$B$6,Constants!$B$7))))</f>
        <v/>
      </c>
      <c r="AG72" s="99" t="str">
        <f aca="false">IF(ISBLANK($C72),"",IF($AF72&lt;&gt;Constants!$B$7,$AF72,Constants!$B$20))</f>
        <v/>
      </c>
      <c r="AH72" s="99" t="str">
        <f aca="false">IF($AF72=Constants!$B$7,IF(AD72,V72,Constants!$B$13),"")</f>
        <v/>
      </c>
      <c r="AI72" s="99" t="str">
        <f aca="false">IF($AF72=Constants!$B$7,IF(AD72,T72*IF(W72, 1, Constants!$B$11)*IF(X72, 1, Constants!$B$12),Constants!$B$13),"")</f>
        <v/>
      </c>
      <c r="AJ72" s="99" t="str">
        <f aca="false">IF($AF72=Constants!$B$7,AH72*AI72,"")</f>
        <v/>
      </c>
      <c r="AK72" s="99" t="str">
        <f aca="false">IF($AF72=Constants!$B$7,IF(AE72,Z72,Constants!$B$13),"")</f>
        <v/>
      </c>
      <c r="AL72" s="99" t="str">
        <f aca="false">IF($AF72=Constants!$B$7,IF(AE72,T72*IF(AA72, 1, Constants!$B$11)*IF(AB72, 1, Constants!$B$12),Constants!$B$13),"")</f>
        <v/>
      </c>
      <c r="AM72" s="99" t="str">
        <f aca="false">IF($AF72=Constants!$B$7,AK72*AL72,"")</f>
        <v/>
      </c>
      <c r="AN72" s="99" t="str">
        <f aca="false">IF($AF72=Constants!$B$7,IF(AM72&gt;AJ72,2,1),"")</f>
        <v/>
      </c>
      <c r="AO72" s="99" t="str">
        <f aca="false">IF($AF72=Constants!$B$7,IF(AN72=1,2,1),"")</f>
        <v/>
      </c>
      <c r="AP72" s="99" t="str">
        <f aca="false">IF(ISBLANK($C72),"",IF($AF72&lt;&gt;Constants!$B$7,$AF72,IF(AN72=1,AJ72,AM72)))</f>
        <v/>
      </c>
      <c r="AQ72" s="99" t="str">
        <f aca="false">IF(ISBLANK($C72),"",IF($AF72=Constants!$B$7,IF(ISNUMBER(AP72),RANK(AP72,$AP$8:$AP$507),Constants!$B$14),$AF72))</f>
        <v/>
      </c>
      <c r="AR72" s="99" t="str">
        <f aca="false">IF(ISBLANK($C72),"",IF($AF72=Constants!$B$7,IF(AO72=1,AJ72,AM72),""))</f>
        <v/>
      </c>
      <c r="AS72" s="99" t="str">
        <f aca="false">IF(ISBLANK($C72),"",IF($AF72=Constants!$B$7,RANK(AR72,$AR$8:$AR$507),$AF72))</f>
        <v/>
      </c>
      <c r="AT72" s="99" t="str">
        <f aca="false">IF(ISBLANK($C72),"",IF($AF72=Constants!$B$7,IF(ISNUMBER(AQ72),COUNTIFS($AQ$8:$AQ$507,"&lt;"&amp;$AQ72)+COUNTIFS($AQ$8:$AQ$507,$AQ72,$AS$8:$AS$507,"&lt;"&amp;$AS72)+1,Constants!$B$14),$AF72))</f>
        <v/>
      </c>
      <c r="AU72" s="99" t="str">
        <f aca="false">IF(ISBLANK($C72),"",IF($AF72=Constants!$B$7,IF(ISNUMBER(AQ72),AQ72-AT72,Constants!$B$14),$AF72))</f>
        <v/>
      </c>
      <c r="AV72" s="100"/>
      <c r="AW72" s="101" t="str">
        <f aca="false">IF(ISBLANK($C72),"",IF($AF72&lt;&gt;Constants!$B$7,"",AN72))</f>
        <v/>
      </c>
      <c r="AX72" s="102" t="str">
        <f aca="false">IF(ISBLANK($C72),"",IF($AF72&lt;&gt;Constants!$B$7,"",IF(AN72=1,AH72,AK72)))</f>
        <v/>
      </c>
      <c r="AY72" s="103" t="str">
        <f aca="false">IF(ISBLANK($C72),"",IF($AF72&lt;&gt;Constants!$B$7,"",IF(AN72=1,AI72,AL72)))</f>
        <v/>
      </c>
      <c r="AZ72" s="104" t="str">
        <f aca="false">IF(ISBLANK($C72),"",IF($AF72&lt;&gt;Constants!$B$7,$AF72,AP72))</f>
        <v/>
      </c>
      <c r="BA72" s="105" t="str">
        <f aca="false">IF(ISBLANK($C72),"",IF($AF72&lt;&gt;Constants!$B$7,$AF72,AG72))</f>
        <v/>
      </c>
      <c r="BB72" s="106" t="str">
        <f aca="false">IF(ISBLANK($C72),"",AU72)</f>
        <v/>
      </c>
      <c r="BC72" s="106" t="str">
        <f aca="false">IF(ISBLANK($C72),"",AT72)</f>
        <v/>
      </c>
      <c r="BD72" s="107" t="str">
        <f aca="false">IF(ISBLANK($C72),"",IFERROR(_xlfn.SWITCH(BC72,Constants!$B$4,COUNTA($C$8:$C$507)+2,Constants!$B$5,COUNTA($C$8:$C$507)+1,Constants!$B$6,COUNTA($C$8:$C$507)),BC72))</f>
        <v/>
      </c>
      <c r="BE72" s="5"/>
      <c r="BF72" s="108" t="n">
        <f aca="false">IF(OR(ISNUMBER(BC72),BC72=Constants!$B$4,BC72=Constants!$B$6,BC72=Constants!$B$5),1,0)</f>
        <v>0</v>
      </c>
      <c r="BG72" s="108" t="n">
        <v>65</v>
      </c>
      <c r="BH72" s="108" t="str">
        <f aca="false">IF(ISBLANK($C72),"",IF(ISNUMBER(BD72),BD72+ROW($B72)/1000,""))</f>
        <v/>
      </c>
      <c r="BI72" s="108" t="str">
        <f aca="false">IF(ISNUMBER(BH72),RANK(BH72,$BH$8:$BH$507,1),"")</f>
        <v/>
      </c>
      <c r="BJ72" s="108" t="str">
        <f aca="false">IF(ISBLANK($C72),"",$B72)</f>
        <v/>
      </c>
      <c r="BK72" s="108" t="str">
        <f aca="false">IF(ISBLANK($C72),"",$C72)</f>
        <v/>
      </c>
      <c r="BL72" s="108" t="str">
        <f aca="false">IF(ISBLANK($C72),"",$D72)</f>
        <v/>
      </c>
      <c r="BM72" s="109" t="str">
        <f aca="false">BA72</f>
        <v/>
      </c>
      <c r="BN72" s="110" t="str">
        <f aca="false">AZ72</f>
        <v/>
      </c>
      <c r="BO72" s="108" t="str">
        <f aca="false">IF(ISBLANK($C72),"",BC72)</f>
        <v/>
      </c>
      <c r="BP72" s="111" t="str">
        <f aca="false">IF($BG72&gt;$BF$7,"",VLOOKUP($BG72,$BI$8:$BO$507,7,FALSE()))</f>
        <v/>
      </c>
      <c r="BQ72" s="112" t="str">
        <f aca="false">IF($BG72&gt;$BF$7,"",VLOOKUP($BG72,$BI$8:$BO$507,2,FALSE()))</f>
        <v/>
      </c>
      <c r="BR72" s="112" t="str">
        <f aca="false">IF($BG72&gt;$BF$7,"",VLOOKUP($BG72,$BI$8:$BO$507,3,FALSE()))</f>
        <v/>
      </c>
      <c r="BS72" s="112" t="str">
        <f aca="false">IF($BG72&gt;$BF$7,"",VLOOKUP($BG72,$BI$8:$BO$507,4,FALSE()))</f>
        <v/>
      </c>
      <c r="BT72" s="112" t="str">
        <f aca="false">IF($BG72&gt;$BF$7,"",VLOOKUP($BG72,$BI$8:$BO$507,5,FALSE()))</f>
        <v/>
      </c>
      <c r="BU72" s="113" t="str">
        <f aca="false">IF($BG72&gt;$BF$7,"",VLOOKUP($BG72,$BI$8:$BO$507,6,FALSE()))</f>
        <v/>
      </c>
      <c r="BV72" s="54"/>
    </row>
    <row r="73" customFormat="false" ht="15.75" hidden="false" customHeight="false" outlineLevel="0" collapsed="false">
      <c r="A73" s="5"/>
      <c r="B73" s="128"/>
      <c r="C73" s="129"/>
      <c r="D73" s="114"/>
      <c r="E73" s="134"/>
      <c r="F73" s="139"/>
      <c r="G73" s="93"/>
      <c r="H73" s="140"/>
      <c r="I73" s="95"/>
      <c r="J73" s="95"/>
      <c r="K73" s="93"/>
      <c r="L73" s="141"/>
      <c r="M73" s="95"/>
      <c r="N73" s="95"/>
      <c r="O73" s="93"/>
      <c r="P73" s="134"/>
      <c r="Q73" s="98"/>
      <c r="R73" s="99" t="str">
        <f aca="false">IF(ISBLANK($C73),"",IF(E73=Constants!$B$2, TRUE(), IF(E73=Constants!$B$3, FALSE(), TRUE())))</f>
        <v/>
      </c>
      <c r="S73" s="99" t="str">
        <f aca="false">IF(ISBLANK($C73),"",IF(F73=Constants!$B$2, TRUE(), IF(F73=Constants!$B$3, FALSE(), TRUE())))</f>
        <v/>
      </c>
      <c r="T73" s="99" t="str">
        <f aca="false">IF(ISBLANK($C73),"",IF(G73=Constants!$B$16,Constants!$B$9,IF(G73=Constants!$B$17,Constants!$B$10,Constants!$B$8)))</f>
        <v/>
      </c>
      <c r="U73" s="99" t="str">
        <f aca="false">IF(ISBLANK($C73),"",IF(H73=Constants!$B$19,Constants!$B$19,Constants!$B$18))</f>
        <v/>
      </c>
      <c r="V73" s="99" t="str">
        <f aca="false">IF(ISBLANK($C73),"",IF(ISNUMBER(I73),IF(I73&gt;=0,I73,""),""))</f>
        <v/>
      </c>
      <c r="W73" s="99" t="str">
        <f aca="false">IF(ISBLANK($C73),"",IF(J73=Constants!$B$2, TRUE(), IF(J73=Constants!$B$3, FALSE(), TRUE())))</f>
        <v/>
      </c>
      <c r="X73" s="99" t="str">
        <f aca="false">IF(ISBLANK($C73),"",IF(K73=Constants!$B$2, TRUE(), IF(K73=Constants!$B$3, FALSE(), TRUE())))</f>
        <v/>
      </c>
      <c r="Y73" s="99" t="str">
        <f aca="false">IF(ISBLANK($C73),"",IF(L73=Constants!$B$19,Constants!$B$19,Constants!$B$18))</f>
        <v/>
      </c>
      <c r="Z73" s="99" t="str">
        <f aca="false">IF(ISBLANK($C73),"",IF(ISNUMBER(M73),IF(M73&gt;=0,M73,""),""))</f>
        <v/>
      </c>
      <c r="AA73" s="99" t="str">
        <f aca="false">IF(ISBLANK($C73),"",IF(N73=Constants!$B$2, TRUE(), IF(N73=Constants!$B$3, FALSE(), TRUE())))</f>
        <v/>
      </c>
      <c r="AB73" s="99" t="str">
        <f aca="false">IF(ISBLANK($C73),"",IF(O73=Constants!$B$2, TRUE(), IF(O73=Constants!$B$3, FALSE(), TRUE())))</f>
        <v/>
      </c>
      <c r="AC73" s="99" t="str">
        <f aca="false">IF(ISBLANK($C73),"",IF(P73=Constants!$B$2, TRUE(), IF(P73=Constants!$B$3, FALSE(), FALSE())))</f>
        <v/>
      </c>
      <c r="AD73" s="99" t="str">
        <f aca="false">IF(ISBLANK($C73),"",AND(V73&lt;&gt;"",IF(U73=Constants!$B$19,S73,R73)))</f>
        <v/>
      </c>
      <c r="AE73" s="99" t="str">
        <f aca="false">IF(ISBLANK($C73),"",AND(Z73&lt;&gt;"",IF(Y73=Constants!$B$19,S73,R73)))</f>
        <v/>
      </c>
      <c r="AF73" s="99" t="str">
        <f aca="false">IF(ISBLANK($C73),"",IF(AC73,Constants!$B$4,IF(COUNTA(E73:O73)=0,Constants!$B$5,IF(AND(NOT(AD73),NOT(AE73)),Constants!$B$6,Constants!$B$7))))</f>
        <v/>
      </c>
      <c r="AG73" s="99" t="str">
        <f aca="false">IF(ISBLANK($C73),"",IF($AF73&lt;&gt;Constants!$B$7,$AF73,Constants!$B$20))</f>
        <v/>
      </c>
      <c r="AH73" s="99" t="str">
        <f aca="false">IF($AF73=Constants!$B$7,IF(AD73,V73,Constants!$B$13),"")</f>
        <v/>
      </c>
      <c r="AI73" s="99" t="str">
        <f aca="false">IF($AF73=Constants!$B$7,IF(AD73,T73*IF(W73, 1, Constants!$B$11)*IF(X73, 1, Constants!$B$12),Constants!$B$13),"")</f>
        <v/>
      </c>
      <c r="AJ73" s="99" t="str">
        <f aca="false">IF($AF73=Constants!$B$7,AH73*AI73,"")</f>
        <v/>
      </c>
      <c r="AK73" s="99" t="str">
        <f aca="false">IF($AF73=Constants!$B$7,IF(AE73,Z73,Constants!$B$13),"")</f>
        <v/>
      </c>
      <c r="AL73" s="99" t="str">
        <f aca="false">IF($AF73=Constants!$B$7,IF(AE73,T73*IF(AA73, 1, Constants!$B$11)*IF(AB73, 1, Constants!$B$12),Constants!$B$13),"")</f>
        <v/>
      </c>
      <c r="AM73" s="99" t="str">
        <f aca="false">IF($AF73=Constants!$B$7,AK73*AL73,"")</f>
        <v/>
      </c>
      <c r="AN73" s="99" t="str">
        <f aca="false">IF($AF73=Constants!$B$7,IF(AM73&gt;AJ73,2,1),"")</f>
        <v/>
      </c>
      <c r="AO73" s="99" t="str">
        <f aca="false">IF($AF73=Constants!$B$7,IF(AN73=1,2,1),"")</f>
        <v/>
      </c>
      <c r="AP73" s="99" t="str">
        <f aca="false">IF(ISBLANK($C73),"",IF($AF73&lt;&gt;Constants!$B$7,$AF73,IF(AN73=1,AJ73,AM73)))</f>
        <v/>
      </c>
      <c r="AQ73" s="99" t="str">
        <f aca="false">IF(ISBLANK($C73),"",IF($AF73=Constants!$B$7,IF(ISNUMBER(AP73),RANK(AP73,$AP$8:$AP$507),Constants!$B$14),$AF73))</f>
        <v/>
      </c>
      <c r="AR73" s="99" t="str">
        <f aca="false">IF(ISBLANK($C73),"",IF($AF73=Constants!$B$7,IF(AO73=1,AJ73,AM73),""))</f>
        <v/>
      </c>
      <c r="AS73" s="99" t="str">
        <f aca="false">IF(ISBLANK($C73),"",IF($AF73=Constants!$B$7,RANK(AR73,$AR$8:$AR$507),$AF73))</f>
        <v/>
      </c>
      <c r="AT73" s="99" t="str">
        <f aca="false">IF(ISBLANK($C73),"",IF($AF73=Constants!$B$7,IF(ISNUMBER(AQ73),COUNTIFS($AQ$8:$AQ$507,"&lt;"&amp;$AQ73)+COUNTIFS($AQ$8:$AQ$507,$AQ73,$AS$8:$AS$507,"&lt;"&amp;$AS73)+1,Constants!$B$14),$AF73))</f>
        <v/>
      </c>
      <c r="AU73" s="99" t="str">
        <f aca="false">IF(ISBLANK($C73),"",IF($AF73=Constants!$B$7,IF(ISNUMBER(AQ73),AQ73-AT73,Constants!$B$14),$AF73))</f>
        <v/>
      </c>
      <c r="AV73" s="100"/>
      <c r="AW73" s="101" t="str">
        <f aca="false">IF(ISBLANK($C73),"",IF($AF73&lt;&gt;Constants!$B$7,"",AN73))</f>
        <v/>
      </c>
      <c r="AX73" s="102" t="str">
        <f aca="false">IF(ISBLANK($C73),"",IF($AF73&lt;&gt;Constants!$B$7,"",IF(AN73=1,AH73,AK73)))</f>
        <v/>
      </c>
      <c r="AY73" s="103" t="str">
        <f aca="false">IF(ISBLANK($C73),"",IF($AF73&lt;&gt;Constants!$B$7,"",IF(AN73=1,AI73,AL73)))</f>
        <v/>
      </c>
      <c r="AZ73" s="104" t="str">
        <f aca="false">IF(ISBLANK($C73),"",IF($AF73&lt;&gt;Constants!$B$7,$AF73,AP73))</f>
        <v/>
      </c>
      <c r="BA73" s="105" t="str">
        <f aca="false">IF(ISBLANK($C73),"",IF($AF73&lt;&gt;Constants!$B$7,$AF73,AG73))</f>
        <v/>
      </c>
      <c r="BB73" s="106" t="str">
        <f aca="false">IF(ISBLANK($C73),"",AU73)</f>
        <v/>
      </c>
      <c r="BC73" s="106" t="str">
        <f aca="false">IF(ISBLANK($C73),"",AT73)</f>
        <v/>
      </c>
      <c r="BD73" s="107" t="str">
        <f aca="false">IF(ISBLANK($C73),"",IFERROR(_xlfn.SWITCH(BC73,Constants!$B$4,COUNTA($C$8:$C$507)+2,Constants!$B$5,COUNTA($C$8:$C$507)+1,Constants!$B$6,COUNTA($C$8:$C$507)),BC73))</f>
        <v/>
      </c>
      <c r="BE73" s="5"/>
      <c r="BF73" s="108" t="n">
        <f aca="false">IF(OR(ISNUMBER(BC73),BC73=Constants!$B$4,BC73=Constants!$B$6,BC73=Constants!$B$5),1,0)</f>
        <v>0</v>
      </c>
      <c r="BG73" s="108" t="n">
        <v>66</v>
      </c>
      <c r="BH73" s="108" t="str">
        <f aca="false">IF(ISBLANK($C73),"",IF(ISNUMBER(BD73),BD73+ROW($B73)/1000,""))</f>
        <v/>
      </c>
      <c r="BI73" s="108" t="str">
        <f aca="false">IF(ISNUMBER(BH73),RANK(BH73,$BH$8:$BH$507,1),"")</f>
        <v/>
      </c>
      <c r="BJ73" s="108" t="str">
        <f aca="false">IF(ISBLANK($C73),"",$B73)</f>
        <v/>
      </c>
      <c r="BK73" s="108" t="str">
        <f aca="false">IF(ISBLANK($C73),"",$C73)</f>
        <v/>
      </c>
      <c r="BL73" s="108" t="str">
        <f aca="false">IF(ISBLANK($C73),"",$D73)</f>
        <v/>
      </c>
      <c r="BM73" s="109" t="str">
        <f aca="false">BA73</f>
        <v/>
      </c>
      <c r="BN73" s="110" t="str">
        <f aca="false">AZ73</f>
        <v/>
      </c>
      <c r="BO73" s="108" t="str">
        <f aca="false">IF(ISBLANK($C73),"",BC73)</f>
        <v/>
      </c>
      <c r="BP73" s="111" t="str">
        <f aca="false">IF($BG73&gt;$BF$7,"",VLOOKUP($BG73,$BI$8:$BO$507,7,FALSE()))</f>
        <v/>
      </c>
      <c r="BQ73" s="112" t="str">
        <f aca="false">IF($BG73&gt;$BF$7,"",VLOOKUP($BG73,$BI$8:$BO$507,2,FALSE()))</f>
        <v/>
      </c>
      <c r="BR73" s="112" t="str">
        <f aca="false">IF($BG73&gt;$BF$7,"",VLOOKUP($BG73,$BI$8:$BO$507,3,FALSE()))</f>
        <v/>
      </c>
      <c r="BS73" s="112" t="str">
        <f aca="false">IF($BG73&gt;$BF$7,"",VLOOKUP($BG73,$BI$8:$BO$507,4,FALSE()))</f>
        <v/>
      </c>
      <c r="BT73" s="112" t="str">
        <f aca="false">IF($BG73&gt;$BF$7,"",VLOOKUP($BG73,$BI$8:$BO$507,5,FALSE()))</f>
        <v/>
      </c>
      <c r="BU73" s="113" t="str">
        <f aca="false">IF($BG73&gt;$BF$7,"",VLOOKUP($BG73,$BI$8:$BO$507,6,FALSE()))</f>
        <v/>
      </c>
      <c r="BV73" s="54"/>
    </row>
    <row r="74" customFormat="false" ht="15.75" hidden="false" customHeight="false" outlineLevel="0" collapsed="false">
      <c r="A74" s="5"/>
      <c r="B74" s="135"/>
      <c r="C74" s="56"/>
      <c r="D74" s="57"/>
      <c r="E74" s="84"/>
      <c r="F74" s="136"/>
      <c r="G74" s="60"/>
      <c r="H74" s="137"/>
      <c r="I74" s="62"/>
      <c r="J74" s="62"/>
      <c r="K74" s="60"/>
      <c r="L74" s="138"/>
      <c r="M74" s="62"/>
      <c r="N74" s="62"/>
      <c r="O74" s="60"/>
      <c r="P74" s="84"/>
      <c r="Q74" s="65"/>
      <c r="R74" s="67" t="str">
        <f aca="false">IF(ISBLANK($C74),"",IF(E74=Constants!$B$2, TRUE(), IF(E74=Constants!$B$3, FALSE(), TRUE())))</f>
        <v/>
      </c>
      <c r="S74" s="67" t="str">
        <f aca="false">IF(ISBLANK($C74),"",IF(F74=Constants!$B$2, TRUE(), IF(F74=Constants!$B$3, FALSE(), TRUE())))</f>
        <v/>
      </c>
      <c r="T74" s="67" t="str">
        <f aca="false">IF(ISBLANK($C74),"",IF(G74=Constants!$B$16,Constants!$B$9,IF(G74=Constants!$B$17,Constants!$B$10,Constants!$B$8)))</f>
        <v/>
      </c>
      <c r="U74" s="67" t="str">
        <f aca="false">IF(ISBLANK($C74),"",IF(H74=Constants!$B$19,Constants!$B$19,Constants!$B$18))</f>
        <v/>
      </c>
      <c r="V74" s="67" t="str">
        <f aca="false">IF(ISBLANK($C74),"",IF(ISNUMBER(I74),IF(I74&gt;=0,I74,""),""))</f>
        <v/>
      </c>
      <c r="W74" s="67" t="str">
        <f aca="false">IF(ISBLANK($C74),"",IF(J74=Constants!$B$2, TRUE(), IF(J74=Constants!$B$3, FALSE(), TRUE())))</f>
        <v/>
      </c>
      <c r="X74" s="67" t="str">
        <f aca="false">IF(ISBLANK($C74),"",IF(K74=Constants!$B$2, TRUE(), IF(K74=Constants!$B$3, FALSE(), TRUE())))</f>
        <v/>
      </c>
      <c r="Y74" s="67" t="str">
        <f aca="false">IF(ISBLANK($C74),"",IF(L74=Constants!$B$19,Constants!$B$19,Constants!$B$18))</f>
        <v/>
      </c>
      <c r="Z74" s="67" t="str">
        <f aca="false">IF(ISBLANK($C74),"",IF(ISNUMBER(M74),IF(M74&gt;=0,M74,""),""))</f>
        <v/>
      </c>
      <c r="AA74" s="67" t="str">
        <f aca="false">IF(ISBLANK($C74),"",IF(N74=Constants!$B$2, TRUE(), IF(N74=Constants!$B$3, FALSE(), TRUE())))</f>
        <v/>
      </c>
      <c r="AB74" s="67" t="str">
        <f aca="false">IF(ISBLANK($C74),"",IF(O74=Constants!$B$2, TRUE(), IF(O74=Constants!$B$3, FALSE(), TRUE())))</f>
        <v/>
      </c>
      <c r="AC74" s="67" t="str">
        <f aca="false">IF(ISBLANK($C74),"",IF(P74=Constants!$B$2, TRUE(), IF(P74=Constants!$B$3, FALSE(), FALSE())))</f>
        <v/>
      </c>
      <c r="AD74" s="67" t="str">
        <f aca="false">IF(ISBLANK($C74),"",AND(V74&lt;&gt;"",IF(U74=Constants!$B$19,S74,R74)))</f>
        <v/>
      </c>
      <c r="AE74" s="67" t="str">
        <f aca="false">IF(ISBLANK($C74),"",AND(Z74&lt;&gt;"",IF(Y74=Constants!$B$19,S74,R74)))</f>
        <v/>
      </c>
      <c r="AF74" s="67" t="str">
        <f aca="false">IF(ISBLANK($C74),"",IF(AC74,Constants!$B$4,IF(COUNTA(E74:O74)=0,Constants!$B$5,IF(AND(NOT(AD74),NOT(AE74)),Constants!$B$6,Constants!$B$7))))</f>
        <v/>
      </c>
      <c r="AG74" s="67" t="str">
        <f aca="false">IF(ISBLANK($C74),"",IF($AF74&lt;&gt;Constants!$B$7,$AF74,Constants!$B$20))</f>
        <v/>
      </c>
      <c r="AH74" s="67" t="str">
        <f aca="false">IF($AF74=Constants!$B$7,IF(AD74,V74,Constants!$B$13),"")</f>
        <v/>
      </c>
      <c r="AI74" s="67" t="str">
        <f aca="false">IF($AF74=Constants!$B$7,IF(AD74,T74*IF(W74, 1, Constants!$B$11)*IF(X74, 1, Constants!$B$12),Constants!$B$13),"")</f>
        <v/>
      </c>
      <c r="AJ74" s="67" t="str">
        <f aca="false">IF($AF74=Constants!$B$7,AH74*AI74,"")</f>
        <v/>
      </c>
      <c r="AK74" s="67" t="str">
        <f aca="false">IF($AF74=Constants!$B$7,IF(AE74,Z74,Constants!$B$13),"")</f>
        <v/>
      </c>
      <c r="AL74" s="67" t="str">
        <f aca="false">IF($AF74=Constants!$B$7,IF(AE74,T74*IF(AA74, 1, Constants!$B$11)*IF(AB74, 1, Constants!$B$12),Constants!$B$13),"")</f>
        <v/>
      </c>
      <c r="AM74" s="67" t="str">
        <f aca="false">IF($AF74=Constants!$B$7,AK74*AL74,"")</f>
        <v/>
      </c>
      <c r="AN74" s="67" t="str">
        <f aca="false">IF($AF74=Constants!$B$7,IF(AM74&gt;AJ74,2,1),"")</f>
        <v/>
      </c>
      <c r="AO74" s="67" t="str">
        <f aca="false">IF($AF74=Constants!$B$7,IF(AN74=1,2,1),"")</f>
        <v/>
      </c>
      <c r="AP74" s="67" t="str">
        <f aca="false">IF(ISBLANK($C74),"",IF($AF74&lt;&gt;Constants!$B$7,$AF74,IF(AN74=1,AJ74,AM74)))</f>
        <v/>
      </c>
      <c r="AQ74" s="67" t="str">
        <f aca="false">IF(ISBLANK($C74),"",IF($AF74=Constants!$B$7,IF(ISNUMBER(AP74),RANK(AP74,$AP$8:$AP$507),Constants!$B$14),$AF74))</f>
        <v/>
      </c>
      <c r="AR74" s="67" t="str">
        <f aca="false">IF(ISBLANK($C74),"",IF($AF74=Constants!$B$7,IF(AO74=1,AJ74,AM74),""))</f>
        <v/>
      </c>
      <c r="AS74" s="67" t="str">
        <f aca="false">IF(ISBLANK($C74),"",IF($AF74=Constants!$B$7,RANK(AR74,$AR$8:$AR$507),$AF74))</f>
        <v/>
      </c>
      <c r="AT74" s="67" t="str">
        <f aca="false">IF(ISBLANK($C74),"",IF($AF74=Constants!$B$7,IF(ISNUMBER(AQ74),COUNTIFS($AQ$8:$AQ$507,"&lt;"&amp;$AQ74)+COUNTIFS($AQ$8:$AQ$507,$AQ74,$AS$8:$AS$507,"&lt;"&amp;$AS74)+1,Constants!$B$14),$AF74))</f>
        <v/>
      </c>
      <c r="AU74" s="67" t="str">
        <f aca="false">IF(ISBLANK($C74),"",IF($AF74=Constants!$B$7,IF(ISNUMBER(AQ74),AQ74-AT74,Constants!$B$14),$AF74))</f>
        <v/>
      </c>
      <c r="AV74" s="69"/>
      <c r="AW74" s="70" t="str">
        <f aca="false">IF(ISBLANK($C74),"",IF($AF74&lt;&gt;Constants!$B$7,"",AN74))</f>
        <v/>
      </c>
      <c r="AX74" s="85" t="str">
        <f aca="false">IF(ISBLANK($C74),"",IF($AF74&lt;&gt;Constants!$B$7,"",IF(AN74=1,AH74,AK74)))</f>
        <v/>
      </c>
      <c r="AY74" s="72" t="str">
        <f aca="false">IF(ISBLANK($C74),"",IF($AF74&lt;&gt;Constants!$B$7,"",IF(AN74=1,AI74,AL74)))</f>
        <v/>
      </c>
      <c r="AZ74" s="73" t="str">
        <f aca="false">IF(ISBLANK($C74),"",IF($AF74&lt;&gt;Constants!$B$7,$AF74,AP74))</f>
        <v/>
      </c>
      <c r="BA74" s="74" t="str">
        <f aca="false">IF(ISBLANK($C74),"",IF($AF74&lt;&gt;Constants!$B$7,$AF74,AG74))</f>
        <v/>
      </c>
      <c r="BB74" s="75" t="str">
        <f aca="false">IF(ISBLANK($C74),"",AU74)</f>
        <v/>
      </c>
      <c r="BC74" s="75" t="str">
        <f aca="false">IF(ISBLANK($C74),"",AT74)</f>
        <v/>
      </c>
      <c r="BD74" s="76" t="str">
        <f aca="false">IF(ISBLANK($C74),"",IFERROR(_xlfn.SWITCH(BC74,Constants!$B$4,COUNTA($C$8:$C$507)+2,Constants!$B$5,COUNTA($C$8:$C$507)+1,Constants!$B$6,COUNTA($C$8:$C$507)),BC74))</f>
        <v/>
      </c>
      <c r="BE74" s="5"/>
      <c r="BF74" s="77" t="n">
        <f aca="false">IF(OR(ISNUMBER(BC74),BC74=Constants!$B$4,BC74=Constants!$B$6,BC74=Constants!$B$5),1,0)</f>
        <v>0</v>
      </c>
      <c r="BG74" s="77" t="n">
        <v>67</v>
      </c>
      <c r="BH74" s="77" t="str">
        <f aca="false">IF(ISBLANK($C74),"",IF(ISNUMBER(BD74),BD74+ROW($B74)/1000,""))</f>
        <v/>
      </c>
      <c r="BI74" s="77" t="str">
        <f aca="false">IF(ISNUMBER(BH74),RANK(BH74,$BH$8:$BH$507,1),"")</f>
        <v/>
      </c>
      <c r="BJ74" s="77" t="str">
        <f aca="false">IF(ISBLANK($C74),"",$B74)</f>
        <v/>
      </c>
      <c r="BK74" s="77" t="str">
        <f aca="false">IF(ISBLANK($C74),"",$C74)</f>
        <v/>
      </c>
      <c r="BL74" s="77" t="str">
        <f aca="false">IF(ISBLANK($C74),"",$D74)</f>
        <v/>
      </c>
      <c r="BM74" s="78" t="str">
        <f aca="false">BA74</f>
        <v/>
      </c>
      <c r="BN74" s="79" t="str">
        <f aca="false">AZ74</f>
        <v/>
      </c>
      <c r="BO74" s="77" t="str">
        <f aca="false">IF(ISBLANK($C74),"",BC74)</f>
        <v/>
      </c>
      <c r="BP74" s="80" t="str">
        <f aca="false">IF($BG74&gt;$BF$7,"",VLOOKUP($BG74,$BI$8:$BO$507,7,FALSE()))</f>
        <v/>
      </c>
      <c r="BQ74" s="81" t="str">
        <f aca="false">IF($BG74&gt;$BF$7,"",VLOOKUP($BG74,$BI$8:$BO$507,2,FALSE()))</f>
        <v/>
      </c>
      <c r="BR74" s="81" t="str">
        <f aca="false">IF($BG74&gt;$BF$7,"",VLOOKUP($BG74,$BI$8:$BO$507,3,FALSE()))</f>
        <v/>
      </c>
      <c r="BS74" s="81" t="str">
        <f aca="false">IF($BG74&gt;$BF$7,"",VLOOKUP($BG74,$BI$8:$BO$507,4,FALSE()))</f>
        <v/>
      </c>
      <c r="BT74" s="81" t="str">
        <f aca="false">IF($BG74&gt;$BF$7,"",VLOOKUP($BG74,$BI$8:$BO$507,5,FALSE()))</f>
        <v/>
      </c>
      <c r="BU74" s="82" t="str">
        <f aca="false">IF($BG74&gt;$BF$7,"",VLOOKUP($BG74,$BI$8:$BO$507,6,FALSE()))</f>
        <v/>
      </c>
      <c r="BV74" s="54"/>
    </row>
    <row r="75" customFormat="false" ht="15.75" hidden="false" customHeight="false" outlineLevel="0" collapsed="false">
      <c r="A75" s="5"/>
      <c r="B75" s="135"/>
      <c r="C75" s="56"/>
      <c r="D75" s="57"/>
      <c r="E75" s="84"/>
      <c r="F75" s="136"/>
      <c r="G75" s="60"/>
      <c r="H75" s="137"/>
      <c r="I75" s="62"/>
      <c r="J75" s="62"/>
      <c r="K75" s="60"/>
      <c r="L75" s="138"/>
      <c r="M75" s="62"/>
      <c r="N75" s="62"/>
      <c r="O75" s="60"/>
      <c r="P75" s="84"/>
      <c r="Q75" s="65"/>
      <c r="R75" s="67" t="str">
        <f aca="false">IF(ISBLANK($C75),"",IF(E75=Constants!$B$2, TRUE(), IF(E75=Constants!$B$3, FALSE(), TRUE())))</f>
        <v/>
      </c>
      <c r="S75" s="67" t="str">
        <f aca="false">IF(ISBLANK($C75),"",IF(F75=Constants!$B$2, TRUE(), IF(F75=Constants!$B$3, FALSE(), TRUE())))</f>
        <v/>
      </c>
      <c r="T75" s="67" t="str">
        <f aca="false">IF(ISBLANK($C75),"",IF(G75=Constants!$B$16,Constants!$B$9,IF(G75=Constants!$B$17,Constants!$B$10,Constants!$B$8)))</f>
        <v/>
      </c>
      <c r="U75" s="67" t="str">
        <f aca="false">IF(ISBLANK($C75),"",IF(H75=Constants!$B$19,Constants!$B$19,Constants!$B$18))</f>
        <v/>
      </c>
      <c r="V75" s="67" t="str">
        <f aca="false">IF(ISBLANK($C75),"",IF(ISNUMBER(I75),IF(I75&gt;=0,I75,""),""))</f>
        <v/>
      </c>
      <c r="W75" s="67" t="str">
        <f aca="false">IF(ISBLANK($C75),"",IF(J75=Constants!$B$2, TRUE(), IF(J75=Constants!$B$3, FALSE(), TRUE())))</f>
        <v/>
      </c>
      <c r="X75" s="67" t="str">
        <f aca="false">IF(ISBLANK($C75),"",IF(K75=Constants!$B$2, TRUE(), IF(K75=Constants!$B$3, FALSE(), TRUE())))</f>
        <v/>
      </c>
      <c r="Y75" s="67" t="str">
        <f aca="false">IF(ISBLANK($C75),"",IF(L75=Constants!$B$19,Constants!$B$19,Constants!$B$18))</f>
        <v/>
      </c>
      <c r="Z75" s="67" t="str">
        <f aca="false">IF(ISBLANK($C75),"",IF(ISNUMBER(M75),IF(M75&gt;=0,M75,""),""))</f>
        <v/>
      </c>
      <c r="AA75" s="67" t="str">
        <f aca="false">IF(ISBLANK($C75),"",IF(N75=Constants!$B$2, TRUE(), IF(N75=Constants!$B$3, FALSE(), TRUE())))</f>
        <v/>
      </c>
      <c r="AB75" s="67" t="str">
        <f aca="false">IF(ISBLANK($C75),"",IF(O75=Constants!$B$2, TRUE(), IF(O75=Constants!$B$3, FALSE(), TRUE())))</f>
        <v/>
      </c>
      <c r="AC75" s="67" t="str">
        <f aca="false">IF(ISBLANK($C75),"",IF(P75=Constants!$B$2, TRUE(), IF(P75=Constants!$B$3, FALSE(), FALSE())))</f>
        <v/>
      </c>
      <c r="AD75" s="67" t="str">
        <f aca="false">IF(ISBLANK($C75),"",AND(V75&lt;&gt;"",IF(U75=Constants!$B$19,S75,R75)))</f>
        <v/>
      </c>
      <c r="AE75" s="67" t="str">
        <f aca="false">IF(ISBLANK($C75),"",AND(Z75&lt;&gt;"",IF(Y75=Constants!$B$19,S75,R75)))</f>
        <v/>
      </c>
      <c r="AF75" s="67" t="str">
        <f aca="false">IF(ISBLANK($C75),"",IF(AC75,Constants!$B$4,IF(COUNTA(E75:O75)=0,Constants!$B$5,IF(AND(NOT(AD75),NOT(AE75)),Constants!$B$6,Constants!$B$7))))</f>
        <v/>
      </c>
      <c r="AG75" s="67" t="str">
        <f aca="false">IF(ISBLANK($C75),"",IF($AF75&lt;&gt;Constants!$B$7,$AF75,Constants!$B$20))</f>
        <v/>
      </c>
      <c r="AH75" s="67" t="str">
        <f aca="false">IF($AF75=Constants!$B$7,IF(AD75,V75,Constants!$B$13),"")</f>
        <v/>
      </c>
      <c r="AI75" s="67" t="str">
        <f aca="false">IF($AF75=Constants!$B$7,IF(AD75,T75*IF(W75, 1, Constants!$B$11)*IF(X75, 1, Constants!$B$12),Constants!$B$13),"")</f>
        <v/>
      </c>
      <c r="AJ75" s="67" t="str">
        <f aca="false">IF($AF75=Constants!$B$7,AH75*AI75,"")</f>
        <v/>
      </c>
      <c r="AK75" s="67" t="str">
        <f aca="false">IF($AF75=Constants!$B$7,IF(AE75,Z75,Constants!$B$13),"")</f>
        <v/>
      </c>
      <c r="AL75" s="67" t="str">
        <f aca="false">IF($AF75=Constants!$B$7,IF(AE75,T75*IF(AA75, 1, Constants!$B$11)*IF(AB75, 1, Constants!$B$12),Constants!$B$13),"")</f>
        <v/>
      </c>
      <c r="AM75" s="67" t="str">
        <f aca="false">IF($AF75=Constants!$B$7,AK75*AL75,"")</f>
        <v/>
      </c>
      <c r="AN75" s="67" t="str">
        <f aca="false">IF($AF75=Constants!$B$7,IF(AM75&gt;AJ75,2,1),"")</f>
        <v/>
      </c>
      <c r="AO75" s="67" t="str">
        <f aca="false">IF($AF75=Constants!$B$7,IF(AN75=1,2,1),"")</f>
        <v/>
      </c>
      <c r="AP75" s="67" t="str">
        <f aca="false">IF(ISBLANK($C75),"",IF($AF75&lt;&gt;Constants!$B$7,$AF75,IF(AN75=1,AJ75,AM75)))</f>
        <v/>
      </c>
      <c r="AQ75" s="67" t="str">
        <f aca="false">IF(ISBLANK($C75),"",IF($AF75=Constants!$B$7,IF(ISNUMBER(AP75),RANK(AP75,$AP$8:$AP$507),Constants!$B$14),$AF75))</f>
        <v/>
      </c>
      <c r="AR75" s="67" t="str">
        <f aca="false">IF(ISBLANK($C75),"",IF($AF75=Constants!$B$7,IF(AO75=1,AJ75,AM75),""))</f>
        <v/>
      </c>
      <c r="AS75" s="67" t="str">
        <f aca="false">IF(ISBLANK($C75),"",IF($AF75=Constants!$B$7,RANK(AR75,$AR$8:$AR$507),$AF75))</f>
        <v/>
      </c>
      <c r="AT75" s="67" t="str">
        <f aca="false">IF(ISBLANK($C75),"",IF($AF75=Constants!$B$7,IF(ISNUMBER(AQ75),COUNTIFS($AQ$8:$AQ$507,"&lt;"&amp;$AQ75)+COUNTIFS($AQ$8:$AQ$507,$AQ75,$AS$8:$AS$507,"&lt;"&amp;$AS75)+1,Constants!$B$14),$AF75))</f>
        <v/>
      </c>
      <c r="AU75" s="67" t="str">
        <f aca="false">IF(ISBLANK($C75),"",IF($AF75=Constants!$B$7,IF(ISNUMBER(AQ75),AQ75-AT75,Constants!$B$14),$AF75))</f>
        <v/>
      </c>
      <c r="AV75" s="69"/>
      <c r="AW75" s="70" t="str">
        <f aca="false">IF(ISBLANK($C75),"",IF($AF75&lt;&gt;Constants!$B$7,"",AN75))</f>
        <v/>
      </c>
      <c r="AX75" s="85" t="str">
        <f aca="false">IF(ISBLANK($C75),"",IF($AF75&lt;&gt;Constants!$B$7,"",IF(AN75=1,AH75,AK75)))</f>
        <v/>
      </c>
      <c r="AY75" s="72" t="str">
        <f aca="false">IF(ISBLANK($C75),"",IF($AF75&lt;&gt;Constants!$B$7,"",IF(AN75=1,AI75,AL75)))</f>
        <v/>
      </c>
      <c r="AZ75" s="73" t="str">
        <f aca="false">IF(ISBLANK($C75),"",IF($AF75&lt;&gt;Constants!$B$7,$AF75,AP75))</f>
        <v/>
      </c>
      <c r="BA75" s="74" t="str">
        <f aca="false">IF(ISBLANK($C75),"",IF($AF75&lt;&gt;Constants!$B$7,$AF75,AG75))</f>
        <v/>
      </c>
      <c r="BB75" s="75" t="str">
        <f aca="false">IF(ISBLANK($C75),"",AU75)</f>
        <v/>
      </c>
      <c r="BC75" s="75" t="str">
        <f aca="false">IF(ISBLANK($C75),"",AT75)</f>
        <v/>
      </c>
      <c r="BD75" s="76" t="str">
        <f aca="false">IF(ISBLANK($C75),"",IFERROR(_xlfn.SWITCH(BC75,Constants!$B$4,COUNTA($C$8:$C$507)+2,Constants!$B$5,COUNTA($C$8:$C$507)+1,Constants!$B$6,COUNTA($C$8:$C$507)),BC75))</f>
        <v/>
      </c>
      <c r="BE75" s="5"/>
      <c r="BF75" s="77" t="n">
        <f aca="false">IF(OR(ISNUMBER(BC75),BC75=Constants!$B$4,BC75=Constants!$B$6,BC75=Constants!$B$5),1,0)</f>
        <v>0</v>
      </c>
      <c r="BG75" s="77" t="n">
        <v>68</v>
      </c>
      <c r="BH75" s="77" t="str">
        <f aca="false">IF(ISBLANK($C75),"",IF(ISNUMBER(BD75),BD75+ROW($B75)/1000,""))</f>
        <v/>
      </c>
      <c r="BI75" s="77" t="str">
        <f aca="false">IF(ISNUMBER(BH75),RANK(BH75,$BH$8:$BH$507,1),"")</f>
        <v/>
      </c>
      <c r="BJ75" s="77" t="str">
        <f aca="false">IF(ISBLANK($C75),"",$B75)</f>
        <v/>
      </c>
      <c r="BK75" s="77" t="str">
        <f aca="false">IF(ISBLANK($C75),"",$C75)</f>
        <v/>
      </c>
      <c r="BL75" s="77" t="str">
        <f aca="false">IF(ISBLANK($C75),"",$D75)</f>
        <v/>
      </c>
      <c r="BM75" s="78" t="str">
        <f aca="false">BA75</f>
        <v/>
      </c>
      <c r="BN75" s="79" t="str">
        <f aca="false">AZ75</f>
        <v/>
      </c>
      <c r="BO75" s="77" t="str">
        <f aca="false">IF(ISBLANK($C75),"",BC75)</f>
        <v/>
      </c>
      <c r="BP75" s="80" t="str">
        <f aca="false">IF($BG75&gt;$BF$7,"",VLOOKUP($BG75,$BI$8:$BO$507,7,FALSE()))</f>
        <v/>
      </c>
      <c r="BQ75" s="81" t="str">
        <f aca="false">IF($BG75&gt;$BF$7,"",VLOOKUP($BG75,$BI$8:$BO$507,2,FALSE()))</f>
        <v/>
      </c>
      <c r="BR75" s="81" t="str">
        <f aca="false">IF($BG75&gt;$BF$7,"",VLOOKUP($BG75,$BI$8:$BO$507,3,FALSE()))</f>
        <v/>
      </c>
      <c r="BS75" s="81" t="str">
        <f aca="false">IF($BG75&gt;$BF$7,"",VLOOKUP($BG75,$BI$8:$BO$507,4,FALSE()))</f>
        <v/>
      </c>
      <c r="BT75" s="81" t="str">
        <f aca="false">IF($BG75&gt;$BF$7,"",VLOOKUP($BG75,$BI$8:$BO$507,5,FALSE()))</f>
        <v/>
      </c>
      <c r="BU75" s="82" t="str">
        <f aca="false">IF($BG75&gt;$BF$7,"",VLOOKUP($BG75,$BI$8:$BO$507,6,FALSE()))</f>
        <v/>
      </c>
      <c r="BV75" s="54"/>
    </row>
    <row r="76" customFormat="false" ht="15.75" hidden="false" customHeight="false" outlineLevel="0" collapsed="false">
      <c r="A76" s="5"/>
      <c r="B76" s="135"/>
      <c r="C76" s="56"/>
      <c r="D76" s="57"/>
      <c r="E76" s="84"/>
      <c r="F76" s="136"/>
      <c r="G76" s="60"/>
      <c r="H76" s="137"/>
      <c r="I76" s="62"/>
      <c r="J76" s="62"/>
      <c r="K76" s="60"/>
      <c r="L76" s="138"/>
      <c r="M76" s="62"/>
      <c r="N76" s="62"/>
      <c r="O76" s="60"/>
      <c r="P76" s="84"/>
      <c r="Q76" s="65"/>
      <c r="R76" s="67" t="str">
        <f aca="false">IF(ISBLANK($C76),"",IF(E76=Constants!$B$2, TRUE(), IF(E76=Constants!$B$3, FALSE(), TRUE())))</f>
        <v/>
      </c>
      <c r="S76" s="67" t="str">
        <f aca="false">IF(ISBLANK($C76),"",IF(F76=Constants!$B$2, TRUE(), IF(F76=Constants!$B$3, FALSE(), TRUE())))</f>
        <v/>
      </c>
      <c r="T76" s="67" t="str">
        <f aca="false">IF(ISBLANK($C76),"",IF(G76=Constants!$B$16,Constants!$B$9,IF(G76=Constants!$B$17,Constants!$B$10,Constants!$B$8)))</f>
        <v/>
      </c>
      <c r="U76" s="67" t="str">
        <f aca="false">IF(ISBLANK($C76),"",IF(H76=Constants!$B$19,Constants!$B$19,Constants!$B$18))</f>
        <v/>
      </c>
      <c r="V76" s="67" t="str">
        <f aca="false">IF(ISBLANK($C76),"",IF(ISNUMBER(I76),IF(I76&gt;=0,I76,""),""))</f>
        <v/>
      </c>
      <c r="W76" s="67" t="str">
        <f aca="false">IF(ISBLANK($C76),"",IF(J76=Constants!$B$2, TRUE(), IF(J76=Constants!$B$3, FALSE(), TRUE())))</f>
        <v/>
      </c>
      <c r="X76" s="67" t="str">
        <f aca="false">IF(ISBLANK($C76),"",IF(K76=Constants!$B$2, TRUE(), IF(K76=Constants!$B$3, FALSE(), TRUE())))</f>
        <v/>
      </c>
      <c r="Y76" s="67" t="str">
        <f aca="false">IF(ISBLANK($C76),"",IF(L76=Constants!$B$19,Constants!$B$19,Constants!$B$18))</f>
        <v/>
      </c>
      <c r="Z76" s="67" t="str">
        <f aca="false">IF(ISBLANK($C76),"",IF(ISNUMBER(M76),IF(M76&gt;=0,M76,""),""))</f>
        <v/>
      </c>
      <c r="AA76" s="67" t="str">
        <f aca="false">IF(ISBLANK($C76),"",IF(N76=Constants!$B$2, TRUE(), IF(N76=Constants!$B$3, FALSE(), TRUE())))</f>
        <v/>
      </c>
      <c r="AB76" s="67" t="str">
        <f aca="false">IF(ISBLANK($C76),"",IF(O76=Constants!$B$2, TRUE(), IF(O76=Constants!$B$3, FALSE(), TRUE())))</f>
        <v/>
      </c>
      <c r="AC76" s="67" t="str">
        <f aca="false">IF(ISBLANK($C76),"",IF(P76=Constants!$B$2, TRUE(), IF(P76=Constants!$B$3, FALSE(), FALSE())))</f>
        <v/>
      </c>
      <c r="AD76" s="67" t="str">
        <f aca="false">IF(ISBLANK($C76),"",AND(V76&lt;&gt;"",IF(U76=Constants!$B$19,S76,R76)))</f>
        <v/>
      </c>
      <c r="AE76" s="67" t="str">
        <f aca="false">IF(ISBLANK($C76),"",AND(Z76&lt;&gt;"",IF(Y76=Constants!$B$19,S76,R76)))</f>
        <v/>
      </c>
      <c r="AF76" s="67" t="str">
        <f aca="false">IF(ISBLANK($C76),"",IF(AC76,Constants!$B$4,IF(COUNTA(E76:O76)=0,Constants!$B$5,IF(AND(NOT(AD76),NOT(AE76)),Constants!$B$6,Constants!$B$7))))</f>
        <v/>
      </c>
      <c r="AG76" s="67" t="str">
        <f aca="false">IF(ISBLANK($C76),"",IF($AF76&lt;&gt;Constants!$B$7,$AF76,Constants!$B$20))</f>
        <v/>
      </c>
      <c r="AH76" s="67" t="str">
        <f aca="false">IF($AF76=Constants!$B$7,IF(AD76,V76,Constants!$B$13),"")</f>
        <v/>
      </c>
      <c r="AI76" s="67" t="str">
        <f aca="false">IF($AF76=Constants!$B$7,IF(AD76,T76*IF(W76, 1, Constants!$B$11)*IF(X76, 1, Constants!$B$12),Constants!$B$13),"")</f>
        <v/>
      </c>
      <c r="AJ76" s="67" t="str">
        <f aca="false">IF($AF76=Constants!$B$7,AH76*AI76,"")</f>
        <v/>
      </c>
      <c r="AK76" s="67" t="str">
        <f aca="false">IF($AF76=Constants!$B$7,IF(AE76,Z76,Constants!$B$13),"")</f>
        <v/>
      </c>
      <c r="AL76" s="67" t="str">
        <f aca="false">IF($AF76=Constants!$B$7,IF(AE76,T76*IF(AA76, 1, Constants!$B$11)*IF(AB76, 1, Constants!$B$12),Constants!$B$13),"")</f>
        <v/>
      </c>
      <c r="AM76" s="67" t="str">
        <f aca="false">IF($AF76=Constants!$B$7,AK76*AL76,"")</f>
        <v/>
      </c>
      <c r="AN76" s="67" t="str">
        <f aca="false">IF($AF76=Constants!$B$7,IF(AM76&gt;AJ76,2,1),"")</f>
        <v/>
      </c>
      <c r="AO76" s="67" t="str">
        <f aca="false">IF($AF76=Constants!$B$7,IF(AN76=1,2,1),"")</f>
        <v/>
      </c>
      <c r="AP76" s="67" t="str">
        <f aca="false">IF(ISBLANK($C76),"",IF($AF76&lt;&gt;Constants!$B$7,$AF76,IF(AN76=1,AJ76,AM76)))</f>
        <v/>
      </c>
      <c r="AQ76" s="67" t="str">
        <f aca="false">IF(ISBLANK($C76),"",IF($AF76=Constants!$B$7,IF(ISNUMBER(AP76),RANK(AP76,$AP$8:$AP$507),Constants!$B$14),$AF76))</f>
        <v/>
      </c>
      <c r="AR76" s="67" t="str">
        <f aca="false">IF(ISBLANK($C76),"",IF($AF76=Constants!$B$7,IF(AO76=1,AJ76,AM76),""))</f>
        <v/>
      </c>
      <c r="AS76" s="67" t="str">
        <f aca="false">IF(ISBLANK($C76),"",IF($AF76=Constants!$B$7,RANK(AR76,$AR$8:$AR$507),$AF76))</f>
        <v/>
      </c>
      <c r="AT76" s="67" t="str">
        <f aca="false">IF(ISBLANK($C76),"",IF($AF76=Constants!$B$7,IF(ISNUMBER(AQ76),COUNTIFS($AQ$8:$AQ$507,"&lt;"&amp;$AQ76)+COUNTIFS($AQ$8:$AQ$507,$AQ76,$AS$8:$AS$507,"&lt;"&amp;$AS76)+1,Constants!$B$14),$AF76))</f>
        <v/>
      </c>
      <c r="AU76" s="67" t="str">
        <f aca="false">IF(ISBLANK($C76),"",IF($AF76=Constants!$B$7,IF(ISNUMBER(AQ76),AQ76-AT76,Constants!$B$14),$AF76))</f>
        <v/>
      </c>
      <c r="AV76" s="69"/>
      <c r="AW76" s="70" t="str">
        <f aca="false">IF(ISBLANK($C76),"",IF($AF76&lt;&gt;Constants!$B$7,"",AN76))</f>
        <v/>
      </c>
      <c r="AX76" s="85" t="str">
        <f aca="false">IF(ISBLANK($C76),"",IF($AF76&lt;&gt;Constants!$B$7,"",IF(AN76=1,AH76,AK76)))</f>
        <v/>
      </c>
      <c r="AY76" s="72" t="str">
        <f aca="false">IF(ISBLANK($C76),"",IF($AF76&lt;&gt;Constants!$B$7,"",IF(AN76=1,AI76,AL76)))</f>
        <v/>
      </c>
      <c r="AZ76" s="73" t="str">
        <f aca="false">IF(ISBLANK($C76),"",IF($AF76&lt;&gt;Constants!$B$7,$AF76,AP76))</f>
        <v/>
      </c>
      <c r="BA76" s="74" t="str">
        <f aca="false">IF(ISBLANK($C76),"",IF($AF76&lt;&gt;Constants!$B$7,$AF76,AG76))</f>
        <v/>
      </c>
      <c r="BB76" s="75" t="str">
        <f aca="false">IF(ISBLANK($C76),"",AU76)</f>
        <v/>
      </c>
      <c r="BC76" s="75" t="str">
        <f aca="false">IF(ISBLANK($C76),"",AT76)</f>
        <v/>
      </c>
      <c r="BD76" s="76" t="str">
        <f aca="false">IF(ISBLANK($C76),"",IFERROR(_xlfn.SWITCH(BC76,Constants!$B$4,COUNTA($C$8:$C$507)+2,Constants!$B$5,COUNTA($C$8:$C$507)+1,Constants!$B$6,COUNTA($C$8:$C$507)),BC76))</f>
        <v/>
      </c>
      <c r="BE76" s="5"/>
      <c r="BF76" s="77" t="n">
        <f aca="false">IF(OR(ISNUMBER(BC76),BC76=Constants!$B$4,BC76=Constants!$B$6,BC76=Constants!$B$5),1,0)</f>
        <v>0</v>
      </c>
      <c r="BG76" s="77" t="n">
        <v>69</v>
      </c>
      <c r="BH76" s="77" t="str">
        <f aca="false">IF(ISBLANK($C76),"",IF(ISNUMBER(BD76),BD76+ROW($B76)/1000,""))</f>
        <v/>
      </c>
      <c r="BI76" s="77" t="str">
        <f aca="false">IF(ISNUMBER(BH76),RANK(BH76,$BH$8:$BH$507,1),"")</f>
        <v/>
      </c>
      <c r="BJ76" s="77" t="str">
        <f aca="false">IF(ISBLANK($C76),"",$B76)</f>
        <v/>
      </c>
      <c r="BK76" s="77" t="str">
        <f aca="false">IF(ISBLANK($C76),"",$C76)</f>
        <v/>
      </c>
      <c r="BL76" s="77" t="str">
        <f aca="false">IF(ISBLANK($C76),"",$D76)</f>
        <v/>
      </c>
      <c r="BM76" s="78" t="str">
        <f aca="false">BA76</f>
        <v/>
      </c>
      <c r="BN76" s="79" t="str">
        <f aca="false">AZ76</f>
        <v/>
      </c>
      <c r="BO76" s="77" t="str">
        <f aca="false">IF(ISBLANK($C76),"",BC76)</f>
        <v/>
      </c>
      <c r="BP76" s="80" t="str">
        <f aca="false">IF($BG76&gt;$BF$7,"",VLOOKUP($BG76,$BI$8:$BO$507,7,FALSE()))</f>
        <v/>
      </c>
      <c r="BQ76" s="81" t="str">
        <f aca="false">IF($BG76&gt;$BF$7,"",VLOOKUP($BG76,$BI$8:$BO$507,2,FALSE()))</f>
        <v/>
      </c>
      <c r="BR76" s="81" t="str">
        <f aca="false">IF($BG76&gt;$BF$7,"",VLOOKUP($BG76,$BI$8:$BO$507,3,FALSE()))</f>
        <v/>
      </c>
      <c r="BS76" s="81" t="str">
        <f aca="false">IF($BG76&gt;$BF$7,"",VLOOKUP($BG76,$BI$8:$BO$507,4,FALSE()))</f>
        <v/>
      </c>
      <c r="BT76" s="81" t="str">
        <f aca="false">IF($BG76&gt;$BF$7,"",VLOOKUP($BG76,$BI$8:$BO$507,5,FALSE()))</f>
        <v/>
      </c>
      <c r="BU76" s="82" t="str">
        <f aca="false">IF($BG76&gt;$BF$7,"",VLOOKUP($BG76,$BI$8:$BO$507,6,FALSE()))</f>
        <v/>
      </c>
      <c r="BV76" s="54"/>
    </row>
    <row r="77" customFormat="false" ht="15.75" hidden="false" customHeight="false" outlineLevel="0" collapsed="false">
      <c r="A77" s="5"/>
      <c r="B77" s="128"/>
      <c r="C77" s="129"/>
      <c r="D77" s="114"/>
      <c r="E77" s="134"/>
      <c r="F77" s="139"/>
      <c r="G77" s="93"/>
      <c r="H77" s="140"/>
      <c r="I77" s="95"/>
      <c r="J77" s="95"/>
      <c r="K77" s="93"/>
      <c r="L77" s="141"/>
      <c r="M77" s="95"/>
      <c r="N77" s="95"/>
      <c r="O77" s="93"/>
      <c r="P77" s="134"/>
      <c r="Q77" s="98"/>
      <c r="R77" s="99" t="str">
        <f aca="false">IF(ISBLANK($C77),"",IF(E77=Constants!$B$2, TRUE(), IF(E77=Constants!$B$3, FALSE(), TRUE())))</f>
        <v/>
      </c>
      <c r="S77" s="99" t="str">
        <f aca="false">IF(ISBLANK($C77),"",IF(F77=Constants!$B$2, TRUE(), IF(F77=Constants!$B$3, FALSE(), TRUE())))</f>
        <v/>
      </c>
      <c r="T77" s="99" t="str">
        <f aca="false">IF(ISBLANK($C77),"",IF(G77=Constants!$B$16,Constants!$B$9,IF(G77=Constants!$B$17,Constants!$B$10,Constants!$B$8)))</f>
        <v/>
      </c>
      <c r="U77" s="99" t="str">
        <f aca="false">IF(ISBLANK($C77),"",IF(H77=Constants!$B$19,Constants!$B$19,Constants!$B$18))</f>
        <v/>
      </c>
      <c r="V77" s="99" t="str">
        <f aca="false">IF(ISBLANK($C77),"",IF(ISNUMBER(I77),IF(I77&gt;=0,I77,""),""))</f>
        <v/>
      </c>
      <c r="W77" s="99" t="str">
        <f aca="false">IF(ISBLANK($C77),"",IF(J77=Constants!$B$2, TRUE(), IF(J77=Constants!$B$3, FALSE(), TRUE())))</f>
        <v/>
      </c>
      <c r="X77" s="99" t="str">
        <f aca="false">IF(ISBLANK($C77),"",IF(K77=Constants!$B$2, TRUE(), IF(K77=Constants!$B$3, FALSE(), TRUE())))</f>
        <v/>
      </c>
      <c r="Y77" s="99" t="str">
        <f aca="false">IF(ISBLANK($C77),"",IF(L77=Constants!$B$19,Constants!$B$19,Constants!$B$18))</f>
        <v/>
      </c>
      <c r="Z77" s="99" t="str">
        <f aca="false">IF(ISBLANK($C77),"",IF(ISNUMBER(M77),IF(M77&gt;=0,M77,""),""))</f>
        <v/>
      </c>
      <c r="AA77" s="99" t="str">
        <f aca="false">IF(ISBLANK($C77),"",IF(N77=Constants!$B$2, TRUE(), IF(N77=Constants!$B$3, FALSE(), TRUE())))</f>
        <v/>
      </c>
      <c r="AB77" s="99" t="str">
        <f aca="false">IF(ISBLANK($C77),"",IF(O77=Constants!$B$2, TRUE(), IF(O77=Constants!$B$3, FALSE(), TRUE())))</f>
        <v/>
      </c>
      <c r="AC77" s="99" t="str">
        <f aca="false">IF(ISBLANK($C77),"",IF(P77=Constants!$B$2, TRUE(), IF(P77=Constants!$B$3, FALSE(), FALSE())))</f>
        <v/>
      </c>
      <c r="AD77" s="99" t="str">
        <f aca="false">IF(ISBLANK($C77),"",AND(V77&lt;&gt;"",IF(U77=Constants!$B$19,S77,R77)))</f>
        <v/>
      </c>
      <c r="AE77" s="99" t="str">
        <f aca="false">IF(ISBLANK($C77),"",AND(Z77&lt;&gt;"",IF(Y77=Constants!$B$19,S77,R77)))</f>
        <v/>
      </c>
      <c r="AF77" s="99" t="str">
        <f aca="false">IF(ISBLANK($C77),"",IF(AC77,Constants!$B$4,IF(COUNTA(E77:O77)=0,Constants!$B$5,IF(AND(NOT(AD77),NOT(AE77)),Constants!$B$6,Constants!$B$7))))</f>
        <v/>
      </c>
      <c r="AG77" s="99" t="str">
        <f aca="false">IF(ISBLANK($C77),"",IF($AF77&lt;&gt;Constants!$B$7,$AF77,Constants!$B$20))</f>
        <v/>
      </c>
      <c r="AH77" s="99" t="str">
        <f aca="false">IF($AF77=Constants!$B$7,IF(AD77,V77,Constants!$B$13),"")</f>
        <v/>
      </c>
      <c r="AI77" s="99" t="str">
        <f aca="false">IF($AF77=Constants!$B$7,IF(AD77,T77*IF(W77, 1, Constants!$B$11)*IF(X77, 1, Constants!$B$12),Constants!$B$13),"")</f>
        <v/>
      </c>
      <c r="AJ77" s="99" t="str">
        <f aca="false">IF($AF77=Constants!$B$7,AH77*AI77,"")</f>
        <v/>
      </c>
      <c r="AK77" s="99" t="str">
        <f aca="false">IF($AF77=Constants!$B$7,IF(AE77,Z77,Constants!$B$13),"")</f>
        <v/>
      </c>
      <c r="AL77" s="99" t="str">
        <f aca="false">IF($AF77=Constants!$B$7,IF(AE77,T77*IF(AA77, 1, Constants!$B$11)*IF(AB77, 1, Constants!$B$12),Constants!$B$13),"")</f>
        <v/>
      </c>
      <c r="AM77" s="99" t="str">
        <f aca="false">IF($AF77=Constants!$B$7,AK77*AL77,"")</f>
        <v/>
      </c>
      <c r="AN77" s="99" t="str">
        <f aca="false">IF($AF77=Constants!$B$7,IF(AM77&gt;AJ77,2,1),"")</f>
        <v/>
      </c>
      <c r="AO77" s="99" t="str">
        <f aca="false">IF($AF77=Constants!$B$7,IF(AN77=1,2,1),"")</f>
        <v/>
      </c>
      <c r="AP77" s="99" t="str">
        <f aca="false">IF(ISBLANK($C77),"",IF($AF77&lt;&gt;Constants!$B$7,$AF77,IF(AN77=1,AJ77,AM77)))</f>
        <v/>
      </c>
      <c r="AQ77" s="99" t="str">
        <f aca="false">IF(ISBLANK($C77),"",IF($AF77=Constants!$B$7,IF(ISNUMBER(AP77),RANK(AP77,$AP$8:$AP$507),Constants!$B$14),$AF77))</f>
        <v/>
      </c>
      <c r="AR77" s="99" t="str">
        <f aca="false">IF(ISBLANK($C77),"",IF($AF77=Constants!$B$7,IF(AO77=1,AJ77,AM77),""))</f>
        <v/>
      </c>
      <c r="AS77" s="99" t="str">
        <f aca="false">IF(ISBLANK($C77),"",IF($AF77=Constants!$B$7,RANK(AR77,$AR$8:$AR$507),$AF77))</f>
        <v/>
      </c>
      <c r="AT77" s="99" t="str">
        <f aca="false">IF(ISBLANK($C77),"",IF($AF77=Constants!$B$7,IF(ISNUMBER(AQ77),COUNTIFS($AQ$8:$AQ$507,"&lt;"&amp;$AQ77)+COUNTIFS($AQ$8:$AQ$507,$AQ77,$AS$8:$AS$507,"&lt;"&amp;$AS77)+1,Constants!$B$14),$AF77))</f>
        <v/>
      </c>
      <c r="AU77" s="99" t="str">
        <f aca="false">IF(ISBLANK($C77),"",IF($AF77=Constants!$B$7,IF(ISNUMBER(AQ77),AQ77-AT77,Constants!$B$14),$AF77))</f>
        <v/>
      </c>
      <c r="AV77" s="100"/>
      <c r="AW77" s="101" t="str">
        <f aca="false">IF(ISBLANK($C77),"",IF($AF77&lt;&gt;Constants!$B$7,"",AN77))</f>
        <v/>
      </c>
      <c r="AX77" s="102" t="str">
        <f aca="false">IF(ISBLANK($C77),"",IF($AF77&lt;&gt;Constants!$B$7,"",IF(AN77=1,AH77,AK77)))</f>
        <v/>
      </c>
      <c r="AY77" s="103" t="str">
        <f aca="false">IF(ISBLANK($C77),"",IF($AF77&lt;&gt;Constants!$B$7,"",IF(AN77=1,AI77,AL77)))</f>
        <v/>
      </c>
      <c r="AZ77" s="104" t="str">
        <f aca="false">IF(ISBLANK($C77),"",IF($AF77&lt;&gt;Constants!$B$7,$AF77,AP77))</f>
        <v/>
      </c>
      <c r="BA77" s="105" t="str">
        <f aca="false">IF(ISBLANK($C77),"",IF($AF77&lt;&gt;Constants!$B$7,$AF77,AG77))</f>
        <v/>
      </c>
      <c r="BB77" s="106" t="str">
        <f aca="false">IF(ISBLANK($C77),"",AU77)</f>
        <v/>
      </c>
      <c r="BC77" s="106" t="str">
        <f aca="false">IF(ISBLANK($C77),"",AT77)</f>
        <v/>
      </c>
      <c r="BD77" s="107" t="str">
        <f aca="false">IF(ISBLANK($C77),"",IFERROR(_xlfn.SWITCH(BC77,Constants!$B$4,COUNTA($C$8:$C$507)+2,Constants!$B$5,COUNTA($C$8:$C$507)+1,Constants!$B$6,COUNTA($C$8:$C$507)),BC77))</f>
        <v/>
      </c>
      <c r="BE77" s="5"/>
      <c r="BF77" s="108" t="n">
        <f aca="false">IF(OR(ISNUMBER(BC77),BC77=Constants!$B$4,BC77=Constants!$B$6,BC77=Constants!$B$5),1,0)</f>
        <v>0</v>
      </c>
      <c r="BG77" s="108" t="n">
        <v>70</v>
      </c>
      <c r="BH77" s="108" t="str">
        <f aca="false">IF(ISBLANK($C77),"",IF(ISNUMBER(BD77),BD77+ROW($B77)/1000,""))</f>
        <v/>
      </c>
      <c r="BI77" s="108" t="str">
        <f aca="false">IF(ISNUMBER(BH77),RANK(BH77,$BH$8:$BH$507,1),"")</f>
        <v/>
      </c>
      <c r="BJ77" s="108" t="str">
        <f aca="false">IF(ISBLANK($C77),"",$B77)</f>
        <v/>
      </c>
      <c r="BK77" s="108" t="str">
        <f aca="false">IF(ISBLANK($C77),"",$C77)</f>
        <v/>
      </c>
      <c r="BL77" s="108" t="str">
        <f aca="false">IF(ISBLANK($C77),"",$D77)</f>
        <v/>
      </c>
      <c r="BM77" s="109" t="str">
        <f aca="false">BA77</f>
        <v/>
      </c>
      <c r="BN77" s="110" t="str">
        <f aca="false">AZ77</f>
        <v/>
      </c>
      <c r="BO77" s="108" t="str">
        <f aca="false">IF(ISBLANK($C77),"",BC77)</f>
        <v/>
      </c>
      <c r="BP77" s="111" t="str">
        <f aca="false">IF($BG77&gt;$BF$7,"",VLOOKUP($BG77,$BI$8:$BO$507,7,FALSE()))</f>
        <v/>
      </c>
      <c r="BQ77" s="112" t="str">
        <f aca="false">IF($BG77&gt;$BF$7,"",VLOOKUP($BG77,$BI$8:$BO$507,2,FALSE()))</f>
        <v/>
      </c>
      <c r="BR77" s="112" t="str">
        <f aca="false">IF($BG77&gt;$BF$7,"",VLOOKUP($BG77,$BI$8:$BO$507,3,FALSE()))</f>
        <v/>
      </c>
      <c r="BS77" s="112" t="str">
        <f aca="false">IF($BG77&gt;$BF$7,"",VLOOKUP($BG77,$BI$8:$BO$507,4,FALSE()))</f>
        <v/>
      </c>
      <c r="BT77" s="112" t="str">
        <f aca="false">IF($BG77&gt;$BF$7,"",VLOOKUP($BG77,$BI$8:$BO$507,5,FALSE()))</f>
        <v/>
      </c>
      <c r="BU77" s="113" t="str">
        <f aca="false">IF($BG77&gt;$BF$7,"",VLOOKUP($BG77,$BI$8:$BO$507,6,FALSE()))</f>
        <v/>
      </c>
      <c r="BV77" s="54"/>
    </row>
    <row r="78" customFormat="false" ht="15.75" hidden="false" customHeight="false" outlineLevel="0" collapsed="false">
      <c r="A78" s="5"/>
      <c r="B78" s="128"/>
      <c r="C78" s="129"/>
      <c r="D78" s="114"/>
      <c r="E78" s="134"/>
      <c r="F78" s="139"/>
      <c r="G78" s="93"/>
      <c r="H78" s="140"/>
      <c r="I78" s="95"/>
      <c r="J78" s="95"/>
      <c r="K78" s="93"/>
      <c r="L78" s="141"/>
      <c r="M78" s="95"/>
      <c r="N78" s="95"/>
      <c r="O78" s="93"/>
      <c r="P78" s="134"/>
      <c r="Q78" s="98"/>
      <c r="R78" s="99" t="str">
        <f aca="false">IF(ISBLANK($C78),"",IF(E78=Constants!$B$2, TRUE(), IF(E78=Constants!$B$3, FALSE(), TRUE())))</f>
        <v/>
      </c>
      <c r="S78" s="99" t="str">
        <f aca="false">IF(ISBLANK($C78),"",IF(F78=Constants!$B$2, TRUE(), IF(F78=Constants!$B$3, FALSE(), TRUE())))</f>
        <v/>
      </c>
      <c r="T78" s="99" t="str">
        <f aca="false">IF(ISBLANK($C78),"",IF(G78=Constants!$B$16,Constants!$B$9,IF(G78=Constants!$B$17,Constants!$B$10,Constants!$B$8)))</f>
        <v/>
      </c>
      <c r="U78" s="99" t="str">
        <f aca="false">IF(ISBLANK($C78),"",IF(H78=Constants!$B$19,Constants!$B$19,Constants!$B$18))</f>
        <v/>
      </c>
      <c r="V78" s="99" t="str">
        <f aca="false">IF(ISBLANK($C78),"",IF(ISNUMBER(I78),IF(I78&gt;=0,I78,""),""))</f>
        <v/>
      </c>
      <c r="W78" s="99" t="str">
        <f aca="false">IF(ISBLANK($C78),"",IF(J78=Constants!$B$2, TRUE(), IF(J78=Constants!$B$3, FALSE(), TRUE())))</f>
        <v/>
      </c>
      <c r="X78" s="99" t="str">
        <f aca="false">IF(ISBLANK($C78),"",IF(K78=Constants!$B$2, TRUE(), IF(K78=Constants!$B$3, FALSE(), TRUE())))</f>
        <v/>
      </c>
      <c r="Y78" s="99" t="str">
        <f aca="false">IF(ISBLANK($C78),"",IF(L78=Constants!$B$19,Constants!$B$19,Constants!$B$18))</f>
        <v/>
      </c>
      <c r="Z78" s="99" t="str">
        <f aca="false">IF(ISBLANK($C78),"",IF(ISNUMBER(M78),IF(M78&gt;=0,M78,""),""))</f>
        <v/>
      </c>
      <c r="AA78" s="99" t="str">
        <f aca="false">IF(ISBLANK($C78),"",IF(N78=Constants!$B$2, TRUE(), IF(N78=Constants!$B$3, FALSE(), TRUE())))</f>
        <v/>
      </c>
      <c r="AB78" s="99" t="str">
        <f aca="false">IF(ISBLANK($C78),"",IF(O78=Constants!$B$2, TRUE(), IF(O78=Constants!$B$3, FALSE(), TRUE())))</f>
        <v/>
      </c>
      <c r="AC78" s="99" t="str">
        <f aca="false">IF(ISBLANK($C78),"",IF(P78=Constants!$B$2, TRUE(), IF(P78=Constants!$B$3, FALSE(), FALSE())))</f>
        <v/>
      </c>
      <c r="AD78" s="99" t="str">
        <f aca="false">IF(ISBLANK($C78),"",AND(V78&lt;&gt;"",IF(U78=Constants!$B$19,S78,R78)))</f>
        <v/>
      </c>
      <c r="AE78" s="99" t="str">
        <f aca="false">IF(ISBLANK($C78),"",AND(Z78&lt;&gt;"",IF(Y78=Constants!$B$19,S78,R78)))</f>
        <v/>
      </c>
      <c r="AF78" s="99" t="str">
        <f aca="false">IF(ISBLANK($C78),"",IF(AC78,Constants!$B$4,IF(COUNTA(E78:O78)=0,Constants!$B$5,IF(AND(NOT(AD78),NOT(AE78)),Constants!$B$6,Constants!$B$7))))</f>
        <v/>
      </c>
      <c r="AG78" s="99" t="str">
        <f aca="false">IF(ISBLANK($C78),"",IF($AF78&lt;&gt;Constants!$B$7,$AF78,Constants!$B$20))</f>
        <v/>
      </c>
      <c r="AH78" s="99" t="str">
        <f aca="false">IF($AF78=Constants!$B$7,IF(AD78,V78,Constants!$B$13),"")</f>
        <v/>
      </c>
      <c r="AI78" s="99" t="str">
        <f aca="false">IF($AF78=Constants!$B$7,IF(AD78,T78*IF(W78, 1, Constants!$B$11)*IF(X78, 1, Constants!$B$12),Constants!$B$13),"")</f>
        <v/>
      </c>
      <c r="AJ78" s="99" t="str">
        <f aca="false">IF($AF78=Constants!$B$7,AH78*AI78,"")</f>
        <v/>
      </c>
      <c r="AK78" s="99" t="str">
        <f aca="false">IF($AF78=Constants!$B$7,IF(AE78,Z78,Constants!$B$13),"")</f>
        <v/>
      </c>
      <c r="AL78" s="99" t="str">
        <f aca="false">IF($AF78=Constants!$B$7,IF(AE78,T78*IF(AA78, 1, Constants!$B$11)*IF(AB78, 1, Constants!$B$12),Constants!$B$13),"")</f>
        <v/>
      </c>
      <c r="AM78" s="99" t="str">
        <f aca="false">IF($AF78=Constants!$B$7,AK78*AL78,"")</f>
        <v/>
      </c>
      <c r="AN78" s="99" t="str">
        <f aca="false">IF($AF78=Constants!$B$7,IF(AM78&gt;AJ78,2,1),"")</f>
        <v/>
      </c>
      <c r="AO78" s="99" t="str">
        <f aca="false">IF($AF78=Constants!$B$7,IF(AN78=1,2,1),"")</f>
        <v/>
      </c>
      <c r="AP78" s="99" t="str">
        <f aca="false">IF(ISBLANK($C78),"",IF($AF78&lt;&gt;Constants!$B$7,$AF78,IF(AN78=1,AJ78,AM78)))</f>
        <v/>
      </c>
      <c r="AQ78" s="99" t="str">
        <f aca="false">IF(ISBLANK($C78),"",IF($AF78=Constants!$B$7,IF(ISNUMBER(AP78),RANK(AP78,$AP$8:$AP$507),Constants!$B$14),$AF78))</f>
        <v/>
      </c>
      <c r="AR78" s="99" t="str">
        <f aca="false">IF(ISBLANK($C78),"",IF($AF78=Constants!$B$7,IF(AO78=1,AJ78,AM78),""))</f>
        <v/>
      </c>
      <c r="AS78" s="99" t="str">
        <f aca="false">IF(ISBLANK($C78),"",IF($AF78=Constants!$B$7,RANK(AR78,$AR$8:$AR$507),$AF78))</f>
        <v/>
      </c>
      <c r="AT78" s="99" t="str">
        <f aca="false">IF(ISBLANK($C78),"",IF($AF78=Constants!$B$7,IF(ISNUMBER(AQ78),COUNTIFS($AQ$8:$AQ$507,"&lt;"&amp;$AQ78)+COUNTIFS($AQ$8:$AQ$507,$AQ78,$AS$8:$AS$507,"&lt;"&amp;$AS78)+1,Constants!$B$14),$AF78))</f>
        <v/>
      </c>
      <c r="AU78" s="99" t="str">
        <f aca="false">IF(ISBLANK($C78),"",IF($AF78=Constants!$B$7,IF(ISNUMBER(AQ78),AQ78-AT78,Constants!$B$14),$AF78))</f>
        <v/>
      </c>
      <c r="AV78" s="100"/>
      <c r="AW78" s="101" t="str">
        <f aca="false">IF(ISBLANK($C78),"",IF($AF78&lt;&gt;Constants!$B$7,"",AN78))</f>
        <v/>
      </c>
      <c r="AX78" s="102" t="str">
        <f aca="false">IF(ISBLANK($C78),"",IF($AF78&lt;&gt;Constants!$B$7,"",IF(AN78=1,AH78,AK78)))</f>
        <v/>
      </c>
      <c r="AY78" s="103" t="str">
        <f aca="false">IF(ISBLANK($C78),"",IF($AF78&lt;&gt;Constants!$B$7,"",IF(AN78=1,AI78,AL78)))</f>
        <v/>
      </c>
      <c r="AZ78" s="104" t="str">
        <f aca="false">IF(ISBLANK($C78),"",IF($AF78&lt;&gt;Constants!$B$7,$AF78,AP78))</f>
        <v/>
      </c>
      <c r="BA78" s="105" t="str">
        <f aca="false">IF(ISBLANK($C78),"",IF($AF78&lt;&gt;Constants!$B$7,$AF78,AG78))</f>
        <v/>
      </c>
      <c r="BB78" s="106" t="str">
        <f aca="false">IF(ISBLANK($C78),"",AU78)</f>
        <v/>
      </c>
      <c r="BC78" s="106" t="str">
        <f aca="false">IF(ISBLANK($C78),"",AT78)</f>
        <v/>
      </c>
      <c r="BD78" s="107" t="str">
        <f aca="false">IF(ISBLANK($C78),"",IFERROR(_xlfn.SWITCH(BC78,Constants!$B$4,COUNTA($C$8:$C$507)+2,Constants!$B$5,COUNTA($C$8:$C$507)+1,Constants!$B$6,COUNTA($C$8:$C$507)),BC78))</f>
        <v/>
      </c>
      <c r="BE78" s="5"/>
      <c r="BF78" s="108" t="n">
        <f aca="false">IF(OR(ISNUMBER(BC78),BC78=Constants!$B$4,BC78=Constants!$B$6,BC78=Constants!$B$5),1,0)</f>
        <v>0</v>
      </c>
      <c r="BG78" s="108" t="n">
        <v>71</v>
      </c>
      <c r="BH78" s="108" t="str">
        <f aca="false">IF(ISBLANK($C78),"",IF(ISNUMBER(BD78),BD78+ROW($B78)/1000,""))</f>
        <v/>
      </c>
      <c r="BI78" s="108" t="str">
        <f aca="false">IF(ISNUMBER(BH78),RANK(BH78,$BH$8:$BH$507,1),"")</f>
        <v/>
      </c>
      <c r="BJ78" s="108" t="str">
        <f aca="false">IF(ISBLANK($C78),"",$B78)</f>
        <v/>
      </c>
      <c r="BK78" s="108" t="str">
        <f aca="false">IF(ISBLANK($C78),"",$C78)</f>
        <v/>
      </c>
      <c r="BL78" s="108" t="str">
        <f aca="false">IF(ISBLANK($C78),"",$D78)</f>
        <v/>
      </c>
      <c r="BM78" s="109" t="str">
        <f aca="false">BA78</f>
        <v/>
      </c>
      <c r="BN78" s="110" t="str">
        <f aca="false">AZ78</f>
        <v/>
      </c>
      <c r="BO78" s="108" t="str">
        <f aca="false">IF(ISBLANK($C78),"",BC78)</f>
        <v/>
      </c>
      <c r="BP78" s="111" t="str">
        <f aca="false">IF($BG78&gt;$BF$7,"",VLOOKUP($BG78,$BI$8:$BO$507,7,FALSE()))</f>
        <v/>
      </c>
      <c r="BQ78" s="112" t="str">
        <f aca="false">IF($BG78&gt;$BF$7,"",VLOOKUP($BG78,$BI$8:$BO$507,2,FALSE()))</f>
        <v/>
      </c>
      <c r="BR78" s="112" t="str">
        <f aca="false">IF($BG78&gt;$BF$7,"",VLOOKUP($BG78,$BI$8:$BO$507,3,FALSE()))</f>
        <v/>
      </c>
      <c r="BS78" s="112" t="str">
        <f aca="false">IF($BG78&gt;$BF$7,"",VLOOKUP($BG78,$BI$8:$BO$507,4,FALSE()))</f>
        <v/>
      </c>
      <c r="BT78" s="112" t="str">
        <f aca="false">IF($BG78&gt;$BF$7,"",VLOOKUP($BG78,$BI$8:$BO$507,5,FALSE()))</f>
        <v/>
      </c>
      <c r="BU78" s="113" t="str">
        <f aca="false">IF($BG78&gt;$BF$7,"",VLOOKUP($BG78,$BI$8:$BO$507,6,FALSE()))</f>
        <v/>
      </c>
      <c r="BV78" s="54"/>
    </row>
    <row r="79" customFormat="false" ht="15.75" hidden="false" customHeight="false" outlineLevel="0" collapsed="false">
      <c r="A79" s="5"/>
      <c r="B79" s="128"/>
      <c r="C79" s="129"/>
      <c r="D79" s="114"/>
      <c r="E79" s="134"/>
      <c r="F79" s="139"/>
      <c r="G79" s="93"/>
      <c r="H79" s="140"/>
      <c r="I79" s="95"/>
      <c r="J79" s="95"/>
      <c r="K79" s="93"/>
      <c r="L79" s="141"/>
      <c r="M79" s="95"/>
      <c r="N79" s="95"/>
      <c r="O79" s="93"/>
      <c r="P79" s="134"/>
      <c r="Q79" s="98"/>
      <c r="R79" s="99" t="str">
        <f aca="false">IF(ISBLANK($C79),"",IF(E79=Constants!$B$2, TRUE(), IF(E79=Constants!$B$3, FALSE(), TRUE())))</f>
        <v/>
      </c>
      <c r="S79" s="99" t="str">
        <f aca="false">IF(ISBLANK($C79),"",IF(F79=Constants!$B$2, TRUE(), IF(F79=Constants!$B$3, FALSE(), TRUE())))</f>
        <v/>
      </c>
      <c r="T79" s="99" t="str">
        <f aca="false">IF(ISBLANK($C79),"",IF(G79=Constants!$B$16,Constants!$B$9,IF(G79=Constants!$B$17,Constants!$B$10,Constants!$B$8)))</f>
        <v/>
      </c>
      <c r="U79" s="99" t="str">
        <f aca="false">IF(ISBLANK($C79),"",IF(H79=Constants!$B$19,Constants!$B$19,Constants!$B$18))</f>
        <v/>
      </c>
      <c r="V79" s="99" t="str">
        <f aca="false">IF(ISBLANK($C79),"",IF(ISNUMBER(I79),IF(I79&gt;=0,I79,""),""))</f>
        <v/>
      </c>
      <c r="W79" s="99" t="str">
        <f aca="false">IF(ISBLANK($C79),"",IF(J79=Constants!$B$2, TRUE(), IF(J79=Constants!$B$3, FALSE(), TRUE())))</f>
        <v/>
      </c>
      <c r="X79" s="99" t="str">
        <f aca="false">IF(ISBLANK($C79),"",IF(K79=Constants!$B$2, TRUE(), IF(K79=Constants!$B$3, FALSE(), TRUE())))</f>
        <v/>
      </c>
      <c r="Y79" s="99" t="str">
        <f aca="false">IF(ISBLANK($C79),"",IF(L79=Constants!$B$19,Constants!$B$19,Constants!$B$18))</f>
        <v/>
      </c>
      <c r="Z79" s="99" t="str">
        <f aca="false">IF(ISBLANK($C79),"",IF(ISNUMBER(M79),IF(M79&gt;=0,M79,""),""))</f>
        <v/>
      </c>
      <c r="AA79" s="99" t="str">
        <f aca="false">IF(ISBLANK($C79),"",IF(N79=Constants!$B$2, TRUE(), IF(N79=Constants!$B$3, FALSE(), TRUE())))</f>
        <v/>
      </c>
      <c r="AB79" s="99" t="str">
        <f aca="false">IF(ISBLANK($C79),"",IF(O79=Constants!$B$2, TRUE(), IF(O79=Constants!$B$3, FALSE(), TRUE())))</f>
        <v/>
      </c>
      <c r="AC79" s="99" t="str">
        <f aca="false">IF(ISBLANK($C79),"",IF(P79=Constants!$B$2, TRUE(), IF(P79=Constants!$B$3, FALSE(), FALSE())))</f>
        <v/>
      </c>
      <c r="AD79" s="99" t="str">
        <f aca="false">IF(ISBLANK($C79),"",AND(V79&lt;&gt;"",IF(U79=Constants!$B$19,S79,R79)))</f>
        <v/>
      </c>
      <c r="AE79" s="99" t="str">
        <f aca="false">IF(ISBLANK($C79),"",AND(Z79&lt;&gt;"",IF(Y79=Constants!$B$19,S79,R79)))</f>
        <v/>
      </c>
      <c r="AF79" s="99" t="str">
        <f aca="false">IF(ISBLANK($C79),"",IF(AC79,Constants!$B$4,IF(COUNTA(E79:O79)=0,Constants!$B$5,IF(AND(NOT(AD79),NOT(AE79)),Constants!$B$6,Constants!$B$7))))</f>
        <v/>
      </c>
      <c r="AG79" s="99" t="str">
        <f aca="false">IF(ISBLANK($C79),"",IF($AF79&lt;&gt;Constants!$B$7,$AF79,Constants!$B$20))</f>
        <v/>
      </c>
      <c r="AH79" s="99" t="str">
        <f aca="false">IF($AF79=Constants!$B$7,IF(AD79,V79,Constants!$B$13),"")</f>
        <v/>
      </c>
      <c r="AI79" s="99" t="str">
        <f aca="false">IF($AF79=Constants!$B$7,IF(AD79,T79*IF(W79, 1, Constants!$B$11)*IF(X79, 1, Constants!$B$12),Constants!$B$13),"")</f>
        <v/>
      </c>
      <c r="AJ79" s="99" t="str">
        <f aca="false">IF($AF79=Constants!$B$7,AH79*AI79,"")</f>
        <v/>
      </c>
      <c r="AK79" s="99" t="str">
        <f aca="false">IF($AF79=Constants!$B$7,IF(AE79,Z79,Constants!$B$13),"")</f>
        <v/>
      </c>
      <c r="AL79" s="99" t="str">
        <f aca="false">IF($AF79=Constants!$B$7,IF(AE79,T79*IF(AA79, 1, Constants!$B$11)*IF(AB79, 1, Constants!$B$12),Constants!$B$13),"")</f>
        <v/>
      </c>
      <c r="AM79" s="99" t="str">
        <f aca="false">IF($AF79=Constants!$B$7,AK79*AL79,"")</f>
        <v/>
      </c>
      <c r="AN79" s="99" t="str">
        <f aca="false">IF($AF79=Constants!$B$7,IF(AM79&gt;AJ79,2,1),"")</f>
        <v/>
      </c>
      <c r="AO79" s="99" t="str">
        <f aca="false">IF($AF79=Constants!$B$7,IF(AN79=1,2,1),"")</f>
        <v/>
      </c>
      <c r="AP79" s="99" t="str">
        <f aca="false">IF(ISBLANK($C79),"",IF($AF79&lt;&gt;Constants!$B$7,$AF79,IF(AN79=1,AJ79,AM79)))</f>
        <v/>
      </c>
      <c r="AQ79" s="99" t="str">
        <f aca="false">IF(ISBLANK($C79),"",IF($AF79=Constants!$B$7,IF(ISNUMBER(AP79),RANK(AP79,$AP$8:$AP$507),Constants!$B$14),$AF79))</f>
        <v/>
      </c>
      <c r="AR79" s="99" t="str">
        <f aca="false">IF(ISBLANK($C79),"",IF($AF79=Constants!$B$7,IF(AO79=1,AJ79,AM79),""))</f>
        <v/>
      </c>
      <c r="AS79" s="99" t="str">
        <f aca="false">IF(ISBLANK($C79),"",IF($AF79=Constants!$B$7,RANK(AR79,$AR$8:$AR$507),$AF79))</f>
        <v/>
      </c>
      <c r="AT79" s="99" t="str">
        <f aca="false">IF(ISBLANK($C79),"",IF($AF79=Constants!$B$7,IF(ISNUMBER(AQ79),COUNTIFS($AQ$8:$AQ$507,"&lt;"&amp;$AQ79)+COUNTIFS($AQ$8:$AQ$507,$AQ79,$AS$8:$AS$507,"&lt;"&amp;$AS79)+1,Constants!$B$14),$AF79))</f>
        <v/>
      </c>
      <c r="AU79" s="99" t="str">
        <f aca="false">IF(ISBLANK($C79),"",IF($AF79=Constants!$B$7,IF(ISNUMBER(AQ79),AQ79-AT79,Constants!$B$14),$AF79))</f>
        <v/>
      </c>
      <c r="AV79" s="100"/>
      <c r="AW79" s="101" t="str">
        <f aca="false">IF(ISBLANK($C79),"",IF($AF79&lt;&gt;Constants!$B$7,"",AN79))</f>
        <v/>
      </c>
      <c r="AX79" s="102" t="str">
        <f aca="false">IF(ISBLANK($C79),"",IF($AF79&lt;&gt;Constants!$B$7,"",IF(AN79=1,AH79,AK79)))</f>
        <v/>
      </c>
      <c r="AY79" s="103" t="str">
        <f aca="false">IF(ISBLANK($C79),"",IF($AF79&lt;&gt;Constants!$B$7,"",IF(AN79=1,AI79,AL79)))</f>
        <v/>
      </c>
      <c r="AZ79" s="104" t="str">
        <f aca="false">IF(ISBLANK($C79),"",IF($AF79&lt;&gt;Constants!$B$7,$AF79,AP79))</f>
        <v/>
      </c>
      <c r="BA79" s="105" t="str">
        <f aca="false">IF(ISBLANK($C79),"",IF($AF79&lt;&gt;Constants!$B$7,$AF79,AG79))</f>
        <v/>
      </c>
      <c r="BB79" s="106" t="str">
        <f aca="false">IF(ISBLANK($C79),"",AU79)</f>
        <v/>
      </c>
      <c r="BC79" s="106" t="str">
        <f aca="false">IF(ISBLANK($C79),"",AT79)</f>
        <v/>
      </c>
      <c r="BD79" s="107" t="str">
        <f aca="false">IF(ISBLANK($C79),"",IFERROR(_xlfn.SWITCH(BC79,Constants!$B$4,COUNTA($C$8:$C$507)+2,Constants!$B$5,COUNTA($C$8:$C$507)+1,Constants!$B$6,COUNTA($C$8:$C$507)),BC79))</f>
        <v/>
      </c>
      <c r="BE79" s="5"/>
      <c r="BF79" s="108" t="n">
        <f aca="false">IF(OR(ISNUMBER(BC79),BC79=Constants!$B$4,BC79=Constants!$B$6,BC79=Constants!$B$5),1,0)</f>
        <v>0</v>
      </c>
      <c r="BG79" s="108" t="n">
        <v>72</v>
      </c>
      <c r="BH79" s="108" t="str">
        <f aca="false">IF(ISBLANK($C79),"",IF(ISNUMBER(BD79),BD79+ROW($B79)/1000,""))</f>
        <v/>
      </c>
      <c r="BI79" s="108" t="str">
        <f aca="false">IF(ISNUMBER(BH79),RANK(BH79,$BH$8:$BH$507,1),"")</f>
        <v/>
      </c>
      <c r="BJ79" s="108" t="str">
        <f aca="false">IF(ISBLANK($C79),"",$B79)</f>
        <v/>
      </c>
      <c r="BK79" s="108" t="str">
        <f aca="false">IF(ISBLANK($C79),"",$C79)</f>
        <v/>
      </c>
      <c r="BL79" s="108" t="str">
        <f aca="false">IF(ISBLANK($C79),"",$D79)</f>
        <v/>
      </c>
      <c r="BM79" s="109" t="str">
        <f aca="false">BA79</f>
        <v/>
      </c>
      <c r="BN79" s="110" t="str">
        <f aca="false">AZ79</f>
        <v/>
      </c>
      <c r="BO79" s="108" t="str">
        <f aca="false">IF(ISBLANK($C79),"",BC79)</f>
        <v/>
      </c>
      <c r="BP79" s="111" t="str">
        <f aca="false">IF($BG79&gt;$BF$7,"",VLOOKUP($BG79,$BI$8:$BO$507,7,FALSE()))</f>
        <v/>
      </c>
      <c r="BQ79" s="112" t="str">
        <f aca="false">IF($BG79&gt;$BF$7,"",VLOOKUP($BG79,$BI$8:$BO$507,2,FALSE()))</f>
        <v/>
      </c>
      <c r="BR79" s="112" t="str">
        <f aca="false">IF($BG79&gt;$BF$7,"",VLOOKUP($BG79,$BI$8:$BO$507,3,FALSE()))</f>
        <v/>
      </c>
      <c r="BS79" s="112" t="str">
        <f aca="false">IF($BG79&gt;$BF$7,"",VLOOKUP($BG79,$BI$8:$BO$507,4,FALSE()))</f>
        <v/>
      </c>
      <c r="BT79" s="112" t="str">
        <f aca="false">IF($BG79&gt;$BF$7,"",VLOOKUP($BG79,$BI$8:$BO$507,5,FALSE()))</f>
        <v/>
      </c>
      <c r="BU79" s="113" t="str">
        <f aca="false">IF($BG79&gt;$BF$7,"",VLOOKUP($BG79,$BI$8:$BO$507,6,FALSE()))</f>
        <v/>
      </c>
      <c r="BV79" s="54"/>
    </row>
    <row r="80" customFormat="false" ht="15.75" hidden="false" customHeight="false" outlineLevel="0" collapsed="false">
      <c r="A80" s="5"/>
      <c r="B80" s="135"/>
      <c r="C80" s="56"/>
      <c r="D80" s="57"/>
      <c r="E80" s="84"/>
      <c r="F80" s="136"/>
      <c r="G80" s="60"/>
      <c r="H80" s="137"/>
      <c r="I80" s="62"/>
      <c r="J80" s="62"/>
      <c r="K80" s="60"/>
      <c r="L80" s="138"/>
      <c r="M80" s="62"/>
      <c r="N80" s="62"/>
      <c r="O80" s="60"/>
      <c r="P80" s="84"/>
      <c r="Q80" s="65"/>
      <c r="R80" s="67" t="str">
        <f aca="false">IF(ISBLANK($C80),"",IF(E80=Constants!$B$2, TRUE(), IF(E80=Constants!$B$3, FALSE(), TRUE())))</f>
        <v/>
      </c>
      <c r="S80" s="67" t="str">
        <f aca="false">IF(ISBLANK($C80),"",IF(F80=Constants!$B$2, TRUE(), IF(F80=Constants!$B$3, FALSE(), TRUE())))</f>
        <v/>
      </c>
      <c r="T80" s="67" t="str">
        <f aca="false">IF(ISBLANK($C80),"",IF(G80=Constants!$B$16,Constants!$B$9,IF(G80=Constants!$B$17,Constants!$B$10,Constants!$B$8)))</f>
        <v/>
      </c>
      <c r="U80" s="67" t="str">
        <f aca="false">IF(ISBLANK($C80),"",IF(H80=Constants!$B$19,Constants!$B$19,Constants!$B$18))</f>
        <v/>
      </c>
      <c r="V80" s="67" t="str">
        <f aca="false">IF(ISBLANK($C80),"",IF(ISNUMBER(I80),IF(I80&gt;=0,I80,""),""))</f>
        <v/>
      </c>
      <c r="W80" s="67" t="str">
        <f aca="false">IF(ISBLANK($C80),"",IF(J80=Constants!$B$2, TRUE(), IF(J80=Constants!$B$3, FALSE(), TRUE())))</f>
        <v/>
      </c>
      <c r="X80" s="67" t="str">
        <f aca="false">IF(ISBLANK($C80),"",IF(K80=Constants!$B$2, TRUE(), IF(K80=Constants!$B$3, FALSE(), TRUE())))</f>
        <v/>
      </c>
      <c r="Y80" s="67" t="str">
        <f aca="false">IF(ISBLANK($C80),"",IF(L80=Constants!$B$19,Constants!$B$19,Constants!$B$18))</f>
        <v/>
      </c>
      <c r="Z80" s="67" t="str">
        <f aca="false">IF(ISBLANK($C80),"",IF(ISNUMBER(M80),IF(M80&gt;=0,M80,""),""))</f>
        <v/>
      </c>
      <c r="AA80" s="67" t="str">
        <f aca="false">IF(ISBLANK($C80),"",IF(N80=Constants!$B$2, TRUE(), IF(N80=Constants!$B$3, FALSE(), TRUE())))</f>
        <v/>
      </c>
      <c r="AB80" s="67" t="str">
        <f aca="false">IF(ISBLANK($C80),"",IF(O80=Constants!$B$2, TRUE(), IF(O80=Constants!$B$3, FALSE(), TRUE())))</f>
        <v/>
      </c>
      <c r="AC80" s="67" t="str">
        <f aca="false">IF(ISBLANK($C80),"",IF(P80=Constants!$B$2, TRUE(), IF(P80=Constants!$B$3, FALSE(), FALSE())))</f>
        <v/>
      </c>
      <c r="AD80" s="67" t="str">
        <f aca="false">IF(ISBLANK($C80),"",AND(V80&lt;&gt;"",IF(U80=Constants!$B$19,S80,R80)))</f>
        <v/>
      </c>
      <c r="AE80" s="67" t="str">
        <f aca="false">IF(ISBLANK($C80),"",AND(Z80&lt;&gt;"",IF(Y80=Constants!$B$19,S80,R80)))</f>
        <v/>
      </c>
      <c r="AF80" s="67" t="str">
        <f aca="false">IF(ISBLANK($C80),"",IF(AC80,Constants!$B$4,IF(COUNTA(E80:O80)=0,Constants!$B$5,IF(AND(NOT(AD80),NOT(AE80)),Constants!$B$6,Constants!$B$7))))</f>
        <v/>
      </c>
      <c r="AG80" s="67" t="str">
        <f aca="false">IF(ISBLANK($C80),"",IF($AF80&lt;&gt;Constants!$B$7,$AF80,Constants!$B$20))</f>
        <v/>
      </c>
      <c r="AH80" s="67" t="str">
        <f aca="false">IF($AF80=Constants!$B$7,IF(AD80,V80,Constants!$B$13),"")</f>
        <v/>
      </c>
      <c r="AI80" s="67" t="str">
        <f aca="false">IF($AF80=Constants!$B$7,IF(AD80,T80*IF(W80, 1, Constants!$B$11)*IF(X80, 1, Constants!$B$12),Constants!$B$13),"")</f>
        <v/>
      </c>
      <c r="AJ80" s="67" t="str">
        <f aca="false">IF($AF80=Constants!$B$7,AH80*AI80,"")</f>
        <v/>
      </c>
      <c r="AK80" s="67" t="str">
        <f aca="false">IF($AF80=Constants!$B$7,IF(AE80,Z80,Constants!$B$13),"")</f>
        <v/>
      </c>
      <c r="AL80" s="67" t="str">
        <f aca="false">IF($AF80=Constants!$B$7,IF(AE80,T80*IF(AA80, 1, Constants!$B$11)*IF(AB80, 1, Constants!$B$12),Constants!$B$13),"")</f>
        <v/>
      </c>
      <c r="AM80" s="67" t="str">
        <f aca="false">IF($AF80=Constants!$B$7,AK80*AL80,"")</f>
        <v/>
      </c>
      <c r="AN80" s="67" t="str">
        <f aca="false">IF($AF80=Constants!$B$7,IF(AM80&gt;AJ80,2,1),"")</f>
        <v/>
      </c>
      <c r="AO80" s="67" t="str">
        <f aca="false">IF($AF80=Constants!$B$7,IF(AN80=1,2,1),"")</f>
        <v/>
      </c>
      <c r="AP80" s="67" t="str">
        <f aca="false">IF(ISBLANK($C80),"",IF($AF80&lt;&gt;Constants!$B$7,$AF80,IF(AN80=1,AJ80,AM80)))</f>
        <v/>
      </c>
      <c r="AQ80" s="67" t="str">
        <f aca="false">IF(ISBLANK($C80),"",IF($AF80=Constants!$B$7,IF(ISNUMBER(AP80),RANK(AP80,$AP$8:$AP$507),Constants!$B$14),$AF80))</f>
        <v/>
      </c>
      <c r="AR80" s="67" t="str">
        <f aca="false">IF(ISBLANK($C80),"",IF($AF80=Constants!$B$7,IF(AO80=1,AJ80,AM80),""))</f>
        <v/>
      </c>
      <c r="AS80" s="67" t="str">
        <f aca="false">IF(ISBLANK($C80),"",IF($AF80=Constants!$B$7,RANK(AR80,$AR$8:$AR$507),$AF80))</f>
        <v/>
      </c>
      <c r="AT80" s="67" t="str">
        <f aca="false">IF(ISBLANK($C80),"",IF($AF80=Constants!$B$7,IF(ISNUMBER(AQ80),COUNTIFS($AQ$8:$AQ$507,"&lt;"&amp;$AQ80)+COUNTIFS($AQ$8:$AQ$507,$AQ80,$AS$8:$AS$507,"&lt;"&amp;$AS80)+1,Constants!$B$14),$AF80))</f>
        <v/>
      </c>
      <c r="AU80" s="67" t="str">
        <f aca="false">IF(ISBLANK($C80),"",IF($AF80=Constants!$B$7,IF(ISNUMBER(AQ80),AQ80-AT80,Constants!$B$14),$AF80))</f>
        <v/>
      </c>
      <c r="AV80" s="69"/>
      <c r="AW80" s="70" t="str">
        <f aca="false">IF(ISBLANK($C80),"",IF($AF80&lt;&gt;Constants!$B$7,"",AN80))</f>
        <v/>
      </c>
      <c r="AX80" s="85" t="str">
        <f aca="false">IF(ISBLANK($C80),"",IF($AF80&lt;&gt;Constants!$B$7,"",IF(AN80=1,AH80,AK80)))</f>
        <v/>
      </c>
      <c r="AY80" s="72" t="str">
        <f aca="false">IF(ISBLANK($C80),"",IF($AF80&lt;&gt;Constants!$B$7,"",IF(AN80=1,AI80,AL80)))</f>
        <v/>
      </c>
      <c r="AZ80" s="73" t="str">
        <f aca="false">IF(ISBLANK($C80),"",IF($AF80&lt;&gt;Constants!$B$7,$AF80,AP80))</f>
        <v/>
      </c>
      <c r="BA80" s="74" t="str">
        <f aca="false">IF(ISBLANK($C80),"",IF($AF80&lt;&gt;Constants!$B$7,$AF80,AG80))</f>
        <v/>
      </c>
      <c r="BB80" s="75" t="str">
        <f aca="false">IF(ISBLANK($C80),"",AU80)</f>
        <v/>
      </c>
      <c r="BC80" s="75" t="str">
        <f aca="false">IF(ISBLANK($C80),"",AT80)</f>
        <v/>
      </c>
      <c r="BD80" s="76" t="str">
        <f aca="false">IF(ISBLANK($C80),"",IFERROR(_xlfn.SWITCH(BC80,Constants!$B$4,COUNTA($C$8:$C$507)+2,Constants!$B$5,COUNTA($C$8:$C$507)+1,Constants!$B$6,COUNTA($C$8:$C$507)),BC80))</f>
        <v/>
      </c>
      <c r="BE80" s="5"/>
      <c r="BF80" s="77" t="n">
        <f aca="false">IF(OR(ISNUMBER(BC80),BC80=Constants!$B$4,BC80=Constants!$B$6,BC80=Constants!$B$5),1,0)</f>
        <v>0</v>
      </c>
      <c r="BG80" s="77" t="n">
        <v>73</v>
      </c>
      <c r="BH80" s="77" t="str">
        <f aca="false">IF(ISBLANK($C80),"",IF(ISNUMBER(BD80),BD80+ROW($B80)/1000,""))</f>
        <v/>
      </c>
      <c r="BI80" s="77" t="str">
        <f aca="false">IF(ISNUMBER(BH80),RANK(BH80,$BH$8:$BH$507,1),"")</f>
        <v/>
      </c>
      <c r="BJ80" s="77" t="str">
        <f aca="false">IF(ISBLANK($C80),"",$B80)</f>
        <v/>
      </c>
      <c r="BK80" s="77" t="str">
        <f aca="false">IF(ISBLANK($C80),"",$C80)</f>
        <v/>
      </c>
      <c r="BL80" s="77" t="str">
        <f aca="false">IF(ISBLANK($C80),"",$D80)</f>
        <v/>
      </c>
      <c r="BM80" s="78" t="str">
        <f aca="false">BA80</f>
        <v/>
      </c>
      <c r="BN80" s="79" t="str">
        <f aca="false">AZ80</f>
        <v/>
      </c>
      <c r="BO80" s="77" t="str">
        <f aca="false">IF(ISBLANK($C80),"",BC80)</f>
        <v/>
      </c>
      <c r="BP80" s="80" t="str">
        <f aca="false">IF($BG80&gt;$BF$7,"",VLOOKUP($BG80,$BI$8:$BO$507,7,FALSE()))</f>
        <v/>
      </c>
      <c r="BQ80" s="81" t="str">
        <f aca="false">IF($BG80&gt;$BF$7,"",VLOOKUP($BG80,$BI$8:$BO$507,2,FALSE()))</f>
        <v/>
      </c>
      <c r="BR80" s="81" t="str">
        <f aca="false">IF($BG80&gt;$BF$7,"",VLOOKUP($BG80,$BI$8:$BO$507,3,FALSE()))</f>
        <v/>
      </c>
      <c r="BS80" s="81" t="str">
        <f aca="false">IF($BG80&gt;$BF$7,"",VLOOKUP($BG80,$BI$8:$BO$507,4,FALSE()))</f>
        <v/>
      </c>
      <c r="BT80" s="81" t="str">
        <f aca="false">IF($BG80&gt;$BF$7,"",VLOOKUP($BG80,$BI$8:$BO$507,5,FALSE()))</f>
        <v/>
      </c>
      <c r="BU80" s="82" t="str">
        <f aca="false">IF($BG80&gt;$BF$7,"",VLOOKUP($BG80,$BI$8:$BO$507,6,FALSE()))</f>
        <v/>
      </c>
      <c r="BV80" s="54"/>
    </row>
    <row r="81" customFormat="false" ht="15.75" hidden="false" customHeight="false" outlineLevel="0" collapsed="false">
      <c r="A81" s="5"/>
      <c r="B81" s="135"/>
      <c r="C81" s="56"/>
      <c r="D81" s="57"/>
      <c r="E81" s="84"/>
      <c r="F81" s="136"/>
      <c r="G81" s="60"/>
      <c r="H81" s="137"/>
      <c r="I81" s="62"/>
      <c r="J81" s="62"/>
      <c r="K81" s="60"/>
      <c r="L81" s="138"/>
      <c r="M81" s="62"/>
      <c r="N81" s="62"/>
      <c r="O81" s="60"/>
      <c r="P81" s="84"/>
      <c r="Q81" s="65"/>
      <c r="R81" s="67" t="str">
        <f aca="false">IF(ISBLANK($C81),"",IF(E81=Constants!$B$2, TRUE(), IF(E81=Constants!$B$3, FALSE(), TRUE())))</f>
        <v/>
      </c>
      <c r="S81" s="67" t="str">
        <f aca="false">IF(ISBLANK($C81),"",IF(F81=Constants!$B$2, TRUE(), IF(F81=Constants!$B$3, FALSE(), TRUE())))</f>
        <v/>
      </c>
      <c r="T81" s="67" t="str">
        <f aca="false">IF(ISBLANK($C81),"",IF(G81=Constants!$B$16,Constants!$B$9,IF(G81=Constants!$B$17,Constants!$B$10,Constants!$B$8)))</f>
        <v/>
      </c>
      <c r="U81" s="67" t="str">
        <f aca="false">IF(ISBLANK($C81),"",IF(H81=Constants!$B$19,Constants!$B$19,Constants!$B$18))</f>
        <v/>
      </c>
      <c r="V81" s="67" t="str">
        <f aca="false">IF(ISBLANK($C81),"",IF(ISNUMBER(I81),IF(I81&gt;=0,I81,""),""))</f>
        <v/>
      </c>
      <c r="W81" s="67" t="str">
        <f aca="false">IF(ISBLANK($C81),"",IF(J81=Constants!$B$2, TRUE(), IF(J81=Constants!$B$3, FALSE(), TRUE())))</f>
        <v/>
      </c>
      <c r="X81" s="67" t="str">
        <f aca="false">IF(ISBLANK($C81),"",IF(K81=Constants!$B$2, TRUE(), IF(K81=Constants!$B$3, FALSE(), TRUE())))</f>
        <v/>
      </c>
      <c r="Y81" s="67" t="str">
        <f aca="false">IF(ISBLANK($C81),"",IF(L81=Constants!$B$19,Constants!$B$19,Constants!$B$18))</f>
        <v/>
      </c>
      <c r="Z81" s="67" t="str">
        <f aca="false">IF(ISBLANK($C81),"",IF(ISNUMBER(M81),IF(M81&gt;=0,M81,""),""))</f>
        <v/>
      </c>
      <c r="AA81" s="67" t="str">
        <f aca="false">IF(ISBLANK($C81),"",IF(N81=Constants!$B$2, TRUE(), IF(N81=Constants!$B$3, FALSE(), TRUE())))</f>
        <v/>
      </c>
      <c r="AB81" s="67" t="str">
        <f aca="false">IF(ISBLANK($C81),"",IF(O81=Constants!$B$2, TRUE(), IF(O81=Constants!$B$3, FALSE(), TRUE())))</f>
        <v/>
      </c>
      <c r="AC81" s="67" t="str">
        <f aca="false">IF(ISBLANK($C81),"",IF(P81=Constants!$B$2, TRUE(), IF(P81=Constants!$B$3, FALSE(), FALSE())))</f>
        <v/>
      </c>
      <c r="AD81" s="67" t="str">
        <f aca="false">IF(ISBLANK($C81),"",AND(V81&lt;&gt;"",IF(U81=Constants!$B$19,S81,R81)))</f>
        <v/>
      </c>
      <c r="AE81" s="67" t="str">
        <f aca="false">IF(ISBLANK($C81),"",AND(Z81&lt;&gt;"",IF(Y81=Constants!$B$19,S81,R81)))</f>
        <v/>
      </c>
      <c r="AF81" s="67" t="str">
        <f aca="false">IF(ISBLANK($C81),"",IF(AC81,Constants!$B$4,IF(COUNTA(E81:O81)=0,Constants!$B$5,IF(AND(NOT(AD81),NOT(AE81)),Constants!$B$6,Constants!$B$7))))</f>
        <v/>
      </c>
      <c r="AG81" s="67" t="str">
        <f aca="false">IF(ISBLANK($C81),"",IF($AF81&lt;&gt;Constants!$B$7,$AF81,Constants!$B$20))</f>
        <v/>
      </c>
      <c r="AH81" s="67" t="str">
        <f aca="false">IF($AF81=Constants!$B$7,IF(AD81,V81,Constants!$B$13),"")</f>
        <v/>
      </c>
      <c r="AI81" s="67" t="str">
        <f aca="false">IF($AF81=Constants!$B$7,IF(AD81,T81*IF(W81, 1, Constants!$B$11)*IF(X81, 1, Constants!$B$12),Constants!$B$13),"")</f>
        <v/>
      </c>
      <c r="AJ81" s="67" t="str">
        <f aca="false">IF($AF81=Constants!$B$7,AH81*AI81,"")</f>
        <v/>
      </c>
      <c r="AK81" s="67" t="str">
        <f aca="false">IF($AF81=Constants!$B$7,IF(AE81,Z81,Constants!$B$13),"")</f>
        <v/>
      </c>
      <c r="AL81" s="67" t="str">
        <f aca="false">IF($AF81=Constants!$B$7,IF(AE81,T81*IF(AA81, 1, Constants!$B$11)*IF(AB81, 1, Constants!$B$12),Constants!$B$13),"")</f>
        <v/>
      </c>
      <c r="AM81" s="67" t="str">
        <f aca="false">IF($AF81=Constants!$B$7,AK81*AL81,"")</f>
        <v/>
      </c>
      <c r="AN81" s="67" t="str">
        <f aca="false">IF($AF81=Constants!$B$7,IF(AM81&gt;AJ81,2,1),"")</f>
        <v/>
      </c>
      <c r="AO81" s="67" t="str">
        <f aca="false">IF($AF81=Constants!$B$7,IF(AN81=1,2,1),"")</f>
        <v/>
      </c>
      <c r="AP81" s="67" t="str">
        <f aca="false">IF(ISBLANK($C81),"",IF($AF81&lt;&gt;Constants!$B$7,$AF81,IF(AN81=1,AJ81,AM81)))</f>
        <v/>
      </c>
      <c r="AQ81" s="67" t="str">
        <f aca="false">IF(ISBLANK($C81),"",IF($AF81=Constants!$B$7,IF(ISNUMBER(AP81),RANK(AP81,$AP$8:$AP$507),Constants!$B$14),$AF81))</f>
        <v/>
      </c>
      <c r="AR81" s="67" t="str">
        <f aca="false">IF(ISBLANK($C81),"",IF($AF81=Constants!$B$7,IF(AO81=1,AJ81,AM81),""))</f>
        <v/>
      </c>
      <c r="AS81" s="67" t="str">
        <f aca="false">IF(ISBLANK($C81),"",IF($AF81=Constants!$B$7,RANK(AR81,$AR$8:$AR$507),$AF81))</f>
        <v/>
      </c>
      <c r="AT81" s="67" t="str">
        <f aca="false">IF(ISBLANK($C81),"",IF($AF81=Constants!$B$7,IF(ISNUMBER(AQ81),COUNTIFS($AQ$8:$AQ$507,"&lt;"&amp;$AQ81)+COUNTIFS($AQ$8:$AQ$507,$AQ81,$AS$8:$AS$507,"&lt;"&amp;$AS81)+1,Constants!$B$14),$AF81))</f>
        <v/>
      </c>
      <c r="AU81" s="67" t="str">
        <f aca="false">IF(ISBLANK($C81),"",IF($AF81=Constants!$B$7,IF(ISNUMBER(AQ81),AQ81-AT81,Constants!$B$14),$AF81))</f>
        <v/>
      </c>
      <c r="AV81" s="69"/>
      <c r="AW81" s="70" t="str">
        <f aca="false">IF(ISBLANK($C81),"",IF($AF81&lt;&gt;Constants!$B$7,"",AN81))</f>
        <v/>
      </c>
      <c r="AX81" s="85" t="str">
        <f aca="false">IF(ISBLANK($C81),"",IF($AF81&lt;&gt;Constants!$B$7,"",IF(AN81=1,AH81,AK81)))</f>
        <v/>
      </c>
      <c r="AY81" s="72" t="str">
        <f aca="false">IF(ISBLANK($C81),"",IF($AF81&lt;&gt;Constants!$B$7,"",IF(AN81=1,AI81,AL81)))</f>
        <v/>
      </c>
      <c r="AZ81" s="73" t="str">
        <f aca="false">IF(ISBLANK($C81),"",IF($AF81&lt;&gt;Constants!$B$7,$AF81,AP81))</f>
        <v/>
      </c>
      <c r="BA81" s="74" t="str">
        <f aca="false">IF(ISBLANK($C81),"",IF($AF81&lt;&gt;Constants!$B$7,$AF81,AG81))</f>
        <v/>
      </c>
      <c r="BB81" s="75" t="str">
        <f aca="false">IF(ISBLANK($C81),"",AU81)</f>
        <v/>
      </c>
      <c r="BC81" s="75" t="str">
        <f aca="false">IF(ISBLANK($C81),"",AT81)</f>
        <v/>
      </c>
      <c r="BD81" s="76" t="str">
        <f aca="false">IF(ISBLANK($C81),"",IFERROR(_xlfn.SWITCH(BC81,Constants!$B$4,COUNTA($C$8:$C$507)+2,Constants!$B$5,COUNTA($C$8:$C$507)+1,Constants!$B$6,COUNTA($C$8:$C$507)),BC81))</f>
        <v/>
      </c>
      <c r="BE81" s="5"/>
      <c r="BF81" s="77" t="n">
        <f aca="false">IF(OR(ISNUMBER(BC81),BC81=Constants!$B$4,BC81=Constants!$B$6,BC81=Constants!$B$5),1,0)</f>
        <v>0</v>
      </c>
      <c r="BG81" s="77" t="n">
        <v>74</v>
      </c>
      <c r="BH81" s="77" t="str">
        <f aca="false">IF(ISBLANK($C81),"",IF(ISNUMBER(BD81),BD81+ROW($B81)/1000,""))</f>
        <v/>
      </c>
      <c r="BI81" s="77" t="str">
        <f aca="false">IF(ISNUMBER(BH81),RANK(BH81,$BH$8:$BH$507,1),"")</f>
        <v/>
      </c>
      <c r="BJ81" s="77" t="str">
        <f aca="false">IF(ISBLANK($C81),"",$B81)</f>
        <v/>
      </c>
      <c r="BK81" s="77" t="str">
        <f aca="false">IF(ISBLANK($C81),"",$C81)</f>
        <v/>
      </c>
      <c r="BL81" s="77" t="str">
        <f aca="false">IF(ISBLANK($C81),"",$D81)</f>
        <v/>
      </c>
      <c r="BM81" s="78" t="str">
        <f aca="false">BA81</f>
        <v/>
      </c>
      <c r="BN81" s="79" t="str">
        <f aca="false">AZ81</f>
        <v/>
      </c>
      <c r="BO81" s="77" t="str">
        <f aca="false">IF(ISBLANK($C81),"",BC81)</f>
        <v/>
      </c>
      <c r="BP81" s="80" t="str">
        <f aca="false">IF($BG81&gt;$BF$7,"",VLOOKUP($BG81,$BI$8:$BO$507,7,FALSE()))</f>
        <v/>
      </c>
      <c r="BQ81" s="81" t="str">
        <f aca="false">IF($BG81&gt;$BF$7,"",VLOOKUP($BG81,$BI$8:$BO$507,2,FALSE()))</f>
        <v/>
      </c>
      <c r="BR81" s="81" t="str">
        <f aca="false">IF($BG81&gt;$BF$7,"",VLOOKUP($BG81,$BI$8:$BO$507,3,FALSE()))</f>
        <v/>
      </c>
      <c r="BS81" s="81" t="str">
        <f aca="false">IF($BG81&gt;$BF$7,"",VLOOKUP($BG81,$BI$8:$BO$507,4,FALSE()))</f>
        <v/>
      </c>
      <c r="BT81" s="81" t="str">
        <f aca="false">IF($BG81&gt;$BF$7,"",VLOOKUP($BG81,$BI$8:$BO$507,5,FALSE()))</f>
        <v/>
      </c>
      <c r="BU81" s="82" t="str">
        <f aca="false">IF($BG81&gt;$BF$7,"",VLOOKUP($BG81,$BI$8:$BO$507,6,FALSE()))</f>
        <v/>
      </c>
      <c r="BV81" s="54"/>
    </row>
    <row r="82" customFormat="false" ht="15.75" hidden="false" customHeight="false" outlineLevel="0" collapsed="false">
      <c r="A82" s="5"/>
      <c r="B82" s="135"/>
      <c r="C82" s="56"/>
      <c r="D82" s="57"/>
      <c r="E82" s="84"/>
      <c r="F82" s="136"/>
      <c r="G82" s="60"/>
      <c r="H82" s="137"/>
      <c r="I82" s="62"/>
      <c r="J82" s="62"/>
      <c r="K82" s="60"/>
      <c r="L82" s="138"/>
      <c r="M82" s="62"/>
      <c r="N82" s="62"/>
      <c r="O82" s="60"/>
      <c r="P82" s="84"/>
      <c r="Q82" s="65"/>
      <c r="R82" s="67" t="str">
        <f aca="false">IF(ISBLANK($C82),"",IF(E82=Constants!$B$2, TRUE(), IF(E82=Constants!$B$3, FALSE(), TRUE())))</f>
        <v/>
      </c>
      <c r="S82" s="67" t="str">
        <f aca="false">IF(ISBLANK($C82),"",IF(F82=Constants!$B$2, TRUE(), IF(F82=Constants!$B$3, FALSE(), TRUE())))</f>
        <v/>
      </c>
      <c r="T82" s="67" t="str">
        <f aca="false">IF(ISBLANK($C82),"",IF(G82=Constants!$B$16,Constants!$B$9,IF(G82=Constants!$B$17,Constants!$B$10,Constants!$B$8)))</f>
        <v/>
      </c>
      <c r="U82" s="67" t="str">
        <f aca="false">IF(ISBLANK($C82),"",IF(H82=Constants!$B$19,Constants!$B$19,Constants!$B$18))</f>
        <v/>
      </c>
      <c r="V82" s="67" t="str">
        <f aca="false">IF(ISBLANK($C82),"",IF(ISNUMBER(I82),IF(I82&gt;=0,I82,""),""))</f>
        <v/>
      </c>
      <c r="W82" s="67" t="str">
        <f aca="false">IF(ISBLANK($C82),"",IF(J82=Constants!$B$2, TRUE(), IF(J82=Constants!$B$3, FALSE(), TRUE())))</f>
        <v/>
      </c>
      <c r="X82" s="67" t="str">
        <f aca="false">IF(ISBLANK($C82),"",IF(K82=Constants!$B$2, TRUE(), IF(K82=Constants!$B$3, FALSE(), TRUE())))</f>
        <v/>
      </c>
      <c r="Y82" s="67" t="str">
        <f aca="false">IF(ISBLANK($C82),"",IF(L82=Constants!$B$19,Constants!$B$19,Constants!$B$18))</f>
        <v/>
      </c>
      <c r="Z82" s="67" t="str">
        <f aca="false">IF(ISBLANK($C82),"",IF(ISNUMBER(M82),IF(M82&gt;=0,M82,""),""))</f>
        <v/>
      </c>
      <c r="AA82" s="67" t="str">
        <f aca="false">IF(ISBLANK($C82),"",IF(N82=Constants!$B$2, TRUE(), IF(N82=Constants!$B$3, FALSE(), TRUE())))</f>
        <v/>
      </c>
      <c r="AB82" s="67" t="str">
        <f aca="false">IF(ISBLANK($C82),"",IF(O82=Constants!$B$2, TRUE(), IF(O82=Constants!$B$3, FALSE(), TRUE())))</f>
        <v/>
      </c>
      <c r="AC82" s="67" t="str">
        <f aca="false">IF(ISBLANK($C82),"",IF(P82=Constants!$B$2, TRUE(), IF(P82=Constants!$B$3, FALSE(), FALSE())))</f>
        <v/>
      </c>
      <c r="AD82" s="67" t="str">
        <f aca="false">IF(ISBLANK($C82),"",AND(V82&lt;&gt;"",IF(U82=Constants!$B$19,S82,R82)))</f>
        <v/>
      </c>
      <c r="AE82" s="67" t="str">
        <f aca="false">IF(ISBLANK($C82),"",AND(Z82&lt;&gt;"",IF(Y82=Constants!$B$19,S82,R82)))</f>
        <v/>
      </c>
      <c r="AF82" s="67" t="str">
        <f aca="false">IF(ISBLANK($C82),"",IF(AC82,Constants!$B$4,IF(COUNTA(E82:O82)=0,Constants!$B$5,IF(AND(NOT(AD82),NOT(AE82)),Constants!$B$6,Constants!$B$7))))</f>
        <v/>
      </c>
      <c r="AG82" s="67" t="str">
        <f aca="false">IF(ISBLANK($C82),"",IF($AF82&lt;&gt;Constants!$B$7,$AF82,Constants!$B$20))</f>
        <v/>
      </c>
      <c r="AH82" s="67" t="str">
        <f aca="false">IF($AF82=Constants!$B$7,IF(AD82,V82,Constants!$B$13),"")</f>
        <v/>
      </c>
      <c r="AI82" s="67" t="str">
        <f aca="false">IF($AF82=Constants!$B$7,IF(AD82,T82*IF(W82, 1, Constants!$B$11)*IF(X82, 1, Constants!$B$12),Constants!$B$13),"")</f>
        <v/>
      </c>
      <c r="AJ82" s="67" t="str">
        <f aca="false">IF($AF82=Constants!$B$7,AH82*AI82,"")</f>
        <v/>
      </c>
      <c r="AK82" s="67" t="str">
        <f aca="false">IF($AF82=Constants!$B$7,IF(AE82,Z82,Constants!$B$13),"")</f>
        <v/>
      </c>
      <c r="AL82" s="67" t="str">
        <f aca="false">IF($AF82=Constants!$B$7,IF(AE82,T82*IF(AA82, 1, Constants!$B$11)*IF(AB82, 1, Constants!$B$12),Constants!$B$13),"")</f>
        <v/>
      </c>
      <c r="AM82" s="67" t="str">
        <f aca="false">IF($AF82=Constants!$B$7,AK82*AL82,"")</f>
        <v/>
      </c>
      <c r="AN82" s="67" t="str">
        <f aca="false">IF($AF82=Constants!$B$7,IF(AM82&gt;AJ82,2,1),"")</f>
        <v/>
      </c>
      <c r="AO82" s="67" t="str">
        <f aca="false">IF($AF82=Constants!$B$7,IF(AN82=1,2,1),"")</f>
        <v/>
      </c>
      <c r="AP82" s="67" t="str">
        <f aca="false">IF(ISBLANK($C82),"",IF($AF82&lt;&gt;Constants!$B$7,$AF82,IF(AN82=1,AJ82,AM82)))</f>
        <v/>
      </c>
      <c r="AQ82" s="67" t="str">
        <f aca="false">IF(ISBLANK($C82),"",IF($AF82=Constants!$B$7,IF(ISNUMBER(AP82),RANK(AP82,$AP$8:$AP$507),Constants!$B$14),$AF82))</f>
        <v/>
      </c>
      <c r="AR82" s="67" t="str">
        <f aca="false">IF(ISBLANK($C82),"",IF($AF82=Constants!$B$7,IF(AO82=1,AJ82,AM82),""))</f>
        <v/>
      </c>
      <c r="AS82" s="67" t="str">
        <f aca="false">IF(ISBLANK($C82),"",IF($AF82=Constants!$B$7,RANK(AR82,$AR$8:$AR$507),$AF82))</f>
        <v/>
      </c>
      <c r="AT82" s="67" t="str">
        <f aca="false">IF(ISBLANK($C82),"",IF($AF82=Constants!$B$7,IF(ISNUMBER(AQ82),COUNTIFS($AQ$8:$AQ$507,"&lt;"&amp;$AQ82)+COUNTIFS($AQ$8:$AQ$507,$AQ82,$AS$8:$AS$507,"&lt;"&amp;$AS82)+1,Constants!$B$14),$AF82))</f>
        <v/>
      </c>
      <c r="AU82" s="67" t="str">
        <f aca="false">IF(ISBLANK($C82),"",IF($AF82=Constants!$B$7,IF(ISNUMBER(AQ82),AQ82-AT82,Constants!$B$14),$AF82))</f>
        <v/>
      </c>
      <c r="AV82" s="69"/>
      <c r="AW82" s="70" t="str">
        <f aca="false">IF(ISBLANK($C82),"",IF($AF82&lt;&gt;Constants!$B$7,"",AN82))</f>
        <v/>
      </c>
      <c r="AX82" s="85" t="str">
        <f aca="false">IF(ISBLANK($C82),"",IF($AF82&lt;&gt;Constants!$B$7,"",IF(AN82=1,AH82,AK82)))</f>
        <v/>
      </c>
      <c r="AY82" s="72" t="str">
        <f aca="false">IF(ISBLANK($C82),"",IF($AF82&lt;&gt;Constants!$B$7,"",IF(AN82=1,AI82,AL82)))</f>
        <v/>
      </c>
      <c r="AZ82" s="73" t="str">
        <f aca="false">IF(ISBLANK($C82),"",IF($AF82&lt;&gt;Constants!$B$7,$AF82,AP82))</f>
        <v/>
      </c>
      <c r="BA82" s="74" t="str">
        <f aca="false">IF(ISBLANK($C82),"",IF($AF82&lt;&gt;Constants!$B$7,$AF82,AG82))</f>
        <v/>
      </c>
      <c r="BB82" s="75" t="str">
        <f aca="false">IF(ISBLANK($C82),"",AU82)</f>
        <v/>
      </c>
      <c r="BC82" s="75" t="str">
        <f aca="false">IF(ISBLANK($C82),"",AT82)</f>
        <v/>
      </c>
      <c r="BD82" s="76" t="str">
        <f aca="false">IF(ISBLANK($C82),"",IFERROR(_xlfn.SWITCH(BC82,Constants!$B$4,COUNTA($C$8:$C$507)+2,Constants!$B$5,COUNTA($C$8:$C$507)+1,Constants!$B$6,COUNTA($C$8:$C$507)),BC82))</f>
        <v/>
      </c>
      <c r="BE82" s="5"/>
      <c r="BF82" s="77" t="n">
        <f aca="false">IF(OR(ISNUMBER(BC82),BC82=Constants!$B$4,BC82=Constants!$B$6,BC82=Constants!$B$5),1,0)</f>
        <v>0</v>
      </c>
      <c r="BG82" s="77" t="n">
        <v>75</v>
      </c>
      <c r="BH82" s="77" t="str">
        <f aca="false">IF(ISBLANK($C82),"",IF(ISNUMBER(BD82),BD82+ROW($B82)/1000,""))</f>
        <v/>
      </c>
      <c r="BI82" s="77" t="str">
        <f aca="false">IF(ISNUMBER(BH82),RANK(BH82,$BH$8:$BH$507,1),"")</f>
        <v/>
      </c>
      <c r="BJ82" s="77" t="str">
        <f aca="false">IF(ISBLANK($C82),"",$B82)</f>
        <v/>
      </c>
      <c r="BK82" s="77" t="str">
        <f aca="false">IF(ISBLANK($C82),"",$C82)</f>
        <v/>
      </c>
      <c r="BL82" s="77" t="str">
        <f aca="false">IF(ISBLANK($C82),"",$D82)</f>
        <v/>
      </c>
      <c r="BM82" s="78" t="str">
        <f aca="false">BA82</f>
        <v/>
      </c>
      <c r="BN82" s="79" t="str">
        <f aca="false">AZ82</f>
        <v/>
      </c>
      <c r="BO82" s="77" t="str">
        <f aca="false">IF(ISBLANK($C82),"",BC82)</f>
        <v/>
      </c>
      <c r="BP82" s="80" t="str">
        <f aca="false">IF($BG82&gt;$BF$7,"",VLOOKUP($BG82,$BI$8:$BO$507,7,FALSE()))</f>
        <v/>
      </c>
      <c r="BQ82" s="81" t="str">
        <f aca="false">IF($BG82&gt;$BF$7,"",VLOOKUP($BG82,$BI$8:$BO$507,2,FALSE()))</f>
        <v/>
      </c>
      <c r="BR82" s="81" t="str">
        <f aca="false">IF($BG82&gt;$BF$7,"",VLOOKUP($BG82,$BI$8:$BO$507,3,FALSE()))</f>
        <v/>
      </c>
      <c r="BS82" s="81" t="str">
        <f aca="false">IF($BG82&gt;$BF$7,"",VLOOKUP($BG82,$BI$8:$BO$507,4,FALSE()))</f>
        <v/>
      </c>
      <c r="BT82" s="81" t="str">
        <f aca="false">IF($BG82&gt;$BF$7,"",VLOOKUP($BG82,$BI$8:$BO$507,5,FALSE()))</f>
        <v/>
      </c>
      <c r="BU82" s="82" t="str">
        <f aca="false">IF($BG82&gt;$BF$7,"",VLOOKUP($BG82,$BI$8:$BO$507,6,FALSE()))</f>
        <v/>
      </c>
      <c r="BV82" s="54"/>
    </row>
    <row r="83" customFormat="false" ht="15.75" hidden="false" customHeight="false" outlineLevel="0" collapsed="false">
      <c r="A83" s="5"/>
      <c r="B83" s="128"/>
      <c r="C83" s="129"/>
      <c r="D83" s="114"/>
      <c r="E83" s="134"/>
      <c r="F83" s="139"/>
      <c r="G83" s="93"/>
      <c r="H83" s="140"/>
      <c r="I83" s="95"/>
      <c r="J83" s="95"/>
      <c r="K83" s="93"/>
      <c r="L83" s="141"/>
      <c r="M83" s="95"/>
      <c r="N83" s="95"/>
      <c r="O83" s="93"/>
      <c r="P83" s="134"/>
      <c r="Q83" s="98"/>
      <c r="R83" s="99" t="str">
        <f aca="false">IF(ISBLANK($C83),"",IF(E83=Constants!$B$2, TRUE(), IF(E83=Constants!$B$3, FALSE(), TRUE())))</f>
        <v/>
      </c>
      <c r="S83" s="99" t="str">
        <f aca="false">IF(ISBLANK($C83),"",IF(F83=Constants!$B$2, TRUE(), IF(F83=Constants!$B$3, FALSE(), TRUE())))</f>
        <v/>
      </c>
      <c r="T83" s="99" t="str">
        <f aca="false">IF(ISBLANK($C83),"",IF(G83=Constants!$B$16,Constants!$B$9,IF(G83=Constants!$B$17,Constants!$B$10,Constants!$B$8)))</f>
        <v/>
      </c>
      <c r="U83" s="99" t="str">
        <f aca="false">IF(ISBLANK($C83),"",IF(H83=Constants!$B$19,Constants!$B$19,Constants!$B$18))</f>
        <v/>
      </c>
      <c r="V83" s="99" t="str">
        <f aca="false">IF(ISBLANK($C83),"",IF(ISNUMBER(I83),IF(I83&gt;=0,I83,""),""))</f>
        <v/>
      </c>
      <c r="W83" s="99" t="str">
        <f aca="false">IF(ISBLANK($C83),"",IF(J83=Constants!$B$2, TRUE(), IF(J83=Constants!$B$3, FALSE(), TRUE())))</f>
        <v/>
      </c>
      <c r="X83" s="99" t="str">
        <f aca="false">IF(ISBLANK($C83),"",IF(K83=Constants!$B$2, TRUE(), IF(K83=Constants!$B$3, FALSE(), TRUE())))</f>
        <v/>
      </c>
      <c r="Y83" s="99" t="str">
        <f aca="false">IF(ISBLANK($C83),"",IF(L83=Constants!$B$19,Constants!$B$19,Constants!$B$18))</f>
        <v/>
      </c>
      <c r="Z83" s="99" t="str">
        <f aca="false">IF(ISBLANK($C83),"",IF(ISNUMBER(M83),IF(M83&gt;=0,M83,""),""))</f>
        <v/>
      </c>
      <c r="AA83" s="99" t="str">
        <f aca="false">IF(ISBLANK($C83),"",IF(N83=Constants!$B$2, TRUE(), IF(N83=Constants!$B$3, FALSE(), TRUE())))</f>
        <v/>
      </c>
      <c r="AB83" s="99" t="str">
        <f aca="false">IF(ISBLANK($C83),"",IF(O83=Constants!$B$2, TRUE(), IF(O83=Constants!$B$3, FALSE(), TRUE())))</f>
        <v/>
      </c>
      <c r="AC83" s="99" t="str">
        <f aca="false">IF(ISBLANK($C83),"",IF(P83=Constants!$B$2, TRUE(), IF(P83=Constants!$B$3, FALSE(), FALSE())))</f>
        <v/>
      </c>
      <c r="AD83" s="99" t="str">
        <f aca="false">IF(ISBLANK($C83),"",AND(V83&lt;&gt;"",IF(U83=Constants!$B$19,S83,R83)))</f>
        <v/>
      </c>
      <c r="AE83" s="99" t="str">
        <f aca="false">IF(ISBLANK($C83),"",AND(Z83&lt;&gt;"",IF(Y83=Constants!$B$19,S83,R83)))</f>
        <v/>
      </c>
      <c r="AF83" s="99" t="str">
        <f aca="false">IF(ISBLANK($C83),"",IF(AC83,Constants!$B$4,IF(COUNTA(E83:O83)=0,Constants!$B$5,IF(AND(NOT(AD83),NOT(AE83)),Constants!$B$6,Constants!$B$7))))</f>
        <v/>
      </c>
      <c r="AG83" s="99" t="str">
        <f aca="false">IF(ISBLANK($C83),"",IF($AF83&lt;&gt;Constants!$B$7,$AF83,Constants!$B$20))</f>
        <v/>
      </c>
      <c r="AH83" s="99" t="str">
        <f aca="false">IF($AF83=Constants!$B$7,IF(AD83,V83,Constants!$B$13),"")</f>
        <v/>
      </c>
      <c r="AI83" s="99" t="str">
        <f aca="false">IF($AF83=Constants!$B$7,IF(AD83,T83*IF(W83, 1, Constants!$B$11)*IF(X83, 1, Constants!$B$12),Constants!$B$13),"")</f>
        <v/>
      </c>
      <c r="AJ83" s="99" t="str">
        <f aca="false">IF($AF83=Constants!$B$7,AH83*AI83,"")</f>
        <v/>
      </c>
      <c r="AK83" s="99" t="str">
        <f aca="false">IF($AF83=Constants!$B$7,IF(AE83,Z83,Constants!$B$13),"")</f>
        <v/>
      </c>
      <c r="AL83" s="99" t="str">
        <f aca="false">IF($AF83=Constants!$B$7,IF(AE83,T83*IF(AA83, 1, Constants!$B$11)*IF(AB83, 1, Constants!$B$12),Constants!$B$13),"")</f>
        <v/>
      </c>
      <c r="AM83" s="99" t="str">
        <f aca="false">IF($AF83=Constants!$B$7,AK83*AL83,"")</f>
        <v/>
      </c>
      <c r="AN83" s="99" t="str">
        <f aca="false">IF($AF83=Constants!$B$7,IF(AM83&gt;AJ83,2,1),"")</f>
        <v/>
      </c>
      <c r="AO83" s="99" t="str">
        <f aca="false">IF($AF83=Constants!$B$7,IF(AN83=1,2,1),"")</f>
        <v/>
      </c>
      <c r="AP83" s="99" t="str">
        <f aca="false">IF(ISBLANK($C83),"",IF($AF83&lt;&gt;Constants!$B$7,$AF83,IF(AN83=1,AJ83,AM83)))</f>
        <v/>
      </c>
      <c r="AQ83" s="99" t="str">
        <f aca="false">IF(ISBLANK($C83),"",IF($AF83=Constants!$B$7,IF(ISNUMBER(AP83),RANK(AP83,$AP$8:$AP$507),Constants!$B$14),$AF83))</f>
        <v/>
      </c>
      <c r="AR83" s="99" t="str">
        <f aca="false">IF(ISBLANK($C83),"",IF($AF83=Constants!$B$7,IF(AO83=1,AJ83,AM83),""))</f>
        <v/>
      </c>
      <c r="AS83" s="99" t="str">
        <f aca="false">IF(ISBLANK($C83),"",IF($AF83=Constants!$B$7,RANK(AR83,$AR$8:$AR$507),$AF83))</f>
        <v/>
      </c>
      <c r="AT83" s="99" t="str">
        <f aca="false">IF(ISBLANK($C83),"",IF($AF83=Constants!$B$7,IF(ISNUMBER(AQ83),COUNTIFS($AQ$8:$AQ$507,"&lt;"&amp;$AQ83)+COUNTIFS($AQ$8:$AQ$507,$AQ83,$AS$8:$AS$507,"&lt;"&amp;$AS83)+1,Constants!$B$14),$AF83))</f>
        <v/>
      </c>
      <c r="AU83" s="99" t="str">
        <f aca="false">IF(ISBLANK($C83),"",IF($AF83=Constants!$B$7,IF(ISNUMBER(AQ83),AQ83-AT83,Constants!$B$14),$AF83))</f>
        <v/>
      </c>
      <c r="AV83" s="100"/>
      <c r="AW83" s="101" t="str">
        <f aca="false">IF(ISBLANK($C83),"",IF($AF83&lt;&gt;Constants!$B$7,"",AN83))</f>
        <v/>
      </c>
      <c r="AX83" s="102" t="str">
        <f aca="false">IF(ISBLANK($C83),"",IF($AF83&lt;&gt;Constants!$B$7,"",IF(AN83=1,AH83,AK83)))</f>
        <v/>
      </c>
      <c r="AY83" s="103" t="str">
        <f aca="false">IF(ISBLANK($C83),"",IF($AF83&lt;&gt;Constants!$B$7,"",IF(AN83=1,AI83,AL83)))</f>
        <v/>
      </c>
      <c r="AZ83" s="104" t="str">
        <f aca="false">IF(ISBLANK($C83),"",IF($AF83&lt;&gt;Constants!$B$7,$AF83,AP83))</f>
        <v/>
      </c>
      <c r="BA83" s="105" t="str">
        <f aca="false">IF(ISBLANK($C83),"",IF($AF83&lt;&gt;Constants!$B$7,$AF83,AG83))</f>
        <v/>
      </c>
      <c r="BB83" s="106" t="str">
        <f aca="false">IF(ISBLANK($C83),"",AU83)</f>
        <v/>
      </c>
      <c r="BC83" s="106" t="str">
        <f aca="false">IF(ISBLANK($C83),"",AT83)</f>
        <v/>
      </c>
      <c r="BD83" s="107" t="str">
        <f aca="false">IF(ISBLANK($C83),"",IFERROR(_xlfn.SWITCH(BC83,Constants!$B$4,COUNTA($C$8:$C$507)+2,Constants!$B$5,COUNTA($C$8:$C$507)+1,Constants!$B$6,COUNTA($C$8:$C$507)),BC83))</f>
        <v/>
      </c>
      <c r="BE83" s="5"/>
      <c r="BF83" s="108" t="n">
        <f aca="false">IF(OR(ISNUMBER(BC83),BC83=Constants!$B$4,BC83=Constants!$B$6,BC83=Constants!$B$5),1,0)</f>
        <v>0</v>
      </c>
      <c r="BG83" s="108" t="n">
        <v>76</v>
      </c>
      <c r="BH83" s="108" t="str">
        <f aca="false">IF(ISBLANK($C83),"",IF(ISNUMBER(BD83),BD83+ROW($B83)/1000,""))</f>
        <v/>
      </c>
      <c r="BI83" s="108" t="str">
        <f aca="false">IF(ISNUMBER(BH83),RANK(BH83,$BH$8:$BH$507,1),"")</f>
        <v/>
      </c>
      <c r="BJ83" s="108" t="str">
        <f aca="false">IF(ISBLANK($C83),"",$B83)</f>
        <v/>
      </c>
      <c r="BK83" s="108" t="str">
        <f aca="false">IF(ISBLANK($C83),"",$C83)</f>
        <v/>
      </c>
      <c r="BL83" s="108" t="str">
        <f aca="false">IF(ISBLANK($C83),"",$D83)</f>
        <v/>
      </c>
      <c r="BM83" s="109" t="str">
        <f aca="false">BA83</f>
        <v/>
      </c>
      <c r="BN83" s="110" t="str">
        <f aca="false">AZ83</f>
        <v/>
      </c>
      <c r="BO83" s="108" t="str">
        <f aca="false">IF(ISBLANK($C83),"",BC83)</f>
        <v/>
      </c>
      <c r="BP83" s="111" t="str">
        <f aca="false">IF($BG83&gt;$BF$7,"",VLOOKUP($BG83,$BI$8:$BO$507,7,FALSE()))</f>
        <v/>
      </c>
      <c r="BQ83" s="112" t="str">
        <f aca="false">IF($BG83&gt;$BF$7,"",VLOOKUP($BG83,$BI$8:$BO$507,2,FALSE()))</f>
        <v/>
      </c>
      <c r="BR83" s="112" t="str">
        <f aca="false">IF($BG83&gt;$BF$7,"",VLOOKUP($BG83,$BI$8:$BO$507,3,FALSE()))</f>
        <v/>
      </c>
      <c r="BS83" s="112" t="str">
        <f aca="false">IF($BG83&gt;$BF$7,"",VLOOKUP($BG83,$BI$8:$BO$507,4,FALSE()))</f>
        <v/>
      </c>
      <c r="BT83" s="112" t="str">
        <f aca="false">IF($BG83&gt;$BF$7,"",VLOOKUP($BG83,$BI$8:$BO$507,5,FALSE()))</f>
        <v/>
      </c>
      <c r="BU83" s="113" t="str">
        <f aca="false">IF($BG83&gt;$BF$7,"",VLOOKUP($BG83,$BI$8:$BO$507,6,FALSE()))</f>
        <v/>
      </c>
      <c r="BV83" s="54"/>
    </row>
    <row r="84" customFormat="false" ht="15.75" hidden="false" customHeight="false" outlineLevel="0" collapsed="false">
      <c r="A84" s="5"/>
      <c r="B84" s="128"/>
      <c r="C84" s="129"/>
      <c r="D84" s="114"/>
      <c r="E84" s="134"/>
      <c r="F84" s="139"/>
      <c r="G84" s="93"/>
      <c r="H84" s="140"/>
      <c r="I84" s="95"/>
      <c r="J84" s="95"/>
      <c r="K84" s="93"/>
      <c r="L84" s="141"/>
      <c r="M84" s="95"/>
      <c r="N84" s="95"/>
      <c r="O84" s="93"/>
      <c r="P84" s="134"/>
      <c r="Q84" s="98"/>
      <c r="R84" s="99" t="str">
        <f aca="false">IF(ISBLANK($C84),"",IF(E84=Constants!$B$2, TRUE(), IF(E84=Constants!$B$3, FALSE(), TRUE())))</f>
        <v/>
      </c>
      <c r="S84" s="99" t="str">
        <f aca="false">IF(ISBLANK($C84),"",IF(F84=Constants!$B$2, TRUE(), IF(F84=Constants!$B$3, FALSE(), TRUE())))</f>
        <v/>
      </c>
      <c r="T84" s="99" t="str">
        <f aca="false">IF(ISBLANK($C84),"",IF(G84=Constants!$B$16,Constants!$B$9,IF(G84=Constants!$B$17,Constants!$B$10,Constants!$B$8)))</f>
        <v/>
      </c>
      <c r="U84" s="99" t="str">
        <f aca="false">IF(ISBLANK($C84),"",IF(H84=Constants!$B$19,Constants!$B$19,Constants!$B$18))</f>
        <v/>
      </c>
      <c r="V84" s="99" t="str">
        <f aca="false">IF(ISBLANK($C84),"",IF(ISNUMBER(I84),IF(I84&gt;=0,I84,""),""))</f>
        <v/>
      </c>
      <c r="W84" s="99" t="str">
        <f aca="false">IF(ISBLANK($C84),"",IF(J84=Constants!$B$2, TRUE(), IF(J84=Constants!$B$3, FALSE(), TRUE())))</f>
        <v/>
      </c>
      <c r="X84" s="99" t="str">
        <f aca="false">IF(ISBLANK($C84),"",IF(K84=Constants!$B$2, TRUE(), IF(K84=Constants!$B$3, FALSE(), TRUE())))</f>
        <v/>
      </c>
      <c r="Y84" s="99" t="str">
        <f aca="false">IF(ISBLANK($C84),"",IF(L84=Constants!$B$19,Constants!$B$19,Constants!$B$18))</f>
        <v/>
      </c>
      <c r="Z84" s="99" t="str">
        <f aca="false">IF(ISBLANK($C84),"",IF(ISNUMBER(M84),IF(M84&gt;=0,M84,""),""))</f>
        <v/>
      </c>
      <c r="AA84" s="99" t="str">
        <f aca="false">IF(ISBLANK($C84),"",IF(N84=Constants!$B$2, TRUE(), IF(N84=Constants!$B$3, FALSE(), TRUE())))</f>
        <v/>
      </c>
      <c r="AB84" s="99" t="str">
        <f aca="false">IF(ISBLANK($C84),"",IF(O84=Constants!$B$2, TRUE(), IF(O84=Constants!$B$3, FALSE(), TRUE())))</f>
        <v/>
      </c>
      <c r="AC84" s="99" t="str">
        <f aca="false">IF(ISBLANK($C84),"",IF(P84=Constants!$B$2, TRUE(), IF(P84=Constants!$B$3, FALSE(), FALSE())))</f>
        <v/>
      </c>
      <c r="AD84" s="99" t="str">
        <f aca="false">IF(ISBLANK($C84),"",AND(V84&lt;&gt;"",IF(U84=Constants!$B$19,S84,R84)))</f>
        <v/>
      </c>
      <c r="AE84" s="99" t="str">
        <f aca="false">IF(ISBLANK($C84),"",AND(Z84&lt;&gt;"",IF(Y84=Constants!$B$19,S84,R84)))</f>
        <v/>
      </c>
      <c r="AF84" s="99" t="str">
        <f aca="false">IF(ISBLANK($C84),"",IF(AC84,Constants!$B$4,IF(COUNTA(E84:O84)=0,Constants!$B$5,IF(AND(NOT(AD84),NOT(AE84)),Constants!$B$6,Constants!$B$7))))</f>
        <v/>
      </c>
      <c r="AG84" s="99" t="str">
        <f aca="false">IF(ISBLANK($C84),"",IF($AF84&lt;&gt;Constants!$B$7,$AF84,Constants!$B$20))</f>
        <v/>
      </c>
      <c r="AH84" s="99" t="str">
        <f aca="false">IF($AF84=Constants!$B$7,IF(AD84,V84,Constants!$B$13),"")</f>
        <v/>
      </c>
      <c r="AI84" s="99" t="str">
        <f aca="false">IF($AF84=Constants!$B$7,IF(AD84,T84*IF(W84, 1, Constants!$B$11)*IF(X84, 1, Constants!$B$12),Constants!$B$13),"")</f>
        <v/>
      </c>
      <c r="AJ84" s="99" t="str">
        <f aca="false">IF($AF84=Constants!$B$7,AH84*AI84,"")</f>
        <v/>
      </c>
      <c r="AK84" s="99" t="str">
        <f aca="false">IF($AF84=Constants!$B$7,IF(AE84,Z84,Constants!$B$13),"")</f>
        <v/>
      </c>
      <c r="AL84" s="99" t="str">
        <f aca="false">IF($AF84=Constants!$B$7,IF(AE84,T84*IF(AA84, 1, Constants!$B$11)*IF(AB84, 1, Constants!$B$12),Constants!$B$13),"")</f>
        <v/>
      </c>
      <c r="AM84" s="99" t="str">
        <f aca="false">IF($AF84=Constants!$B$7,AK84*AL84,"")</f>
        <v/>
      </c>
      <c r="AN84" s="99" t="str">
        <f aca="false">IF($AF84=Constants!$B$7,IF(AM84&gt;AJ84,2,1),"")</f>
        <v/>
      </c>
      <c r="AO84" s="99" t="str">
        <f aca="false">IF($AF84=Constants!$B$7,IF(AN84=1,2,1),"")</f>
        <v/>
      </c>
      <c r="AP84" s="99" t="str">
        <f aca="false">IF(ISBLANK($C84),"",IF($AF84&lt;&gt;Constants!$B$7,$AF84,IF(AN84=1,AJ84,AM84)))</f>
        <v/>
      </c>
      <c r="AQ84" s="99" t="str">
        <f aca="false">IF(ISBLANK($C84),"",IF($AF84=Constants!$B$7,IF(ISNUMBER(AP84),RANK(AP84,$AP$8:$AP$507),Constants!$B$14),$AF84))</f>
        <v/>
      </c>
      <c r="AR84" s="99" t="str">
        <f aca="false">IF(ISBLANK($C84),"",IF($AF84=Constants!$B$7,IF(AO84=1,AJ84,AM84),""))</f>
        <v/>
      </c>
      <c r="AS84" s="99" t="str">
        <f aca="false">IF(ISBLANK($C84),"",IF($AF84=Constants!$B$7,RANK(AR84,$AR$8:$AR$507),$AF84))</f>
        <v/>
      </c>
      <c r="AT84" s="99" t="str">
        <f aca="false">IF(ISBLANK($C84),"",IF($AF84=Constants!$B$7,IF(ISNUMBER(AQ84),COUNTIFS($AQ$8:$AQ$507,"&lt;"&amp;$AQ84)+COUNTIFS($AQ$8:$AQ$507,$AQ84,$AS$8:$AS$507,"&lt;"&amp;$AS84)+1,Constants!$B$14),$AF84))</f>
        <v/>
      </c>
      <c r="AU84" s="99" t="str">
        <f aca="false">IF(ISBLANK($C84),"",IF($AF84=Constants!$B$7,IF(ISNUMBER(AQ84),AQ84-AT84,Constants!$B$14),$AF84))</f>
        <v/>
      </c>
      <c r="AV84" s="100"/>
      <c r="AW84" s="101" t="str">
        <f aca="false">IF(ISBLANK($C84),"",IF($AF84&lt;&gt;Constants!$B$7,"",AN84))</f>
        <v/>
      </c>
      <c r="AX84" s="102" t="str">
        <f aca="false">IF(ISBLANK($C84),"",IF($AF84&lt;&gt;Constants!$B$7,"",IF(AN84=1,AH84,AK84)))</f>
        <v/>
      </c>
      <c r="AY84" s="103" t="str">
        <f aca="false">IF(ISBLANK($C84),"",IF($AF84&lt;&gt;Constants!$B$7,"",IF(AN84=1,AI84,AL84)))</f>
        <v/>
      </c>
      <c r="AZ84" s="104" t="str">
        <f aca="false">IF(ISBLANK($C84),"",IF($AF84&lt;&gt;Constants!$B$7,$AF84,AP84))</f>
        <v/>
      </c>
      <c r="BA84" s="105" t="str">
        <f aca="false">IF(ISBLANK($C84),"",IF($AF84&lt;&gt;Constants!$B$7,$AF84,AG84))</f>
        <v/>
      </c>
      <c r="BB84" s="106" t="str">
        <f aca="false">IF(ISBLANK($C84),"",AU84)</f>
        <v/>
      </c>
      <c r="BC84" s="106" t="str">
        <f aca="false">IF(ISBLANK($C84),"",AT84)</f>
        <v/>
      </c>
      <c r="BD84" s="107" t="str">
        <f aca="false">IF(ISBLANK($C84),"",IFERROR(_xlfn.SWITCH(BC84,Constants!$B$4,COUNTA($C$8:$C$507)+2,Constants!$B$5,COUNTA($C$8:$C$507)+1,Constants!$B$6,COUNTA($C$8:$C$507)),BC84))</f>
        <v/>
      </c>
      <c r="BE84" s="5"/>
      <c r="BF84" s="108" t="n">
        <f aca="false">IF(OR(ISNUMBER(BC84),BC84=Constants!$B$4,BC84=Constants!$B$6,BC84=Constants!$B$5),1,0)</f>
        <v>0</v>
      </c>
      <c r="BG84" s="108" t="n">
        <v>77</v>
      </c>
      <c r="BH84" s="108" t="str">
        <f aca="false">IF(ISBLANK($C84),"",IF(ISNUMBER(BD84),BD84+ROW($B84)/1000,""))</f>
        <v/>
      </c>
      <c r="BI84" s="108" t="str">
        <f aca="false">IF(ISNUMBER(BH84),RANK(BH84,$BH$8:$BH$507,1),"")</f>
        <v/>
      </c>
      <c r="BJ84" s="108" t="str">
        <f aca="false">IF(ISBLANK($C84),"",$B84)</f>
        <v/>
      </c>
      <c r="BK84" s="108" t="str">
        <f aca="false">IF(ISBLANK($C84),"",$C84)</f>
        <v/>
      </c>
      <c r="BL84" s="108" t="str">
        <f aca="false">IF(ISBLANK($C84),"",$D84)</f>
        <v/>
      </c>
      <c r="BM84" s="109" t="str">
        <f aca="false">BA84</f>
        <v/>
      </c>
      <c r="BN84" s="110" t="str">
        <f aca="false">AZ84</f>
        <v/>
      </c>
      <c r="BO84" s="108" t="str">
        <f aca="false">IF(ISBLANK($C84),"",BC84)</f>
        <v/>
      </c>
      <c r="BP84" s="111" t="str">
        <f aca="false">IF($BG84&gt;$BF$7,"",VLOOKUP($BG84,$BI$8:$BO$507,7,FALSE()))</f>
        <v/>
      </c>
      <c r="BQ84" s="112" t="str">
        <f aca="false">IF($BG84&gt;$BF$7,"",VLOOKUP($BG84,$BI$8:$BO$507,2,FALSE()))</f>
        <v/>
      </c>
      <c r="BR84" s="112" t="str">
        <f aca="false">IF($BG84&gt;$BF$7,"",VLOOKUP($BG84,$BI$8:$BO$507,3,FALSE()))</f>
        <v/>
      </c>
      <c r="BS84" s="112" t="str">
        <f aca="false">IF($BG84&gt;$BF$7,"",VLOOKUP($BG84,$BI$8:$BO$507,4,FALSE()))</f>
        <v/>
      </c>
      <c r="BT84" s="112" t="str">
        <f aca="false">IF($BG84&gt;$BF$7,"",VLOOKUP($BG84,$BI$8:$BO$507,5,FALSE()))</f>
        <v/>
      </c>
      <c r="BU84" s="113" t="str">
        <f aca="false">IF($BG84&gt;$BF$7,"",VLOOKUP($BG84,$BI$8:$BO$507,6,FALSE()))</f>
        <v/>
      </c>
      <c r="BV84" s="54"/>
    </row>
    <row r="85" customFormat="false" ht="15.75" hidden="false" customHeight="false" outlineLevel="0" collapsed="false">
      <c r="A85" s="5"/>
      <c r="B85" s="128"/>
      <c r="C85" s="129"/>
      <c r="D85" s="114"/>
      <c r="E85" s="134"/>
      <c r="F85" s="139"/>
      <c r="G85" s="93"/>
      <c r="H85" s="140"/>
      <c r="I85" s="95"/>
      <c r="J85" s="95"/>
      <c r="K85" s="93"/>
      <c r="L85" s="141"/>
      <c r="M85" s="95"/>
      <c r="N85" s="95"/>
      <c r="O85" s="93"/>
      <c r="P85" s="134"/>
      <c r="Q85" s="98"/>
      <c r="R85" s="99" t="str">
        <f aca="false">IF(ISBLANK($C85),"",IF(E85=Constants!$B$2, TRUE(), IF(E85=Constants!$B$3, FALSE(), TRUE())))</f>
        <v/>
      </c>
      <c r="S85" s="99" t="str">
        <f aca="false">IF(ISBLANK($C85),"",IF(F85=Constants!$B$2, TRUE(), IF(F85=Constants!$B$3, FALSE(), TRUE())))</f>
        <v/>
      </c>
      <c r="T85" s="99" t="str">
        <f aca="false">IF(ISBLANK($C85),"",IF(G85=Constants!$B$16,Constants!$B$9,IF(G85=Constants!$B$17,Constants!$B$10,Constants!$B$8)))</f>
        <v/>
      </c>
      <c r="U85" s="99" t="str">
        <f aca="false">IF(ISBLANK($C85),"",IF(H85=Constants!$B$19,Constants!$B$19,Constants!$B$18))</f>
        <v/>
      </c>
      <c r="V85" s="99" t="str">
        <f aca="false">IF(ISBLANK($C85),"",IF(ISNUMBER(I85),IF(I85&gt;=0,I85,""),""))</f>
        <v/>
      </c>
      <c r="W85" s="99" t="str">
        <f aca="false">IF(ISBLANK($C85),"",IF(J85=Constants!$B$2, TRUE(), IF(J85=Constants!$B$3, FALSE(), TRUE())))</f>
        <v/>
      </c>
      <c r="X85" s="99" t="str">
        <f aca="false">IF(ISBLANK($C85),"",IF(K85=Constants!$B$2, TRUE(), IF(K85=Constants!$B$3, FALSE(), TRUE())))</f>
        <v/>
      </c>
      <c r="Y85" s="99" t="str">
        <f aca="false">IF(ISBLANK($C85),"",IF(L85=Constants!$B$19,Constants!$B$19,Constants!$B$18))</f>
        <v/>
      </c>
      <c r="Z85" s="99" t="str">
        <f aca="false">IF(ISBLANK($C85),"",IF(ISNUMBER(M85),IF(M85&gt;=0,M85,""),""))</f>
        <v/>
      </c>
      <c r="AA85" s="99" t="str">
        <f aca="false">IF(ISBLANK($C85),"",IF(N85=Constants!$B$2, TRUE(), IF(N85=Constants!$B$3, FALSE(), TRUE())))</f>
        <v/>
      </c>
      <c r="AB85" s="99" t="str">
        <f aca="false">IF(ISBLANK($C85),"",IF(O85=Constants!$B$2, TRUE(), IF(O85=Constants!$B$3, FALSE(), TRUE())))</f>
        <v/>
      </c>
      <c r="AC85" s="99" t="str">
        <f aca="false">IF(ISBLANK($C85),"",IF(P85=Constants!$B$2, TRUE(), IF(P85=Constants!$B$3, FALSE(), FALSE())))</f>
        <v/>
      </c>
      <c r="AD85" s="99" t="str">
        <f aca="false">IF(ISBLANK($C85),"",AND(V85&lt;&gt;"",IF(U85=Constants!$B$19,S85,R85)))</f>
        <v/>
      </c>
      <c r="AE85" s="99" t="str">
        <f aca="false">IF(ISBLANK($C85),"",AND(Z85&lt;&gt;"",IF(Y85=Constants!$B$19,S85,R85)))</f>
        <v/>
      </c>
      <c r="AF85" s="99" t="str">
        <f aca="false">IF(ISBLANK($C85),"",IF(AC85,Constants!$B$4,IF(COUNTA(E85:O85)=0,Constants!$B$5,IF(AND(NOT(AD85),NOT(AE85)),Constants!$B$6,Constants!$B$7))))</f>
        <v/>
      </c>
      <c r="AG85" s="99" t="str">
        <f aca="false">IF(ISBLANK($C85),"",IF($AF85&lt;&gt;Constants!$B$7,$AF85,Constants!$B$20))</f>
        <v/>
      </c>
      <c r="AH85" s="99" t="str">
        <f aca="false">IF($AF85=Constants!$B$7,IF(AD85,V85,Constants!$B$13),"")</f>
        <v/>
      </c>
      <c r="AI85" s="99" t="str">
        <f aca="false">IF($AF85=Constants!$B$7,IF(AD85,T85*IF(W85, 1, Constants!$B$11)*IF(X85, 1, Constants!$B$12),Constants!$B$13),"")</f>
        <v/>
      </c>
      <c r="AJ85" s="99" t="str">
        <f aca="false">IF($AF85=Constants!$B$7,AH85*AI85,"")</f>
        <v/>
      </c>
      <c r="AK85" s="99" t="str">
        <f aca="false">IF($AF85=Constants!$B$7,IF(AE85,Z85,Constants!$B$13),"")</f>
        <v/>
      </c>
      <c r="AL85" s="99" t="str">
        <f aca="false">IF($AF85=Constants!$B$7,IF(AE85,T85*IF(AA85, 1, Constants!$B$11)*IF(AB85, 1, Constants!$B$12),Constants!$B$13),"")</f>
        <v/>
      </c>
      <c r="AM85" s="99" t="str">
        <f aca="false">IF($AF85=Constants!$B$7,AK85*AL85,"")</f>
        <v/>
      </c>
      <c r="AN85" s="99" t="str">
        <f aca="false">IF($AF85=Constants!$B$7,IF(AM85&gt;AJ85,2,1),"")</f>
        <v/>
      </c>
      <c r="AO85" s="99" t="str">
        <f aca="false">IF($AF85=Constants!$B$7,IF(AN85=1,2,1),"")</f>
        <v/>
      </c>
      <c r="AP85" s="99" t="str">
        <f aca="false">IF(ISBLANK($C85),"",IF($AF85&lt;&gt;Constants!$B$7,$AF85,IF(AN85=1,AJ85,AM85)))</f>
        <v/>
      </c>
      <c r="AQ85" s="99" t="str">
        <f aca="false">IF(ISBLANK($C85),"",IF($AF85=Constants!$B$7,IF(ISNUMBER(AP85),RANK(AP85,$AP$8:$AP$507),Constants!$B$14),$AF85))</f>
        <v/>
      </c>
      <c r="AR85" s="99" t="str">
        <f aca="false">IF(ISBLANK($C85),"",IF($AF85=Constants!$B$7,IF(AO85=1,AJ85,AM85),""))</f>
        <v/>
      </c>
      <c r="AS85" s="99" t="str">
        <f aca="false">IF(ISBLANK($C85),"",IF($AF85=Constants!$B$7,RANK(AR85,$AR$8:$AR$507),$AF85))</f>
        <v/>
      </c>
      <c r="AT85" s="99" t="str">
        <f aca="false">IF(ISBLANK($C85),"",IF($AF85=Constants!$B$7,IF(ISNUMBER(AQ85),COUNTIFS($AQ$8:$AQ$507,"&lt;"&amp;$AQ85)+COUNTIFS($AQ$8:$AQ$507,$AQ85,$AS$8:$AS$507,"&lt;"&amp;$AS85)+1,Constants!$B$14),$AF85))</f>
        <v/>
      </c>
      <c r="AU85" s="99" t="str">
        <f aca="false">IF(ISBLANK($C85),"",IF($AF85=Constants!$B$7,IF(ISNUMBER(AQ85),AQ85-AT85,Constants!$B$14),$AF85))</f>
        <v/>
      </c>
      <c r="AV85" s="100"/>
      <c r="AW85" s="101" t="str">
        <f aca="false">IF(ISBLANK($C85),"",IF($AF85&lt;&gt;Constants!$B$7,"",AN85))</f>
        <v/>
      </c>
      <c r="AX85" s="102" t="str">
        <f aca="false">IF(ISBLANK($C85),"",IF($AF85&lt;&gt;Constants!$B$7,"",IF(AN85=1,AH85,AK85)))</f>
        <v/>
      </c>
      <c r="AY85" s="103" t="str">
        <f aca="false">IF(ISBLANK($C85),"",IF($AF85&lt;&gt;Constants!$B$7,"",IF(AN85=1,AI85,AL85)))</f>
        <v/>
      </c>
      <c r="AZ85" s="104" t="str">
        <f aca="false">IF(ISBLANK($C85),"",IF($AF85&lt;&gt;Constants!$B$7,$AF85,AP85))</f>
        <v/>
      </c>
      <c r="BA85" s="105" t="str">
        <f aca="false">IF(ISBLANK($C85),"",IF($AF85&lt;&gt;Constants!$B$7,$AF85,AG85))</f>
        <v/>
      </c>
      <c r="BB85" s="106" t="str">
        <f aca="false">IF(ISBLANK($C85),"",AU85)</f>
        <v/>
      </c>
      <c r="BC85" s="106" t="str">
        <f aca="false">IF(ISBLANK($C85),"",AT85)</f>
        <v/>
      </c>
      <c r="BD85" s="107" t="str">
        <f aca="false">IF(ISBLANK($C85),"",IFERROR(_xlfn.SWITCH(BC85,Constants!$B$4,COUNTA($C$8:$C$507)+2,Constants!$B$5,COUNTA($C$8:$C$507)+1,Constants!$B$6,COUNTA($C$8:$C$507)),BC85))</f>
        <v/>
      </c>
      <c r="BE85" s="5"/>
      <c r="BF85" s="108" t="n">
        <f aca="false">IF(OR(ISNUMBER(BC85),BC85=Constants!$B$4,BC85=Constants!$B$6,BC85=Constants!$B$5),1,0)</f>
        <v>0</v>
      </c>
      <c r="BG85" s="108" t="n">
        <v>78</v>
      </c>
      <c r="BH85" s="108" t="str">
        <f aca="false">IF(ISBLANK($C85),"",IF(ISNUMBER(BD85),BD85+ROW($B85)/1000,""))</f>
        <v/>
      </c>
      <c r="BI85" s="108" t="str">
        <f aca="false">IF(ISNUMBER(BH85),RANK(BH85,$BH$8:$BH$507,1),"")</f>
        <v/>
      </c>
      <c r="BJ85" s="108" t="str">
        <f aca="false">IF(ISBLANK($C85),"",$B85)</f>
        <v/>
      </c>
      <c r="BK85" s="108" t="str">
        <f aca="false">IF(ISBLANK($C85),"",$C85)</f>
        <v/>
      </c>
      <c r="BL85" s="108" t="str">
        <f aca="false">IF(ISBLANK($C85),"",$D85)</f>
        <v/>
      </c>
      <c r="BM85" s="109" t="str">
        <f aca="false">BA85</f>
        <v/>
      </c>
      <c r="BN85" s="110" t="str">
        <f aca="false">AZ85</f>
        <v/>
      </c>
      <c r="BO85" s="108" t="str">
        <f aca="false">IF(ISBLANK($C85),"",BC85)</f>
        <v/>
      </c>
      <c r="BP85" s="111" t="str">
        <f aca="false">IF($BG85&gt;$BF$7,"",VLOOKUP($BG85,$BI$8:$BO$507,7,FALSE()))</f>
        <v/>
      </c>
      <c r="BQ85" s="112" t="str">
        <f aca="false">IF($BG85&gt;$BF$7,"",VLOOKUP($BG85,$BI$8:$BO$507,2,FALSE()))</f>
        <v/>
      </c>
      <c r="BR85" s="112" t="str">
        <f aca="false">IF($BG85&gt;$BF$7,"",VLOOKUP($BG85,$BI$8:$BO$507,3,FALSE()))</f>
        <v/>
      </c>
      <c r="BS85" s="112" t="str">
        <f aca="false">IF($BG85&gt;$BF$7,"",VLOOKUP($BG85,$BI$8:$BO$507,4,FALSE()))</f>
        <v/>
      </c>
      <c r="BT85" s="112" t="str">
        <f aca="false">IF($BG85&gt;$BF$7,"",VLOOKUP($BG85,$BI$8:$BO$507,5,FALSE()))</f>
        <v/>
      </c>
      <c r="BU85" s="113" t="str">
        <f aca="false">IF($BG85&gt;$BF$7,"",VLOOKUP($BG85,$BI$8:$BO$507,6,FALSE()))</f>
        <v/>
      </c>
      <c r="BV85" s="54"/>
    </row>
    <row r="86" customFormat="false" ht="15.75" hidden="false" customHeight="false" outlineLevel="0" collapsed="false">
      <c r="A86" s="5"/>
      <c r="B86" s="135"/>
      <c r="C86" s="56"/>
      <c r="D86" s="57"/>
      <c r="E86" s="84"/>
      <c r="F86" s="136"/>
      <c r="G86" s="60"/>
      <c r="H86" s="137"/>
      <c r="I86" s="62"/>
      <c r="J86" s="62"/>
      <c r="K86" s="60"/>
      <c r="L86" s="138"/>
      <c r="M86" s="62"/>
      <c r="N86" s="62"/>
      <c r="O86" s="60"/>
      <c r="P86" s="84"/>
      <c r="Q86" s="65"/>
      <c r="R86" s="67" t="str">
        <f aca="false">IF(ISBLANK($C86),"",IF(E86=Constants!$B$2, TRUE(), IF(E86=Constants!$B$3, FALSE(), TRUE())))</f>
        <v/>
      </c>
      <c r="S86" s="67" t="str">
        <f aca="false">IF(ISBLANK($C86),"",IF(F86=Constants!$B$2, TRUE(), IF(F86=Constants!$B$3, FALSE(), TRUE())))</f>
        <v/>
      </c>
      <c r="T86" s="67" t="str">
        <f aca="false">IF(ISBLANK($C86),"",IF(G86=Constants!$B$16,Constants!$B$9,IF(G86=Constants!$B$17,Constants!$B$10,Constants!$B$8)))</f>
        <v/>
      </c>
      <c r="U86" s="67" t="str">
        <f aca="false">IF(ISBLANK($C86),"",IF(H86=Constants!$B$19,Constants!$B$19,Constants!$B$18))</f>
        <v/>
      </c>
      <c r="V86" s="67" t="str">
        <f aca="false">IF(ISBLANK($C86),"",IF(ISNUMBER(I86),IF(I86&gt;=0,I86,""),""))</f>
        <v/>
      </c>
      <c r="W86" s="67" t="str">
        <f aca="false">IF(ISBLANK($C86),"",IF(J86=Constants!$B$2, TRUE(), IF(J86=Constants!$B$3, FALSE(), TRUE())))</f>
        <v/>
      </c>
      <c r="X86" s="67" t="str">
        <f aca="false">IF(ISBLANK($C86),"",IF(K86=Constants!$B$2, TRUE(), IF(K86=Constants!$B$3, FALSE(), TRUE())))</f>
        <v/>
      </c>
      <c r="Y86" s="67" t="str">
        <f aca="false">IF(ISBLANK($C86),"",IF(L86=Constants!$B$19,Constants!$B$19,Constants!$B$18))</f>
        <v/>
      </c>
      <c r="Z86" s="67" t="str">
        <f aca="false">IF(ISBLANK($C86),"",IF(ISNUMBER(M86),IF(M86&gt;=0,M86,""),""))</f>
        <v/>
      </c>
      <c r="AA86" s="67" t="str">
        <f aca="false">IF(ISBLANK($C86),"",IF(N86=Constants!$B$2, TRUE(), IF(N86=Constants!$B$3, FALSE(), TRUE())))</f>
        <v/>
      </c>
      <c r="AB86" s="67" t="str">
        <f aca="false">IF(ISBLANK($C86),"",IF(O86=Constants!$B$2, TRUE(), IF(O86=Constants!$B$3, FALSE(), TRUE())))</f>
        <v/>
      </c>
      <c r="AC86" s="67" t="str">
        <f aca="false">IF(ISBLANK($C86),"",IF(P86=Constants!$B$2, TRUE(), IF(P86=Constants!$B$3, FALSE(), FALSE())))</f>
        <v/>
      </c>
      <c r="AD86" s="67" t="str">
        <f aca="false">IF(ISBLANK($C86),"",AND(V86&lt;&gt;"",IF(U86=Constants!$B$19,S86,R86)))</f>
        <v/>
      </c>
      <c r="AE86" s="67" t="str">
        <f aca="false">IF(ISBLANK($C86),"",AND(Z86&lt;&gt;"",IF(Y86=Constants!$B$19,S86,R86)))</f>
        <v/>
      </c>
      <c r="AF86" s="67" t="str">
        <f aca="false">IF(ISBLANK($C86),"",IF(AC86,Constants!$B$4,IF(COUNTA(E86:O86)=0,Constants!$B$5,IF(AND(NOT(AD86),NOT(AE86)),Constants!$B$6,Constants!$B$7))))</f>
        <v/>
      </c>
      <c r="AG86" s="67" t="str">
        <f aca="false">IF(ISBLANK($C86),"",IF($AF86&lt;&gt;Constants!$B$7,$AF86,Constants!$B$20))</f>
        <v/>
      </c>
      <c r="AH86" s="67" t="str">
        <f aca="false">IF($AF86=Constants!$B$7,IF(AD86,V86,Constants!$B$13),"")</f>
        <v/>
      </c>
      <c r="AI86" s="67" t="str">
        <f aca="false">IF($AF86=Constants!$B$7,IF(AD86,T86*IF(W86, 1, Constants!$B$11)*IF(X86, 1, Constants!$B$12),Constants!$B$13),"")</f>
        <v/>
      </c>
      <c r="AJ86" s="67" t="str">
        <f aca="false">IF($AF86=Constants!$B$7,AH86*AI86,"")</f>
        <v/>
      </c>
      <c r="AK86" s="67" t="str">
        <f aca="false">IF($AF86=Constants!$B$7,IF(AE86,Z86,Constants!$B$13),"")</f>
        <v/>
      </c>
      <c r="AL86" s="67" t="str">
        <f aca="false">IF($AF86=Constants!$B$7,IF(AE86,T86*IF(AA86, 1, Constants!$B$11)*IF(AB86, 1, Constants!$B$12),Constants!$B$13),"")</f>
        <v/>
      </c>
      <c r="AM86" s="67" t="str">
        <f aca="false">IF($AF86=Constants!$B$7,AK86*AL86,"")</f>
        <v/>
      </c>
      <c r="AN86" s="67" t="str">
        <f aca="false">IF($AF86=Constants!$B$7,IF(AM86&gt;AJ86,2,1),"")</f>
        <v/>
      </c>
      <c r="AO86" s="67" t="str">
        <f aca="false">IF($AF86=Constants!$B$7,IF(AN86=1,2,1),"")</f>
        <v/>
      </c>
      <c r="AP86" s="67" t="str">
        <f aca="false">IF(ISBLANK($C86),"",IF($AF86&lt;&gt;Constants!$B$7,$AF86,IF(AN86=1,AJ86,AM86)))</f>
        <v/>
      </c>
      <c r="AQ86" s="67" t="str">
        <f aca="false">IF(ISBLANK($C86),"",IF($AF86=Constants!$B$7,IF(ISNUMBER(AP86),RANK(AP86,$AP$8:$AP$507),Constants!$B$14),$AF86))</f>
        <v/>
      </c>
      <c r="AR86" s="67" t="str">
        <f aca="false">IF(ISBLANK($C86),"",IF($AF86=Constants!$B$7,IF(AO86=1,AJ86,AM86),""))</f>
        <v/>
      </c>
      <c r="AS86" s="67" t="str">
        <f aca="false">IF(ISBLANK($C86),"",IF($AF86=Constants!$B$7,RANK(AR86,$AR$8:$AR$507),$AF86))</f>
        <v/>
      </c>
      <c r="AT86" s="67" t="str">
        <f aca="false">IF(ISBLANK($C86),"",IF($AF86=Constants!$B$7,IF(ISNUMBER(AQ86),COUNTIFS($AQ$8:$AQ$507,"&lt;"&amp;$AQ86)+COUNTIFS($AQ$8:$AQ$507,$AQ86,$AS$8:$AS$507,"&lt;"&amp;$AS86)+1,Constants!$B$14),$AF86))</f>
        <v/>
      </c>
      <c r="AU86" s="67" t="str">
        <f aca="false">IF(ISBLANK($C86),"",IF($AF86=Constants!$B$7,IF(ISNUMBER(AQ86),AQ86-AT86,Constants!$B$14),$AF86))</f>
        <v/>
      </c>
      <c r="AV86" s="69"/>
      <c r="AW86" s="70" t="str">
        <f aca="false">IF(ISBLANK($C86),"",IF($AF86&lt;&gt;Constants!$B$7,"",AN86))</f>
        <v/>
      </c>
      <c r="AX86" s="85" t="str">
        <f aca="false">IF(ISBLANK($C86),"",IF($AF86&lt;&gt;Constants!$B$7,"",IF(AN86=1,AH86,AK86)))</f>
        <v/>
      </c>
      <c r="AY86" s="72" t="str">
        <f aca="false">IF(ISBLANK($C86),"",IF($AF86&lt;&gt;Constants!$B$7,"",IF(AN86=1,AI86,AL86)))</f>
        <v/>
      </c>
      <c r="AZ86" s="73" t="str">
        <f aca="false">IF(ISBLANK($C86),"",IF($AF86&lt;&gt;Constants!$B$7,$AF86,AP86))</f>
        <v/>
      </c>
      <c r="BA86" s="74" t="str">
        <f aca="false">IF(ISBLANK($C86),"",IF($AF86&lt;&gt;Constants!$B$7,$AF86,AG86))</f>
        <v/>
      </c>
      <c r="BB86" s="75" t="str">
        <f aca="false">IF(ISBLANK($C86),"",AU86)</f>
        <v/>
      </c>
      <c r="BC86" s="75" t="str">
        <f aca="false">IF(ISBLANK($C86),"",AT86)</f>
        <v/>
      </c>
      <c r="BD86" s="76" t="str">
        <f aca="false">IF(ISBLANK($C86),"",IFERROR(_xlfn.SWITCH(BC86,Constants!$B$4,COUNTA($C$8:$C$507)+2,Constants!$B$5,COUNTA($C$8:$C$507)+1,Constants!$B$6,COUNTA($C$8:$C$507)),BC86))</f>
        <v/>
      </c>
      <c r="BE86" s="5"/>
      <c r="BF86" s="77" t="n">
        <f aca="false">IF(OR(ISNUMBER(BC86),BC86=Constants!$B$4,BC86=Constants!$B$6,BC86=Constants!$B$5),1,0)</f>
        <v>0</v>
      </c>
      <c r="BG86" s="77" t="n">
        <v>79</v>
      </c>
      <c r="BH86" s="77" t="str">
        <f aca="false">IF(ISBLANK($C86),"",IF(ISNUMBER(BD86),BD86+ROW($B86)/1000,""))</f>
        <v/>
      </c>
      <c r="BI86" s="77" t="str">
        <f aca="false">IF(ISNUMBER(BH86),RANK(BH86,$BH$8:$BH$507,1),"")</f>
        <v/>
      </c>
      <c r="BJ86" s="77" t="str">
        <f aca="false">IF(ISBLANK($C86),"",$B86)</f>
        <v/>
      </c>
      <c r="BK86" s="77" t="str">
        <f aca="false">IF(ISBLANK($C86),"",$C86)</f>
        <v/>
      </c>
      <c r="BL86" s="77" t="str">
        <f aca="false">IF(ISBLANK($C86),"",$D86)</f>
        <v/>
      </c>
      <c r="BM86" s="78" t="str">
        <f aca="false">BA86</f>
        <v/>
      </c>
      <c r="BN86" s="79" t="str">
        <f aca="false">AZ86</f>
        <v/>
      </c>
      <c r="BO86" s="77" t="str">
        <f aca="false">IF(ISBLANK($C86),"",BC86)</f>
        <v/>
      </c>
      <c r="BP86" s="80" t="str">
        <f aca="false">IF($BG86&gt;$BF$7,"",VLOOKUP($BG86,$BI$8:$BO$507,7,FALSE()))</f>
        <v/>
      </c>
      <c r="BQ86" s="81" t="str">
        <f aca="false">IF($BG86&gt;$BF$7,"",VLOOKUP($BG86,$BI$8:$BO$507,2,FALSE()))</f>
        <v/>
      </c>
      <c r="BR86" s="81" t="str">
        <f aca="false">IF($BG86&gt;$BF$7,"",VLOOKUP($BG86,$BI$8:$BO$507,3,FALSE()))</f>
        <v/>
      </c>
      <c r="BS86" s="81" t="str">
        <f aca="false">IF($BG86&gt;$BF$7,"",VLOOKUP($BG86,$BI$8:$BO$507,4,FALSE()))</f>
        <v/>
      </c>
      <c r="BT86" s="81" t="str">
        <f aca="false">IF($BG86&gt;$BF$7,"",VLOOKUP($BG86,$BI$8:$BO$507,5,FALSE()))</f>
        <v/>
      </c>
      <c r="BU86" s="82" t="str">
        <f aca="false">IF($BG86&gt;$BF$7,"",VLOOKUP($BG86,$BI$8:$BO$507,6,FALSE()))</f>
        <v/>
      </c>
      <c r="BV86" s="54"/>
    </row>
    <row r="87" customFormat="false" ht="15.75" hidden="false" customHeight="false" outlineLevel="0" collapsed="false">
      <c r="A87" s="5"/>
      <c r="B87" s="135"/>
      <c r="C87" s="56"/>
      <c r="D87" s="57"/>
      <c r="E87" s="84"/>
      <c r="F87" s="136"/>
      <c r="G87" s="60"/>
      <c r="H87" s="137"/>
      <c r="I87" s="62"/>
      <c r="J87" s="62"/>
      <c r="K87" s="60"/>
      <c r="L87" s="138"/>
      <c r="M87" s="62"/>
      <c r="N87" s="62"/>
      <c r="O87" s="60"/>
      <c r="P87" s="84"/>
      <c r="Q87" s="65"/>
      <c r="R87" s="67" t="str">
        <f aca="false">IF(ISBLANK($C87),"",IF(E87=Constants!$B$2, TRUE(), IF(E87=Constants!$B$3, FALSE(), TRUE())))</f>
        <v/>
      </c>
      <c r="S87" s="67" t="str">
        <f aca="false">IF(ISBLANK($C87),"",IF(F87=Constants!$B$2, TRUE(), IF(F87=Constants!$B$3, FALSE(), TRUE())))</f>
        <v/>
      </c>
      <c r="T87" s="67" t="str">
        <f aca="false">IF(ISBLANK($C87),"",IF(G87=Constants!$B$16,Constants!$B$9,IF(G87=Constants!$B$17,Constants!$B$10,Constants!$B$8)))</f>
        <v/>
      </c>
      <c r="U87" s="67" t="str">
        <f aca="false">IF(ISBLANK($C87),"",IF(H87=Constants!$B$19,Constants!$B$19,Constants!$B$18))</f>
        <v/>
      </c>
      <c r="V87" s="67" t="str">
        <f aca="false">IF(ISBLANK($C87),"",IF(ISNUMBER(I87),IF(I87&gt;=0,I87,""),""))</f>
        <v/>
      </c>
      <c r="W87" s="67" t="str">
        <f aca="false">IF(ISBLANK($C87),"",IF(J87=Constants!$B$2, TRUE(), IF(J87=Constants!$B$3, FALSE(), TRUE())))</f>
        <v/>
      </c>
      <c r="X87" s="67" t="str">
        <f aca="false">IF(ISBLANK($C87),"",IF(K87=Constants!$B$2, TRUE(), IF(K87=Constants!$B$3, FALSE(), TRUE())))</f>
        <v/>
      </c>
      <c r="Y87" s="67" t="str">
        <f aca="false">IF(ISBLANK($C87),"",IF(L87=Constants!$B$19,Constants!$B$19,Constants!$B$18))</f>
        <v/>
      </c>
      <c r="Z87" s="67" t="str">
        <f aca="false">IF(ISBLANK($C87),"",IF(ISNUMBER(M87),IF(M87&gt;=0,M87,""),""))</f>
        <v/>
      </c>
      <c r="AA87" s="67" t="str">
        <f aca="false">IF(ISBLANK($C87),"",IF(N87=Constants!$B$2, TRUE(), IF(N87=Constants!$B$3, FALSE(), TRUE())))</f>
        <v/>
      </c>
      <c r="AB87" s="67" t="str">
        <f aca="false">IF(ISBLANK($C87),"",IF(O87=Constants!$B$2, TRUE(), IF(O87=Constants!$B$3, FALSE(), TRUE())))</f>
        <v/>
      </c>
      <c r="AC87" s="67" t="str">
        <f aca="false">IF(ISBLANK($C87),"",IF(P87=Constants!$B$2, TRUE(), IF(P87=Constants!$B$3, FALSE(), FALSE())))</f>
        <v/>
      </c>
      <c r="AD87" s="67" t="str">
        <f aca="false">IF(ISBLANK($C87),"",AND(V87&lt;&gt;"",IF(U87=Constants!$B$19,S87,R87)))</f>
        <v/>
      </c>
      <c r="AE87" s="67" t="str">
        <f aca="false">IF(ISBLANK($C87),"",AND(Z87&lt;&gt;"",IF(Y87=Constants!$B$19,S87,R87)))</f>
        <v/>
      </c>
      <c r="AF87" s="67" t="str">
        <f aca="false">IF(ISBLANK($C87),"",IF(AC87,Constants!$B$4,IF(COUNTA(E87:O87)=0,Constants!$B$5,IF(AND(NOT(AD87),NOT(AE87)),Constants!$B$6,Constants!$B$7))))</f>
        <v/>
      </c>
      <c r="AG87" s="67" t="str">
        <f aca="false">IF(ISBLANK($C87),"",IF($AF87&lt;&gt;Constants!$B$7,$AF87,Constants!$B$20))</f>
        <v/>
      </c>
      <c r="AH87" s="67" t="str">
        <f aca="false">IF($AF87=Constants!$B$7,IF(AD87,V87,Constants!$B$13),"")</f>
        <v/>
      </c>
      <c r="AI87" s="67" t="str">
        <f aca="false">IF($AF87=Constants!$B$7,IF(AD87,T87*IF(W87, 1, Constants!$B$11)*IF(X87, 1, Constants!$B$12),Constants!$B$13),"")</f>
        <v/>
      </c>
      <c r="AJ87" s="67" t="str">
        <f aca="false">IF($AF87=Constants!$B$7,AH87*AI87,"")</f>
        <v/>
      </c>
      <c r="AK87" s="67" t="str">
        <f aca="false">IF($AF87=Constants!$B$7,IF(AE87,Z87,Constants!$B$13),"")</f>
        <v/>
      </c>
      <c r="AL87" s="67" t="str">
        <f aca="false">IF($AF87=Constants!$B$7,IF(AE87,T87*IF(AA87, 1, Constants!$B$11)*IF(AB87, 1, Constants!$B$12),Constants!$B$13),"")</f>
        <v/>
      </c>
      <c r="AM87" s="67" t="str">
        <f aca="false">IF($AF87=Constants!$B$7,AK87*AL87,"")</f>
        <v/>
      </c>
      <c r="AN87" s="67" t="str">
        <f aca="false">IF($AF87=Constants!$B$7,IF(AM87&gt;AJ87,2,1),"")</f>
        <v/>
      </c>
      <c r="AO87" s="67" t="str">
        <f aca="false">IF($AF87=Constants!$B$7,IF(AN87=1,2,1),"")</f>
        <v/>
      </c>
      <c r="AP87" s="67" t="str">
        <f aca="false">IF(ISBLANK($C87),"",IF($AF87&lt;&gt;Constants!$B$7,$AF87,IF(AN87=1,AJ87,AM87)))</f>
        <v/>
      </c>
      <c r="AQ87" s="67" t="str">
        <f aca="false">IF(ISBLANK($C87),"",IF($AF87=Constants!$B$7,IF(ISNUMBER(AP87),RANK(AP87,$AP$8:$AP$507),Constants!$B$14),$AF87))</f>
        <v/>
      </c>
      <c r="AR87" s="67" t="str">
        <f aca="false">IF(ISBLANK($C87),"",IF($AF87=Constants!$B$7,IF(AO87=1,AJ87,AM87),""))</f>
        <v/>
      </c>
      <c r="AS87" s="67" t="str">
        <f aca="false">IF(ISBLANK($C87),"",IF($AF87=Constants!$B$7,RANK(AR87,$AR$8:$AR$507),$AF87))</f>
        <v/>
      </c>
      <c r="AT87" s="67" t="str">
        <f aca="false">IF(ISBLANK($C87),"",IF($AF87=Constants!$B$7,IF(ISNUMBER(AQ87),COUNTIFS($AQ$8:$AQ$507,"&lt;"&amp;$AQ87)+COUNTIFS($AQ$8:$AQ$507,$AQ87,$AS$8:$AS$507,"&lt;"&amp;$AS87)+1,Constants!$B$14),$AF87))</f>
        <v/>
      </c>
      <c r="AU87" s="67" t="str">
        <f aca="false">IF(ISBLANK($C87),"",IF($AF87=Constants!$B$7,IF(ISNUMBER(AQ87),AQ87-AT87,Constants!$B$14),$AF87))</f>
        <v/>
      </c>
      <c r="AV87" s="69"/>
      <c r="AW87" s="70" t="str">
        <f aca="false">IF(ISBLANK($C87),"",IF($AF87&lt;&gt;Constants!$B$7,"",AN87))</f>
        <v/>
      </c>
      <c r="AX87" s="85" t="str">
        <f aca="false">IF(ISBLANK($C87),"",IF($AF87&lt;&gt;Constants!$B$7,"",IF(AN87=1,AH87,AK87)))</f>
        <v/>
      </c>
      <c r="AY87" s="72" t="str">
        <f aca="false">IF(ISBLANK($C87),"",IF($AF87&lt;&gt;Constants!$B$7,"",IF(AN87=1,AI87,AL87)))</f>
        <v/>
      </c>
      <c r="AZ87" s="73" t="str">
        <f aca="false">IF(ISBLANK($C87),"",IF($AF87&lt;&gt;Constants!$B$7,$AF87,AP87))</f>
        <v/>
      </c>
      <c r="BA87" s="74" t="str">
        <f aca="false">IF(ISBLANK($C87),"",IF($AF87&lt;&gt;Constants!$B$7,$AF87,AG87))</f>
        <v/>
      </c>
      <c r="BB87" s="75" t="str">
        <f aca="false">IF(ISBLANK($C87),"",AU87)</f>
        <v/>
      </c>
      <c r="BC87" s="75" t="str">
        <f aca="false">IF(ISBLANK($C87),"",AT87)</f>
        <v/>
      </c>
      <c r="BD87" s="76" t="str">
        <f aca="false">IF(ISBLANK($C87),"",IFERROR(_xlfn.SWITCH(BC87,Constants!$B$4,COUNTA($C$8:$C$507)+2,Constants!$B$5,COUNTA($C$8:$C$507)+1,Constants!$B$6,COUNTA($C$8:$C$507)),BC87))</f>
        <v/>
      </c>
      <c r="BE87" s="5"/>
      <c r="BF87" s="77" t="n">
        <f aca="false">IF(OR(ISNUMBER(BC87),BC87=Constants!$B$4,BC87=Constants!$B$6,BC87=Constants!$B$5),1,0)</f>
        <v>0</v>
      </c>
      <c r="BG87" s="77" t="n">
        <v>80</v>
      </c>
      <c r="BH87" s="77" t="str">
        <f aca="false">IF(ISBLANK($C87),"",IF(ISNUMBER(BD87),BD87+ROW($B87)/1000,""))</f>
        <v/>
      </c>
      <c r="BI87" s="77" t="str">
        <f aca="false">IF(ISNUMBER(BH87),RANK(BH87,$BH$8:$BH$507,1),"")</f>
        <v/>
      </c>
      <c r="BJ87" s="77" t="str">
        <f aca="false">IF(ISBLANK($C87),"",$B87)</f>
        <v/>
      </c>
      <c r="BK87" s="77" t="str">
        <f aca="false">IF(ISBLANK($C87),"",$C87)</f>
        <v/>
      </c>
      <c r="BL87" s="77" t="str">
        <f aca="false">IF(ISBLANK($C87),"",$D87)</f>
        <v/>
      </c>
      <c r="BM87" s="78" t="str">
        <f aca="false">BA87</f>
        <v/>
      </c>
      <c r="BN87" s="79" t="str">
        <f aca="false">AZ87</f>
        <v/>
      </c>
      <c r="BO87" s="77" t="str">
        <f aca="false">IF(ISBLANK($C87),"",BC87)</f>
        <v/>
      </c>
      <c r="BP87" s="80" t="str">
        <f aca="false">IF($BG87&gt;$BF$7,"",VLOOKUP($BG87,$BI$8:$BO$507,7,FALSE()))</f>
        <v/>
      </c>
      <c r="BQ87" s="81" t="str">
        <f aca="false">IF($BG87&gt;$BF$7,"",VLOOKUP($BG87,$BI$8:$BO$507,2,FALSE()))</f>
        <v/>
      </c>
      <c r="BR87" s="81" t="str">
        <f aca="false">IF($BG87&gt;$BF$7,"",VLOOKUP($BG87,$BI$8:$BO$507,3,FALSE()))</f>
        <v/>
      </c>
      <c r="BS87" s="81" t="str">
        <f aca="false">IF($BG87&gt;$BF$7,"",VLOOKUP($BG87,$BI$8:$BO$507,4,FALSE()))</f>
        <v/>
      </c>
      <c r="BT87" s="81" t="str">
        <f aca="false">IF($BG87&gt;$BF$7,"",VLOOKUP($BG87,$BI$8:$BO$507,5,FALSE()))</f>
        <v/>
      </c>
      <c r="BU87" s="82" t="str">
        <f aca="false">IF($BG87&gt;$BF$7,"",VLOOKUP($BG87,$BI$8:$BO$507,6,FALSE()))</f>
        <v/>
      </c>
      <c r="BV87" s="54"/>
    </row>
    <row r="88" customFormat="false" ht="15.75" hidden="false" customHeight="false" outlineLevel="0" collapsed="false">
      <c r="A88" s="5"/>
      <c r="B88" s="135"/>
      <c r="C88" s="56"/>
      <c r="D88" s="57"/>
      <c r="E88" s="84"/>
      <c r="F88" s="136"/>
      <c r="G88" s="60"/>
      <c r="H88" s="137"/>
      <c r="I88" s="62"/>
      <c r="J88" s="62"/>
      <c r="K88" s="60"/>
      <c r="L88" s="138"/>
      <c r="M88" s="62"/>
      <c r="N88" s="62"/>
      <c r="O88" s="60"/>
      <c r="P88" s="84"/>
      <c r="Q88" s="65"/>
      <c r="R88" s="67" t="str">
        <f aca="false">IF(ISBLANK($C88),"",IF(E88=Constants!$B$2, TRUE(), IF(E88=Constants!$B$3, FALSE(), TRUE())))</f>
        <v/>
      </c>
      <c r="S88" s="67" t="str">
        <f aca="false">IF(ISBLANK($C88),"",IF(F88=Constants!$B$2, TRUE(), IF(F88=Constants!$B$3, FALSE(), TRUE())))</f>
        <v/>
      </c>
      <c r="T88" s="67" t="str">
        <f aca="false">IF(ISBLANK($C88),"",IF(G88=Constants!$B$16,Constants!$B$9,IF(G88=Constants!$B$17,Constants!$B$10,Constants!$B$8)))</f>
        <v/>
      </c>
      <c r="U88" s="67" t="str">
        <f aca="false">IF(ISBLANK($C88),"",IF(H88=Constants!$B$19,Constants!$B$19,Constants!$B$18))</f>
        <v/>
      </c>
      <c r="V88" s="67" t="str">
        <f aca="false">IF(ISBLANK($C88),"",IF(ISNUMBER(I88),IF(I88&gt;=0,I88,""),""))</f>
        <v/>
      </c>
      <c r="W88" s="67" t="str">
        <f aca="false">IF(ISBLANK($C88),"",IF(J88=Constants!$B$2, TRUE(), IF(J88=Constants!$B$3, FALSE(), TRUE())))</f>
        <v/>
      </c>
      <c r="X88" s="67" t="str">
        <f aca="false">IF(ISBLANK($C88),"",IF(K88=Constants!$B$2, TRUE(), IF(K88=Constants!$B$3, FALSE(), TRUE())))</f>
        <v/>
      </c>
      <c r="Y88" s="67" t="str">
        <f aca="false">IF(ISBLANK($C88),"",IF(L88=Constants!$B$19,Constants!$B$19,Constants!$B$18))</f>
        <v/>
      </c>
      <c r="Z88" s="67" t="str">
        <f aca="false">IF(ISBLANK($C88),"",IF(ISNUMBER(M88),IF(M88&gt;=0,M88,""),""))</f>
        <v/>
      </c>
      <c r="AA88" s="67" t="str">
        <f aca="false">IF(ISBLANK($C88),"",IF(N88=Constants!$B$2, TRUE(), IF(N88=Constants!$B$3, FALSE(), TRUE())))</f>
        <v/>
      </c>
      <c r="AB88" s="67" t="str">
        <f aca="false">IF(ISBLANK($C88),"",IF(O88=Constants!$B$2, TRUE(), IF(O88=Constants!$B$3, FALSE(), TRUE())))</f>
        <v/>
      </c>
      <c r="AC88" s="67" t="str">
        <f aca="false">IF(ISBLANK($C88),"",IF(P88=Constants!$B$2, TRUE(), IF(P88=Constants!$B$3, FALSE(), FALSE())))</f>
        <v/>
      </c>
      <c r="AD88" s="67" t="str">
        <f aca="false">IF(ISBLANK($C88),"",AND(V88&lt;&gt;"",IF(U88=Constants!$B$19,S88,R88)))</f>
        <v/>
      </c>
      <c r="AE88" s="67" t="str">
        <f aca="false">IF(ISBLANK($C88),"",AND(Z88&lt;&gt;"",IF(Y88=Constants!$B$19,S88,R88)))</f>
        <v/>
      </c>
      <c r="AF88" s="67" t="str">
        <f aca="false">IF(ISBLANK($C88),"",IF(AC88,Constants!$B$4,IF(COUNTA(E88:O88)=0,Constants!$B$5,IF(AND(NOT(AD88),NOT(AE88)),Constants!$B$6,Constants!$B$7))))</f>
        <v/>
      </c>
      <c r="AG88" s="67" t="str">
        <f aca="false">IF(ISBLANK($C88),"",IF($AF88&lt;&gt;Constants!$B$7,$AF88,Constants!$B$20))</f>
        <v/>
      </c>
      <c r="AH88" s="67" t="str">
        <f aca="false">IF($AF88=Constants!$B$7,IF(AD88,V88,Constants!$B$13),"")</f>
        <v/>
      </c>
      <c r="AI88" s="67" t="str">
        <f aca="false">IF($AF88=Constants!$B$7,IF(AD88,T88*IF(W88, 1, Constants!$B$11)*IF(X88, 1, Constants!$B$12),Constants!$B$13),"")</f>
        <v/>
      </c>
      <c r="AJ88" s="67" t="str">
        <f aca="false">IF($AF88=Constants!$B$7,AH88*AI88,"")</f>
        <v/>
      </c>
      <c r="AK88" s="67" t="str">
        <f aca="false">IF($AF88=Constants!$B$7,IF(AE88,Z88,Constants!$B$13),"")</f>
        <v/>
      </c>
      <c r="AL88" s="67" t="str">
        <f aca="false">IF($AF88=Constants!$B$7,IF(AE88,T88*IF(AA88, 1, Constants!$B$11)*IF(AB88, 1, Constants!$B$12),Constants!$B$13),"")</f>
        <v/>
      </c>
      <c r="AM88" s="67" t="str">
        <f aca="false">IF($AF88=Constants!$B$7,AK88*AL88,"")</f>
        <v/>
      </c>
      <c r="AN88" s="67" t="str">
        <f aca="false">IF($AF88=Constants!$B$7,IF(AM88&gt;AJ88,2,1),"")</f>
        <v/>
      </c>
      <c r="AO88" s="67" t="str">
        <f aca="false">IF($AF88=Constants!$B$7,IF(AN88=1,2,1),"")</f>
        <v/>
      </c>
      <c r="AP88" s="67" t="str">
        <f aca="false">IF(ISBLANK($C88),"",IF($AF88&lt;&gt;Constants!$B$7,$AF88,IF(AN88=1,AJ88,AM88)))</f>
        <v/>
      </c>
      <c r="AQ88" s="67" t="str">
        <f aca="false">IF(ISBLANK($C88),"",IF($AF88=Constants!$B$7,IF(ISNUMBER(AP88),RANK(AP88,$AP$8:$AP$507),Constants!$B$14),$AF88))</f>
        <v/>
      </c>
      <c r="AR88" s="67" t="str">
        <f aca="false">IF(ISBLANK($C88),"",IF($AF88=Constants!$B$7,IF(AO88=1,AJ88,AM88),""))</f>
        <v/>
      </c>
      <c r="AS88" s="67" t="str">
        <f aca="false">IF(ISBLANK($C88),"",IF($AF88=Constants!$B$7,RANK(AR88,$AR$8:$AR$507),$AF88))</f>
        <v/>
      </c>
      <c r="AT88" s="67" t="str">
        <f aca="false">IF(ISBLANK($C88),"",IF($AF88=Constants!$B$7,IF(ISNUMBER(AQ88),COUNTIFS($AQ$8:$AQ$507,"&lt;"&amp;$AQ88)+COUNTIFS($AQ$8:$AQ$507,$AQ88,$AS$8:$AS$507,"&lt;"&amp;$AS88)+1,Constants!$B$14),$AF88))</f>
        <v/>
      </c>
      <c r="AU88" s="67" t="str">
        <f aca="false">IF(ISBLANK($C88),"",IF($AF88=Constants!$B$7,IF(ISNUMBER(AQ88),AQ88-AT88,Constants!$B$14),$AF88))</f>
        <v/>
      </c>
      <c r="AV88" s="69"/>
      <c r="AW88" s="70" t="str">
        <f aca="false">IF(ISBLANK($C88),"",IF($AF88&lt;&gt;Constants!$B$7,"",AN88))</f>
        <v/>
      </c>
      <c r="AX88" s="85" t="str">
        <f aca="false">IF(ISBLANK($C88),"",IF($AF88&lt;&gt;Constants!$B$7,"",IF(AN88=1,AH88,AK88)))</f>
        <v/>
      </c>
      <c r="AY88" s="72" t="str">
        <f aca="false">IF(ISBLANK($C88),"",IF($AF88&lt;&gt;Constants!$B$7,"",IF(AN88=1,AI88,AL88)))</f>
        <v/>
      </c>
      <c r="AZ88" s="73" t="str">
        <f aca="false">IF(ISBLANK($C88),"",IF($AF88&lt;&gt;Constants!$B$7,$AF88,AP88))</f>
        <v/>
      </c>
      <c r="BA88" s="74" t="str">
        <f aca="false">IF(ISBLANK($C88),"",IF($AF88&lt;&gt;Constants!$B$7,$AF88,AG88))</f>
        <v/>
      </c>
      <c r="BB88" s="75" t="str">
        <f aca="false">IF(ISBLANK($C88),"",AU88)</f>
        <v/>
      </c>
      <c r="BC88" s="75" t="str">
        <f aca="false">IF(ISBLANK($C88),"",AT88)</f>
        <v/>
      </c>
      <c r="BD88" s="76" t="str">
        <f aca="false">IF(ISBLANK($C88),"",IFERROR(_xlfn.SWITCH(BC88,Constants!$B$4,COUNTA($C$8:$C$507)+2,Constants!$B$5,COUNTA($C$8:$C$507)+1,Constants!$B$6,COUNTA($C$8:$C$507)),BC88))</f>
        <v/>
      </c>
      <c r="BE88" s="5"/>
      <c r="BF88" s="77" t="n">
        <f aca="false">IF(OR(ISNUMBER(BC88),BC88=Constants!$B$4,BC88=Constants!$B$6,BC88=Constants!$B$5),1,0)</f>
        <v>0</v>
      </c>
      <c r="BG88" s="77" t="n">
        <v>81</v>
      </c>
      <c r="BH88" s="77" t="str">
        <f aca="false">IF(ISBLANK($C88),"",IF(ISNUMBER(BD88),BD88+ROW($B88)/1000,""))</f>
        <v/>
      </c>
      <c r="BI88" s="77" t="str">
        <f aca="false">IF(ISNUMBER(BH88),RANK(BH88,$BH$8:$BH$507,1),"")</f>
        <v/>
      </c>
      <c r="BJ88" s="77" t="str">
        <f aca="false">IF(ISBLANK($C88),"",$B88)</f>
        <v/>
      </c>
      <c r="BK88" s="77" t="str">
        <f aca="false">IF(ISBLANK($C88),"",$C88)</f>
        <v/>
      </c>
      <c r="BL88" s="77" t="str">
        <f aca="false">IF(ISBLANK($C88),"",$D88)</f>
        <v/>
      </c>
      <c r="BM88" s="78" t="str">
        <f aca="false">BA88</f>
        <v/>
      </c>
      <c r="BN88" s="79" t="str">
        <f aca="false">AZ88</f>
        <v/>
      </c>
      <c r="BO88" s="77" t="str">
        <f aca="false">IF(ISBLANK($C88),"",BC88)</f>
        <v/>
      </c>
      <c r="BP88" s="80" t="str">
        <f aca="false">IF($BG88&gt;$BF$7,"",VLOOKUP($BG88,$BI$8:$BO$507,7,FALSE()))</f>
        <v/>
      </c>
      <c r="BQ88" s="81" t="str">
        <f aca="false">IF($BG88&gt;$BF$7,"",VLOOKUP($BG88,$BI$8:$BO$507,2,FALSE()))</f>
        <v/>
      </c>
      <c r="BR88" s="81" t="str">
        <f aca="false">IF($BG88&gt;$BF$7,"",VLOOKUP($BG88,$BI$8:$BO$507,3,FALSE()))</f>
        <v/>
      </c>
      <c r="BS88" s="81" t="str">
        <f aca="false">IF($BG88&gt;$BF$7,"",VLOOKUP($BG88,$BI$8:$BO$507,4,FALSE()))</f>
        <v/>
      </c>
      <c r="BT88" s="81" t="str">
        <f aca="false">IF($BG88&gt;$BF$7,"",VLOOKUP($BG88,$BI$8:$BO$507,5,FALSE()))</f>
        <v/>
      </c>
      <c r="BU88" s="82" t="str">
        <f aca="false">IF($BG88&gt;$BF$7,"",VLOOKUP($BG88,$BI$8:$BO$507,6,FALSE()))</f>
        <v/>
      </c>
      <c r="BV88" s="54"/>
    </row>
    <row r="89" customFormat="false" ht="15.75" hidden="false" customHeight="false" outlineLevel="0" collapsed="false">
      <c r="A89" s="5"/>
      <c r="B89" s="128"/>
      <c r="C89" s="129"/>
      <c r="D89" s="114"/>
      <c r="E89" s="134"/>
      <c r="F89" s="139"/>
      <c r="G89" s="93"/>
      <c r="H89" s="140"/>
      <c r="I89" s="95"/>
      <c r="J89" s="95"/>
      <c r="K89" s="93"/>
      <c r="L89" s="141"/>
      <c r="M89" s="95"/>
      <c r="N89" s="95"/>
      <c r="O89" s="93"/>
      <c r="P89" s="134"/>
      <c r="Q89" s="98"/>
      <c r="R89" s="99" t="str">
        <f aca="false">IF(ISBLANK($C89),"",IF(E89=Constants!$B$2, TRUE(), IF(E89=Constants!$B$3, FALSE(), TRUE())))</f>
        <v/>
      </c>
      <c r="S89" s="99" t="str">
        <f aca="false">IF(ISBLANK($C89),"",IF(F89=Constants!$B$2, TRUE(), IF(F89=Constants!$B$3, FALSE(), TRUE())))</f>
        <v/>
      </c>
      <c r="T89" s="99" t="str">
        <f aca="false">IF(ISBLANK($C89),"",IF(G89=Constants!$B$16,Constants!$B$9,IF(G89=Constants!$B$17,Constants!$B$10,Constants!$B$8)))</f>
        <v/>
      </c>
      <c r="U89" s="99" t="str">
        <f aca="false">IF(ISBLANK($C89),"",IF(H89=Constants!$B$19,Constants!$B$19,Constants!$B$18))</f>
        <v/>
      </c>
      <c r="V89" s="99" t="str">
        <f aca="false">IF(ISBLANK($C89),"",IF(ISNUMBER(I89),IF(I89&gt;=0,I89,""),""))</f>
        <v/>
      </c>
      <c r="W89" s="99" t="str">
        <f aca="false">IF(ISBLANK($C89),"",IF(J89=Constants!$B$2, TRUE(), IF(J89=Constants!$B$3, FALSE(), TRUE())))</f>
        <v/>
      </c>
      <c r="X89" s="99" t="str">
        <f aca="false">IF(ISBLANK($C89),"",IF(K89=Constants!$B$2, TRUE(), IF(K89=Constants!$B$3, FALSE(), TRUE())))</f>
        <v/>
      </c>
      <c r="Y89" s="99" t="str">
        <f aca="false">IF(ISBLANK($C89),"",IF(L89=Constants!$B$19,Constants!$B$19,Constants!$B$18))</f>
        <v/>
      </c>
      <c r="Z89" s="99" t="str">
        <f aca="false">IF(ISBLANK($C89),"",IF(ISNUMBER(M89),IF(M89&gt;=0,M89,""),""))</f>
        <v/>
      </c>
      <c r="AA89" s="99" t="str">
        <f aca="false">IF(ISBLANK($C89),"",IF(N89=Constants!$B$2, TRUE(), IF(N89=Constants!$B$3, FALSE(), TRUE())))</f>
        <v/>
      </c>
      <c r="AB89" s="99" t="str">
        <f aca="false">IF(ISBLANK($C89),"",IF(O89=Constants!$B$2, TRUE(), IF(O89=Constants!$B$3, FALSE(), TRUE())))</f>
        <v/>
      </c>
      <c r="AC89" s="99" t="str">
        <f aca="false">IF(ISBLANK($C89),"",IF(P89=Constants!$B$2, TRUE(), IF(P89=Constants!$B$3, FALSE(), FALSE())))</f>
        <v/>
      </c>
      <c r="AD89" s="99" t="str">
        <f aca="false">IF(ISBLANK($C89),"",AND(V89&lt;&gt;"",IF(U89=Constants!$B$19,S89,R89)))</f>
        <v/>
      </c>
      <c r="AE89" s="99" t="str">
        <f aca="false">IF(ISBLANK($C89),"",AND(Z89&lt;&gt;"",IF(Y89=Constants!$B$19,S89,R89)))</f>
        <v/>
      </c>
      <c r="AF89" s="99" t="str">
        <f aca="false">IF(ISBLANK($C89),"",IF(AC89,Constants!$B$4,IF(COUNTA(E89:O89)=0,Constants!$B$5,IF(AND(NOT(AD89),NOT(AE89)),Constants!$B$6,Constants!$B$7))))</f>
        <v/>
      </c>
      <c r="AG89" s="99" t="str">
        <f aca="false">IF(ISBLANK($C89),"",IF($AF89&lt;&gt;Constants!$B$7,$AF89,Constants!$B$20))</f>
        <v/>
      </c>
      <c r="AH89" s="99" t="str">
        <f aca="false">IF($AF89=Constants!$B$7,IF(AD89,V89,Constants!$B$13),"")</f>
        <v/>
      </c>
      <c r="AI89" s="99" t="str">
        <f aca="false">IF($AF89=Constants!$B$7,IF(AD89,T89*IF(W89, 1, Constants!$B$11)*IF(X89, 1, Constants!$B$12),Constants!$B$13),"")</f>
        <v/>
      </c>
      <c r="AJ89" s="99" t="str">
        <f aca="false">IF($AF89=Constants!$B$7,AH89*AI89,"")</f>
        <v/>
      </c>
      <c r="AK89" s="99" t="str">
        <f aca="false">IF($AF89=Constants!$B$7,IF(AE89,Z89,Constants!$B$13),"")</f>
        <v/>
      </c>
      <c r="AL89" s="99" t="str">
        <f aca="false">IF($AF89=Constants!$B$7,IF(AE89,T89*IF(AA89, 1, Constants!$B$11)*IF(AB89, 1, Constants!$B$12),Constants!$B$13),"")</f>
        <v/>
      </c>
      <c r="AM89" s="99" t="str">
        <f aca="false">IF($AF89=Constants!$B$7,AK89*AL89,"")</f>
        <v/>
      </c>
      <c r="AN89" s="99" t="str">
        <f aca="false">IF($AF89=Constants!$B$7,IF(AM89&gt;AJ89,2,1),"")</f>
        <v/>
      </c>
      <c r="AO89" s="99" t="str">
        <f aca="false">IF($AF89=Constants!$B$7,IF(AN89=1,2,1),"")</f>
        <v/>
      </c>
      <c r="AP89" s="99" t="str">
        <f aca="false">IF(ISBLANK($C89),"",IF($AF89&lt;&gt;Constants!$B$7,$AF89,IF(AN89=1,AJ89,AM89)))</f>
        <v/>
      </c>
      <c r="AQ89" s="99" t="str">
        <f aca="false">IF(ISBLANK($C89),"",IF($AF89=Constants!$B$7,IF(ISNUMBER(AP89),RANK(AP89,$AP$8:$AP$507),Constants!$B$14),$AF89))</f>
        <v/>
      </c>
      <c r="AR89" s="99" t="str">
        <f aca="false">IF(ISBLANK($C89),"",IF($AF89=Constants!$B$7,IF(AO89=1,AJ89,AM89),""))</f>
        <v/>
      </c>
      <c r="AS89" s="99" t="str">
        <f aca="false">IF(ISBLANK($C89),"",IF($AF89=Constants!$B$7,RANK(AR89,$AR$8:$AR$507),$AF89))</f>
        <v/>
      </c>
      <c r="AT89" s="99" t="str">
        <f aca="false">IF(ISBLANK($C89),"",IF($AF89=Constants!$B$7,IF(ISNUMBER(AQ89),COUNTIFS($AQ$8:$AQ$507,"&lt;"&amp;$AQ89)+COUNTIFS($AQ$8:$AQ$507,$AQ89,$AS$8:$AS$507,"&lt;"&amp;$AS89)+1,Constants!$B$14),$AF89))</f>
        <v/>
      </c>
      <c r="AU89" s="99" t="str">
        <f aca="false">IF(ISBLANK($C89),"",IF($AF89=Constants!$B$7,IF(ISNUMBER(AQ89),AQ89-AT89,Constants!$B$14),$AF89))</f>
        <v/>
      </c>
      <c r="AV89" s="100"/>
      <c r="AW89" s="101" t="str">
        <f aca="false">IF(ISBLANK($C89),"",IF($AF89&lt;&gt;Constants!$B$7,"",AN89))</f>
        <v/>
      </c>
      <c r="AX89" s="102" t="str">
        <f aca="false">IF(ISBLANK($C89),"",IF($AF89&lt;&gt;Constants!$B$7,"",IF(AN89=1,AH89,AK89)))</f>
        <v/>
      </c>
      <c r="AY89" s="103" t="str">
        <f aca="false">IF(ISBLANK($C89),"",IF($AF89&lt;&gt;Constants!$B$7,"",IF(AN89=1,AI89,AL89)))</f>
        <v/>
      </c>
      <c r="AZ89" s="104" t="str">
        <f aca="false">IF(ISBLANK($C89),"",IF($AF89&lt;&gt;Constants!$B$7,$AF89,AP89))</f>
        <v/>
      </c>
      <c r="BA89" s="105" t="str">
        <f aca="false">IF(ISBLANK($C89),"",IF($AF89&lt;&gt;Constants!$B$7,$AF89,AG89))</f>
        <v/>
      </c>
      <c r="BB89" s="106" t="str">
        <f aca="false">IF(ISBLANK($C89),"",AU89)</f>
        <v/>
      </c>
      <c r="BC89" s="106" t="str">
        <f aca="false">IF(ISBLANK($C89),"",AT89)</f>
        <v/>
      </c>
      <c r="BD89" s="107" t="str">
        <f aca="false">IF(ISBLANK($C89),"",IFERROR(_xlfn.SWITCH(BC89,Constants!$B$4,COUNTA($C$8:$C$507)+2,Constants!$B$5,COUNTA($C$8:$C$507)+1,Constants!$B$6,COUNTA($C$8:$C$507)),BC89))</f>
        <v/>
      </c>
      <c r="BE89" s="5"/>
      <c r="BF89" s="108" t="n">
        <f aca="false">IF(OR(ISNUMBER(BC89),BC89=Constants!$B$4,BC89=Constants!$B$6,BC89=Constants!$B$5),1,0)</f>
        <v>0</v>
      </c>
      <c r="BG89" s="108" t="n">
        <v>82</v>
      </c>
      <c r="BH89" s="108" t="str">
        <f aca="false">IF(ISBLANK($C89),"",IF(ISNUMBER(BD89),BD89+ROW($B89)/1000,""))</f>
        <v/>
      </c>
      <c r="BI89" s="108" t="str">
        <f aca="false">IF(ISNUMBER(BH89),RANK(BH89,$BH$8:$BH$507,1),"")</f>
        <v/>
      </c>
      <c r="BJ89" s="108" t="str">
        <f aca="false">IF(ISBLANK($C89),"",$B89)</f>
        <v/>
      </c>
      <c r="BK89" s="108" t="str">
        <f aca="false">IF(ISBLANK($C89),"",$C89)</f>
        <v/>
      </c>
      <c r="BL89" s="108" t="str">
        <f aca="false">IF(ISBLANK($C89),"",$D89)</f>
        <v/>
      </c>
      <c r="BM89" s="109" t="str">
        <f aca="false">BA89</f>
        <v/>
      </c>
      <c r="BN89" s="110" t="str">
        <f aca="false">AZ89</f>
        <v/>
      </c>
      <c r="BO89" s="108" t="str">
        <f aca="false">IF(ISBLANK($C89),"",BC89)</f>
        <v/>
      </c>
      <c r="BP89" s="111" t="str">
        <f aca="false">IF($BG89&gt;$BF$7,"",VLOOKUP($BG89,$BI$8:$BO$507,7,FALSE()))</f>
        <v/>
      </c>
      <c r="BQ89" s="112" t="str">
        <f aca="false">IF($BG89&gt;$BF$7,"",VLOOKUP($BG89,$BI$8:$BO$507,2,FALSE()))</f>
        <v/>
      </c>
      <c r="BR89" s="112" t="str">
        <f aca="false">IF($BG89&gt;$BF$7,"",VLOOKUP($BG89,$BI$8:$BO$507,3,FALSE()))</f>
        <v/>
      </c>
      <c r="BS89" s="112" t="str">
        <f aca="false">IF($BG89&gt;$BF$7,"",VLOOKUP($BG89,$BI$8:$BO$507,4,FALSE()))</f>
        <v/>
      </c>
      <c r="BT89" s="112" t="str">
        <f aca="false">IF($BG89&gt;$BF$7,"",VLOOKUP($BG89,$BI$8:$BO$507,5,FALSE()))</f>
        <v/>
      </c>
      <c r="BU89" s="113" t="str">
        <f aca="false">IF($BG89&gt;$BF$7,"",VLOOKUP($BG89,$BI$8:$BO$507,6,FALSE()))</f>
        <v/>
      </c>
      <c r="BV89" s="54"/>
    </row>
    <row r="90" customFormat="false" ht="15.75" hidden="false" customHeight="false" outlineLevel="0" collapsed="false">
      <c r="A90" s="5"/>
      <c r="B90" s="128"/>
      <c r="C90" s="129"/>
      <c r="D90" s="114"/>
      <c r="E90" s="134"/>
      <c r="F90" s="139"/>
      <c r="G90" s="93"/>
      <c r="H90" s="140"/>
      <c r="I90" s="95"/>
      <c r="J90" s="95"/>
      <c r="K90" s="93"/>
      <c r="L90" s="141"/>
      <c r="M90" s="95"/>
      <c r="N90" s="95"/>
      <c r="O90" s="93"/>
      <c r="P90" s="134"/>
      <c r="Q90" s="98"/>
      <c r="R90" s="99" t="str">
        <f aca="false">IF(ISBLANK($C90),"",IF(E90=Constants!$B$2, TRUE(), IF(E90=Constants!$B$3, FALSE(), TRUE())))</f>
        <v/>
      </c>
      <c r="S90" s="99" t="str">
        <f aca="false">IF(ISBLANK($C90),"",IF(F90=Constants!$B$2, TRUE(), IF(F90=Constants!$B$3, FALSE(), TRUE())))</f>
        <v/>
      </c>
      <c r="T90" s="99" t="str">
        <f aca="false">IF(ISBLANK($C90),"",IF(G90=Constants!$B$16,Constants!$B$9,IF(G90=Constants!$B$17,Constants!$B$10,Constants!$B$8)))</f>
        <v/>
      </c>
      <c r="U90" s="99" t="str">
        <f aca="false">IF(ISBLANK($C90),"",IF(H90=Constants!$B$19,Constants!$B$19,Constants!$B$18))</f>
        <v/>
      </c>
      <c r="V90" s="99" t="str">
        <f aca="false">IF(ISBLANK($C90),"",IF(ISNUMBER(I90),IF(I90&gt;=0,I90,""),""))</f>
        <v/>
      </c>
      <c r="W90" s="99" t="str">
        <f aca="false">IF(ISBLANK($C90),"",IF(J90=Constants!$B$2, TRUE(), IF(J90=Constants!$B$3, FALSE(), TRUE())))</f>
        <v/>
      </c>
      <c r="X90" s="99" t="str">
        <f aca="false">IF(ISBLANK($C90),"",IF(K90=Constants!$B$2, TRUE(), IF(K90=Constants!$B$3, FALSE(), TRUE())))</f>
        <v/>
      </c>
      <c r="Y90" s="99" t="str">
        <f aca="false">IF(ISBLANK($C90),"",IF(L90=Constants!$B$19,Constants!$B$19,Constants!$B$18))</f>
        <v/>
      </c>
      <c r="Z90" s="99" t="str">
        <f aca="false">IF(ISBLANK($C90),"",IF(ISNUMBER(M90),IF(M90&gt;=0,M90,""),""))</f>
        <v/>
      </c>
      <c r="AA90" s="99" t="str">
        <f aca="false">IF(ISBLANK($C90),"",IF(N90=Constants!$B$2, TRUE(), IF(N90=Constants!$B$3, FALSE(), TRUE())))</f>
        <v/>
      </c>
      <c r="AB90" s="99" t="str">
        <f aca="false">IF(ISBLANK($C90),"",IF(O90=Constants!$B$2, TRUE(), IF(O90=Constants!$B$3, FALSE(), TRUE())))</f>
        <v/>
      </c>
      <c r="AC90" s="99" t="str">
        <f aca="false">IF(ISBLANK($C90),"",IF(P90=Constants!$B$2, TRUE(), IF(P90=Constants!$B$3, FALSE(), FALSE())))</f>
        <v/>
      </c>
      <c r="AD90" s="99" t="str">
        <f aca="false">IF(ISBLANK($C90),"",AND(V90&lt;&gt;"",IF(U90=Constants!$B$19,S90,R90)))</f>
        <v/>
      </c>
      <c r="AE90" s="99" t="str">
        <f aca="false">IF(ISBLANK($C90),"",AND(Z90&lt;&gt;"",IF(Y90=Constants!$B$19,S90,R90)))</f>
        <v/>
      </c>
      <c r="AF90" s="99" t="str">
        <f aca="false">IF(ISBLANK($C90),"",IF(AC90,Constants!$B$4,IF(COUNTA(E90:O90)=0,Constants!$B$5,IF(AND(NOT(AD90),NOT(AE90)),Constants!$B$6,Constants!$B$7))))</f>
        <v/>
      </c>
      <c r="AG90" s="99" t="str">
        <f aca="false">IF(ISBLANK($C90),"",IF($AF90&lt;&gt;Constants!$B$7,$AF90,Constants!$B$20))</f>
        <v/>
      </c>
      <c r="AH90" s="99" t="str">
        <f aca="false">IF($AF90=Constants!$B$7,IF(AD90,V90,Constants!$B$13),"")</f>
        <v/>
      </c>
      <c r="AI90" s="99" t="str">
        <f aca="false">IF($AF90=Constants!$B$7,IF(AD90,T90*IF(W90, 1, Constants!$B$11)*IF(X90, 1, Constants!$B$12),Constants!$B$13),"")</f>
        <v/>
      </c>
      <c r="AJ90" s="99" t="str">
        <f aca="false">IF($AF90=Constants!$B$7,AH90*AI90,"")</f>
        <v/>
      </c>
      <c r="AK90" s="99" t="str">
        <f aca="false">IF($AF90=Constants!$B$7,IF(AE90,Z90,Constants!$B$13),"")</f>
        <v/>
      </c>
      <c r="AL90" s="99" t="str">
        <f aca="false">IF($AF90=Constants!$B$7,IF(AE90,T90*IF(AA90, 1, Constants!$B$11)*IF(AB90, 1, Constants!$B$12),Constants!$B$13),"")</f>
        <v/>
      </c>
      <c r="AM90" s="99" t="str">
        <f aca="false">IF($AF90=Constants!$B$7,AK90*AL90,"")</f>
        <v/>
      </c>
      <c r="AN90" s="99" t="str">
        <f aca="false">IF($AF90=Constants!$B$7,IF(AM90&gt;AJ90,2,1),"")</f>
        <v/>
      </c>
      <c r="AO90" s="99" t="str">
        <f aca="false">IF($AF90=Constants!$B$7,IF(AN90=1,2,1),"")</f>
        <v/>
      </c>
      <c r="AP90" s="99" t="str">
        <f aca="false">IF(ISBLANK($C90),"",IF($AF90&lt;&gt;Constants!$B$7,$AF90,IF(AN90=1,AJ90,AM90)))</f>
        <v/>
      </c>
      <c r="AQ90" s="99" t="str">
        <f aca="false">IF(ISBLANK($C90),"",IF($AF90=Constants!$B$7,IF(ISNUMBER(AP90),RANK(AP90,$AP$8:$AP$507),Constants!$B$14),$AF90))</f>
        <v/>
      </c>
      <c r="AR90" s="99" t="str">
        <f aca="false">IF(ISBLANK($C90),"",IF($AF90=Constants!$B$7,IF(AO90=1,AJ90,AM90),""))</f>
        <v/>
      </c>
      <c r="AS90" s="99" t="str">
        <f aca="false">IF(ISBLANK($C90),"",IF($AF90=Constants!$B$7,RANK(AR90,$AR$8:$AR$507),$AF90))</f>
        <v/>
      </c>
      <c r="AT90" s="99" t="str">
        <f aca="false">IF(ISBLANK($C90),"",IF($AF90=Constants!$B$7,IF(ISNUMBER(AQ90),COUNTIFS($AQ$8:$AQ$507,"&lt;"&amp;$AQ90)+COUNTIFS($AQ$8:$AQ$507,$AQ90,$AS$8:$AS$507,"&lt;"&amp;$AS90)+1,Constants!$B$14),$AF90))</f>
        <v/>
      </c>
      <c r="AU90" s="99" t="str">
        <f aca="false">IF(ISBLANK($C90),"",IF($AF90=Constants!$B$7,IF(ISNUMBER(AQ90),AQ90-AT90,Constants!$B$14),$AF90))</f>
        <v/>
      </c>
      <c r="AV90" s="100"/>
      <c r="AW90" s="101" t="str">
        <f aca="false">IF(ISBLANK($C90),"",IF($AF90&lt;&gt;Constants!$B$7,"",AN90))</f>
        <v/>
      </c>
      <c r="AX90" s="102" t="str">
        <f aca="false">IF(ISBLANK($C90),"",IF($AF90&lt;&gt;Constants!$B$7,"",IF(AN90=1,AH90,AK90)))</f>
        <v/>
      </c>
      <c r="AY90" s="103" t="str">
        <f aca="false">IF(ISBLANK($C90),"",IF($AF90&lt;&gt;Constants!$B$7,"",IF(AN90=1,AI90,AL90)))</f>
        <v/>
      </c>
      <c r="AZ90" s="104" t="str">
        <f aca="false">IF(ISBLANK($C90),"",IF($AF90&lt;&gt;Constants!$B$7,$AF90,AP90))</f>
        <v/>
      </c>
      <c r="BA90" s="105" t="str">
        <f aca="false">IF(ISBLANK($C90),"",IF($AF90&lt;&gt;Constants!$B$7,$AF90,AG90))</f>
        <v/>
      </c>
      <c r="BB90" s="106" t="str">
        <f aca="false">IF(ISBLANK($C90),"",AU90)</f>
        <v/>
      </c>
      <c r="BC90" s="106" t="str">
        <f aca="false">IF(ISBLANK($C90),"",AT90)</f>
        <v/>
      </c>
      <c r="BD90" s="107" t="str">
        <f aca="false">IF(ISBLANK($C90),"",IFERROR(_xlfn.SWITCH(BC90,Constants!$B$4,COUNTA($C$8:$C$507)+2,Constants!$B$5,COUNTA($C$8:$C$507)+1,Constants!$B$6,COUNTA($C$8:$C$507)),BC90))</f>
        <v/>
      </c>
      <c r="BE90" s="5"/>
      <c r="BF90" s="108" t="n">
        <f aca="false">IF(OR(ISNUMBER(BC90),BC90=Constants!$B$4,BC90=Constants!$B$6,BC90=Constants!$B$5),1,0)</f>
        <v>0</v>
      </c>
      <c r="BG90" s="108" t="n">
        <v>83</v>
      </c>
      <c r="BH90" s="108" t="str">
        <f aca="false">IF(ISBLANK($C90),"",IF(ISNUMBER(BD90),BD90+ROW($B90)/1000,""))</f>
        <v/>
      </c>
      <c r="BI90" s="108" t="str">
        <f aca="false">IF(ISNUMBER(BH90),RANK(BH90,$BH$8:$BH$507,1),"")</f>
        <v/>
      </c>
      <c r="BJ90" s="108" t="str">
        <f aca="false">IF(ISBLANK($C90),"",$B90)</f>
        <v/>
      </c>
      <c r="BK90" s="108" t="str">
        <f aca="false">IF(ISBLANK($C90),"",$C90)</f>
        <v/>
      </c>
      <c r="BL90" s="108" t="str">
        <f aca="false">IF(ISBLANK($C90),"",$D90)</f>
        <v/>
      </c>
      <c r="BM90" s="109" t="str">
        <f aca="false">BA90</f>
        <v/>
      </c>
      <c r="BN90" s="110" t="str">
        <f aca="false">AZ90</f>
        <v/>
      </c>
      <c r="BO90" s="108" t="str">
        <f aca="false">IF(ISBLANK($C90),"",BC90)</f>
        <v/>
      </c>
      <c r="BP90" s="111" t="str">
        <f aca="false">IF($BG90&gt;$BF$7,"",VLOOKUP($BG90,$BI$8:$BO$507,7,FALSE()))</f>
        <v/>
      </c>
      <c r="BQ90" s="112" t="str">
        <f aca="false">IF($BG90&gt;$BF$7,"",VLOOKUP($BG90,$BI$8:$BO$507,2,FALSE()))</f>
        <v/>
      </c>
      <c r="BR90" s="112" t="str">
        <f aca="false">IF($BG90&gt;$BF$7,"",VLOOKUP($BG90,$BI$8:$BO$507,3,FALSE()))</f>
        <v/>
      </c>
      <c r="BS90" s="112" t="str">
        <f aca="false">IF($BG90&gt;$BF$7,"",VLOOKUP($BG90,$BI$8:$BO$507,4,FALSE()))</f>
        <v/>
      </c>
      <c r="BT90" s="112" t="str">
        <f aca="false">IF($BG90&gt;$BF$7,"",VLOOKUP($BG90,$BI$8:$BO$507,5,FALSE()))</f>
        <v/>
      </c>
      <c r="BU90" s="113" t="str">
        <f aca="false">IF($BG90&gt;$BF$7,"",VLOOKUP($BG90,$BI$8:$BO$507,6,FALSE()))</f>
        <v/>
      </c>
      <c r="BV90" s="54"/>
    </row>
    <row r="91" customFormat="false" ht="15.75" hidden="false" customHeight="false" outlineLevel="0" collapsed="false">
      <c r="A91" s="5"/>
      <c r="B91" s="128"/>
      <c r="C91" s="129"/>
      <c r="D91" s="114"/>
      <c r="E91" s="134"/>
      <c r="F91" s="139"/>
      <c r="G91" s="93"/>
      <c r="H91" s="140"/>
      <c r="I91" s="95"/>
      <c r="J91" s="95"/>
      <c r="K91" s="93"/>
      <c r="L91" s="141"/>
      <c r="M91" s="95"/>
      <c r="N91" s="95"/>
      <c r="O91" s="93"/>
      <c r="P91" s="134"/>
      <c r="Q91" s="98"/>
      <c r="R91" s="99" t="str">
        <f aca="false">IF(ISBLANK($C91),"",IF(E91=Constants!$B$2, TRUE(), IF(E91=Constants!$B$3, FALSE(), TRUE())))</f>
        <v/>
      </c>
      <c r="S91" s="99" t="str">
        <f aca="false">IF(ISBLANK($C91),"",IF(F91=Constants!$B$2, TRUE(), IF(F91=Constants!$B$3, FALSE(), TRUE())))</f>
        <v/>
      </c>
      <c r="T91" s="99" t="str">
        <f aca="false">IF(ISBLANK($C91),"",IF(G91=Constants!$B$16,Constants!$B$9,IF(G91=Constants!$B$17,Constants!$B$10,Constants!$B$8)))</f>
        <v/>
      </c>
      <c r="U91" s="99" t="str">
        <f aca="false">IF(ISBLANK($C91),"",IF(H91=Constants!$B$19,Constants!$B$19,Constants!$B$18))</f>
        <v/>
      </c>
      <c r="V91" s="99" t="str">
        <f aca="false">IF(ISBLANK($C91),"",IF(ISNUMBER(I91),IF(I91&gt;=0,I91,""),""))</f>
        <v/>
      </c>
      <c r="W91" s="99" t="str">
        <f aca="false">IF(ISBLANK($C91),"",IF(J91=Constants!$B$2, TRUE(), IF(J91=Constants!$B$3, FALSE(), TRUE())))</f>
        <v/>
      </c>
      <c r="X91" s="99" t="str">
        <f aca="false">IF(ISBLANK($C91),"",IF(K91=Constants!$B$2, TRUE(), IF(K91=Constants!$B$3, FALSE(), TRUE())))</f>
        <v/>
      </c>
      <c r="Y91" s="99" t="str">
        <f aca="false">IF(ISBLANK($C91),"",IF(L91=Constants!$B$19,Constants!$B$19,Constants!$B$18))</f>
        <v/>
      </c>
      <c r="Z91" s="99" t="str">
        <f aca="false">IF(ISBLANK($C91),"",IF(ISNUMBER(M91),IF(M91&gt;=0,M91,""),""))</f>
        <v/>
      </c>
      <c r="AA91" s="99" t="str">
        <f aca="false">IF(ISBLANK($C91),"",IF(N91=Constants!$B$2, TRUE(), IF(N91=Constants!$B$3, FALSE(), TRUE())))</f>
        <v/>
      </c>
      <c r="AB91" s="99" t="str">
        <f aca="false">IF(ISBLANK($C91),"",IF(O91=Constants!$B$2, TRUE(), IF(O91=Constants!$B$3, FALSE(), TRUE())))</f>
        <v/>
      </c>
      <c r="AC91" s="99" t="str">
        <f aca="false">IF(ISBLANK($C91),"",IF(P91=Constants!$B$2, TRUE(), IF(P91=Constants!$B$3, FALSE(), FALSE())))</f>
        <v/>
      </c>
      <c r="AD91" s="99" t="str">
        <f aca="false">IF(ISBLANK($C91),"",AND(V91&lt;&gt;"",IF(U91=Constants!$B$19,S91,R91)))</f>
        <v/>
      </c>
      <c r="AE91" s="99" t="str">
        <f aca="false">IF(ISBLANK($C91),"",AND(Z91&lt;&gt;"",IF(Y91=Constants!$B$19,S91,R91)))</f>
        <v/>
      </c>
      <c r="AF91" s="99" t="str">
        <f aca="false">IF(ISBLANK($C91),"",IF(AC91,Constants!$B$4,IF(COUNTA(E91:O91)=0,Constants!$B$5,IF(AND(NOT(AD91),NOT(AE91)),Constants!$B$6,Constants!$B$7))))</f>
        <v/>
      </c>
      <c r="AG91" s="99" t="str">
        <f aca="false">IF(ISBLANK($C91),"",IF($AF91&lt;&gt;Constants!$B$7,$AF91,Constants!$B$20))</f>
        <v/>
      </c>
      <c r="AH91" s="99" t="str">
        <f aca="false">IF($AF91=Constants!$B$7,IF(AD91,V91,Constants!$B$13),"")</f>
        <v/>
      </c>
      <c r="AI91" s="99" t="str">
        <f aca="false">IF($AF91=Constants!$B$7,IF(AD91,T91*IF(W91, 1, Constants!$B$11)*IF(X91, 1, Constants!$B$12),Constants!$B$13),"")</f>
        <v/>
      </c>
      <c r="AJ91" s="99" t="str">
        <f aca="false">IF($AF91=Constants!$B$7,AH91*AI91,"")</f>
        <v/>
      </c>
      <c r="AK91" s="99" t="str">
        <f aca="false">IF($AF91=Constants!$B$7,IF(AE91,Z91,Constants!$B$13),"")</f>
        <v/>
      </c>
      <c r="AL91" s="99" t="str">
        <f aca="false">IF($AF91=Constants!$B$7,IF(AE91,T91*IF(AA91, 1, Constants!$B$11)*IF(AB91, 1, Constants!$B$12),Constants!$B$13),"")</f>
        <v/>
      </c>
      <c r="AM91" s="99" t="str">
        <f aca="false">IF($AF91=Constants!$B$7,AK91*AL91,"")</f>
        <v/>
      </c>
      <c r="AN91" s="99" t="str">
        <f aca="false">IF($AF91=Constants!$B$7,IF(AM91&gt;AJ91,2,1),"")</f>
        <v/>
      </c>
      <c r="AO91" s="99" t="str">
        <f aca="false">IF($AF91=Constants!$B$7,IF(AN91=1,2,1),"")</f>
        <v/>
      </c>
      <c r="AP91" s="99" t="str">
        <f aca="false">IF(ISBLANK($C91),"",IF($AF91&lt;&gt;Constants!$B$7,$AF91,IF(AN91=1,AJ91,AM91)))</f>
        <v/>
      </c>
      <c r="AQ91" s="99" t="str">
        <f aca="false">IF(ISBLANK($C91),"",IF($AF91=Constants!$B$7,IF(ISNUMBER(AP91),RANK(AP91,$AP$8:$AP$507),Constants!$B$14),$AF91))</f>
        <v/>
      </c>
      <c r="AR91" s="99" t="str">
        <f aca="false">IF(ISBLANK($C91),"",IF($AF91=Constants!$B$7,IF(AO91=1,AJ91,AM91),""))</f>
        <v/>
      </c>
      <c r="AS91" s="99" t="str">
        <f aca="false">IF(ISBLANK($C91),"",IF($AF91=Constants!$B$7,RANK(AR91,$AR$8:$AR$507),$AF91))</f>
        <v/>
      </c>
      <c r="AT91" s="99" t="str">
        <f aca="false">IF(ISBLANK($C91),"",IF($AF91=Constants!$B$7,IF(ISNUMBER(AQ91),COUNTIFS($AQ$8:$AQ$507,"&lt;"&amp;$AQ91)+COUNTIFS($AQ$8:$AQ$507,$AQ91,$AS$8:$AS$507,"&lt;"&amp;$AS91)+1,Constants!$B$14),$AF91))</f>
        <v/>
      </c>
      <c r="AU91" s="99" t="str">
        <f aca="false">IF(ISBLANK($C91),"",IF($AF91=Constants!$B$7,IF(ISNUMBER(AQ91),AQ91-AT91,Constants!$B$14),$AF91))</f>
        <v/>
      </c>
      <c r="AV91" s="100"/>
      <c r="AW91" s="101" t="str">
        <f aca="false">IF(ISBLANK($C91),"",IF($AF91&lt;&gt;Constants!$B$7,"",AN91))</f>
        <v/>
      </c>
      <c r="AX91" s="102" t="str">
        <f aca="false">IF(ISBLANK($C91),"",IF($AF91&lt;&gt;Constants!$B$7,"",IF(AN91=1,AH91,AK91)))</f>
        <v/>
      </c>
      <c r="AY91" s="103" t="str">
        <f aca="false">IF(ISBLANK($C91),"",IF($AF91&lt;&gt;Constants!$B$7,"",IF(AN91=1,AI91,AL91)))</f>
        <v/>
      </c>
      <c r="AZ91" s="104" t="str">
        <f aca="false">IF(ISBLANK($C91),"",IF($AF91&lt;&gt;Constants!$B$7,$AF91,AP91))</f>
        <v/>
      </c>
      <c r="BA91" s="105" t="str">
        <f aca="false">IF(ISBLANK($C91),"",IF($AF91&lt;&gt;Constants!$B$7,$AF91,AG91))</f>
        <v/>
      </c>
      <c r="BB91" s="106" t="str">
        <f aca="false">IF(ISBLANK($C91),"",AU91)</f>
        <v/>
      </c>
      <c r="BC91" s="106" t="str">
        <f aca="false">IF(ISBLANK($C91),"",AT91)</f>
        <v/>
      </c>
      <c r="BD91" s="107" t="str">
        <f aca="false">IF(ISBLANK($C91),"",IFERROR(_xlfn.SWITCH(BC91,Constants!$B$4,COUNTA($C$8:$C$507)+2,Constants!$B$5,COUNTA($C$8:$C$507)+1,Constants!$B$6,COUNTA($C$8:$C$507)),BC91))</f>
        <v/>
      </c>
      <c r="BE91" s="5"/>
      <c r="BF91" s="108" t="n">
        <f aca="false">IF(OR(ISNUMBER(BC91),BC91=Constants!$B$4,BC91=Constants!$B$6,BC91=Constants!$B$5),1,0)</f>
        <v>0</v>
      </c>
      <c r="BG91" s="108" t="n">
        <v>84</v>
      </c>
      <c r="BH91" s="108" t="str">
        <f aca="false">IF(ISBLANK($C91),"",IF(ISNUMBER(BD91),BD91+ROW($B91)/1000,""))</f>
        <v/>
      </c>
      <c r="BI91" s="108" t="str">
        <f aca="false">IF(ISNUMBER(BH91),RANK(BH91,$BH$8:$BH$507,1),"")</f>
        <v/>
      </c>
      <c r="BJ91" s="108" t="str">
        <f aca="false">IF(ISBLANK($C91),"",$B91)</f>
        <v/>
      </c>
      <c r="BK91" s="108" t="str">
        <f aca="false">IF(ISBLANK($C91),"",$C91)</f>
        <v/>
      </c>
      <c r="BL91" s="108" t="str">
        <f aca="false">IF(ISBLANK($C91),"",$D91)</f>
        <v/>
      </c>
      <c r="BM91" s="109" t="str">
        <f aca="false">BA91</f>
        <v/>
      </c>
      <c r="BN91" s="110" t="str">
        <f aca="false">AZ91</f>
        <v/>
      </c>
      <c r="BO91" s="108" t="str">
        <f aca="false">IF(ISBLANK($C91),"",BC91)</f>
        <v/>
      </c>
      <c r="BP91" s="111" t="str">
        <f aca="false">IF($BG91&gt;$BF$7,"",VLOOKUP($BG91,$BI$8:$BO$507,7,FALSE()))</f>
        <v/>
      </c>
      <c r="BQ91" s="112" t="str">
        <f aca="false">IF($BG91&gt;$BF$7,"",VLOOKUP($BG91,$BI$8:$BO$507,2,FALSE()))</f>
        <v/>
      </c>
      <c r="BR91" s="112" t="str">
        <f aca="false">IF($BG91&gt;$BF$7,"",VLOOKUP($BG91,$BI$8:$BO$507,3,FALSE()))</f>
        <v/>
      </c>
      <c r="BS91" s="112" t="str">
        <f aca="false">IF($BG91&gt;$BF$7,"",VLOOKUP($BG91,$BI$8:$BO$507,4,FALSE()))</f>
        <v/>
      </c>
      <c r="BT91" s="112" t="str">
        <f aca="false">IF($BG91&gt;$BF$7,"",VLOOKUP($BG91,$BI$8:$BO$507,5,FALSE()))</f>
        <v/>
      </c>
      <c r="BU91" s="113" t="str">
        <f aca="false">IF($BG91&gt;$BF$7,"",VLOOKUP($BG91,$BI$8:$BO$507,6,FALSE()))</f>
        <v/>
      </c>
      <c r="BV91" s="54"/>
    </row>
    <row r="92" customFormat="false" ht="15.75" hidden="false" customHeight="false" outlineLevel="0" collapsed="false">
      <c r="A92" s="5"/>
      <c r="B92" s="135"/>
      <c r="C92" s="56"/>
      <c r="D92" s="57"/>
      <c r="E92" s="84"/>
      <c r="F92" s="136"/>
      <c r="G92" s="60"/>
      <c r="H92" s="137"/>
      <c r="I92" s="62"/>
      <c r="J92" s="62"/>
      <c r="K92" s="60"/>
      <c r="L92" s="138"/>
      <c r="M92" s="62"/>
      <c r="N92" s="62"/>
      <c r="O92" s="60"/>
      <c r="P92" s="84"/>
      <c r="Q92" s="65"/>
      <c r="R92" s="67" t="str">
        <f aca="false">IF(ISBLANK($C92),"",IF(E92=Constants!$B$2, TRUE(), IF(E92=Constants!$B$3, FALSE(), TRUE())))</f>
        <v/>
      </c>
      <c r="S92" s="67" t="str">
        <f aca="false">IF(ISBLANK($C92),"",IF(F92=Constants!$B$2, TRUE(), IF(F92=Constants!$B$3, FALSE(), TRUE())))</f>
        <v/>
      </c>
      <c r="T92" s="67" t="str">
        <f aca="false">IF(ISBLANK($C92),"",IF(G92=Constants!$B$16,Constants!$B$9,IF(G92=Constants!$B$17,Constants!$B$10,Constants!$B$8)))</f>
        <v/>
      </c>
      <c r="U92" s="67" t="str">
        <f aca="false">IF(ISBLANK($C92),"",IF(H92=Constants!$B$19,Constants!$B$19,Constants!$B$18))</f>
        <v/>
      </c>
      <c r="V92" s="67" t="str">
        <f aca="false">IF(ISBLANK($C92),"",IF(ISNUMBER(I92),IF(I92&gt;=0,I92,""),""))</f>
        <v/>
      </c>
      <c r="W92" s="67" t="str">
        <f aca="false">IF(ISBLANK($C92),"",IF(J92=Constants!$B$2, TRUE(), IF(J92=Constants!$B$3, FALSE(), TRUE())))</f>
        <v/>
      </c>
      <c r="X92" s="67" t="str">
        <f aca="false">IF(ISBLANK($C92),"",IF(K92=Constants!$B$2, TRUE(), IF(K92=Constants!$B$3, FALSE(), TRUE())))</f>
        <v/>
      </c>
      <c r="Y92" s="67" t="str">
        <f aca="false">IF(ISBLANK($C92),"",IF(L92=Constants!$B$19,Constants!$B$19,Constants!$B$18))</f>
        <v/>
      </c>
      <c r="Z92" s="67" t="str">
        <f aca="false">IF(ISBLANK($C92),"",IF(ISNUMBER(M92),IF(M92&gt;=0,M92,""),""))</f>
        <v/>
      </c>
      <c r="AA92" s="67" t="str">
        <f aca="false">IF(ISBLANK($C92),"",IF(N92=Constants!$B$2, TRUE(), IF(N92=Constants!$B$3, FALSE(), TRUE())))</f>
        <v/>
      </c>
      <c r="AB92" s="67" t="str">
        <f aca="false">IF(ISBLANK($C92),"",IF(O92=Constants!$B$2, TRUE(), IF(O92=Constants!$B$3, FALSE(), TRUE())))</f>
        <v/>
      </c>
      <c r="AC92" s="67" t="str">
        <f aca="false">IF(ISBLANK($C92),"",IF(P92=Constants!$B$2, TRUE(), IF(P92=Constants!$B$3, FALSE(), FALSE())))</f>
        <v/>
      </c>
      <c r="AD92" s="67" t="str">
        <f aca="false">IF(ISBLANK($C92),"",AND(V92&lt;&gt;"",IF(U92=Constants!$B$19,S92,R92)))</f>
        <v/>
      </c>
      <c r="AE92" s="67" t="str">
        <f aca="false">IF(ISBLANK($C92),"",AND(Z92&lt;&gt;"",IF(Y92=Constants!$B$19,S92,R92)))</f>
        <v/>
      </c>
      <c r="AF92" s="67" t="str">
        <f aca="false">IF(ISBLANK($C92),"",IF(AC92,Constants!$B$4,IF(COUNTA(E92:O92)=0,Constants!$B$5,IF(AND(NOT(AD92),NOT(AE92)),Constants!$B$6,Constants!$B$7))))</f>
        <v/>
      </c>
      <c r="AG92" s="67" t="str">
        <f aca="false">IF(ISBLANK($C92),"",IF($AF92&lt;&gt;Constants!$B$7,$AF92,Constants!$B$20))</f>
        <v/>
      </c>
      <c r="AH92" s="67" t="str">
        <f aca="false">IF($AF92=Constants!$B$7,IF(AD92,V92,Constants!$B$13),"")</f>
        <v/>
      </c>
      <c r="AI92" s="67" t="str">
        <f aca="false">IF($AF92=Constants!$B$7,IF(AD92,T92*IF(W92, 1, Constants!$B$11)*IF(X92, 1, Constants!$B$12),Constants!$B$13),"")</f>
        <v/>
      </c>
      <c r="AJ92" s="67" t="str">
        <f aca="false">IF($AF92=Constants!$B$7,AH92*AI92,"")</f>
        <v/>
      </c>
      <c r="AK92" s="67" t="str">
        <f aca="false">IF($AF92=Constants!$B$7,IF(AE92,Z92,Constants!$B$13),"")</f>
        <v/>
      </c>
      <c r="AL92" s="67" t="str">
        <f aca="false">IF($AF92=Constants!$B$7,IF(AE92,T92*IF(AA92, 1, Constants!$B$11)*IF(AB92, 1, Constants!$B$12),Constants!$B$13),"")</f>
        <v/>
      </c>
      <c r="AM92" s="67" t="str">
        <f aca="false">IF($AF92=Constants!$B$7,AK92*AL92,"")</f>
        <v/>
      </c>
      <c r="AN92" s="67" t="str">
        <f aca="false">IF($AF92=Constants!$B$7,IF(AM92&gt;AJ92,2,1),"")</f>
        <v/>
      </c>
      <c r="AO92" s="67" t="str">
        <f aca="false">IF($AF92=Constants!$B$7,IF(AN92=1,2,1),"")</f>
        <v/>
      </c>
      <c r="AP92" s="67" t="str">
        <f aca="false">IF(ISBLANK($C92),"",IF($AF92&lt;&gt;Constants!$B$7,$AF92,IF(AN92=1,AJ92,AM92)))</f>
        <v/>
      </c>
      <c r="AQ92" s="67" t="str">
        <f aca="false">IF(ISBLANK($C92),"",IF($AF92=Constants!$B$7,IF(ISNUMBER(AP92),RANK(AP92,$AP$8:$AP$507),Constants!$B$14),$AF92))</f>
        <v/>
      </c>
      <c r="AR92" s="67" t="str">
        <f aca="false">IF(ISBLANK($C92),"",IF($AF92=Constants!$B$7,IF(AO92=1,AJ92,AM92),""))</f>
        <v/>
      </c>
      <c r="AS92" s="67" t="str">
        <f aca="false">IF(ISBLANK($C92),"",IF($AF92=Constants!$B$7,RANK(AR92,$AR$8:$AR$507),$AF92))</f>
        <v/>
      </c>
      <c r="AT92" s="67" t="str">
        <f aca="false">IF(ISBLANK($C92),"",IF($AF92=Constants!$B$7,IF(ISNUMBER(AQ92),COUNTIFS($AQ$8:$AQ$507,"&lt;"&amp;$AQ92)+COUNTIFS($AQ$8:$AQ$507,$AQ92,$AS$8:$AS$507,"&lt;"&amp;$AS92)+1,Constants!$B$14),$AF92))</f>
        <v/>
      </c>
      <c r="AU92" s="67" t="str">
        <f aca="false">IF(ISBLANK($C92),"",IF($AF92=Constants!$B$7,IF(ISNUMBER(AQ92),AQ92-AT92,Constants!$B$14),$AF92))</f>
        <v/>
      </c>
      <c r="AV92" s="69"/>
      <c r="AW92" s="70" t="str">
        <f aca="false">IF(ISBLANK($C92),"",IF($AF92&lt;&gt;Constants!$B$7,"",AN92))</f>
        <v/>
      </c>
      <c r="AX92" s="85" t="str">
        <f aca="false">IF(ISBLANK($C92),"",IF($AF92&lt;&gt;Constants!$B$7,"",IF(AN92=1,AH92,AK92)))</f>
        <v/>
      </c>
      <c r="AY92" s="72" t="str">
        <f aca="false">IF(ISBLANK($C92),"",IF($AF92&lt;&gt;Constants!$B$7,"",IF(AN92=1,AI92,AL92)))</f>
        <v/>
      </c>
      <c r="AZ92" s="73" t="str">
        <f aca="false">IF(ISBLANK($C92),"",IF($AF92&lt;&gt;Constants!$B$7,$AF92,AP92))</f>
        <v/>
      </c>
      <c r="BA92" s="74" t="str">
        <f aca="false">IF(ISBLANK($C92),"",IF($AF92&lt;&gt;Constants!$B$7,$AF92,AG92))</f>
        <v/>
      </c>
      <c r="BB92" s="75" t="str">
        <f aca="false">IF(ISBLANK($C92),"",AU92)</f>
        <v/>
      </c>
      <c r="BC92" s="75" t="str">
        <f aca="false">IF(ISBLANK($C92),"",AT92)</f>
        <v/>
      </c>
      <c r="BD92" s="76" t="str">
        <f aca="false">IF(ISBLANK($C92),"",IFERROR(_xlfn.SWITCH(BC92,Constants!$B$4,COUNTA($C$8:$C$507)+2,Constants!$B$5,COUNTA($C$8:$C$507)+1,Constants!$B$6,COUNTA($C$8:$C$507)),BC92))</f>
        <v/>
      </c>
      <c r="BE92" s="5"/>
      <c r="BF92" s="77" t="n">
        <f aca="false">IF(OR(ISNUMBER(BC92),BC92=Constants!$B$4,BC92=Constants!$B$6,BC92=Constants!$B$5),1,0)</f>
        <v>0</v>
      </c>
      <c r="BG92" s="77" t="n">
        <v>85</v>
      </c>
      <c r="BH92" s="77" t="str">
        <f aca="false">IF(ISBLANK($C92),"",IF(ISNUMBER(BD92),BD92+ROW($B92)/1000,""))</f>
        <v/>
      </c>
      <c r="BI92" s="77" t="str">
        <f aca="false">IF(ISNUMBER(BH92),RANK(BH92,$BH$8:$BH$507,1),"")</f>
        <v/>
      </c>
      <c r="BJ92" s="77" t="str">
        <f aca="false">IF(ISBLANK($C92),"",$B92)</f>
        <v/>
      </c>
      <c r="BK92" s="77" t="str">
        <f aca="false">IF(ISBLANK($C92),"",$C92)</f>
        <v/>
      </c>
      <c r="BL92" s="77" t="str">
        <f aca="false">IF(ISBLANK($C92),"",$D92)</f>
        <v/>
      </c>
      <c r="BM92" s="78" t="str">
        <f aca="false">BA92</f>
        <v/>
      </c>
      <c r="BN92" s="79" t="str">
        <f aca="false">AZ92</f>
        <v/>
      </c>
      <c r="BO92" s="77" t="str">
        <f aca="false">IF(ISBLANK($C92),"",BC92)</f>
        <v/>
      </c>
      <c r="BP92" s="80" t="str">
        <f aca="false">IF($BG92&gt;$BF$7,"",VLOOKUP($BG92,$BI$8:$BO$507,7,FALSE()))</f>
        <v/>
      </c>
      <c r="BQ92" s="81" t="str">
        <f aca="false">IF($BG92&gt;$BF$7,"",VLOOKUP($BG92,$BI$8:$BO$507,2,FALSE()))</f>
        <v/>
      </c>
      <c r="BR92" s="81" t="str">
        <f aca="false">IF($BG92&gt;$BF$7,"",VLOOKUP($BG92,$BI$8:$BO$507,3,FALSE()))</f>
        <v/>
      </c>
      <c r="BS92" s="81" t="str">
        <f aca="false">IF($BG92&gt;$BF$7,"",VLOOKUP($BG92,$BI$8:$BO$507,4,FALSE()))</f>
        <v/>
      </c>
      <c r="BT92" s="81" t="str">
        <f aca="false">IF($BG92&gt;$BF$7,"",VLOOKUP($BG92,$BI$8:$BO$507,5,FALSE()))</f>
        <v/>
      </c>
      <c r="BU92" s="82" t="str">
        <f aca="false">IF($BG92&gt;$BF$7,"",VLOOKUP($BG92,$BI$8:$BO$507,6,FALSE()))</f>
        <v/>
      </c>
      <c r="BV92" s="54"/>
    </row>
    <row r="93" customFormat="false" ht="15.75" hidden="false" customHeight="false" outlineLevel="0" collapsed="false">
      <c r="A93" s="5"/>
      <c r="B93" s="135"/>
      <c r="C93" s="56"/>
      <c r="D93" s="57"/>
      <c r="E93" s="84"/>
      <c r="F93" s="136"/>
      <c r="G93" s="60"/>
      <c r="H93" s="137"/>
      <c r="I93" s="62"/>
      <c r="J93" s="62"/>
      <c r="K93" s="60"/>
      <c r="L93" s="138"/>
      <c r="M93" s="62"/>
      <c r="N93" s="62"/>
      <c r="O93" s="60"/>
      <c r="P93" s="84"/>
      <c r="Q93" s="65"/>
      <c r="R93" s="67" t="str">
        <f aca="false">IF(ISBLANK($C93),"",IF(E93=Constants!$B$2, TRUE(), IF(E93=Constants!$B$3, FALSE(), TRUE())))</f>
        <v/>
      </c>
      <c r="S93" s="67" t="str">
        <f aca="false">IF(ISBLANK($C93),"",IF(F93=Constants!$B$2, TRUE(), IF(F93=Constants!$B$3, FALSE(), TRUE())))</f>
        <v/>
      </c>
      <c r="T93" s="67" t="str">
        <f aca="false">IF(ISBLANK($C93),"",IF(G93=Constants!$B$16,Constants!$B$9,IF(G93=Constants!$B$17,Constants!$B$10,Constants!$B$8)))</f>
        <v/>
      </c>
      <c r="U93" s="67" t="str">
        <f aca="false">IF(ISBLANK($C93),"",IF(H93=Constants!$B$19,Constants!$B$19,Constants!$B$18))</f>
        <v/>
      </c>
      <c r="V93" s="67" t="str">
        <f aca="false">IF(ISBLANK($C93),"",IF(ISNUMBER(I93),IF(I93&gt;=0,I93,""),""))</f>
        <v/>
      </c>
      <c r="W93" s="67" t="str">
        <f aca="false">IF(ISBLANK($C93),"",IF(J93=Constants!$B$2, TRUE(), IF(J93=Constants!$B$3, FALSE(), TRUE())))</f>
        <v/>
      </c>
      <c r="X93" s="67" t="str">
        <f aca="false">IF(ISBLANK($C93),"",IF(K93=Constants!$B$2, TRUE(), IF(K93=Constants!$B$3, FALSE(), TRUE())))</f>
        <v/>
      </c>
      <c r="Y93" s="67" t="str">
        <f aca="false">IF(ISBLANK($C93),"",IF(L93=Constants!$B$19,Constants!$B$19,Constants!$B$18))</f>
        <v/>
      </c>
      <c r="Z93" s="67" t="str">
        <f aca="false">IF(ISBLANK($C93),"",IF(ISNUMBER(M93),IF(M93&gt;=0,M93,""),""))</f>
        <v/>
      </c>
      <c r="AA93" s="67" t="str">
        <f aca="false">IF(ISBLANK($C93),"",IF(N93=Constants!$B$2, TRUE(), IF(N93=Constants!$B$3, FALSE(), TRUE())))</f>
        <v/>
      </c>
      <c r="AB93" s="67" t="str">
        <f aca="false">IF(ISBLANK($C93),"",IF(O93=Constants!$B$2, TRUE(), IF(O93=Constants!$B$3, FALSE(), TRUE())))</f>
        <v/>
      </c>
      <c r="AC93" s="67" t="str">
        <f aca="false">IF(ISBLANK($C93),"",IF(P93=Constants!$B$2, TRUE(), IF(P93=Constants!$B$3, FALSE(), FALSE())))</f>
        <v/>
      </c>
      <c r="AD93" s="67" t="str">
        <f aca="false">IF(ISBLANK($C93),"",AND(V93&lt;&gt;"",IF(U93=Constants!$B$19,S93,R93)))</f>
        <v/>
      </c>
      <c r="AE93" s="67" t="str">
        <f aca="false">IF(ISBLANK($C93),"",AND(Z93&lt;&gt;"",IF(Y93=Constants!$B$19,S93,R93)))</f>
        <v/>
      </c>
      <c r="AF93" s="67" t="str">
        <f aca="false">IF(ISBLANK($C93),"",IF(AC93,Constants!$B$4,IF(COUNTA(E93:O93)=0,Constants!$B$5,IF(AND(NOT(AD93),NOT(AE93)),Constants!$B$6,Constants!$B$7))))</f>
        <v/>
      </c>
      <c r="AG93" s="67" t="str">
        <f aca="false">IF(ISBLANK($C93),"",IF($AF93&lt;&gt;Constants!$B$7,$AF93,Constants!$B$20))</f>
        <v/>
      </c>
      <c r="AH93" s="67" t="str">
        <f aca="false">IF($AF93=Constants!$B$7,IF(AD93,V93,Constants!$B$13),"")</f>
        <v/>
      </c>
      <c r="AI93" s="67" t="str">
        <f aca="false">IF($AF93=Constants!$B$7,IF(AD93,T93*IF(W93, 1, Constants!$B$11)*IF(X93, 1, Constants!$B$12),Constants!$B$13),"")</f>
        <v/>
      </c>
      <c r="AJ93" s="67" t="str">
        <f aca="false">IF($AF93=Constants!$B$7,AH93*AI93,"")</f>
        <v/>
      </c>
      <c r="AK93" s="67" t="str">
        <f aca="false">IF($AF93=Constants!$B$7,IF(AE93,Z93,Constants!$B$13),"")</f>
        <v/>
      </c>
      <c r="AL93" s="67" t="str">
        <f aca="false">IF($AF93=Constants!$B$7,IF(AE93,T93*IF(AA93, 1, Constants!$B$11)*IF(AB93, 1, Constants!$B$12),Constants!$B$13),"")</f>
        <v/>
      </c>
      <c r="AM93" s="67" t="str">
        <f aca="false">IF($AF93=Constants!$B$7,AK93*AL93,"")</f>
        <v/>
      </c>
      <c r="AN93" s="67" t="str">
        <f aca="false">IF($AF93=Constants!$B$7,IF(AM93&gt;AJ93,2,1),"")</f>
        <v/>
      </c>
      <c r="AO93" s="67" t="str">
        <f aca="false">IF($AF93=Constants!$B$7,IF(AN93=1,2,1),"")</f>
        <v/>
      </c>
      <c r="AP93" s="67" t="str">
        <f aca="false">IF(ISBLANK($C93),"",IF($AF93&lt;&gt;Constants!$B$7,$AF93,IF(AN93=1,AJ93,AM93)))</f>
        <v/>
      </c>
      <c r="AQ93" s="67" t="str">
        <f aca="false">IF(ISBLANK($C93),"",IF($AF93=Constants!$B$7,IF(ISNUMBER(AP93),RANK(AP93,$AP$8:$AP$507),Constants!$B$14),$AF93))</f>
        <v/>
      </c>
      <c r="AR93" s="67" t="str">
        <f aca="false">IF(ISBLANK($C93),"",IF($AF93=Constants!$B$7,IF(AO93=1,AJ93,AM93),""))</f>
        <v/>
      </c>
      <c r="AS93" s="67" t="str">
        <f aca="false">IF(ISBLANK($C93),"",IF($AF93=Constants!$B$7,RANK(AR93,$AR$8:$AR$507),$AF93))</f>
        <v/>
      </c>
      <c r="AT93" s="67" t="str">
        <f aca="false">IF(ISBLANK($C93),"",IF($AF93=Constants!$B$7,IF(ISNUMBER(AQ93),COUNTIFS($AQ$8:$AQ$507,"&lt;"&amp;$AQ93)+COUNTIFS($AQ$8:$AQ$507,$AQ93,$AS$8:$AS$507,"&lt;"&amp;$AS93)+1,Constants!$B$14),$AF93))</f>
        <v/>
      </c>
      <c r="AU93" s="67" t="str">
        <f aca="false">IF(ISBLANK($C93),"",IF($AF93=Constants!$B$7,IF(ISNUMBER(AQ93),AQ93-AT93,Constants!$B$14),$AF93))</f>
        <v/>
      </c>
      <c r="AV93" s="69"/>
      <c r="AW93" s="70" t="str">
        <f aca="false">IF(ISBLANK($C93),"",IF($AF93&lt;&gt;Constants!$B$7,"",AN93))</f>
        <v/>
      </c>
      <c r="AX93" s="85" t="str">
        <f aca="false">IF(ISBLANK($C93),"",IF($AF93&lt;&gt;Constants!$B$7,"",IF(AN93=1,AH93,AK93)))</f>
        <v/>
      </c>
      <c r="AY93" s="72" t="str">
        <f aca="false">IF(ISBLANK($C93),"",IF($AF93&lt;&gt;Constants!$B$7,"",IF(AN93=1,AI93,AL93)))</f>
        <v/>
      </c>
      <c r="AZ93" s="73" t="str">
        <f aca="false">IF(ISBLANK($C93),"",IF($AF93&lt;&gt;Constants!$B$7,$AF93,AP93))</f>
        <v/>
      </c>
      <c r="BA93" s="74" t="str">
        <f aca="false">IF(ISBLANK($C93),"",IF($AF93&lt;&gt;Constants!$B$7,$AF93,AG93))</f>
        <v/>
      </c>
      <c r="BB93" s="75" t="str">
        <f aca="false">IF(ISBLANK($C93),"",AU93)</f>
        <v/>
      </c>
      <c r="BC93" s="75" t="str">
        <f aca="false">IF(ISBLANK($C93),"",AT93)</f>
        <v/>
      </c>
      <c r="BD93" s="76" t="str">
        <f aca="false">IF(ISBLANK($C93),"",IFERROR(_xlfn.SWITCH(BC93,Constants!$B$4,COUNTA($C$8:$C$507)+2,Constants!$B$5,COUNTA($C$8:$C$507)+1,Constants!$B$6,COUNTA($C$8:$C$507)),BC93))</f>
        <v/>
      </c>
      <c r="BE93" s="5"/>
      <c r="BF93" s="77" t="n">
        <f aca="false">IF(OR(ISNUMBER(BC93),BC93=Constants!$B$4,BC93=Constants!$B$6,BC93=Constants!$B$5),1,0)</f>
        <v>0</v>
      </c>
      <c r="BG93" s="77" t="n">
        <v>86</v>
      </c>
      <c r="BH93" s="77" t="str">
        <f aca="false">IF(ISBLANK($C93),"",IF(ISNUMBER(BD93),BD93+ROW($B93)/1000,""))</f>
        <v/>
      </c>
      <c r="BI93" s="77" t="str">
        <f aca="false">IF(ISNUMBER(BH93),RANK(BH93,$BH$8:$BH$507,1),"")</f>
        <v/>
      </c>
      <c r="BJ93" s="77" t="str">
        <f aca="false">IF(ISBLANK($C93),"",$B93)</f>
        <v/>
      </c>
      <c r="BK93" s="77" t="str">
        <f aca="false">IF(ISBLANK($C93),"",$C93)</f>
        <v/>
      </c>
      <c r="BL93" s="77" t="str">
        <f aca="false">IF(ISBLANK($C93),"",$D93)</f>
        <v/>
      </c>
      <c r="BM93" s="78" t="str">
        <f aca="false">BA93</f>
        <v/>
      </c>
      <c r="BN93" s="79" t="str">
        <f aca="false">AZ93</f>
        <v/>
      </c>
      <c r="BO93" s="77" t="str">
        <f aca="false">IF(ISBLANK($C93),"",BC93)</f>
        <v/>
      </c>
      <c r="BP93" s="80" t="str">
        <f aca="false">IF($BG93&gt;$BF$7,"",VLOOKUP($BG93,$BI$8:$BO$507,7,FALSE()))</f>
        <v/>
      </c>
      <c r="BQ93" s="81" t="str">
        <f aca="false">IF($BG93&gt;$BF$7,"",VLOOKUP($BG93,$BI$8:$BO$507,2,FALSE()))</f>
        <v/>
      </c>
      <c r="BR93" s="81" t="str">
        <f aca="false">IF($BG93&gt;$BF$7,"",VLOOKUP($BG93,$BI$8:$BO$507,3,FALSE()))</f>
        <v/>
      </c>
      <c r="BS93" s="81" t="str">
        <f aca="false">IF($BG93&gt;$BF$7,"",VLOOKUP($BG93,$BI$8:$BO$507,4,FALSE()))</f>
        <v/>
      </c>
      <c r="BT93" s="81" t="str">
        <f aca="false">IF($BG93&gt;$BF$7,"",VLOOKUP($BG93,$BI$8:$BO$507,5,FALSE()))</f>
        <v/>
      </c>
      <c r="BU93" s="82" t="str">
        <f aca="false">IF($BG93&gt;$BF$7,"",VLOOKUP($BG93,$BI$8:$BO$507,6,FALSE()))</f>
        <v/>
      </c>
      <c r="BV93" s="54"/>
    </row>
    <row r="94" customFormat="false" ht="15.75" hidden="false" customHeight="false" outlineLevel="0" collapsed="false">
      <c r="A94" s="5"/>
      <c r="B94" s="135"/>
      <c r="C94" s="56"/>
      <c r="D94" s="57"/>
      <c r="E94" s="84"/>
      <c r="F94" s="136"/>
      <c r="G94" s="60"/>
      <c r="H94" s="137"/>
      <c r="I94" s="62"/>
      <c r="J94" s="62"/>
      <c r="K94" s="60"/>
      <c r="L94" s="138"/>
      <c r="M94" s="62"/>
      <c r="N94" s="62"/>
      <c r="O94" s="60"/>
      <c r="P94" s="84"/>
      <c r="Q94" s="65"/>
      <c r="R94" s="67" t="str">
        <f aca="false">IF(ISBLANK($C94),"",IF(E94=Constants!$B$2, TRUE(), IF(E94=Constants!$B$3, FALSE(), TRUE())))</f>
        <v/>
      </c>
      <c r="S94" s="67" t="str">
        <f aca="false">IF(ISBLANK($C94),"",IF(F94=Constants!$B$2, TRUE(), IF(F94=Constants!$B$3, FALSE(), TRUE())))</f>
        <v/>
      </c>
      <c r="T94" s="67" t="str">
        <f aca="false">IF(ISBLANK($C94),"",IF(G94=Constants!$B$16,Constants!$B$9,IF(G94=Constants!$B$17,Constants!$B$10,Constants!$B$8)))</f>
        <v/>
      </c>
      <c r="U94" s="67" t="str">
        <f aca="false">IF(ISBLANK($C94),"",IF(H94=Constants!$B$19,Constants!$B$19,Constants!$B$18))</f>
        <v/>
      </c>
      <c r="V94" s="67" t="str">
        <f aca="false">IF(ISBLANK($C94),"",IF(ISNUMBER(I94),IF(I94&gt;=0,I94,""),""))</f>
        <v/>
      </c>
      <c r="W94" s="67" t="str">
        <f aca="false">IF(ISBLANK($C94),"",IF(J94=Constants!$B$2, TRUE(), IF(J94=Constants!$B$3, FALSE(), TRUE())))</f>
        <v/>
      </c>
      <c r="X94" s="67" t="str">
        <f aca="false">IF(ISBLANK($C94),"",IF(K94=Constants!$B$2, TRUE(), IF(K94=Constants!$B$3, FALSE(), TRUE())))</f>
        <v/>
      </c>
      <c r="Y94" s="67" t="str">
        <f aca="false">IF(ISBLANK($C94),"",IF(L94=Constants!$B$19,Constants!$B$19,Constants!$B$18))</f>
        <v/>
      </c>
      <c r="Z94" s="67" t="str">
        <f aca="false">IF(ISBLANK($C94),"",IF(ISNUMBER(M94),IF(M94&gt;=0,M94,""),""))</f>
        <v/>
      </c>
      <c r="AA94" s="67" t="str">
        <f aca="false">IF(ISBLANK($C94),"",IF(N94=Constants!$B$2, TRUE(), IF(N94=Constants!$B$3, FALSE(), TRUE())))</f>
        <v/>
      </c>
      <c r="AB94" s="67" t="str">
        <f aca="false">IF(ISBLANK($C94),"",IF(O94=Constants!$B$2, TRUE(), IF(O94=Constants!$B$3, FALSE(), TRUE())))</f>
        <v/>
      </c>
      <c r="AC94" s="67" t="str">
        <f aca="false">IF(ISBLANK($C94),"",IF(P94=Constants!$B$2, TRUE(), IF(P94=Constants!$B$3, FALSE(), FALSE())))</f>
        <v/>
      </c>
      <c r="AD94" s="67" t="str">
        <f aca="false">IF(ISBLANK($C94),"",AND(V94&lt;&gt;"",IF(U94=Constants!$B$19,S94,R94)))</f>
        <v/>
      </c>
      <c r="AE94" s="67" t="str">
        <f aca="false">IF(ISBLANK($C94),"",AND(Z94&lt;&gt;"",IF(Y94=Constants!$B$19,S94,R94)))</f>
        <v/>
      </c>
      <c r="AF94" s="67" t="str">
        <f aca="false">IF(ISBLANK($C94),"",IF(AC94,Constants!$B$4,IF(COUNTA(E94:O94)=0,Constants!$B$5,IF(AND(NOT(AD94),NOT(AE94)),Constants!$B$6,Constants!$B$7))))</f>
        <v/>
      </c>
      <c r="AG94" s="67" t="str">
        <f aca="false">IF(ISBLANK($C94),"",IF($AF94&lt;&gt;Constants!$B$7,$AF94,Constants!$B$20))</f>
        <v/>
      </c>
      <c r="AH94" s="67" t="str">
        <f aca="false">IF($AF94=Constants!$B$7,IF(AD94,V94,Constants!$B$13),"")</f>
        <v/>
      </c>
      <c r="AI94" s="67" t="str">
        <f aca="false">IF($AF94=Constants!$B$7,IF(AD94,T94*IF(W94, 1, Constants!$B$11)*IF(X94, 1, Constants!$B$12),Constants!$B$13),"")</f>
        <v/>
      </c>
      <c r="AJ94" s="67" t="str">
        <f aca="false">IF($AF94=Constants!$B$7,AH94*AI94,"")</f>
        <v/>
      </c>
      <c r="AK94" s="67" t="str">
        <f aca="false">IF($AF94=Constants!$B$7,IF(AE94,Z94,Constants!$B$13),"")</f>
        <v/>
      </c>
      <c r="AL94" s="67" t="str">
        <f aca="false">IF($AF94=Constants!$B$7,IF(AE94,T94*IF(AA94, 1, Constants!$B$11)*IF(AB94, 1, Constants!$B$12),Constants!$B$13),"")</f>
        <v/>
      </c>
      <c r="AM94" s="67" t="str">
        <f aca="false">IF($AF94=Constants!$B$7,AK94*AL94,"")</f>
        <v/>
      </c>
      <c r="AN94" s="67" t="str">
        <f aca="false">IF($AF94=Constants!$B$7,IF(AM94&gt;AJ94,2,1),"")</f>
        <v/>
      </c>
      <c r="AO94" s="67" t="str">
        <f aca="false">IF($AF94=Constants!$B$7,IF(AN94=1,2,1),"")</f>
        <v/>
      </c>
      <c r="AP94" s="67" t="str">
        <f aca="false">IF(ISBLANK($C94),"",IF($AF94&lt;&gt;Constants!$B$7,$AF94,IF(AN94=1,AJ94,AM94)))</f>
        <v/>
      </c>
      <c r="AQ94" s="67" t="str">
        <f aca="false">IF(ISBLANK($C94),"",IF($AF94=Constants!$B$7,IF(ISNUMBER(AP94),RANK(AP94,$AP$8:$AP$507),Constants!$B$14),$AF94))</f>
        <v/>
      </c>
      <c r="AR94" s="67" t="str">
        <f aca="false">IF(ISBLANK($C94),"",IF($AF94=Constants!$B$7,IF(AO94=1,AJ94,AM94),""))</f>
        <v/>
      </c>
      <c r="AS94" s="67" t="str">
        <f aca="false">IF(ISBLANK($C94),"",IF($AF94=Constants!$B$7,RANK(AR94,$AR$8:$AR$507),$AF94))</f>
        <v/>
      </c>
      <c r="AT94" s="67" t="str">
        <f aca="false">IF(ISBLANK($C94),"",IF($AF94=Constants!$B$7,IF(ISNUMBER(AQ94),COUNTIFS($AQ$8:$AQ$507,"&lt;"&amp;$AQ94)+COUNTIFS($AQ$8:$AQ$507,$AQ94,$AS$8:$AS$507,"&lt;"&amp;$AS94)+1,Constants!$B$14),$AF94))</f>
        <v/>
      </c>
      <c r="AU94" s="67" t="str">
        <f aca="false">IF(ISBLANK($C94),"",IF($AF94=Constants!$B$7,IF(ISNUMBER(AQ94),AQ94-AT94,Constants!$B$14),$AF94))</f>
        <v/>
      </c>
      <c r="AV94" s="69"/>
      <c r="AW94" s="70" t="str">
        <f aca="false">IF(ISBLANK($C94),"",IF($AF94&lt;&gt;Constants!$B$7,"",AN94))</f>
        <v/>
      </c>
      <c r="AX94" s="85" t="str">
        <f aca="false">IF(ISBLANK($C94),"",IF($AF94&lt;&gt;Constants!$B$7,"",IF(AN94=1,AH94,AK94)))</f>
        <v/>
      </c>
      <c r="AY94" s="72" t="str">
        <f aca="false">IF(ISBLANK($C94),"",IF($AF94&lt;&gt;Constants!$B$7,"",IF(AN94=1,AI94,AL94)))</f>
        <v/>
      </c>
      <c r="AZ94" s="73" t="str">
        <f aca="false">IF(ISBLANK($C94),"",IF($AF94&lt;&gt;Constants!$B$7,$AF94,AP94))</f>
        <v/>
      </c>
      <c r="BA94" s="74" t="str">
        <f aca="false">IF(ISBLANK($C94),"",IF($AF94&lt;&gt;Constants!$B$7,$AF94,AG94))</f>
        <v/>
      </c>
      <c r="BB94" s="75" t="str">
        <f aca="false">IF(ISBLANK($C94),"",AU94)</f>
        <v/>
      </c>
      <c r="BC94" s="75" t="str">
        <f aca="false">IF(ISBLANK($C94),"",AT94)</f>
        <v/>
      </c>
      <c r="BD94" s="76" t="str">
        <f aca="false">IF(ISBLANK($C94),"",IFERROR(_xlfn.SWITCH(BC94,Constants!$B$4,COUNTA($C$8:$C$507)+2,Constants!$B$5,COUNTA($C$8:$C$507)+1,Constants!$B$6,COUNTA($C$8:$C$507)),BC94))</f>
        <v/>
      </c>
      <c r="BE94" s="5"/>
      <c r="BF94" s="77" t="n">
        <f aca="false">IF(OR(ISNUMBER(BC94),BC94=Constants!$B$4,BC94=Constants!$B$6,BC94=Constants!$B$5),1,0)</f>
        <v>0</v>
      </c>
      <c r="BG94" s="77" t="n">
        <v>87</v>
      </c>
      <c r="BH94" s="77" t="str">
        <f aca="false">IF(ISBLANK($C94),"",IF(ISNUMBER(BD94),BD94+ROW($B94)/1000,""))</f>
        <v/>
      </c>
      <c r="BI94" s="77" t="str">
        <f aca="false">IF(ISNUMBER(BH94),RANK(BH94,$BH$8:$BH$507,1),"")</f>
        <v/>
      </c>
      <c r="BJ94" s="77" t="str">
        <f aca="false">IF(ISBLANK($C94),"",$B94)</f>
        <v/>
      </c>
      <c r="BK94" s="77" t="str">
        <f aca="false">IF(ISBLANK($C94),"",$C94)</f>
        <v/>
      </c>
      <c r="BL94" s="77" t="str">
        <f aca="false">IF(ISBLANK($C94),"",$D94)</f>
        <v/>
      </c>
      <c r="BM94" s="78" t="str">
        <f aca="false">BA94</f>
        <v/>
      </c>
      <c r="BN94" s="79" t="str">
        <f aca="false">AZ94</f>
        <v/>
      </c>
      <c r="BO94" s="77" t="str">
        <f aca="false">IF(ISBLANK($C94),"",BC94)</f>
        <v/>
      </c>
      <c r="BP94" s="80" t="str">
        <f aca="false">IF($BG94&gt;$BF$7,"",VLOOKUP($BG94,$BI$8:$BO$507,7,FALSE()))</f>
        <v/>
      </c>
      <c r="BQ94" s="81" t="str">
        <f aca="false">IF($BG94&gt;$BF$7,"",VLOOKUP($BG94,$BI$8:$BO$507,2,FALSE()))</f>
        <v/>
      </c>
      <c r="BR94" s="81" t="str">
        <f aca="false">IF($BG94&gt;$BF$7,"",VLOOKUP($BG94,$BI$8:$BO$507,3,FALSE()))</f>
        <v/>
      </c>
      <c r="BS94" s="81" t="str">
        <f aca="false">IF($BG94&gt;$BF$7,"",VLOOKUP($BG94,$BI$8:$BO$507,4,FALSE()))</f>
        <v/>
      </c>
      <c r="BT94" s="81" t="str">
        <f aca="false">IF($BG94&gt;$BF$7,"",VLOOKUP($BG94,$BI$8:$BO$507,5,FALSE()))</f>
        <v/>
      </c>
      <c r="BU94" s="82" t="str">
        <f aca="false">IF($BG94&gt;$BF$7,"",VLOOKUP($BG94,$BI$8:$BO$507,6,FALSE()))</f>
        <v/>
      </c>
      <c r="BV94" s="54"/>
    </row>
    <row r="95" customFormat="false" ht="15.75" hidden="false" customHeight="false" outlineLevel="0" collapsed="false">
      <c r="A95" s="5"/>
      <c r="B95" s="128"/>
      <c r="C95" s="129"/>
      <c r="D95" s="114"/>
      <c r="E95" s="134"/>
      <c r="F95" s="139"/>
      <c r="G95" s="93"/>
      <c r="H95" s="140"/>
      <c r="I95" s="95"/>
      <c r="J95" s="95"/>
      <c r="K95" s="93"/>
      <c r="L95" s="141"/>
      <c r="M95" s="95"/>
      <c r="N95" s="95"/>
      <c r="O95" s="93"/>
      <c r="P95" s="134"/>
      <c r="Q95" s="98"/>
      <c r="R95" s="99" t="str">
        <f aca="false">IF(ISBLANK($C95),"",IF(E95=Constants!$B$2, TRUE(), IF(E95=Constants!$B$3, FALSE(), TRUE())))</f>
        <v/>
      </c>
      <c r="S95" s="99" t="str">
        <f aca="false">IF(ISBLANK($C95),"",IF(F95=Constants!$B$2, TRUE(), IF(F95=Constants!$B$3, FALSE(), TRUE())))</f>
        <v/>
      </c>
      <c r="T95" s="99" t="str">
        <f aca="false">IF(ISBLANK($C95),"",IF(G95=Constants!$B$16,Constants!$B$9,IF(G95=Constants!$B$17,Constants!$B$10,Constants!$B$8)))</f>
        <v/>
      </c>
      <c r="U95" s="99" t="str">
        <f aca="false">IF(ISBLANK($C95),"",IF(H95=Constants!$B$19,Constants!$B$19,Constants!$B$18))</f>
        <v/>
      </c>
      <c r="V95" s="99" t="str">
        <f aca="false">IF(ISBLANK($C95),"",IF(ISNUMBER(I95),IF(I95&gt;=0,I95,""),""))</f>
        <v/>
      </c>
      <c r="W95" s="99" t="str">
        <f aca="false">IF(ISBLANK($C95),"",IF(J95=Constants!$B$2, TRUE(), IF(J95=Constants!$B$3, FALSE(), TRUE())))</f>
        <v/>
      </c>
      <c r="X95" s="99" t="str">
        <f aca="false">IF(ISBLANK($C95),"",IF(K95=Constants!$B$2, TRUE(), IF(K95=Constants!$B$3, FALSE(), TRUE())))</f>
        <v/>
      </c>
      <c r="Y95" s="99" t="str">
        <f aca="false">IF(ISBLANK($C95),"",IF(L95=Constants!$B$19,Constants!$B$19,Constants!$B$18))</f>
        <v/>
      </c>
      <c r="Z95" s="99" t="str">
        <f aca="false">IF(ISBLANK($C95),"",IF(ISNUMBER(M95),IF(M95&gt;=0,M95,""),""))</f>
        <v/>
      </c>
      <c r="AA95" s="99" t="str">
        <f aca="false">IF(ISBLANK($C95),"",IF(N95=Constants!$B$2, TRUE(), IF(N95=Constants!$B$3, FALSE(), TRUE())))</f>
        <v/>
      </c>
      <c r="AB95" s="99" t="str">
        <f aca="false">IF(ISBLANK($C95),"",IF(O95=Constants!$B$2, TRUE(), IF(O95=Constants!$B$3, FALSE(), TRUE())))</f>
        <v/>
      </c>
      <c r="AC95" s="99" t="str">
        <f aca="false">IF(ISBLANK($C95),"",IF(P95=Constants!$B$2, TRUE(), IF(P95=Constants!$B$3, FALSE(), FALSE())))</f>
        <v/>
      </c>
      <c r="AD95" s="99" t="str">
        <f aca="false">IF(ISBLANK($C95),"",AND(V95&lt;&gt;"",IF(U95=Constants!$B$19,S95,R95)))</f>
        <v/>
      </c>
      <c r="AE95" s="99" t="str">
        <f aca="false">IF(ISBLANK($C95),"",AND(Z95&lt;&gt;"",IF(Y95=Constants!$B$19,S95,R95)))</f>
        <v/>
      </c>
      <c r="AF95" s="99" t="str">
        <f aca="false">IF(ISBLANK($C95),"",IF(AC95,Constants!$B$4,IF(COUNTA(E95:O95)=0,Constants!$B$5,IF(AND(NOT(AD95),NOT(AE95)),Constants!$B$6,Constants!$B$7))))</f>
        <v/>
      </c>
      <c r="AG95" s="99" t="str">
        <f aca="false">IF(ISBLANK($C95),"",IF($AF95&lt;&gt;Constants!$B$7,$AF95,Constants!$B$20))</f>
        <v/>
      </c>
      <c r="AH95" s="99" t="str">
        <f aca="false">IF($AF95=Constants!$B$7,IF(AD95,V95,Constants!$B$13),"")</f>
        <v/>
      </c>
      <c r="AI95" s="99" t="str">
        <f aca="false">IF($AF95=Constants!$B$7,IF(AD95,T95*IF(W95, 1, Constants!$B$11)*IF(X95, 1, Constants!$B$12),Constants!$B$13),"")</f>
        <v/>
      </c>
      <c r="AJ95" s="99" t="str">
        <f aca="false">IF($AF95=Constants!$B$7,AH95*AI95,"")</f>
        <v/>
      </c>
      <c r="AK95" s="99" t="str">
        <f aca="false">IF($AF95=Constants!$B$7,IF(AE95,Z95,Constants!$B$13),"")</f>
        <v/>
      </c>
      <c r="AL95" s="99" t="str">
        <f aca="false">IF($AF95=Constants!$B$7,IF(AE95,T95*IF(AA95, 1, Constants!$B$11)*IF(AB95, 1, Constants!$B$12),Constants!$B$13),"")</f>
        <v/>
      </c>
      <c r="AM95" s="99" t="str">
        <f aca="false">IF($AF95=Constants!$B$7,AK95*AL95,"")</f>
        <v/>
      </c>
      <c r="AN95" s="99" t="str">
        <f aca="false">IF($AF95=Constants!$B$7,IF(AM95&gt;AJ95,2,1),"")</f>
        <v/>
      </c>
      <c r="AO95" s="99" t="str">
        <f aca="false">IF($AF95=Constants!$B$7,IF(AN95=1,2,1),"")</f>
        <v/>
      </c>
      <c r="AP95" s="99" t="str">
        <f aca="false">IF(ISBLANK($C95),"",IF($AF95&lt;&gt;Constants!$B$7,$AF95,IF(AN95=1,AJ95,AM95)))</f>
        <v/>
      </c>
      <c r="AQ95" s="99" t="str">
        <f aca="false">IF(ISBLANK($C95),"",IF($AF95=Constants!$B$7,IF(ISNUMBER(AP95),RANK(AP95,$AP$8:$AP$507),Constants!$B$14),$AF95))</f>
        <v/>
      </c>
      <c r="AR95" s="99" t="str">
        <f aca="false">IF(ISBLANK($C95),"",IF($AF95=Constants!$B$7,IF(AO95=1,AJ95,AM95),""))</f>
        <v/>
      </c>
      <c r="AS95" s="99" t="str">
        <f aca="false">IF(ISBLANK($C95),"",IF($AF95=Constants!$B$7,RANK(AR95,$AR$8:$AR$507),$AF95))</f>
        <v/>
      </c>
      <c r="AT95" s="99" t="str">
        <f aca="false">IF(ISBLANK($C95),"",IF($AF95=Constants!$B$7,IF(ISNUMBER(AQ95),COUNTIFS($AQ$8:$AQ$507,"&lt;"&amp;$AQ95)+COUNTIFS($AQ$8:$AQ$507,$AQ95,$AS$8:$AS$507,"&lt;"&amp;$AS95)+1,Constants!$B$14),$AF95))</f>
        <v/>
      </c>
      <c r="AU95" s="99" t="str">
        <f aca="false">IF(ISBLANK($C95),"",IF($AF95=Constants!$B$7,IF(ISNUMBER(AQ95),AQ95-AT95,Constants!$B$14),$AF95))</f>
        <v/>
      </c>
      <c r="AV95" s="100"/>
      <c r="AW95" s="101" t="str">
        <f aca="false">IF(ISBLANK($C95),"",IF($AF95&lt;&gt;Constants!$B$7,"",AN95))</f>
        <v/>
      </c>
      <c r="AX95" s="102" t="str">
        <f aca="false">IF(ISBLANK($C95),"",IF($AF95&lt;&gt;Constants!$B$7,"",IF(AN95=1,AH95,AK95)))</f>
        <v/>
      </c>
      <c r="AY95" s="103" t="str">
        <f aca="false">IF(ISBLANK($C95),"",IF($AF95&lt;&gt;Constants!$B$7,"",IF(AN95=1,AI95,AL95)))</f>
        <v/>
      </c>
      <c r="AZ95" s="104" t="str">
        <f aca="false">IF(ISBLANK($C95),"",IF($AF95&lt;&gt;Constants!$B$7,$AF95,AP95))</f>
        <v/>
      </c>
      <c r="BA95" s="105" t="str">
        <f aca="false">IF(ISBLANK($C95),"",IF($AF95&lt;&gt;Constants!$B$7,$AF95,AG95))</f>
        <v/>
      </c>
      <c r="BB95" s="106" t="str">
        <f aca="false">IF(ISBLANK($C95),"",AU95)</f>
        <v/>
      </c>
      <c r="BC95" s="106" t="str">
        <f aca="false">IF(ISBLANK($C95),"",AT95)</f>
        <v/>
      </c>
      <c r="BD95" s="107" t="str">
        <f aca="false">IF(ISBLANK($C95),"",IFERROR(_xlfn.SWITCH(BC95,Constants!$B$4,COUNTA($C$8:$C$507)+2,Constants!$B$5,COUNTA($C$8:$C$507)+1,Constants!$B$6,COUNTA($C$8:$C$507)),BC95))</f>
        <v/>
      </c>
      <c r="BE95" s="5"/>
      <c r="BF95" s="108" t="n">
        <f aca="false">IF(OR(ISNUMBER(BC95),BC95=Constants!$B$4,BC95=Constants!$B$6,BC95=Constants!$B$5),1,0)</f>
        <v>0</v>
      </c>
      <c r="BG95" s="108" t="n">
        <v>88</v>
      </c>
      <c r="BH95" s="108" t="str">
        <f aca="false">IF(ISBLANK($C95),"",IF(ISNUMBER(BD95),BD95+ROW($B95)/1000,""))</f>
        <v/>
      </c>
      <c r="BI95" s="108" t="str">
        <f aca="false">IF(ISNUMBER(BH95),RANK(BH95,$BH$8:$BH$507,1),"")</f>
        <v/>
      </c>
      <c r="BJ95" s="108" t="str">
        <f aca="false">IF(ISBLANK($C95),"",$B95)</f>
        <v/>
      </c>
      <c r="BK95" s="108" t="str">
        <f aca="false">IF(ISBLANK($C95),"",$C95)</f>
        <v/>
      </c>
      <c r="BL95" s="108" t="str">
        <f aca="false">IF(ISBLANK($C95),"",$D95)</f>
        <v/>
      </c>
      <c r="BM95" s="109" t="str">
        <f aca="false">BA95</f>
        <v/>
      </c>
      <c r="BN95" s="110" t="str">
        <f aca="false">AZ95</f>
        <v/>
      </c>
      <c r="BO95" s="108" t="str">
        <f aca="false">IF(ISBLANK($C95),"",BC95)</f>
        <v/>
      </c>
      <c r="BP95" s="111" t="str">
        <f aca="false">IF($BG95&gt;$BF$7,"",VLOOKUP($BG95,$BI$8:$BO$507,7,FALSE()))</f>
        <v/>
      </c>
      <c r="BQ95" s="112" t="str">
        <f aca="false">IF($BG95&gt;$BF$7,"",VLOOKUP($BG95,$BI$8:$BO$507,2,FALSE()))</f>
        <v/>
      </c>
      <c r="BR95" s="112" t="str">
        <f aca="false">IF($BG95&gt;$BF$7,"",VLOOKUP($BG95,$BI$8:$BO$507,3,FALSE()))</f>
        <v/>
      </c>
      <c r="BS95" s="112" t="str">
        <f aca="false">IF($BG95&gt;$BF$7,"",VLOOKUP($BG95,$BI$8:$BO$507,4,FALSE()))</f>
        <v/>
      </c>
      <c r="BT95" s="112" t="str">
        <f aca="false">IF($BG95&gt;$BF$7,"",VLOOKUP($BG95,$BI$8:$BO$507,5,FALSE()))</f>
        <v/>
      </c>
      <c r="BU95" s="113" t="str">
        <f aca="false">IF($BG95&gt;$BF$7,"",VLOOKUP($BG95,$BI$8:$BO$507,6,FALSE()))</f>
        <v/>
      </c>
      <c r="BV95" s="54"/>
    </row>
    <row r="96" customFormat="false" ht="15.75" hidden="false" customHeight="false" outlineLevel="0" collapsed="false">
      <c r="A96" s="5"/>
      <c r="B96" s="128"/>
      <c r="C96" s="129"/>
      <c r="D96" s="114"/>
      <c r="E96" s="134"/>
      <c r="F96" s="139"/>
      <c r="G96" s="93"/>
      <c r="H96" s="140"/>
      <c r="I96" s="95"/>
      <c r="J96" s="95"/>
      <c r="K96" s="93"/>
      <c r="L96" s="141"/>
      <c r="M96" s="95"/>
      <c r="N96" s="95"/>
      <c r="O96" s="93"/>
      <c r="P96" s="134"/>
      <c r="Q96" s="98"/>
      <c r="R96" s="99" t="str">
        <f aca="false">IF(ISBLANK($C96),"",IF(E96=Constants!$B$2, TRUE(), IF(E96=Constants!$B$3, FALSE(), TRUE())))</f>
        <v/>
      </c>
      <c r="S96" s="99" t="str">
        <f aca="false">IF(ISBLANK($C96),"",IF(F96=Constants!$B$2, TRUE(), IF(F96=Constants!$B$3, FALSE(), TRUE())))</f>
        <v/>
      </c>
      <c r="T96" s="99" t="str">
        <f aca="false">IF(ISBLANK($C96),"",IF(G96=Constants!$B$16,Constants!$B$9,IF(G96=Constants!$B$17,Constants!$B$10,Constants!$B$8)))</f>
        <v/>
      </c>
      <c r="U96" s="99" t="str">
        <f aca="false">IF(ISBLANK($C96),"",IF(H96=Constants!$B$19,Constants!$B$19,Constants!$B$18))</f>
        <v/>
      </c>
      <c r="V96" s="99" t="str">
        <f aca="false">IF(ISBLANK($C96),"",IF(ISNUMBER(I96),IF(I96&gt;=0,I96,""),""))</f>
        <v/>
      </c>
      <c r="W96" s="99" t="str">
        <f aca="false">IF(ISBLANK($C96),"",IF(J96=Constants!$B$2, TRUE(), IF(J96=Constants!$B$3, FALSE(), TRUE())))</f>
        <v/>
      </c>
      <c r="X96" s="99" t="str">
        <f aca="false">IF(ISBLANK($C96),"",IF(K96=Constants!$B$2, TRUE(), IF(K96=Constants!$B$3, FALSE(), TRUE())))</f>
        <v/>
      </c>
      <c r="Y96" s="99" t="str">
        <f aca="false">IF(ISBLANK($C96),"",IF(L96=Constants!$B$19,Constants!$B$19,Constants!$B$18))</f>
        <v/>
      </c>
      <c r="Z96" s="99" t="str">
        <f aca="false">IF(ISBLANK($C96),"",IF(ISNUMBER(M96),IF(M96&gt;=0,M96,""),""))</f>
        <v/>
      </c>
      <c r="AA96" s="99" t="str">
        <f aca="false">IF(ISBLANK($C96),"",IF(N96=Constants!$B$2, TRUE(), IF(N96=Constants!$B$3, FALSE(), TRUE())))</f>
        <v/>
      </c>
      <c r="AB96" s="99" t="str">
        <f aca="false">IF(ISBLANK($C96),"",IF(O96=Constants!$B$2, TRUE(), IF(O96=Constants!$B$3, FALSE(), TRUE())))</f>
        <v/>
      </c>
      <c r="AC96" s="99" t="str">
        <f aca="false">IF(ISBLANK($C96),"",IF(P96=Constants!$B$2, TRUE(), IF(P96=Constants!$B$3, FALSE(), FALSE())))</f>
        <v/>
      </c>
      <c r="AD96" s="99" t="str">
        <f aca="false">IF(ISBLANK($C96),"",AND(V96&lt;&gt;"",IF(U96=Constants!$B$19,S96,R96)))</f>
        <v/>
      </c>
      <c r="AE96" s="99" t="str">
        <f aca="false">IF(ISBLANK($C96),"",AND(Z96&lt;&gt;"",IF(Y96=Constants!$B$19,S96,R96)))</f>
        <v/>
      </c>
      <c r="AF96" s="99" t="str">
        <f aca="false">IF(ISBLANK($C96),"",IF(AC96,Constants!$B$4,IF(COUNTA(E96:O96)=0,Constants!$B$5,IF(AND(NOT(AD96),NOT(AE96)),Constants!$B$6,Constants!$B$7))))</f>
        <v/>
      </c>
      <c r="AG96" s="99" t="str">
        <f aca="false">IF(ISBLANK($C96),"",IF($AF96&lt;&gt;Constants!$B$7,$AF96,Constants!$B$20))</f>
        <v/>
      </c>
      <c r="AH96" s="99" t="str">
        <f aca="false">IF($AF96=Constants!$B$7,IF(AD96,V96,Constants!$B$13),"")</f>
        <v/>
      </c>
      <c r="AI96" s="99" t="str">
        <f aca="false">IF($AF96=Constants!$B$7,IF(AD96,T96*IF(W96, 1, Constants!$B$11)*IF(X96, 1, Constants!$B$12),Constants!$B$13),"")</f>
        <v/>
      </c>
      <c r="AJ96" s="99" t="str">
        <f aca="false">IF($AF96=Constants!$B$7,AH96*AI96,"")</f>
        <v/>
      </c>
      <c r="AK96" s="99" t="str">
        <f aca="false">IF($AF96=Constants!$B$7,IF(AE96,Z96,Constants!$B$13),"")</f>
        <v/>
      </c>
      <c r="AL96" s="99" t="str">
        <f aca="false">IF($AF96=Constants!$B$7,IF(AE96,T96*IF(AA96, 1, Constants!$B$11)*IF(AB96, 1, Constants!$B$12),Constants!$B$13),"")</f>
        <v/>
      </c>
      <c r="AM96" s="99" t="str">
        <f aca="false">IF($AF96=Constants!$B$7,AK96*AL96,"")</f>
        <v/>
      </c>
      <c r="AN96" s="99" t="str">
        <f aca="false">IF($AF96=Constants!$B$7,IF(AM96&gt;AJ96,2,1),"")</f>
        <v/>
      </c>
      <c r="AO96" s="99" t="str">
        <f aca="false">IF($AF96=Constants!$B$7,IF(AN96=1,2,1),"")</f>
        <v/>
      </c>
      <c r="AP96" s="99" t="str">
        <f aca="false">IF(ISBLANK($C96),"",IF($AF96&lt;&gt;Constants!$B$7,$AF96,IF(AN96=1,AJ96,AM96)))</f>
        <v/>
      </c>
      <c r="AQ96" s="99" t="str">
        <f aca="false">IF(ISBLANK($C96),"",IF($AF96=Constants!$B$7,IF(ISNUMBER(AP96),RANK(AP96,$AP$8:$AP$507),Constants!$B$14),$AF96))</f>
        <v/>
      </c>
      <c r="AR96" s="99" t="str">
        <f aca="false">IF(ISBLANK($C96),"",IF($AF96=Constants!$B$7,IF(AO96=1,AJ96,AM96),""))</f>
        <v/>
      </c>
      <c r="AS96" s="99" t="str">
        <f aca="false">IF(ISBLANK($C96),"",IF($AF96=Constants!$B$7,RANK(AR96,$AR$8:$AR$507),$AF96))</f>
        <v/>
      </c>
      <c r="AT96" s="99" t="str">
        <f aca="false">IF(ISBLANK($C96),"",IF($AF96=Constants!$B$7,IF(ISNUMBER(AQ96),COUNTIFS($AQ$8:$AQ$507,"&lt;"&amp;$AQ96)+COUNTIFS($AQ$8:$AQ$507,$AQ96,$AS$8:$AS$507,"&lt;"&amp;$AS96)+1,Constants!$B$14),$AF96))</f>
        <v/>
      </c>
      <c r="AU96" s="99" t="str">
        <f aca="false">IF(ISBLANK($C96),"",IF($AF96=Constants!$B$7,IF(ISNUMBER(AQ96),AQ96-AT96,Constants!$B$14),$AF96))</f>
        <v/>
      </c>
      <c r="AV96" s="100"/>
      <c r="AW96" s="101" t="str">
        <f aca="false">IF(ISBLANK($C96),"",IF($AF96&lt;&gt;Constants!$B$7,"",AN96))</f>
        <v/>
      </c>
      <c r="AX96" s="102" t="str">
        <f aca="false">IF(ISBLANK($C96),"",IF($AF96&lt;&gt;Constants!$B$7,"",IF(AN96=1,AH96,AK96)))</f>
        <v/>
      </c>
      <c r="AY96" s="103" t="str">
        <f aca="false">IF(ISBLANK($C96),"",IF($AF96&lt;&gt;Constants!$B$7,"",IF(AN96=1,AI96,AL96)))</f>
        <v/>
      </c>
      <c r="AZ96" s="104" t="str">
        <f aca="false">IF(ISBLANK($C96),"",IF($AF96&lt;&gt;Constants!$B$7,$AF96,AP96))</f>
        <v/>
      </c>
      <c r="BA96" s="105" t="str">
        <f aca="false">IF(ISBLANK($C96),"",IF($AF96&lt;&gt;Constants!$B$7,$AF96,AG96))</f>
        <v/>
      </c>
      <c r="BB96" s="106" t="str">
        <f aca="false">IF(ISBLANK($C96),"",AU96)</f>
        <v/>
      </c>
      <c r="BC96" s="106" t="str">
        <f aca="false">IF(ISBLANK($C96),"",AT96)</f>
        <v/>
      </c>
      <c r="BD96" s="107" t="str">
        <f aca="false">IF(ISBLANK($C96),"",IFERROR(_xlfn.SWITCH(BC96,Constants!$B$4,COUNTA($C$8:$C$507)+2,Constants!$B$5,COUNTA($C$8:$C$507)+1,Constants!$B$6,COUNTA($C$8:$C$507)),BC96))</f>
        <v/>
      </c>
      <c r="BE96" s="5"/>
      <c r="BF96" s="108" t="n">
        <f aca="false">IF(OR(ISNUMBER(BC96),BC96=Constants!$B$4,BC96=Constants!$B$6,BC96=Constants!$B$5),1,0)</f>
        <v>0</v>
      </c>
      <c r="BG96" s="108" t="n">
        <v>89</v>
      </c>
      <c r="BH96" s="108" t="str">
        <f aca="false">IF(ISBLANK($C96),"",IF(ISNUMBER(BD96),BD96+ROW($B96)/1000,""))</f>
        <v/>
      </c>
      <c r="BI96" s="108" t="str">
        <f aca="false">IF(ISNUMBER(BH96),RANK(BH96,$BH$8:$BH$507,1),"")</f>
        <v/>
      </c>
      <c r="BJ96" s="108" t="str">
        <f aca="false">IF(ISBLANK($C96),"",$B96)</f>
        <v/>
      </c>
      <c r="BK96" s="108" t="str">
        <f aca="false">IF(ISBLANK($C96),"",$C96)</f>
        <v/>
      </c>
      <c r="BL96" s="108" t="str">
        <f aca="false">IF(ISBLANK($C96),"",$D96)</f>
        <v/>
      </c>
      <c r="BM96" s="109" t="str">
        <f aca="false">BA96</f>
        <v/>
      </c>
      <c r="BN96" s="110" t="str">
        <f aca="false">AZ96</f>
        <v/>
      </c>
      <c r="BO96" s="108" t="str">
        <f aca="false">IF(ISBLANK($C96),"",BC96)</f>
        <v/>
      </c>
      <c r="BP96" s="111" t="str">
        <f aca="false">IF($BG96&gt;$BF$7,"",VLOOKUP($BG96,$BI$8:$BO$507,7,FALSE()))</f>
        <v/>
      </c>
      <c r="BQ96" s="112" t="str">
        <f aca="false">IF($BG96&gt;$BF$7,"",VLOOKUP($BG96,$BI$8:$BO$507,2,FALSE()))</f>
        <v/>
      </c>
      <c r="BR96" s="112" t="str">
        <f aca="false">IF($BG96&gt;$BF$7,"",VLOOKUP($BG96,$BI$8:$BO$507,3,FALSE()))</f>
        <v/>
      </c>
      <c r="BS96" s="112" t="str">
        <f aca="false">IF($BG96&gt;$BF$7,"",VLOOKUP($BG96,$BI$8:$BO$507,4,FALSE()))</f>
        <v/>
      </c>
      <c r="BT96" s="112" t="str">
        <f aca="false">IF($BG96&gt;$BF$7,"",VLOOKUP($BG96,$BI$8:$BO$507,5,FALSE()))</f>
        <v/>
      </c>
      <c r="BU96" s="113" t="str">
        <f aca="false">IF($BG96&gt;$BF$7,"",VLOOKUP($BG96,$BI$8:$BO$507,6,FALSE()))</f>
        <v/>
      </c>
      <c r="BV96" s="54"/>
    </row>
    <row r="97" customFormat="false" ht="15.75" hidden="false" customHeight="false" outlineLevel="0" collapsed="false">
      <c r="A97" s="5"/>
      <c r="B97" s="128"/>
      <c r="C97" s="129"/>
      <c r="D97" s="114"/>
      <c r="E97" s="134"/>
      <c r="F97" s="139"/>
      <c r="G97" s="93"/>
      <c r="H97" s="140"/>
      <c r="I97" s="95"/>
      <c r="J97" s="95"/>
      <c r="K97" s="93"/>
      <c r="L97" s="141"/>
      <c r="M97" s="95"/>
      <c r="N97" s="95"/>
      <c r="O97" s="93"/>
      <c r="P97" s="134"/>
      <c r="Q97" s="98"/>
      <c r="R97" s="99" t="str">
        <f aca="false">IF(ISBLANK($C97),"",IF(E97=Constants!$B$2, TRUE(), IF(E97=Constants!$B$3, FALSE(), TRUE())))</f>
        <v/>
      </c>
      <c r="S97" s="99" t="str">
        <f aca="false">IF(ISBLANK($C97),"",IF(F97=Constants!$B$2, TRUE(), IF(F97=Constants!$B$3, FALSE(), TRUE())))</f>
        <v/>
      </c>
      <c r="T97" s="99" t="str">
        <f aca="false">IF(ISBLANK($C97),"",IF(G97=Constants!$B$16,Constants!$B$9,IF(G97=Constants!$B$17,Constants!$B$10,Constants!$B$8)))</f>
        <v/>
      </c>
      <c r="U97" s="99" t="str">
        <f aca="false">IF(ISBLANK($C97),"",IF(H97=Constants!$B$19,Constants!$B$19,Constants!$B$18))</f>
        <v/>
      </c>
      <c r="V97" s="99" t="str">
        <f aca="false">IF(ISBLANK($C97),"",IF(ISNUMBER(I97),IF(I97&gt;=0,I97,""),""))</f>
        <v/>
      </c>
      <c r="W97" s="99" t="str">
        <f aca="false">IF(ISBLANK($C97),"",IF(J97=Constants!$B$2, TRUE(), IF(J97=Constants!$B$3, FALSE(), TRUE())))</f>
        <v/>
      </c>
      <c r="X97" s="99" t="str">
        <f aca="false">IF(ISBLANK($C97),"",IF(K97=Constants!$B$2, TRUE(), IF(K97=Constants!$B$3, FALSE(), TRUE())))</f>
        <v/>
      </c>
      <c r="Y97" s="99" t="str">
        <f aca="false">IF(ISBLANK($C97),"",IF(L97=Constants!$B$19,Constants!$B$19,Constants!$B$18))</f>
        <v/>
      </c>
      <c r="Z97" s="99" t="str">
        <f aca="false">IF(ISBLANK($C97),"",IF(ISNUMBER(M97),IF(M97&gt;=0,M97,""),""))</f>
        <v/>
      </c>
      <c r="AA97" s="99" t="str">
        <f aca="false">IF(ISBLANK($C97),"",IF(N97=Constants!$B$2, TRUE(), IF(N97=Constants!$B$3, FALSE(), TRUE())))</f>
        <v/>
      </c>
      <c r="AB97" s="99" t="str">
        <f aca="false">IF(ISBLANK($C97),"",IF(O97=Constants!$B$2, TRUE(), IF(O97=Constants!$B$3, FALSE(), TRUE())))</f>
        <v/>
      </c>
      <c r="AC97" s="99" t="str">
        <f aca="false">IF(ISBLANK($C97),"",IF(P97=Constants!$B$2, TRUE(), IF(P97=Constants!$B$3, FALSE(), FALSE())))</f>
        <v/>
      </c>
      <c r="AD97" s="99" t="str">
        <f aca="false">IF(ISBLANK($C97),"",AND(V97&lt;&gt;"",IF(U97=Constants!$B$19,S97,R97)))</f>
        <v/>
      </c>
      <c r="AE97" s="99" t="str">
        <f aca="false">IF(ISBLANK($C97),"",AND(Z97&lt;&gt;"",IF(Y97=Constants!$B$19,S97,R97)))</f>
        <v/>
      </c>
      <c r="AF97" s="99" t="str">
        <f aca="false">IF(ISBLANK($C97),"",IF(AC97,Constants!$B$4,IF(COUNTA(E97:O97)=0,Constants!$B$5,IF(AND(NOT(AD97),NOT(AE97)),Constants!$B$6,Constants!$B$7))))</f>
        <v/>
      </c>
      <c r="AG97" s="99" t="str">
        <f aca="false">IF(ISBLANK($C97),"",IF($AF97&lt;&gt;Constants!$B$7,$AF97,Constants!$B$20))</f>
        <v/>
      </c>
      <c r="AH97" s="99" t="str">
        <f aca="false">IF($AF97=Constants!$B$7,IF(AD97,V97,Constants!$B$13),"")</f>
        <v/>
      </c>
      <c r="AI97" s="99" t="str">
        <f aca="false">IF($AF97=Constants!$B$7,IF(AD97,T97*IF(W97, 1, Constants!$B$11)*IF(X97, 1, Constants!$B$12),Constants!$B$13),"")</f>
        <v/>
      </c>
      <c r="AJ97" s="99" t="str">
        <f aca="false">IF($AF97=Constants!$B$7,AH97*AI97,"")</f>
        <v/>
      </c>
      <c r="AK97" s="99" t="str">
        <f aca="false">IF($AF97=Constants!$B$7,IF(AE97,Z97,Constants!$B$13),"")</f>
        <v/>
      </c>
      <c r="AL97" s="99" t="str">
        <f aca="false">IF($AF97=Constants!$B$7,IF(AE97,T97*IF(AA97, 1, Constants!$B$11)*IF(AB97, 1, Constants!$B$12),Constants!$B$13),"")</f>
        <v/>
      </c>
      <c r="AM97" s="99" t="str">
        <f aca="false">IF($AF97=Constants!$B$7,AK97*AL97,"")</f>
        <v/>
      </c>
      <c r="AN97" s="99" t="str">
        <f aca="false">IF($AF97=Constants!$B$7,IF(AM97&gt;AJ97,2,1),"")</f>
        <v/>
      </c>
      <c r="AO97" s="99" t="str">
        <f aca="false">IF($AF97=Constants!$B$7,IF(AN97=1,2,1),"")</f>
        <v/>
      </c>
      <c r="AP97" s="99" t="str">
        <f aca="false">IF(ISBLANK($C97),"",IF($AF97&lt;&gt;Constants!$B$7,$AF97,IF(AN97=1,AJ97,AM97)))</f>
        <v/>
      </c>
      <c r="AQ97" s="99" t="str">
        <f aca="false">IF(ISBLANK($C97),"",IF($AF97=Constants!$B$7,IF(ISNUMBER(AP97),RANK(AP97,$AP$8:$AP$507),Constants!$B$14),$AF97))</f>
        <v/>
      </c>
      <c r="AR97" s="99" t="str">
        <f aca="false">IF(ISBLANK($C97),"",IF($AF97=Constants!$B$7,IF(AO97=1,AJ97,AM97),""))</f>
        <v/>
      </c>
      <c r="AS97" s="99" t="str">
        <f aca="false">IF(ISBLANK($C97),"",IF($AF97=Constants!$B$7,RANK(AR97,$AR$8:$AR$507),$AF97))</f>
        <v/>
      </c>
      <c r="AT97" s="99" t="str">
        <f aca="false">IF(ISBLANK($C97),"",IF($AF97=Constants!$B$7,IF(ISNUMBER(AQ97),COUNTIFS($AQ$8:$AQ$507,"&lt;"&amp;$AQ97)+COUNTIFS($AQ$8:$AQ$507,$AQ97,$AS$8:$AS$507,"&lt;"&amp;$AS97)+1,Constants!$B$14),$AF97))</f>
        <v/>
      </c>
      <c r="AU97" s="99" t="str">
        <f aca="false">IF(ISBLANK($C97),"",IF($AF97=Constants!$B$7,IF(ISNUMBER(AQ97),AQ97-AT97,Constants!$B$14),$AF97))</f>
        <v/>
      </c>
      <c r="AV97" s="100"/>
      <c r="AW97" s="101" t="str">
        <f aca="false">IF(ISBLANK($C97),"",IF($AF97&lt;&gt;Constants!$B$7,"",AN97))</f>
        <v/>
      </c>
      <c r="AX97" s="102" t="str">
        <f aca="false">IF(ISBLANK($C97),"",IF($AF97&lt;&gt;Constants!$B$7,"",IF(AN97=1,AH97,AK97)))</f>
        <v/>
      </c>
      <c r="AY97" s="103" t="str">
        <f aca="false">IF(ISBLANK($C97),"",IF($AF97&lt;&gt;Constants!$B$7,"",IF(AN97=1,AI97,AL97)))</f>
        <v/>
      </c>
      <c r="AZ97" s="104" t="str">
        <f aca="false">IF(ISBLANK($C97),"",IF($AF97&lt;&gt;Constants!$B$7,$AF97,AP97))</f>
        <v/>
      </c>
      <c r="BA97" s="105" t="str">
        <f aca="false">IF(ISBLANK($C97),"",IF($AF97&lt;&gt;Constants!$B$7,$AF97,AG97))</f>
        <v/>
      </c>
      <c r="BB97" s="106" t="str">
        <f aca="false">IF(ISBLANK($C97),"",AU97)</f>
        <v/>
      </c>
      <c r="BC97" s="106" t="str">
        <f aca="false">IF(ISBLANK($C97),"",AT97)</f>
        <v/>
      </c>
      <c r="BD97" s="107" t="str">
        <f aca="false">IF(ISBLANK($C97),"",IFERROR(_xlfn.SWITCH(BC97,Constants!$B$4,COUNTA($C$8:$C$507)+2,Constants!$B$5,COUNTA($C$8:$C$507)+1,Constants!$B$6,COUNTA($C$8:$C$507)),BC97))</f>
        <v/>
      </c>
      <c r="BE97" s="5"/>
      <c r="BF97" s="108" t="n">
        <f aca="false">IF(OR(ISNUMBER(BC97),BC97=Constants!$B$4,BC97=Constants!$B$6,BC97=Constants!$B$5),1,0)</f>
        <v>0</v>
      </c>
      <c r="BG97" s="108" t="n">
        <v>90</v>
      </c>
      <c r="BH97" s="108" t="str">
        <f aca="false">IF(ISBLANK($C97),"",IF(ISNUMBER(BD97),BD97+ROW($B97)/1000,""))</f>
        <v/>
      </c>
      <c r="BI97" s="108" t="str">
        <f aca="false">IF(ISNUMBER(BH97),RANK(BH97,$BH$8:$BH$507,1),"")</f>
        <v/>
      </c>
      <c r="BJ97" s="108" t="str">
        <f aca="false">IF(ISBLANK($C97),"",$B97)</f>
        <v/>
      </c>
      <c r="BK97" s="108" t="str">
        <f aca="false">IF(ISBLANK($C97),"",$C97)</f>
        <v/>
      </c>
      <c r="BL97" s="108" t="str">
        <f aca="false">IF(ISBLANK($C97),"",$D97)</f>
        <v/>
      </c>
      <c r="BM97" s="109" t="str">
        <f aca="false">BA97</f>
        <v/>
      </c>
      <c r="BN97" s="110" t="str">
        <f aca="false">AZ97</f>
        <v/>
      </c>
      <c r="BO97" s="108" t="str">
        <f aca="false">IF(ISBLANK($C97),"",BC97)</f>
        <v/>
      </c>
      <c r="BP97" s="111" t="str">
        <f aca="false">IF($BG97&gt;$BF$7,"",VLOOKUP($BG97,$BI$8:$BO$507,7,FALSE()))</f>
        <v/>
      </c>
      <c r="BQ97" s="112" t="str">
        <f aca="false">IF($BG97&gt;$BF$7,"",VLOOKUP($BG97,$BI$8:$BO$507,2,FALSE()))</f>
        <v/>
      </c>
      <c r="BR97" s="112" t="str">
        <f aca="false">IF($BG97&gt;$BF$7,"",VLOOKUP($BG97,$BI$8:$BO$507,3,FALSE()))</f>
        <v/>
      </c>
      <c r="BS97" s="112" t="str">
        <f aca="false">IF($BG97&gt;$BF$7,"",VLOOKUP($BG97,$BI$8:$BO$507,4,FALSE()))</f>
        <v/>
      </c>
      <c r="BT97" s="112" t="str">
        <f aca="false">IF($BG97&gt;$BF$7,"",VLOOKUP($BG97,$BI$8:$BO$507,5,FALSE()))</f>
        <v/>
      </c>
      <c r="BU97" s="113" t="str">
        <f aca="false">IF($BG97&gt;$BF$7,"",VLOOKUP($BG97,$BI$8:$BO$507,6,FALSE()))</f>
        <v/>
      </c>
      <c r="BV97" s="54"/>
    </row>
    <row r="98" customFormat="false" ht="15.75" hidden="false" customHeight="false" outlineLevel="0" collapsed="false">
      <c r="A98" s="5"/>
      <c r="B98" s="135"/>
      <c r="C98" s="56"/>
      <c r="D98" s="57"/>
      <c r="E98" s="84"/>
      <c r="F98" s="136"/>
      <c r="G98" s="60"/>
      <c r="H98" s="137"/>
      <c r="I98" s="62"/>
      <c r="J98" s="62"/>
      <c r="K98" s="60"/>
      <c r="L98" s="138"/>
      <c r="M98" s="62"/>
      <c r="N98" s="62"/>
      <c r="O98" s="60"/>
      <c r="P98" s="84"/>
      <c r="Q98" s="65"/>
      <c r="R98" s="67" t="str">
        <f aca="false">IF(ISBLANK($C98),"",IF(E98=Constants!$B$2, TRUE(), IF(E98=Constants!$B$3, FALSE(), TRUE())))</f>
        <v/>
      </c>
      <c r="S98" s="67" t="str">
        <f aca="false">IF(ISBLANK($C98),"",IF(F98=Constants!$B$2, TRUE(), IF(F98=Constants!$B$3, FALSE(), TRUE())))</f>
        <v/>
      </c>
      <c r="T98" s="67" t="str">
        <f aca="false">IF(ISBLANK($C98),"",IF(G98=Constants!$B$16,Constants!$B$9,IF(G98=Constants!$B$17,Constants!$B$10,Constants!$B$8)))</f>
        <v/>
      </c>
      <c r="U98" s="67" t="str">
        <f aca="false">IF(ISBLANK($C98),"",IF(H98=Constants!$B$19,Constants!$B$19,Constants!$B$18))</f>
        <v/>
      </c>
      <c r="V98" s="67" t="str">
        <f aca="false">IF(ISBLANK($C98),"",IF(ISNUMBER(I98),IF(I98&gt;=0,I98,""),""))</f>
        <v/>
      </c>
      <c r="W98" s="67" t="str">
        <f aca="false">IF(ISBLANK($C98),"",IF(J98=Constants!$B$2, TRUE(), IF(J98=Constants!$B$3, FALSE(), TRUE())))</f>
        <v/>
      </c>
      <c r="X98" s="67" t="str">
        <f aca="false">IF(ISBLANK($C98),"",IF(K98=Constants!$B$2, TRUE(), IF(K98=Constants!$B$3, FALSE(), TRUE())))</f>
        <v/>
      </c>
      <c r="Y98" s="67" t="str">
        <f aca="false">IF(ISBLANK($C98),"",IF(L98=Constants!$B$19,Constants!$B$19,Constants!$B$18))</f>
        <v/>
      </c>
      <c r="Z98" s="67" t="str">
        <f aca="false">IF(ISBLANK($C98),"",IF(ISNUMBER(M98),IF(M98&gt;=0,M98,""),""))</f>
        <v/>
      </c>
      <c r="AA98" s="67" t="str">
        <f aca="false">IF(ISBLANK($C98),"",IF(N98=Constants!$B$2, TRUE(), IF(N98=Constants!$B$3, FALSE(), TRUE())))</f>
        <v/>
      </c>
      <c r="AB98" s="67" t="str">
        <f aca="false">IF(ISBLANK($C98),"",IF(O98=Constants!$B$2, TRUE(), IF(O98=Constants!$B$3, FALSE(), TRUE())))</f>
        <v/>
      </c>
      <c r="AC98" s="67" t="str">
        <f aca="false">IF(ISBLANK($C98),"",IF(P98=Constants!$B$2, TRUE(), IF(P98=Constants!$B$3, FALSE(), FALSE())))</f>
        <v/>
      </c>
      <c r="AD98" s="67" t="str">
        <f aca="false">IF(ISBLANK($C98),"",AND(V98&lt;&gt;"",IF(U98=Constants!$B$19,S98,R98)))</f>
        <v/>
      </c>
      <c r="AE98" s="67" t="str">
        <f aca="false">IF(ISBLANK($C98),"",AND(Z98&lt;&gt;"",IF(Y98=Constants!$B$19,S98,R98)))</f>
        <v/>
      </c>
      <c r="AF98" s="67" t="str">
        <f aca="false">IF(ISBLANK($C98),"",IF(AC98,Constants!$B$4,IF(COUNTA(E98:O98)=0,Constants!$B$5,IF(AND(NOT(AD98),NOT(AE98)),Constants!$B$6,Constants!$B$7))))</f>
        <v/>
      </c>
      <c r="AG98" s="67" t="str">
        <f aca="false">IF(ISBLANK($C98),"",IF($AF98&lt;&gt;Constants!$B$7,$AF98,Constants!$B$20))</f>
        <v/>
      </c>
      <c r="AH98" s="67" t="str">
        <f aca="false">IF($AF98=Constants!$B$7,IF(AD98,V98,Constants!$B$13),"")</f>
        <v/>
      </c>
      <c r="AI98" s="67" t="str">
        <f aca="false">IF($AF98=Constants!$B$7,IF(AD98,T98*IF(W98, 1, Constants!$B$11)*IF(X98, 1, Constants!$B$12),Constants!$B$13),"")</f>
        <v/>
      </c>
      <c r="AJ98" s="67" t="str">
        <f aca="false">IF($AF98=Constants!$B$7,AH98*AI98,"")</f>
        <v/>
      </c>
      <c r="AK98" s="67" t="str">
        <f aca="false">IF($AF98=Constants!$B$7,IF(AE98,Z98,Constants!$B$13),"")</f>
        <v/>
      </c>
      <c r="AL98" s="67" t="str">
        <f aca="false">IF($AF98=Constants!$B$7,IF(AE98,T98*IF(AA98, 1, Constants!$B$11)*IF(AB98, 1, Constants!$B$12),Constants!$B$13),"")</f>
        <v/>
      </c>
      <c r="AM98" s="67" t="str">
        <f aca="false">IF($AF98=Constants!$B$7,AK98*AL98,"")</f>
        <v/>
      </c>
      <c r="AN98" s="67" t="str">
        <f aca="false">IF($AF98=Constants!$B$7,IF(AM98&gt;AJ98,2,1),"")</f>
        <v/>
      </c>
      <c r="AO98" s="67" t="str">
        <f aca="false">IF($AF98=Constants!$B$7,IF(AN98=1,2,1),"")</f>
        <v/>
      </c>
      <c r="AP98" s="67" t="str">
        <f aca="false">IF(ISBLANK($C98),"",IF($AF98&lt;&gt;Constants!$B$7,$AF98,IF(AN98=1,AJ98,AM98)))</f>
        <v/>
      </c>
      <c r="AQ98" s="67" t="str">
        <f aca="false">IF(ISBLANK($C98),"",IF($AF98=Constants!$B$7,IF(ISNUMBER(AP98),RANK(AP98,$AP$8:$AP$507),Constants!$B$14),$AF98))</f>
        <v/>
      </c>
      <c r="AR98" s="67" t="str">
        <f aca="false">IF(ISBLANK($C98),"",IF($AF98=Constants!$B$7,IF(AO98=1,AJ98,AM98),""))</f>
        <v/>
      </c>
      <c r="AS98" s="67" t="str">
        <f aca="false">IF(ISBLANK($C98),"",IF($AF98=Constants!$B$7,RANK(AR98,$AR$8:$AR$507),$AF98))</f>
        <v/>
      </c>
      <c r="AT98" s="67" t="str">
        <f aca="false">IF(ISBLANK($C98),"",IF($AF98=Constants!$B$7,IF(ISNUMBER(AQ98),COUNTIFS($AQ$8:$AQ$507,"&lt;"&amp;$AQ98)+COUNTIFS($AQ$8:$AQ$507,$AQ98,$AS$8:$AS$507,"&lt;"&amp;$AS98)+1,Constants!$B$14),$AF98))</f>
        <v/>
      </c>
      <c r="AU98" s="67" t="str">
        <f aca="false">IF(ISBLANK($C98),"",IF($AF98=Constants!$B$7,IF(ISNUMBER(AQ98),AQ98-AT98,Constants!$B$14),$AF98))</f>
        <v/>
      </c>
      <c r="AV98" s="69"/>
      <c r="AW98" s="70" t="str">
        <f aca="false">IF(ISBLANK($C98),"",IF($AF98&lt;&gt;Constants!$B$7,"",AN98))</f>
        <v/>
      </c>
      <c r="AX98" s="85" t="str">
        <f aca="false">IF(ISBLANK($C98),"",IF($AF98&lt;&gt;Constants!$B$7,"",IF(AN98=1,AH98,AK98)))</f>
        <v/>
      </c>
      <c r="AY98" s="72" t="str">
        <f aca="false">IF(ISBLANK($C98),"",IF($AF98&lt;&gt;Constants!$B$7,"",IF(AN98=1,AI98,AL98)))</f>
        <v/>
      </c>
      <c r="AZ98" s="73" t="str">
        <f aca="false">IF(ISBLANK($C98),"",IF($AF98&lt;&gt;Constants!$B$7,$AF98,AP98))</f>
        <v/>
      </c>
      <c r="BA98" s="74" t="str">
        <f aca="false">IF(ISBLANK($C98),"",IF($AF98&lt;&gt;Constants!$B$7,$AF98,AG98))</f>
        <v/>
      </c>
      <c r="BB98" s="75" t="str">
        <f aca="false">IF(ISBLANK($C98),"",AU98)</f>
        <v/>
      </c>
      <c r="BC98" s="75" t="str">
        <f aca="false">IF(ISBLANK($C98),"",AT98)</f>
        <v/>
      </c>
      <c r="BD98" s="76" t="str">
        <f aca="false">IF(ISBLANK($C98),"",IFERROR(_xlfn.SWITCH(BC98,Constants!$B$4,COUNTA($C$8:$C$507)+2,Constants!$B$5,COUNTA($C$8:$C$507)+1,Constants!$B$6,COUNTA($C$8:$C$507)),BC98))</f>
        <v/>
      </c>
      <c r="BE98" s="5"/>
      <c r="BF98" s="77" t="n">
        <f aca="false">IF(OR(ISNUMBER(BC98),BC98=Constants!$B$4,BC98=Constants!$B$6,BC98=Constants!$B$5),1,0)</f>
        <v>0</v>
      </c>
      <c r="BG98" s="77" t="n">
        <v>91</v>
      </c>
      <c r="BH98" s="77" t="str">
        <f aca="false">IF(ISBLANK($C98),"",IF(ISNUMBER(BD98),BD98+ROW($B98)/1000,""))</f>
        <v/>
      </c>
      <c r="BI98" s="77" t="str">
        <f aca="false">IF(ISNUMBER(BH98),RANK(BH98,$BH$8:$BH$507,1),"")</f>
        <v/>
      </c>
      <c r="BJ98" s="77" t="str">
        <f aca="false">IF(ISBLANK($C98),"",$B98)</f>
        <v/>
      </c>
      <c r="BK98" s="77" t="str">
        <f aca="false">IF(ISBLANK($C98),"",$C98)</f>
        <v/>
      </c>
      <c r="BL98" s="77" t="str">
        <f aca="false">IF(ISBLANK($C98),"",$D98)</f>
        <v/>
      </c>
      <c r="BM98" s="78" t="str">
        <f aca="false">BA98</f>
        <v/>
      </c>
      <c r="BN98" s="79" t="str">
        <f aca="false">AZ98</f>
        <v/>
      </c>
      <c r="BO98" s="77" t="str">
        <f aca="false">IF(ISBLANK($C98),"",BC98)</f>
        <v/>
      </c>
      <c r="BP98" s="80" t="str">
        <f aca="false">IF($BG98&gt;$BF$7,"",VLOOKUP($BG98,$BI$8:$BO$507,7,FALSE()))</f>
        <v/>
      </c>
      <c r="BQ98" s="81" t="str">
        <f aca="false">IF($BG98&gt;$BF$7,"",VLOOKUP($BG98,$BI$8:$BO$507,2,FALSE()))</f>
        <v/>
      </c>
      <c r="BR98" s="81" t="str">
        <f aca="false">IF($BG98&gt;$BF$7,"",VLOOKUP($BG98,$BI$8:$BO$507,3,FALSE()))</f>
        <v/>
      </c>
      <c r="BS98" s="81" t="str">
        <f aca="false">IF($BG98&gt;$BF$7,"",VLOOKUP($BG98,$BI$8:$BO$507,4,FALSE()))</f>
        <v/>
      </c>
      <c r="BT98" s="81" t="str">
        <f aca="false">IF($BG98&gt;$BF$7,"",VLOOKUP($BG98,$BI$8:$BO$507,5,FALSE()))</f>
        <v/>
      </c>
      <c r="BU98" s="82" t="str">
        <f aca="false">IF($BG98&gt;$BF$7,"",VLOOKUP($BG98,$BI$8:$BO$507,6,FALSE()))</f>
        <v/>
      </c>
      <c r="BV98" s="54"/>
    </row>
    <row r="99" customFormat="false" ht="15.75" hidden="false" customHeight="false" outlineLevel="0" collapsed="false">
      <c r="A99" s="5"/>
      <c r="B99" s="135"/>
      <c r="C99" s="56"/>
      <c r="D99" s="57"/>
      <c r="E99" s="84"/>
      <c r="F99" s="136"/>
      <c r="G99" s="60"/>
      <c r="H99" s="137"/>
      <c r="I99" s="62"/>
      <c r="J99" s="62"/>
      <c r="K99" s="60"/>
      <c r="L99" s="138"/>
      <c r="M99" s="62"/>
      <c r="N99" s="62"/>
      <c r="O99" s="60"/>
      <c r="P99" s="84"/>
      <c r="Q99" s="65"/>
      <c r="R99" s="67" t="str">
        <f aca="false">IF(ISBLANK($C99),"",IF(E99=Constants!$B$2, TRUE(), IF(E99=Constants!$B$3, FALSE(), TRUE())))</f>
        <v/>
      </c>
      <c r="S99" s="67" t="str">
        <f aca="false">IF(ISBLANK($C99),"",IF(F99=Constants!$B$2, TRUE(), IF(F99=Constants!$B$3, FALSE(), TRUE())))</f>
        <v/>
      </c>
      <c r="T99" s="67" t="str">
        <f aca="false">IF(ISBLANK($C99),"",IF(G99=Constants!$B$16,Constants!$B$9,IF(G99=Constants!$B$17,Constants!$B$10,Constants!$B$8)))</f>
        <v/>
      </c>
      <c r="U99" s="67" t="str">
        <f aca="false">IF(ISBLANK($C99),"",IF(H99=Constants!$B$19,Constants!$B$19,Constants!$B$18))</f>
        <v/>
      </c>
      <c r="V99" s="67" t="str">
        <f aca="false">IF(ISBLANK($C99),"",IF(ISNUMBER(I99),IF(I99&gt;=0,I99,""),""))</f>
        <v/>
      </c>
      <c r="W99" s="67" t="str">
        <f aca="false">IF(ISBLANK($C99),"",IF(J99=Constants!$B$2, TRUE(), IF(J99=Constants!$B$3, FALSE(), TRUE())))</f>
        <v/>
      </c>
      <c r="X99" s="67" t="str">
        <f aca="false">IF(ISBLANK($C99),"",IF(K99=Constants!$B$2, TRUE(), IF(K99=Constants!$B$3, FALSE(), TRUE())))</f>
        <v/>
      </c>
      <c r="Y99" s="67" t="str">
        <f aca="false">IF(ISBLANK($C99),"",IF(L99=Constants!$B$19,Constants!$B$19,Constants!$B$18))</f>
        <v/>
      </c>
      <c r="Z99" s="67" t="str">
        <f aca="false">IF(ISBLANK($C99),"",IF(ISNUMBER(M99),IF(M99&gt;=0,M99,""),""))</f>
        <v/>
      </c>
      <c r="AA99" s="67" t="str">
        <f aca="false">IF(ISBLANK($C99),"",IF(N99=Constants!$B$2, TRUE(), IF(N99=Constants!$B$3, FALSE(), TRUE())))</f>
        <v/>
      </c>
      <c r="AB99" s="67" t="str">
        <f aca="false">IF(ISBLANK($C99),"",IF(O99=Constants!$B$2, TRUE(), IF(O99=Constants!$B$3, FALSE(), TRUE())))</f>
        <v/>
      </c>
      <c r="AC99" s="67" t="str">
        <f aca="false">IF(ISBLANK($C99),"",IF(P99=Constants!$B$2, TRUE(), IF(P99=Constants!$B$3, FALSE(), FALSE())))</f>
        <v/>
      </c>
      <c r="AD99" s="67" t="str">
        <f aca="false">IF(ISBLANK($C99),"",AND(V99&lt;&gt;"",IF(U99=Constants!$B$19,S99,R99)))</f>
        <v/>
      </c>
      <c r="AE99" s="67" t="str">
        <f aca="false">IF(ISBLANK($C99),"",AND(Z99&lt;&gt;"",IF(Y99=Constants!$B$19,S99,R99)))</f>
        <v/>
      </c>
      <c r="AF99" s="67" t="str">
        <f aca="false">IF(ISBLANK($C99),"",IF(AC99,Constants!$B$4,IF(COUNTA(E99:O99)=0,Constants!$B$5,IF(AND(NOT(AD99),NOT(AE99)),Constants!$B$6,Constants!$B$7))))</f>
        <v/>
      </c>
      <c r="AG99" s="67" t="str">
        <f aca="false">IF(ISBLANK($C99),"",IF($AF99&lt;&gt;Constants!$B$7,$AF99,Constants!$B$20))</f>
        <v/>
      </c>
      <c r="AH99" s="67" t="str">
        <f aca="false">IF($AF99=Constants!$B$7,IF(AD99,V99,Constants!$B$13),"")</f>
        <v/>
      </c>
      <c r="AI99" s="67" t="str">
        <f aca="false">IF($AF99=Constants!$B$7,IF(AD99,T99*IF(W99, 1, Constants!$B$11)*IF(X99, 1, Constants!$B$12),Constants!$B$13),"")</f>
        <v/>
      </c>
      <c r="AJ99" s="67" t="str">
        <f aca="false">IF($AF99=Constants!$B$7,AH99*AI99,"")</f>
        <v/>
      </c>
      <c r="AK99" s="67" t="str">
        <f aca="false">IF($AF99=Constants!$B$7,IF(AE99,Z99,Constants!$B$13),"")</f>
        <v/>
      </c>
      <c r="AL99" s="67" t="str">
        <f aca="false">IF($AF99=Constants!$B$7,IF(AE99,T99*IF(AA99, 1, Constants!$B$11)*IF(AB99, 1, Constants!$B$12),Constants!$B$13),"")</f>
        <v/>
      </c>
      <c r="AM99" s="67" t="str">
        <f aca="false">IF($AF99=Constants!$B$7,AK99*AL99,"")</f>
        <v/>
      </c>
      <c r="AN99" s="67" t="str">
        <f aca="false">IF($AF99=Constants!$B$7,IF(AM99&gt;AJ99,2,1),"")</f>
        <v/>
      </c>
      <c r="AO99" s="67" t="str">
        <f aca="false">IF($AF99=Constants!$B$7,IF(AN99=1,2,1),"")</f>
        <v/>
      </c>
      <c r="AP99" s="67" t="str">
        <f aca="false">IF(ISBLANK($C99),"",IF($AF99&lt;&gt;Constants!$B$7,$AF99,IF(AN99=1,AJ99,AM99)))</f>
        <v/>
      </c>
      <c r="AQ99" s="67" t="str">
        <f aca="false">IF(ISBLANK($C99),"",IF($AF99=Constants!$B$7,IF(ISNUMBER(AP99),RANK(AP99,$AP$8:$AP$507),Constants!$B$14),$AF99))</f>
        <v/>
      </c>
      <c r="AR99" s="67" t="str">
        <f aca="false">IF(ISBLANK($C99),"",IF($AF99=Constants!$B$7,IF(AO99=1,AJ99,AM99),""))</f>
        <v/>
      </c>
      <c r="AS99" s="67" t="str">
        <f aca="false">IF(ISBLANK($C99),"",IF($AF99=Constants!$B$7,RANK(AR99,$AR$8:$AR$507),$AF99))</f>
        <v/>
      </c>
      <c r="AT99" s="67" t="str">
        <f aca="false">IF(ISBLANK($C99),"",IF($AF99=Constants!$B$7,IF(ISNUMBER(AQ99),COUNTIFS($AQ$8:$AQ$507,"&lt;"&amp;$AQ99)+COUNTIFS($AQ$8:$AQ$507,$AQ99,$AS$8:$AS$507,"&lt;"&amp;$AS99)+1,Constants!$B$14),$AF99))</f>
        <v/>
      </c>
      <c r="AU99" s="67" t="str">
        <f aca="false">IF(ISBLANK($C99),"",IF($AF99=Constants!$B$7,IF(ISNUMBER(AQ99),AQ99-AT99,Constants!$B$14),$AF99))</f>
        <v/>
      </c>
      <c r="AV99" s="69"/>
      <c r="AW99" s="70" t="str">
        <f aca="false">IF(ISBLANK($C99),"",IF($AF99&lt;&gt;Constants!$B$7,"",AN99))</f>
        <v/>
      </c>
      <c r="AX99" s="85" t="str">
        <f aca="false">IF(ISBLANK($C99),"",IF($AF99&lt;&gt;Constants!$B$7,"",IF(AN99=1,AH99,AK99)))</f>
        <v/>
      </c>
      <c r="AY99" s="72" t="str">
        <f aca="false">IF(ISBLANK($C99),"",IF($AF99&lt;&gt;Constants!$B$7,"",IF(AN99=1,AI99,AL99)))</f>
        <v/>
      </c>
      <c r="AZ99" s="73" t="str">
        <f aca="false">IF(ISBLANK($C99),"",IF($AF99&lt;&gt;Constants!$B$7,$AF99,AP99))</f>
        <v/>
      </c>
      <c r="BA99" s="74" t="str">
        <f aca="false">IF(ISBLANK($C99),"",IF($AF99&lt;&gt;Constants!$B$7,$AF99,AG99))</f>
        <v/>
      </c>
      <c r="BB99" s="75" t="str">
        <f aca="false">IF(ISBLANK($C99),"",AU99)</f>
        <v/>
      </c>
      <c r="BC99" s="75" t="str">
        <f aca="false">IF(ISBLANK($C99),"",AT99)</f>
        <v/>
      </c>
      <c r="BD99" s="76" t="str">
        <f aca="false">IF(ISBLANK($C99),"",IFERROR(_xlfn.SWITCH(BC99,Constants!$B$4,COUNTA($C$8:$C$507)+2,Constants!$B$5,COUNTA($C$8:$C$507)+1,Constants!$B$6,COUNTA($C$8:$C$507)),BC99))</f>
        <v/>
      </c>
      <c r="BE99" s="5"/>
      <c r="BF99" s="77" t="n">
        <f aca="false">IF(OR(ISNUMBER(BC99),BC99=Constants!$B$4,BC99=Constants!$B$6,BC99=Constants!$B$5),1,0)</f>
        <v>0</v>
      </c>
      <c r="BG99" s="77" t="n">
        <v>92</v>
      </c>
      <c r="BH99" s="77" t="str">
        <f aca="false">IF(ISBLANK($C99),"",IF(ISNUMBER(BD99),BD99+ROW($B99)/1000,""))</f>
        <v/>
      </c>
      <c r="BI99" s="77" t="str">
        <f aca="false">IF(ISNUMBER(BH99),RANK(BH99,$BH$8:$BH$507,1),"")</f>
        <v/>
      </c>
      <c r="BJ99" s="77" t="str">
        <f aca="false">IF(ISBLANK($C99),"",$B99)</f>
        <v/>
      </c>
      <c r="BK99" s="77" t="str">
        <f aca="false">IF(ISBLANK($C99),"",$C99)</f>
        <v/>
      </c>
      <c r="BL99" s="77" t="str">
        <f aca="false">IF(ISBLANK($C99),"",$D99)</f>
        <v/>
      </c>
      <c r="BM99" s="78" t="str">
        <f aca="false">BA99</f>
        <v/>
      </c>
      <c r="BN99" s="79" t="str">
        <f aca="false">AZ99</f>
        <v/>
      </c>
      <c r="BO99" s="77" t="str">
        <f aca="false">IF(ISBLANK($C99),"",BC99)</f>
        <v/>
      </c>
      <c r="BP99" s="80" t="str">
        <f aca="false">IF($BG99&gt;$BF$7,"",VLOOKUP($BG99,$BI$8:$BO$507,7,FALSE()))</f>
        <v/>
      </c>
      <c r="BQ99" s="81" t="str">
        <f aca="false">IF($BG99&gt;$BF$7,"",VLOOKUP($BG99,$BI$8:$BO$507,2,FALSE()))</f>
        <v/>
      </c>
      <c r="BR99" s="81" t="str">
        <f aca="false">IF($BG99&gt;$BF$7,"",VLOOKUP($BG99,$BI$8:$BO$507,3,FALSE()))</f>
        <v/>
      </c>
      <c r="BS99" s="81" t="str">
        <f aca="false">IF($BG99&gt;$BF$7,"",VLOOKUP($BG99,$BI$8:$BO$507,4,FALSE()))</f>
        <v/>
      </c>
      <c r="BT99" s="81" t="str">
        <f aca="false">IF($BG99&gt;$BF$7,"",VLOOKUP($BG99,$BI$8:$BO$507,5,FALSE()))</f>
        <v/>
      </c>
      <c r="BU99" s="82" t="str">
        <f aca="false">IF($BG99&gt;$BF$7,"",VLOOKUP($BG99,$BI$8:$BO$507,6,FALSE()))</f>
        <v/>
      </c>
      <c r="BV99" s="54"/>
    </row>
    <row r="100" customFormat="false" ht="15.75" hidden="false" customHeight="false" outlineLevel="0" collapsed="false">
      <c r="A100" s="5"/>
      <c r="B100" s="135"/>
      <c r="C100" s="56"/>
      <c r="D100" s="57"/>
      <c r="E100" s="84"/>
      <c r="F100" s="136"/>
      <c r="G100" s="60"/>
      <c r="H100" s="137"/>
      <c r="I100" s="62"/>
      <c r="J100" s="62"/>
      <c r="K100" s="60"/>
      <c r="L100" s="138"/>
      <c r="M100" s="62"/>
      <c r="N100" s="62"/>
      <c r="O100" s="60"/>
      <c r="P100" s="84"/>
      <c r="Q100" s="65"/>
      <c r="R100" s="67" t="str">
        <f aca="false">IF(ISBLANK($C100),"",IF(E100=Constants!$B$2, TRUE(), IF(E100=Constants!$B$3, FALSE(), TRUE())))</f>
        <v/>
      </c>
      <c r="S100" s="67" t="str">
        <f aca="false">IF(ISBLANK($C100),"",IF(F100=Constants!$B$2, TRUE(), IF(F100=Constants!$B$3, FALSE(), TRUE())))</f>
        <v/>
      </c>
      <c r="T100" s="67" t="str">
        <f aca="false">IF(ISBLANK($C100),"",IF(G100=Constants!$B$16,Constants!$B$9,IF(G100=Constants!$B$17,Constants!$B$10,Constants!$B$8)))</f>
        <v/>
      </c>
      <c r="U100" s="67" t="str">
        <f aca="false">IF(ISBLANK($C100),"",IF(H100=Constants!$B$19,Constants!$B$19,Constants!$B$18))</f>
        <v/>
      </c>
      <c r="V100" s="67" t="str">
        <f aca="false">IF(ISBLANK($C100),"",IF(ISNUMBER(I100),IF(I100&gt;=0,I100,""),""))</f>
        <v/>
      </c>
      <c r="W100" s="67" t="str">
        <f aca="false">IF(ISBLANK($C100),"",IF(J100=Constants!$B$2, TRUE(), IF(J100=Constants!$B$3, FALSE(), TRUE())))</f>
        <v/>
      </c>
      <c r="X100" s="67" t="str">
        <f aca="false">IF(ISBLANK($C100),"",IF(K100=Constants!$B$2, TRUE(), IF(K100=Constants!$B$3, FALSE(), TRUE())))</f>
        <v/>
      </c>
      <c r="Y100" s="67" t="str">
        <f aca="false">IF(ISBLANK($C100),"",IF(L100=Constants!$B$19,Constants!$B$19,Constants!$B$18))</f>
        <v/>
      </c>
      <c r="Z100" s="67" t="str">
        <f aca="false">IF(ISBLANK($C100),"",IF(ISNUMBER(M100),IF(M100&gt;=0,M100,""),""))</f>
        <v/>
      </c>
      <c r="AA100" s="67" t="str">
        <f aca="false">IF(ISBLANK($C100),"",IF(N100=Constants!$B$2, TRUE(), IF(N100=Constants!$B$3, FALSE(), TRUE())))</f>
        <v/>
      </c>
      <c r="AB100" s="67" t="str">
        <f aca="false">IF(ISBLANK($C100),"",IF(O100=Constants!$B$2, TRUE(), IF(O100=Constants!$B$3, FALSE(), TRUE())))</f>
        <v/>
      </c>
      <c r="AC100" s="67" t="str">
        <f aca="false">IF(ISBLANK($C100),"",IF(P100=Constants!$B$2, TRUE(), IF(P100=Constants!$B$3, FALSE(), FALSE())))</f>
        <v/>
      </c>
      <c r="AD100" s="67" t="str">
        <f aca="false">IF(ISBLANK($C100),"",AND(V100&lt;&gt;"",IF(U100=Constants!$B$19,S100,R100)))</f>
        <v/>
      </c>
      <c r="AE100" s="67" t="str">
        <f aca="false">IF(ISBLANK($C100),"",AND(Z100&lt;&gt;"",IF(Y100=Constants!$B$19,S100,R100)))</f>
        <v/>
      </c>
      <c r="AF100" s="67" t="str">
        <f aca="false">IF(ISBLANK($C100),"",IF(AC100,Constants!$B$4,IF(COUNTA(E100:O100)=0,Constants!$B$5,IF(AND(NOT(AD100),NOT(AE100)),Constants!$B$6,Constants!$B$7))))</f>
        <v/>
      </c>
      <c r="AG100" s="67" t="str">
        <f aca="false">IF(ISBLANK($C100),"",IF($AF100&lt;&gt;Constants!$B$7,$AF100,Constants!$B$20))</f>
        <v/>
      </c>
      <c r="AH100" s="67" t="str">
        <f aca="false">IF($AF100=Constants!$B$7,IF(AD100,V100,Constants!$B$13),"")</f>
        <v/>
      </c>
      <c r="AI100" s="67" t="str">
        <f aca="false">IF($AF100=Constants!$B$7,IF(AD100,T100*IF(W100, 1, Constants!$B$11)*IF(X100, 1, Constants!$B$12),Constants!$B$13),"")</f>
        <v/>
      </c>
      <c r="AJ100" s="67" t="str">
        <f aca="false">IF($AF100=Constants!$B$7,AH100*AI100,"")</f>
        <v/>
      </c>
      <c r="AK100" s="67" t="str">
        <f aca="false">IF($AF100=Constants!$B$7,IF(AE100,Z100,Constants!$B$13),"")</f>
        <v/>
      </c>
      <c r="AL100" s="67" t="str">
        <f aca="false">IF($AF100=Constants!$B$7,IF(AE100,T100*IF(AA100, 1, Constants!$B$11)*IF(AB100, 1, Constants!$B$12),Constants!$B$13),"")</f>
        <v/>
      </c>
      <c r="AM100" s="67" t="str">
        <f aca="false">IF($AF100=Constants!$B$7,AK100*AL100,"")</f>
        <v/>
      </c>
      <c r="AN100" s="67" t="str">
        <f aca="false">IF($AF100=Constants!$B$7,IF(AM100&gt;AJ100,2,1),"")</f>
        <v/>
      </c>
      <c r="AO100" s="67" t="str">
        <f aca="false">IF($AF100=Constants!$B$7,IF(AN100=1,2,1),"")</f>
        <v/>
      </c>
      <c r="AP100" s="67" t="str">
        <f aca="false">IF(ISBLANK($C100),"",IF($AF100&lt;&gt;Constants!$B$7,$AF100,IF(AN100=1,AJ100,AM100)))</f>
        <v/>
      </c>
      <c r="AQ100" s="67" t="str">
        <f aca="false">IF(ISBLANK($C100),"",IF($AF100=Constants!$B$7,IF(ISNUMBER(AP100),RANK(AP100,$AP$8:$AP$507),Constants!$B$14),$AF100))</f>
        <v/>
      </c>
      <c r="AR100" s="67" t="str">
        <f aca="false">IF(ISBLANK($C100),"",IF($AF100=Constants!$B$7,IF(AO100=1,AJ100,AM100),""))</f>
        <v/>
      </c>
      <c r="AS100" s="67" t="str">
        <f aca="false">IF(ISBLANK($C100),"",IF($AF100=Constants!$B$7,RANK(AR100,$AR$8:$AR$507),$AF100))</f>
        <v/>
      </c>
      <c r="AT100" s="67" t="str">
        <f aca="false">IF(ISBLANK($C100),"",IF($AF100=Constants!$B$7,IF(ISNUMBER(AQ100),COUNTIFS($AQ$8:$AQ$507,"&lt;"&amp;$AQ100)+COUNTIFS($AQ$8:$AQ$507,$AQ100,$AS$8:$AS$507,"&lt;"&amp;$AS100)+1,Constants!$B$14),$AF100))</f>
        <v/>
      </c>
      <c r="AU100" s="67" t="str">
        <f aca="false">IF(ISBLANK($C100),"",IF($AF100=Constants!$B$7,IF(ISNUMBER(AQ100),AQ100-AT100,Constants!$B$14),$AF100))</f>
        <v/>
      </c>
      <c r="AV100" s="69"/>
      <c r="AW100" s="70" t="str">
        <f aca="false">IF(ISBLANK($C100),"",IF($AF100&lt;&gt;Constants!$B$7,"",AN100))</f>
        <v/>
      </c>
      <c r="AX100" s="85" t="str">
        <f aca="false">IF(ISBLANK($C100),"",IF($AF100&lt;&gt;Constants!$B$7,"",IF(AN100=1,AH100,AK100)))</f>
        <v/>
      </c>
      <c r="AY100" s="72" t="str">
        <f aca="false">IF(ISBLANK($C100),"",IF($AF100&lt;&gt;Constants!$B$7,"",IF(AN100=1,AI100,AL100)))</f>
        <v/>
      </c>
      <c r="AZ100" s="73" t="str">
        <f aca="false">IF(ISBLANK($C100),"",IF($AF100&lt;&gt;Constants!$B$7,$AF100,AP100))</f>
        <v/>
      </c>
      <c r="BA100" s="74" t="str">
        <f aca="false">IF(ISBLANK($C100),"",IF($AF100&lt;&gt;Constants!$B$7,$AF100,AG100))</f>
        <v/>
      </c>
      <c r="BB100" s="75" t="str">
        <f aca="false">IF(ISBLANK($C100),"",AU100)</f>
        <v/>
      </c>
      <c r="BC100" s="75" t="str">
        <f aca="false">IF(ISBLANK($C100),"",AT100)</f>
        <v/>
      </c>
      <c r="BD100" s="76" t="str">
        <f aca="false">IF(ISBLANK($C100),"",IFERROR(_xlfn.SWITCH(BC100,Constants!$B$4,COUNTA($C$8:$C$507)+2,Constants!$B$5,COUNTA($C$8:$C$507)+1,Constants!$B$6,COUNTA($C$8:$C$507)),BC100))</f>
        <v/>
      </c>
      <c r="BE100" s="5"/>
      <c r="BF100" s="77" t="n">
        <f aca="false">IF(OR(ISNUMBER(BC100),BC100=Constants!$B$4,BC100=Constants!$B$6,BC100=Constants!$B$5),1,0)</f>
        <v>0</v>
      </c>
      <c r="BG100" s="77" t="n">
        <v>93</v>
      </c>
      <c r="BH100" s="77" t="str">
        <f aca="false">IF(ISBLANK($C100),"",IF(ISNUMBER(BD100),BD100+ROW($B100)/1000,""))</f>
        <v/>
      </c>
      <c r="BI100" s="77" t="str">
        <f aca="false">IF(ISNUMBER(BH100),RANK(BH100,$BH$8:$BH$507,1),"")</f>
        <v/>
      </c>
      <c r="BJ100" s="77" t="str">
        <f aca="false">IF(ISBLANK($C100),"",$B100)</f>
        <v/>
      </c>
      <c r="BK100" s="77" t="str">
        <f aca="false">IF(ISBLANK($C100),"",$C100)</f>
        <v/>
      </c>
      <c r="BL100" s="77" t="str">
        <f aca="false">IF(ISBLANK($C100),"",$D100)</f>
        <v/>
      </c>
      <c r="BM100" s="78" t="str">
        <f aca="false">BA100</f>
        <v/>
      </c>
      <c r="BN100" s="79" t="str">
        <f aca="false">AZ100</f>
        <v/>
      </c>
      <c r="BO100" s="77" t="str">
        <f aca="false">IF(ISBLANK($C100),"",BC100)</f>
        <v/>
      </c>
      <c r="BP100" s="80" t="str">
        <f aca="false">IF($BG100&gt;$BF$7,"",VLOOKUP($BG100,$BI$8:$BO$507,7,FALSE()))</f>
        <v/>
      </c>
      <c r="BQ100" s="81" t="str">
        <f aca="false">IF($BG100&gt;$BF$7,"",VLOOKUP($BG100,$BI$8:$BO$507,2,FALSE()))</f>
        <v/>
      </c>
      <c r="BR100" s="81" t="str">
        <f aca="false">IF($BG100&gt;$BF$7,"",VLOOKUP($BG100,$BI$8:$BO$507,3,FALSE()))</f>
        <v/>
      </c>
      <c r="BS100" s="81" t="str">
        <f aca="false">IF($BG100&gt;$BF$7,"",VLOOKUP($BG100,$BI$8:$BO$507,4,FALSE()))</f>
        <v/>
      </c>
      <c r="BT100" s="81" t="str">
        <f aca="false">IF($BG100&gt;$BF$7,"",VLOOKUP($BG100,$BI$8:$BO$507,5,FALSE()))</f>
        <v/>
      </c>
      <c r="BU100" s="82" t="str">
        <f aca="false">IF($BG100&gt;$BF$7,"",VLOOKUP($BG100,$BI$8:$BO$507,6,FALSE()))</f>
        <v/>
      </c>
      <c r="BV100" s="54"/>
    </row>
    <row r="101" customFormat="false" ht="15.75" hidden="false" customHeight="false" outlineLevel="0" collapsed="false">
      <c r="A101" s="5"/>
      <c r="B101" s="128"/>
      <c r="C101" s="129"/>
      <c r="D101" s="114"/>
      <c r="E101" s="134"/>
      <c r="F101" s="139"/>
      <c r="G101" s="93"/>
      <c r="H101" s="140"/>
      <c r="I101" s="95"/>
      <c r="J101" s="95"/>
      <c r="K101" s="93"/>
      <c r="L101" s="141"/>
      <c r="M101" s="95"/>
      <c r="N101" s="95"/>
      <c r="O101" s="93"/>
      <c r="P101" s="134"/>
      <c r="Q101" s="98"/>
      <c r="R101" s="99" t="str">
        <f aca="false">IF(ISBLANK($C101),"",IF(E101=Constants!$B$2, TRUE(), IF(E101=Constants!$B$3, FALSE(), TRUE())))</f>
        <v/>
      </c>
      <c r="S101" s="99" t="str">
        <f aca="false">IF(ISBLANK($C101),"",IF(F101=Constants!$B$2, TRUE(), IF(F101=Constants!$B$3, FALSE(), TRUE())))</f>
        <v/>
      </c>
      <c r="T101" s="99" t="str">
        <f aca="false">IF(ISBLANK($C101),"",IF(G101=Constants!$B$16,Constants!$B$9,IF(G101=Constants!$B$17,Constants!$B$10,Constants!$B$8)))</f>
        <v/>
      </c>
      <c r="U101" s="99" t="str">
        <f aca="false">IF(ISBLANK($C101),"",IF(H101=Constants!$B$19,Constants!$B$19,Constants!$B$18))</f>
        <v/>
      </c>
      <c r="V101" s="99" t="str">
        <f aca="false">IF(ISBLANK($C101),"",IF(ISNUMBER(I101),IF(I101&gt;=0,I101,""),""))</f>
        <v/>
      </c>
      <c r="W101" s="99" t="str">
        <f aca="false">IF(ISBLANK($C101),"",IF(J101=Constants!$B$2, TRUE(), IF(J101=Constants!$B$3, FALSE(), TRUE())))</f>
        <v/>
      </c>
      <c r="X101" s="99" t="str">
        <f aca="false">IF(ISBLANK($C101),"",IF(K101=Constants!$B$2, TRUE(), IF(K101=Constants!$B$3, FALSE(), TRUE())))</f>
        <v/>
      </c>
      <c r="Y101" s="99" t="str">
        <f aca="false">IF(ISBLANK($C101),"",IF(L101=Constants!$B$19,Constants!$B$19,Constants!$B$18))</f>
        <v/>
      </c>
      <c r="Z101" s="99" t="str">
        <f aca="false">IF(ISBLANK($C101),"",IF(ISNUMBER(M101),IF(M101&gt;=0,M101,""),""))</f>
        <v/>
      </c>
      <c r="AA101" s="99" t="str">
        <f aca="false">IF(ISBLANK($C101),"",IF(N101=Constants!$B$2, TRUE(), IF(N101=Constants!$B$3, FALSE(), TRUE())))</f>
        <v/>
      </c>
      <c r="AB101" s="99" t="str">
        <f aca="false">IF(ISBLANK($C101),"",IF(O101=Constants!$B$2, TRUE(), IF(O101=Constants!$B$3, FALSE(), TRUE())))</f>
        <v/>
      </c>
      <c r="AC101" s="99" t="str">
        <f aca="false">IF(ISBLANK($C101),"",IF(P101=Constants!$B$2, TRUE(), IF(P101=Constants!$B$3, FALSE(), FALSE())))</f>
        <v/>
      </c>
      <c r="AD101" s="99" t="str">
        <f aca="false">IF(ISBLANK($C101),"",AND(V101&lt;&gt;"",IF(U101=Constants!$B$19,S101,R101)))</f>
        <v/>
      </c>
      <c r="AE101" s="99" t="str">
        <f aca="false">IF(ISBLANK($C101),"",AND(Z101&lt;&gt;"",IF(Y101=Constants!$B$19,S101,R101)))</f>
        <v/>
      </c>
      <c r="AF101" s="99" t="str">
        <f aca="false">IF(ISBLANK($C101),"",IF(AC101,Constants!$B$4,IF(COUNTA(E101:O101)=0,Constants!$B$5,IF(AND(NOT(AD101),NOT(AE101)),Constants!$B$6,Constants!$B$7))))</f>
        <v/>
      </c>
      <c r="AG101" s="99" t="str">
        <f aca="false">IF(ISBLANK($C101),"",IF($AF101&lt;&gt;Constants!$B$7,$AF101,Constants!$B$20))</f>
        <v/>
      </c>
      <c r="AH101" s="99" t="str">
        <f aca="false">IF($AF101=Constants!$B$7,IF(AD101,V101,Constants!$B$13),"")</f>
        <v/>
      </c>
      <c r="AI101" s="99" t="str">
        <f aca="false">IF($AF101=Constants!$B$7,IF(AD101,T101*IF(W101, 1, Constants!$B$11)*IF(X101, 1, Constants!$B$12),Constants!$B$13),"")</f>
        <v/>
      </c>
      <c r="AJ101" s="99" t="str">
        <f aca="false">IF($AF101=Constants!$B$7,AH101*AI101,"")</f>
        <v/>
      </c>
      <c r="AK101" s="99" t="str">
        <f aca="false">IF($AF101=Constants!$B$7,IF(AE101,Z101,Constants!$B$13),"")</f>
        <v/>
      </c>
      <c r="AL101" s="99" t="str">
        <f aca="false">IF($AF101=Constants!$B$7,IF(AE101,T101*IF(AA101, 1, Constants!$B$11)*IF(AB101, 1, Constants!$B$12),Constants!$B$13),"")</f>
        <v/>
      </c>
      <c r="AM101" s="99" t="str">
        <f aca="false">IF($AF101=Constants!$B$7,AK101*AL101,"")</f>
        <v/>
      </c>
      <c r="AN101" s="99" t="str">
        <f aca="false">IF($AF101=Constants!$B$7,IF(AM101&gt;AJ101,2,1),"")</f>
        <v/>
      </c>
      <c r="AO101" s="99" t="str">
        <f aca="false">IF($AF101=Constants!$B$7,IF(AN101=1,2,1),"")</f>
        <v/>
      </c>
      <c r="AP101" s="99" t="str">
        <f aca="false">IF(ISBLANK($C101),"",IF($AF101&lt;&gt;Constants!$B$7,$AF101,IF(AN101=1,AJ101,AM101)))</f>
        <v/>
      </c>
      <c r="AQ101" s="99" t="str">
        <f aca="false">IF(ISBLANK($C101),"",IF($AF101=Constants!$B$7,IF(ISNUMBER(AP101),RANK(AP101,$AP$8:$AP$507),Constants!$B$14),$AF101))</f>
        <v/>
      </c>
      <c r="AR101" s="99" t="str">
        <f aca="false">IF(ISBLANK($C101),"",IF($AF101=Constants!$B$7,IF(AO101=1,AJ101,AM101),""))</f>
        <v/>
      </c>
      <c r="AS101" s="99" t="str">
        <f aca="false">IF(ISBLANK($C101),"",IF($AF101=Constants!$B$7,RANK(AR101,$AR$8:$AR$507),$AF101))</f>
        <v/>
      </c>
      <c r="AT101" s="99" t="str">
        <f aca="false">IF(ISBLANK($C101),"",IF($AF101=Constants!$B$7,IF(ISNUMBER(AQ101),COUNTIFS($AQ$8:$AQ$507,"&lt;"&amp;$AQ101)+COUNTIFS($AQ$8:$AQ$507,$AQ101,$AS$8:$AS$507,"&lt;"&amp;$AS101)+1,Constants!$B$14),$AF101))</f>
        <v/>
      </c>
      <c r="AU101" s="99" t="str">
        <f aca="false">IF(ISBLANK($C101),"",IF($AF101=Constants!$B$7,IF(ISNUMBER(AQ101),AQ101-AT101,Constants!$B$14),$AF101))</f>
        <v/>
      </c>
      <c r="AV101" s="100"/>
      <c r="AW101" s="101" t="str">
        <f aca="false">IF(ISBLANK($C101),"",IF($AF101&lt;&gt;Constants!$B$7,"",AN101))</f>
        <v/>
      </c>
      <c r="AX101" s="102" t="str">
        <f aca="false">IF(ISBLANK($C101),"",IF($AF101&lt;&gt;Constants!$B$7,"",IF(AN101=1,AH101,AK101)))</f>
        <v/>
      </c>
      <c r="AY101" s="103" t="str">
        <f aca="false">IF(ISBLANK($C101),"",IF($AF101&lt;&gt;Constants!$B$7,"",IF(AN101=1,AI101,AL101)))</f>
        <v/>
      </c>
      <c r="AZ101" s="104" t="str">
        <f aca="false">IF(ISBLANK($C101),"",IF($AF101&lt;&gt;Constants!$B$7,$AF101,AP101))</f>
        <v/>
      </c>
      <c r="BA101" s="105" t="str">
        <f aca="false">IF(ISBLANK($C101),"",IF($AF101&lt;&gt;Constants!$B$7,$AF101,AG101))</f>
        <v/>
      </c>
      <c r="BB101" s="106" t="str">
        <f aca="false">IF(ISBLANK($C101),"",AU101)</f>
        <v/>
      </c>
      <c r="BC101" s="106" t="str">
        <f aca="false">IF(ISBLANK($C101),"",AT101)</f>
        <v/>
      </c>
      <c r="BD101" s="107" t="str">
        <f aca="false">IF(ISBLANK($C101),"",IFERROR(_xlfn.SWITCH(BC101,Constants!$B$4,COUNTA($C$8:$C$507)+2,Constants!$B$5,COUNTA($C$8:$C$507)+1,Constants!$B$6,COUNTA($C$8:$C$507)),BC101))</f>
        <v/>
      </c>
      <c r="BE101" s="5"/>
      <c r="BF101" s="108" t="n">
        <f aca="false">IF(OR(ISNUMBER(BC101),BC101=Constants!$B$4,BC101=Constants!$B$6,BC101=Constants!$B$5),1,0)</f>
        <v>0</v>
      </c>
      <c r="BG101" s="108" t="n">
        <v>94</v>
      </c>
      <c r="BH101" s="108" t="str">
        <f aca="false">IF(ISBLANK($C101),"",IF(ISNUMBER(BD101),BD101+ROW($B101)/1000,""))</f>
        <v/>
      </c>
      <c r="BI101" s="108" t="str">
        <f aca="false">IF(ISNUMBER(BH101),RANK(BH101,$BH$8:$BH$507,1),"")</f>
        <v/>
      </c>
      <c r="BJ101" s="108" t="str">
        <f aca="false">IF(ISBLANK($C101),"",$B101)</f>
        <v/>
      </c>
      <c r="BK101" s="108" t="str">
        <f aca="false">IF(ISBLANK($C101),"",$C101)</f>
        <v/>
      </c>
      <c r="BL101" s="108" t="str">
        <f aca="false">IF(ISBLANK($C101),"",$D101)</f>
        <v/>
      </c>
      <c r="BM101" s="109" t="str">
        <f aca="false">BA101</f>
        <v/>
      </c>
      <c r="BN101" s="110" t="str">
        <f aca="false">AZ101</f>
        <v/>
      </c>
      <c r="BO101" s="108" t="str">
        <f aca="false">IF(ISBLANK($C101),"",BC101)</f>
        <v/>
      </c>
      <c r="BP101" s="111" t="str">
        <f aca="false">IF($BG101&gt;$BF$7,"",VLOOKUP($BG101,$BI$8:$BO$507,7,FALSE()))</f>
        <v/>
      </c>
      <c r="BQ101" s="112" t="str">
        <f aca="false">IF($BG101&gt;$BF$7,"",VLOOKUP($BG101,$BI$8:$BO$507,2,FALSE()))</f>
        <v/>
      </c>
      <c r="BR101" s="112" t="str">
        <f aca="false">IF($BG101&gt;$BF$7,"",VLOOKUP($BG101,$BI$8:$BO$507,3,FALSE()))</f>
        <v/>
      </c>
      <c r="BS101" s="112" t="str">
        <f aca="false">IF($BG101&gt;$BF$7,"",VLOOKUP($BG101,$BI$8:$BO$507,4,FALSE()))</f>
        <v/>
      </c>
      <c r="BT101" s="112" t="str">
        <f aca="false">IF($BG101&gt;$BF$7,"",VLOOKUP($BG101,$BI$8:$BO$507,5,FALSE()))</f>
        <v/>
      </c>
      <c r="BU101" s="113" t="str">
        <f aca="false">IF($BG101&gt;$BF$7,"",VLOOKUP($BG101,$BI$8:$BO$507,6,FALSE()))</f>
        <v/>
      </c>
      <c r="BV101" s="54"/>
    </row>
    <row r="102" customFormat="false" ht="15.75" hidden="false" customHeight="false" outlineLevel="0" collapsed="false">
      <c r="A102" s="5"/>
      <c r="B102" s="128"/>
      <c r="C102" s="129"/>
      <c r="D102" s="114"/>
      <c r="E102" s="134"/>
      <c r="F102" s="139"/>
      <c r="G102" s="93"/>
      <c r="H102" s="140"/>
      <c r="I102" s="95"/>
      <c r="J102" s="95"/>
      <c r="K102" s="93"/>
      <c r="L102" s="141"/>
      <c r="M102" s="95"/>
      <c r="N102" s="95"/>
      <c r="O102" s="93"/>
      <c r="P102" s="134"/>
      <c r="Q102" s="98"/>
      <c r="R102" s="99" t="str">
        <f aca="false">IF(ISBLANK($C102),"",IF(E102=Constants!$B$2, TRUE(), IF(E102=Constants!$B$3, FALSE(), TRUE())))</f>
        <v/>
      </c>
      <c r="S102" s="99" t="str">
        <f aca="false">IF(ISBLANK($C102),"",IF(F102=Constants!$B$2, TRUE(), IF(F102=Constants!$B$3, FALSE(), TRUE())))</f>
        <v/>
      </c>
      <c r="T102" s="99" t="str">
        <f aca="false">IF(ISBLANK($C102),"",IF(G102=Constants!$B$16,Constants!$B$9,IF(G102=Constants!$B$17,Constants!$B$10,Constants!$B$8)))</f>
        <v/>
      </c>
      <c r="U102" s="99" t="str">
        <f aca="false">IF(ISBLANK($C102),"",IF(H102=Constants!$B$19,Constants!$B$19,Constants!$B$18))</f>
        <v/>
      </c>
      <c r="V102" s="99" t="str">
        <f aca="false">IF(ISBLANK($C102),"",IF(ISNUMBER(I102),IF(I102&gt;=0,I102,""),""))</f>
        <v/>
      </c>
      <c r="W102" s="99" t="str">
        <f aca="false">IF(ISBLANK($C102),"",IF(J102=Constants!$B$2, TRUE(), IF(J102=Constants!$B$3, FALSE(), TRUE())))</f>
        <v/>
      </c>
      <c r="X102" s="99" t="str">
        <f aca="false">IF(ISBLANK($C102),"",IF(K102=Constants!$B$2, TRUE(), IF(K102=Constants!$B$3, FALSE(), TRUE())))</f>
        <v/>
      </c>
      <c r="Y102" s="99" t="str">
        <f aca="false">IF(ISBLANK($C102),"",IF(L102=Constants!$B$19,Constants!$B$19,Constants!$B$18))</f>
        <v/>
      </c>
      <c r="Z102" s="99" t="str">
        <f aca="false">IF(ISBLANK($C102),"",IF(ISNUMBER(M102),IF(M102&gt;=0,M102,""),""))</f>
        <v/>
      </c>
      <c r="AA102" s="99" t="str">
        <f aca="false">IF(ISBLANK($C102),"",IF(N102=Constants!$B$2, TRUE(), IF(N102=Constants!$B$3, FALSE(), TRUE())))</f>
        <v/>
      </c>
      <c r="AB102" s="99" t="str">
        <f aca="false">IF(ISBLANK($C102),"",IF(O102=Constants!$B$2, TRUE(), IF(O102=Constants!$B$3, FALSE(), TRUE())))</f>
        <v/>
      </c>
      <c r="AC102" s="99" t="str">
        <f aca="false">IF(ISBLANK($C102),"",IF(P102=Constants!$B$2, TRUE(), IF(P102=Constants!$B$3, FALSE(), FALSE())))</f>
        <v/>
      </c>
      <c r="AD102" s="99" t="str">
        <f aca="false">IF(ISBLANK($C102),"",AND(V102&lt;&gt;"",IF(U102=Constants!$B$19,S102,R102)))</f>
        <v/>
      </c>
      <c r="AE102" s="99" t="str">
        <f aca="false">IF(ISBLANK($C102),"",AND(Z102&lt;&gt;"",IF(Y102=Constants!$B$19,S102,R102)))</f>
        <v/>
      </c>
      <c r="AF102" s="99" t="str">
        <f aca="false">IF(ISBLANK($C102),"",IF(AC102,Constants!$B$4,IF(COUNTA(E102:O102)=0,Constants!$B$5,IF(AND(NOT(AD102),NOT(AE102)),Constants!$B$6,Constants!$B$7))))</f>
        <v/>
      </c>
      <c r="AG102" s="99" t="str">
        <f aca="false">IF(ISBLANK($C102),"",IF($AF102&lt;&gt;Constants!$B$7,$AF102,Constants!$B$20))</f>
        <v/>
      </c>
      <c r="AH102" s="99" t="str">
        <f aca="false">IF($AF102=Constants!$B$7,IF(AD102,V102,Constants!$B$13),"")</f>
        <v/>
      </c>
      <c r="AI102" s="99" t="str">
        <f aca="false">IF($AF102=Constants!$B$7,IF(AD102,T102*IF(W102, 1, Constants!$B$11)*IF(X102, 1, Constants!$B$12),Constants!$B$13),"")</f>
        <v/>
      </c>
      <c r="AJ102" s="99" t="str">
        <f aca="false">IF($AF102=Constants!$B$7,AH102*AI102,"")</f>
        <v/>
      </c>
      <c r="AK102" s="99" t="str">
        <f aca="false">IF($AF102=Constants!$B$7,IF(AE102,Z102,Constants!$B$13),"")</f>
        <v/>
      </c>
      <c r="AL102" s="99" t="str">
        <f aca="false">IF($AF102=Constants!$B$7,IF(AE102,T102*IF(AA102, 1, Constants!$B$11)*IF(AB102, 1, Constants!$B$12),Constants!$B$13),"")</f>
        <v/>
      </c>
      <c r="AM102" s="99" t="str">
        <f aca="false">IF($AF102=Constants!$B$7,AK102*AL102,"")</f>
        <v/>
      </c>
      <c r="AN102" s="99" t="str">
        <f aca="false">IF($AF102=Constants!$B$7,IF(AM102&gt;AJ102,2,1),"")</f>
        <v/>
      </c>
      <c r="AO102" s="99" t="str">
        <f aca="false">IF($AF102=Constants!$B$7,IF(AN102=1,2,1),"")</f>
        <v/>
      </c>
      <c r="AP102" s="99" t="str">
        <f aca="false">IF(ISBLANK($C102),"",IF($AF102&lt;&gt;Constants!$B$7,$AF102,IF(AN102=1,AJ102,AM102)))</f>
        <v/>
      </c>
      <c r="AQ102" s="99" t="str">
        <f aca="false">IF(ISBLANK($C102),"",IF($AF102=Constants!$B$7,IF(ISNUMBER(AP102),RANK(AP102,$AP$8:$AP$507),Constants!$B$14),$AF102))</f>
        <v/>
      </c>
      <c r="AR102" s="99" t="str">
        <f aca="false">IF(ISBLANK($C102),"",IF($AF102=Constants!$B$7,IF(AO102=1,AJ102,AM102),""))</f>
        <v/>
      </c>
      <c r="AS102" s="99" t="str">
        <f aca="false">IF(ISBLANK($C102),"",IF($AF102=Constants!$B$7,RANK(AR102,$AR$8:$AR$507),$AF102))</f>
        <v/>
      </c>
      <c r="AT102" s="99" t="str">
        <f aca="false">IF(ISBLANK($C102),"",IF($AF102=Constants!$B$7,IF(ISNUMBER(AQ102),COUNTIFS($AQ$8:$AQ$507,"&lt;"&amp;$AQ102)+COUNTIFS($AQ$8:$AQ$507,$AQ102,$AS$8:$AS$507,"&lt;"&amp;$AS102)+1,Constants!$B$14),$AF102))</f>
        <v/>
      </c>
      <c r="AU102" s="99" t="str">
        <f aca="false">IF(ISBLANK($C102),"",IF($AF102=Constants!$B$7,IF(ISNUMBER(AQ102),AQ102-AT102,Constants!$B$14),$AF102))</f>
        <v/>
      </c>
      <c r="AV102" s="100"/>
      <c r="AW102" s="101" t="str">
        <f aca="false">IF(ISBLANK($C102),"",IF($AF102&lt;&gt;Constants!$B$7,"",AN102))</f>
        <v/>
      </c>
      <c r="AX102" s="102" t="str">
        <f aca="false">IF(ISBLANK($C102),"",IF($AF102&lt;&gt;Constants!$B$7,"",IF(AN102=1,AH102,AK102)))</f>
        <v/>
      </c>
      <c r="AY102" s="103" t="str">
        <f aca="false">IF(ISBLANK($C102),"",IF($AF102&lt;&gt;Constants!$B$7,"",IF(AN102=1,AI102,AL102)))</f>
        <v/>
      </c>
      <c r="AZ102" s="104" t="str">
        <f aca="false">IF(ISBLANK($C102),"",IF($AF102&lt;&gt;Constants!$B$7,$AF102,AP102))</f>
        <v/>
      </c>
      <c r="BA102" s="105" t="str">
        <f aca="false">IF(ISBLANK($C102),"",IF($AF102&lt;&gt;Constants!$B$7,$AF102,AG102))</f>
        <v/>
      </c>
      <c r="BB102" s="106" t="str">
        <f aca="false">IF(ISBLANK($C102),"",AU102)</f>
        <v/>
      </c>
      <c r="BC102" s="106" t="str">
        <f aca="false">IF(ISBLANK($C102),"",AT102)</f>
        <v/>
      </c>
      <c r="BD102" s="107" t="str">
        <f aca="false">IF(ISBLANK($C102),"",IFERROR(_xlfn.SWITCH(BC102,Constants!$B$4,COUNTA($C$8:$C$507)+2,Constants!$B$5,COUNTA($C$8:$C$507)+1,Constants!$B$6,COUNTA($C$8:$C$507)),BC102))</f>
        <v/>
      </c>
      <c r="BE102" s="5"/>
      <c r="BF102" s="108" t="n">
        <f aca="false">IF(OR(ISNUMBER(BC102),BC102=Constants!$B$4,BC102=Constants!$B$6,BC102=Constants!$B$5),1,0)</f>
        <v>0</v>
      </c>
      <c r="BG102" s="108" t="n">
        <v>95</v>
      </c>
      <c r="BH102" s="108" t="str">
        <f aca="false">IF(ISBLANK($C102),"",IF(ISNUMBER(BD102),BD102+ROW($B102)/1000,""))</f>
        <v/>
      </c>
      <c r="BI102" s="108" t="str">
        <f aca="false">IF(ISNUMBER(BH102),RANK(BH102,$BH$8:$BH$507,1),"")</f>
        <v/>
      </c>
      <c r="BJ102" s="108" t="str">
        <f aca="false">IF(ISBLANK($C102),"",$B102)</f>
        <v/>
      </c>
      <c r="BK102" s="108" t="str">
        <f aca="false">IF(ISBLANK($C102),"",$C102)</f>
        <v/>
      </c>
      <c r="BL102" s="108" t="str">
        <f aca="false">IF(ISBLANK($C102),"",$D102)</f>
        <v/>
      </c>
      <c r="BM102" s="109" t="str">
        <f aca="false">BA102</f>
        <v/>
      </c>
      <c r="BN102" s="110" t="str">
        <f aca="false">AZ102</f>
        <v/>
      </c>
      <c r="BO102" s="108" t="str">
        <f aca="false">IF(ISBLANK($C102),"",BC102)</f>
        <v/>
      </c>
      <c r="BP102" s="111" t="str">
        <f aca="false">IF($BG102&gt;$BF$7,"",VLOOKUP($BG102,$BI$8:$BO$507,7,FALSE()))</f>
        <v/>
      </c>
      <c r="BQ102" s="112" t="str">
        <f aca="false">IF($BG102&gt;$BF$7,"",VLOOKUP($BG102,$BI$8:$BO$507,2,FALSE()))</f>
        <v/>
      </c>
      <c r="BR102" s="112" t="str">
        <f aca="false">IF($BG102&gt;$BF$7,"",VLOOKUP($BG102,$BI$8:$BO$507,3,FALSE()))</f>
        <v/>
      </c>
      <c r="BS102" s="112" t="str">
        <f aca="false">IF($BG102&gt;$BF$7,"",VLOOKUP($BG102,$BI$8:$BO$507,4,FALSE()))</f>
        <v/>
      </c>
      <c r="BT102" s="112" t="str">
        <f aca="false">IF($BG102&gt;$BF$7,"",VLOOKUP($BG102,$BI$8:$BO$507,5,FALSE()))</f>
        <v/>
      </c>
      <c r="BU102" s="113" t="str">
        <f aca="false">IF($BG102&gt;$BF$7,"",VLOOKUP($BG102,$BI$8:$BO$507,6,FALSE()))</f>
        <v/>
      </c>
      <c r="BV102" s="54"/>
    </row>
    <row r="103" customFormat="false" ht="15.75" hidden="false" customHeight="false" outlineLevel="0" collapsed="false">
      <c r="A103" s="5"/>
      <c r="B103" s="128"/>
      <c r="C103" s="129"/>
      <c r="D103" s="114"/>
      <c r="E103" s="134"/>
      <c r="F103" s="139"/>
      <c r="G103" s="93"/>
      <c r="H103" s="140"/>
      <c r="I103" s="95"/>
      <c r="J103" s="95"/>
      <c r="K103" s="93"/>
      <c r="L103" s="141"/>
      <c r="M103" s="95"/>
      <c r="N103" s="95"/>
      <c r="O103" s="93"/>
      <c r="P103" s="134"/>
      <c r="Q103" s="98"/>
      <c r="R103" s="99" t="str">
        <f aca="false">IF(ISBLANK($C103),"",IF(E103=Constants!$B$2, TRUE(), IF(E103=Constants!$B$3, FALSE(), TRUE())))</f>
        <v/>
      </c>
      <c r="S103" s="99" t="str">
        <f aca="false">IF(ISBLANK($C103),"",IF(F103=Constants!$B$2, TRUE(), IF(F103=Constants!$B$3, FALSE(), TRUE())))</f>
        <v/>
      </c>
      <c r="T103" s="99" t="str">
        <f aca="false">IF(ISBLANK($C103),"",IF(G103=Constants!$B$16,Constants!$B$9,IF(G103=Constants!$B$17,Constants!$B$10,Constants!$B$8)))</f>
        <v/>
      </c>
      <c r="U103" s="99" t="str">
        <f aca="false">IF(ISBLANK($C103),"",IF(H103=Constants!$B$19,Constants!$B$19,Constants!$B$18))</f>
        <v/>
      </c>
      <c r="V103" s="99" t="str">
        <f aca="false">IF(ISBLANK($C103),"",IF(ISNUMBER(I103),IF(I103&gt;=0,I103,""),""))</f>
        <v/>
      </c>
      <c r="W103" s="99" t="str">
        <f aca="false">IF(ISBLANK($C103),"",IF(J103=Constants!$B$2, TRUE(), IF(J103=Constants!$B$3, FALSE(), TRUE())))</f>
        <v/>
      </c>
      <c r="X103" s="99" t="str">
        <f aca="false">IF(ISBLANK($C103),"",IF(K103=Constants!$B$2, TRUE(), IF(K103=Constants!$B$3, FALSE(), TRUE())))</f>
        <v/>
      </c>
      <c r="Y103" s="99" t="str">
        <f aca="false">IF(ISBLANK($C103),"",IF(L103=Constants!$B$19,Constants!$B$19,Constants!$B$18))</f>
        <v/>
      </c>
      <c r="Z103" s="99" t="str">
        <f aca="false">IF(ISBLANK($C103),"",IF(ISNUMBER(M103),IF(M103&gt;=0,M103,""),""))</f>
        <v/>
      </c>
      <c r="AA103" s="99" t="str">
        <f aca="false">IF(ISBLANK($C103),"",IF(N103=Constants!$B$2, TRUE(), IF(N103=Constants!$B$3, FALSE(), TRUE())))</f>
        <v/>
      </c>
      <c r="AB103" s="99" t="str">
        <f aca="false">IF(ISBLANK($C103),"",IF(O103=Constants!$B$2, TRUE(), IF(O103=Constants!$B$3, FALSE(), TRUE())))</f>
        <v/>
      </c>
      <c r="AC103" s="99" t="str">
        <f aca="false">IF(ISBLANK($C103),"",IF(P103=Constants!$B$2, TRUE(), IF(P103=Constants!$B$3, FALSE(), FALSE())))</f>
        <v/>
      </c>
      <c r="AD103" s="99" t="str">
        <f aca="false">IF(ISBLANK($C103),"",AND(V103&lt;&gt;"",IF(U103=Constants!$B$19,S103,R103)))</f>
        <v/>
      </c>
      <c r="AE103" s="99" t="str">
        <f aca="false">IF(ISBLANK($C103),"",AND(Z103&lt;&gt;"",IF(Y103=Constants!$B$19,S103,R103)))</f>
        <v/>
      </c>
      <c r="AF103" s="99" t="str">
        <f aca="false">IF(ISBLANK($C103),"",IF(AC103,Constants!$B$4,IF(COUNTA(E103:O103)=0,Constants!$B$5,IF(AND(NOT(AD103),NOT(AE103)),Constants!$B$6,Constants!$B$7))))</f>
        <v/>
      </c>
      <c r="AG103" s="99" t="str">
        <f aca="false">IF(ISBLANK($C103),"",IF($AF103&lt;&gt;Constants!$B$7,$AF103,Constants!$B$20))</f>
        <v/>
      </c>
      <c r="AH103" s="99" t="str">
        <f aca="false">IF($AF103=Constants!$B$7,IF(AD103,V103,Constants!$B$13),"")</f>
        <v/>
      </c>
      <c r="AI103" s="99" t="str">
        <f aca="false">IF($AF103=Constants!$B$7,IF(AD103,T103*IF(W103, 1, Constants!$B$11)*IF(X103, 1, Constants!$B$12),Constants!$B$13),"")</f>
        <v/>
      </c>
      <c r="AJ103" s="99" t="str">
        <f aca="false">IF($AF103=Constants!$B$7,AH103*AI103,"")</f>
        <v/>
      </c>
      <c r="AK103" s="99" t="str">
        <f aca="false">IF($AF103=Constants!$B$7,IF(AE103,Z103,Constants!$B$13),"")</f>
        <v/>
      </c>
      <c r="AL103" s="99" t="str">
        <f aca="false">IF($AF103=Constants!$B$7,IF(AE103,T103*IF(AA103, 1, Constants!$B$11)*IF(AB103, 1, Constants!$B$12),Constants!$B$13),"")</f>
        <v/>
      </c>
      <c r="AM103" s="99" t="str">
        <f aca="false">IF($AF103=Constants!$B$7,AK103*AL103,"")</f>
        <v/>
      </c>
      <c r="AN103" s="99" t="str">
        <f aca="false">IF($AF103=Constants!$B$7,IF(AM103&gt;AJ103,2,1),"")</f>
        <v/>
      </c>
      <c r="AO103" s="99" t="str">
        <f aca="false">IF($AF103=Constants!$B$7,IF(AN103=1,2,1),"")</f>
        <v/>
      </c>
      <c r="AP103" s="99" t="str">
        <f aca="false">IF(ISBLANK($C103),"",IF($AF103&lt;&gt;Constants!$B$7,$AF103,IF(AN103=1,AJ103,AM103)))</f>
        <v/>
      </c>
      <c r="AQ103" s="99" t="str">
        <f aca="false">IF(ISBLANK($C103),"",IF($AF103=Constants!$B$7,IF(ISNUMBER(AP103),RANK(AP103,$AP$8:$AP$507),Constants!$B$14),$AF103))</f>
        <v/>
      </c>
      <c r="AR103" s="99" t="str">
        <f aca="false">IF(ISBLANK($C103),"",IF($AF103=Constants!$B$7,IF(AO103=1,AJ103,AM103),""))</f>
        <v/>
      </c>
      <c r="AS103" s="99" t="str">
        <f aca="false">IF(ISBLANK($C103),"",IF($AF103=Constants!$B$7,RANK(AR103,$AR$8:$AR$507),$AF103))</f>
        <v/>
      </c>
      <c r="AT103" s="99" t="str">
        <f aca="false">IF(ISBLANK($C103),"",IF($AF103=Constants!$B$7,IF(ISNUMBER(AQ103),COUNTIFS($AQ$8:$AQ$507,"&lt;"&amp;$AQ103)+COUNTIFS($AQ$8:$AQ$507,$AQ103,$AS$8:$AS$507,"&lt;"&amp;$AS103)+1,Constants!$B$14),$AF103))</f>
        <v/>
      </c>
      <c r="AU103" s="99" t="str">
        <f aca="false">IF(ISBLANK($C103),"",IF($AF103=Constants!$B$7,IF(ISNUMBER(AQ103),AQ103-AT103,Constants!$B$14),$AF103))</f>
        <v/>
      </c>
      <c r="AV103" s="100"/>
      <c r="AW103" s="101" t="str">
        <f aca="false">IF(ISBLANK($C103),"",IF($AF103&lt;&gt;Constants!$B$7,"",AN103))</f>
        <v/>
      </c>
      <c r="AX103" s="102" t="str">
        <f aca="false">IF(ISBLANK($C103),"",IF($AF103&lt;&gt;Constants!$B$7,"",IF(AN103=1,AH103,AK103)))</f>
        <v/>
      </c>
      <c r="AY103" s="103" t="str">
        <f aca="false">IF(ISBLANK($C103),"",IF($AF103&lt;&gt;Constants!$B$7,"",IF(AN103=1,AI103,AL103)))</f>
        <v/>
      </c>
      <c r="AZ103" s="104" t="str">
        <f aca="false">IF(ISBLANK($C103),"",IF($AF103&lt;&gt;Constants!$B$7,$AF103,AP103))</f>
        <v/>
      </c>
      <c r="BA103" s="105" t="str">
        <f aca="false">IF(ISBLANK($C103),"",IF($AF103&lt;&gt;Constants!$B$7,$AF103,AG103))</f>
        <v/>
      </c>
      <c r="BB103" s="106" t="str">
        <f aca="false">IF(ISBLANK($C103),"",AU103)</f>
        <v/>
      </c>
      <c r="BC103" s="106" t="str">
        <f aca="false">IF(ISBLANK($C103),"",AT103)</f>
        <v/>
      </c>
      <c r="BD103" s="107" t="str">
        <f aca="false">IF(ISBLANK($C103),"",IFERROR(_xlfn.SWITCH(BC103,Constants!$B$4,COUNTA($C$8:$C$507)+2,Constants!$B$5,COUNTA($C$8:$C$507)+1,Constants!$B$6,COUNTA($C$8:$C$507)),BC103))</f>
        <v/>
      </c>
      <c r="BE103" s="5"/>
      <c r="BF103" s="108" t="n">
        <f aca="false">IF(OR(ISNUMBER(BC103),BC103=Constants!$B$4,BC103=Constants!$B$6,BC103=Constants!$B$5),1,0)</f>
        <v>0</v>
      </c>
      <c r="BG103" s="108" t="n">
        <v>96</v>
      </c>
      <c r="BH103" s="108" t="str">
        <f aca="false">IF(ISBLANK($C103),"",IF(ISNUMBER(BD103),BD103+ROW($B103)/1000,""))</f>
        <v/>
      </c>
      <c r="BI103" s="108" t="str">
        <f aca="false">IF(ISNUMBER(BH103),RANK(BH103,$BH$8:$BH$507,1),"")</f>
        <v/>
      </c>
      <c r="BJ103" s="108" t="str">
        <f aca="false">IF(ISBLANK($C103),"",$B103)</f>
        <v/>
      </c>
      <c r="BK103" s="108" t="str">
        <f aca="false">IF(ISBLANK($C103),"",$C103)</f>
        <v/>
      </c>
      <c r="BL103" s="108" t="str">
        <f aca="false">IF(ISBLANK($C103),"",$D103)</f>
        <v/>
      </c>
      <c r="BM103" s="109" t="str">
        <f aca="false">BA103</f>
        <v/>
      </c>
      <c r="BN103" s="110" t="str">
        <f aca="false">AZ103</f>
        <v/>
      </c>
      <c r="BO103" s="108" t="str">
        <f aca="false">IF(ISBLANK($C103),"",BC103)</f>
        <v/>
      </c>
      <c r="BP103" s="111" t="str">
        <f aca="false">IF($BG103&gt;$BF$7,"",VLOOKUP($BG103,$BI$8:$BO$507,7,FALSE()))</f>
        <v/>
      </c>
      <c r="BQ103" s="112" t="str">
        <f aca="false">IF($BG103&gt;$BF$7,"",VLOOKUP($BG103,$BI$8:$BO$507,2,FALSE()))</f>
        <v/>
      </c>
      <c r="BR103" s="112" t="str">
        <f aca="false">IF($BG103&gt;$BF$7,"",VLOOKUP($BG103,$BI$8:$BO$507,3,FALSE()))</f>
        <v/>
      </c>
      <c r="BS103" s="112" t="str">
        <f aca="false">IF($BG103&gt;$BF$7,"",VLOOKUP($BG103,$BI$8:$BO$507,4,FALSE()))</f>
        <v/>
      </c>
      <c r="BT103" s="112" t="str">
        <f aca="false">IF($BG103&gt;$BF$7,"",VLOOKUP($BG103,$BI$8:$BO$507,5,FALSE()))</f>
        <v/>
      </c>
      <c r="BU103" s="113" t="str">
        <f aca="false">IF($BG103&gt;$BF$7,"",VLOOKUP($BG103,$BI$8:$BO$507,6,FALSE()))</f>
        <v/>
      </c>
      <c r="BV103" s="54"/>
    </row>
    <row r="104" customFormat="false" ht="15.75" hidden="false" customHeight="false" outlineLevel="0" collapsed="false">
      <c r="A104" s="5"/>
      <c r="B104" s="135"/>
      <c r="C104" s="56"/>
      <c r="D104" s="57"/>
      <c r="E104" s="84"/>
      <c r="F104" s="136"/>
      <c r="G104" s="60"/>
      <c r="H104" s="137"/>
      <c r="I104" s="62"/>
      <c r="J104" s="62"/>
      <c r="K104" s="60"/>
      <c r="L104" s="138"/>
      <c r="M104" s="62"/>
      <c r="N104" s="62"/>
      <c r="O104" s="60"/>
      <c r="P104" s="84"/>
      <c r="Q104" s="65"/>
      <c r="R104" s="67" t="str">
        <f aca="false">IF(ISBLANK($C104),"",IF(E104=Constants!$B$2, TRUE(), IF(E104=Constants!$B$3, FALSE(), TRUE())))</f>
        <v/>
      </c>
      <c r="S104" s="67" t="str">
        <f aca="false">IF(ISBLANK($C104),"",IF(F104=Constants!$B$2, TRUE(), IF(F104=Constants!$B$3, FALSE(), TRUE())))</f>
        <v/>
      </c>
      <c r="T104" s="67" t="str">
        <f aca="false">IF(ISBLANK($C104),"",IF(G104=Constants!$B$16,Constants!$B$9,IF(G104=Constants!$B$17,Constants!$B$10,Constants!$B$8)))</f>
        <v/>
      </c>
      <c r="U104" s="67" t="str">
        <f aca="false">IF(ISBLANK($C104),"",IF(H104=Constants!$B$19,Constants!$B$19,Constants!$B$18))</f>
        <v/>
      </c>
      <c r="V104" s="67" t="str">
        <f aca="false">IF(ISBLANK($C104),"",IF(ISNUMBER(I104),IF(I104&gt;=0,I104,""),""))</f>
        <v/>
      </c>
      <c r="W104" s="67" t="str">
        <f aca="false">IF(ISBLANK($C104),"",IF(J104=Constants!$B$2, TRUE(), IF(J104=Constants!$B$3, FALSE(), TRUE())))</f>
        <v/>
      </c>
      <c r="X104" s="67" t="str">
        <f aca="false">IF(ISBLANK($C104),"",IF(K104=Constants!$B$2, TRUE(), IF(K104=Constants!$B$3, FALSE(), TRUE())))</f>
        <v/>
      </c>
      <c r="Y104" s="67" t="str">
        <f aca="false">IF(ISBLANK($C104),"",IF(L104=Constants!$B$19,Constants!$B$19,Constants!$B$18))</f>
        <v/>
      </c>
      <c r="Z104" s="67" t="str">
        <f aca="false">IF(ISBLANK($C104),"",IF(ISNUMBER(M104),IF(M104&gt;=0,M104,""),""))</f>
        <v/>
      </c>
      <c r="AA104" s="67" t="str">
        <f aca="false">IF(ISBLANK($C104),"",IF(N104=Constants!$B$2, TRUE(), IF(N104=Constants!$B$3, FALSE(), TRUE())))</f>
        <v/>
      </c>
      <c r="AB104" s="67" t="str">
        <f aca="false">IF(ISBLANK($C104),"",IF(O104=Constants!$B$2, TRUE(), IF(O104=Constants!$B$3, FALSE(), TRUE())))</f>
        <v/>
      </c>
      <c r="AC104" s="67" t="str">
        <f aca="false">IF(ISBLANK($C104),"",IF(P104=Constants!$B$2, TRUE(), IF(P104=Constants!$B$3, FALSE(), FALSE())))</f>
        <v/>
      </c>
      <c r="AD104" s="67" t="str">
        <f aca="false">IF(ISBLANK($C104),"",AND(V104&lt;&gt;"",IF(U104=Constants!$B$19,S104,R104)))</f>
        <v/>
      </c>
      <c r="AE104" s="67" t="str">
        <f aca="false">IF(ISBLANK($C104),"",AND(Z104&lt;&gt;"",IF(Y104=Constants!$B$19,S104,R104)))</f>
        <v/>
      </c>
      <c r="AF104" s="67" t="str">
        <f aca="false">IF(ISBLANK($C104),"",IF(AC104,Constants!$B$4,IF(COUNTA(E104:O104)=0,Constants!$B$5,IF(AND(NOT(AD104),NOT(AE104)),Constants!$B$6,Constants!$B$7))))</f>
        <v/>
      </c>
      <c r="AG104" s="67" t="str">
        <f aca="false">IF(ISBLANK($C104),"",IF($AF104&lt;&gt;Constants!$B$7,$AF104,Constants!$B$20))</f>
        <v/>
      </c>
      <c r="AH104" s="67" t="str">
        <f aca="false">IF($AF104=Constants!$B$7,IF(AD104,V104,Constants!$B$13),"")</f>
        <v/>
      </c>
      <c r="AI104" s="67" t="str">
        <f aca="false">IF($AF104=Constants!$B$7,IF(AD104,T104*IF(W104, 1, Constants!$B$11)*IF(X104, 1, Constants!$B$12),Constants!$B$13),"")</f>
        <v/>
      </c>
      <c r="AJ104" s="67" t="str">
        <f aca="false">IF($AF104=Constants!$B$7,AH104*AI104,"")</f>
        <v/>
      </c>
      <c r="AK104" s="67" t="str">
        <f aca="false">IF($AF104=Constants!$B$7,IF(AE104,Z104,Constants!$B$13),"")</f>
        <v/>
      </c>
      <c r="AL104" s="67" t="str">
        <f aca="false">IF($AF104=Constants!$B$7,IF(AE104,T104*IF(AA104, 1, Constants!$B$11)*IF(AB104, 1, Constants!$B$12),Constants!$B$13),"")</f>
        <v/>
      </c>
      <c r="AM104" s="67" t="str">
        <f aca="false">IF($AF104=Constants!$B$7,AK104*AL104,"")</f>
        <v/>
      </c>
      <c r="AN104" s="67" t="str">
        <f aca="false">IF($AF104=Constants!$B$7,IF(AM104&gt;AJ104,2,1),"")</f>
        <v/>
      </c>
      <c r="AO104" s="67" t="str">
        <f aca="false">IF($AF104=Constants!$B$7,IF(AN104=1,2,1),"")</f>
        <v/>
      </c>
      <c r="AP104" s="67" t="str">
        <f aca="false">IF(ISBLANK($C104),"",IF($AF104&lt;&gt;Constants!$B$7,$AF104,IF(AN104=1,AJ104,AM104)))</f>
        <v/>
      </c>
      <c r="AQ104" s="67" t="str">
        <f aca="false">IF(ISBLANK($C104),"",IF($AF104=Constants!$B$7,IF(ISNUMBER(AP104),RANK(AP104,$AP$8:$AP$507),Constants!$B$14),$AF104))</f>
        <v/>
      </c>
      <c r="AR104" s="67" t="str">
        <f aca="false">IF(ISBLANK($C104),"",IF($AF104=Constants!$B$7,IF(AO104=1,AJ104,AM104),""))</f>
        <v/>
      </c>
      <c r="AS104" s="67" t="str">
        <f aca="false">IF(ISBLANK($C104),"",IF($AF104=Constants!$B$7,RANK(AR104,$AR$8:$AR$507),$AF104))</f>
        <v/>
      </c>
      <c r="AT104" s="67" t="str">
        <f aca="false">IF(ISBLANK($C104),"",IF($AF104=Constants!$B$7,IF(ISNUMBER(AQ104),COUNTIFS($AQ$8:$AQ$507,"&lt;"&amp;$AQ104)+COUNTIFS($AQ$8:$AQ$507,$AQ104,$AS$8:$AS$507,"&lt;"&amp;$AS104)+1,Constants!$B$14),$AF104))</f>
        <v/>
      </c>
      <c r="AU104" s="67" t="str">
        <f aca="false">IF(ISBLANK($C104),"",IF($AF104=Constants!$B$7,IF(ISNUMBER(AQ104),AQ104-AT104,Constants!$B$14),$AF104))</f>
        <v/>
      </c>
      <c r="AV104" s="69"/>
      <c r="AW104" s="70" t="str">
        <f aca="false">IF(ISBLANK($C104),"",IF($AF104&lt;&gt;Constants!$B$7,"",AN104))</f>
        <v/>
      </c>
      <c r="AX104" s="85" t="str">
        <f aca="false">IF(ISBLANK($C104),"",IF($AF104&lt;&gt;Constants!$B$7,"",IF(AN104=1,AH104,AK104)))</f>
        <v/>
      </c>
      <c r="AY104" s="72" t="str">
        <f aca="false">IF(ISBLANK($C104),"",IF($AF104&lt;&gt;Constants!$B$7,"",IF(AN104=1,AI104,AL104)))</f>
        <v/>
      </c>
      <c r="AZ104" s="73" t="str">
        <f aca="false">IF(ISBLANK($C104),"",IF($AF104&lt;&gt;Constants!$B$7,$AF104,AP104))</f>
        <v/>
      </c>
      <c r="BA104" s="74" t="str">
        <f aca="false">IF(ISBLANK($C104),"",IF($AF104&lt;&gt;Constants!$B$7,$AF104,AG104))</f>
        <v/>
      </c>
      <c r="BB104" s="75" t="str">
        <f aca="false">IF(ISBLANK($C104),"",AU104)</f>
        <v/>
      </c>
      <c r="BC104" s="75" t="str">
        <f aca="false">IF(ISBLANK($C104),"",AT104)</f>
        <v/>
      </c>
      <c r="BD104" s="76" t="str">
        <f aca="false">IF(ISBLANK($C104),"",IFERROR(_xlfn.SWITCH(BC104,Constants!$B$4,COUNTA($C$8:$C$507)+2,Constants!$B$5,COUNTA($C$8:$C$507)+1,Constants!$B$6,COUNTA($C$8:$C$507)),BC104))</f>
        <v/>
      </c>
      <c r="BE104" s="5"/>
      <c r="BF104" s="77" t="n">
        <f aca="false">IF(OR(ISNUMBER(BC104),BC104=Constants!$B$4,BC104=Constants!$B$6,BC104=Constants!$B$5),1,0)</f>
        <v>0</v>
      </c>
      <c r="BG104" s="77" t="n">
        <v>97</v>
      </c>
      <c r="BH104" s="77" t="str">
        <f aca="false">IF(ISBLANK($C104),"",IF(ISNUMBER(BD104),BD104+ROW($B104)/1000,""))</f>
        <v/>
      </c>
      <c r="BI104" s="77" t="str">
        <f aca="false">IF(ISNUMBER(BH104),RANK(BH104,$BH$8:$BH$507,1),"")</f>
        <v/>
      </c>
      <c r="BJ104" s="77" t="str">
        <f aca="false">IF(ISBLANK($C104),"",$B104)</f>
        <v/>
      </c>
      <c r="BK104" s="77" t="str">
        <f aca="false">IF(ISBLANK($C104),"",$C104)</f>
        <v/>
      </c>
      <c r="BL104" s="77" t="str">
        <f aca="false">IF(ISBLANK($C104),"",$D104)</f>
        <v/>
      </c>
      <c r="BM104" s="78" t="str">
        <f aca="false">BA104</f>
        <v/>
      </c>
      <c r="BN104" s="79" t="str">
        <f aca="false">AZ104</f>
        <v/>
      </c>
      <c r="BO104" s="77" t="str">
        <f aca="false">IF(ISBLANK($C104),"",BC104)</f>
        <v/>
      </c>
      <c r="BP104" s="80" t="str">
        <f aca="false">IF($BG104&gt;$BF$7,"",VLOOKUP($BG104,$BI$8:$BO$507,7,FALSE()))</f>
        <v/>
      </c>
      <c r="BQ104" s="81" t="str">
        <f aca="false">IF($BG104&gt;$BF$7,"",VLOOKUP($BG104,$BI$8:$BO$507,2,FALSE()))</f>
        <v/>
      </c>
      <c r="BR104" s="81" t="str">
        <f aca="false">IF($BG104&gt;$BF$7,"",VLOOKUP($BG104,$BI$8:$BO$507,3,FALSE()))</f>
        <v/>
      </c>
      <c r="BS104" s="81" t="str">
        <f aca="false">IF($BG104&gt;$BF$7,"",VLOOKUP($BG104,$BI$8:$BO$507,4,FALSE()))</f>
        <v/>
      </c>
      <c r="BT104" s="81" t="str">
        <f aca="false">IF($BG104&gt;$BF$7,"",VLOOKUP($BG104,$BI$8:$BO$507,5,FALSE()))</f>
        <v/>
      </c>
      <c r="BU104" s="82" t="str">
        <f aca="false">IF($BG104&gt;$BF$7,"",VLOOKUP($BG104,$BI$8:$BO$507,6,FALSE()))</f>
        <v/>
      </c>
      <c r="BV104" s="54"/>
    </row>
    <row r="105" customFormat="false" ht="15.75" hidden="false" customHeight="false" outlineLevel="0" collapsed="false">
      <c r="A105" s="5"/>
      <c r="B105" s="135"/>
      <c r="C105" s="56"/>
      <c r="D105" s="57"/>
      <c r="E105" s="84"/>
      <c r="F105" s="136"/>
      <c r="G105" s="60"/>
      <c r="H105" s="137"/>
      <c r="I105" s="62"/>
      <c r="J105" s="62"/>
      <c r="K105" s="60"/>
      <c r="L105" s="138"/>
      <c r="M105" s="62"/>
      <c r="N105" s="62"/>
      <c r="O105" s="60"/>
      <c r="P105" s="84"/>
      <c r="Q105" s="65"/>
      <c r="R105" s="67" t="str">
        <f aca="false">IF(ISBLANK($C105),"",IF(E105=Constants!$B$2, TRUE(), IF(E105=Constants!$B$3, FALSE(), TRUE())))</f>
        <v/>
      </c>
      <c r="S105" s="67" t="str">
        <f aca="false">IF(ISBLANK($C105),"",IF(F105=Constants!$B$2, TRUE(), IF(F105=Constants!$B$3, FALSE(), TRUE())))</f>
        <v/>
      </c>
      <c r="T105" s="67" t="str">
        <f aca="false">IF(ISBLANK($C105),"",IF(G105=Constants!$B$16,Constants!$B$9,IF(G105=Constants!$B$17,Constants!$B$10,Constants!$B$8)))</f>
        <v/>
      </c>
      <c r="U105" s="67" t="str">
        <f aca="false">IF(ISBLANK($C105),"",IF(H105=Constants!$B$19,Constants!$B$19,Constants!$B$18))</f>
        <v/>
      </c>
      <c r="V105" s="67" t="str">
        <f aca="false">IF(ISBLANK($C105),"",IF(ISNUMBER(I105),IF(I105&gt;=0,I105,""),""))</f>
        <v/>
      </c>
      <c r="W105" s="67" t="str">
        <f aca="false">IF(ISBLANK($C105),"",IF(J105=Constants!$B$2, TRUE(), IF(J105=Constants!$B$3, FALSE(), TRUE())))</f>
        <v/>
      </c>
      <c r="X105" s="67" t="str">
        <f aca="false">IF(ISBLANK($C105),"",IF(K105=Constants!$B$2, TRUE(), IF(K105=Constants!$B$3, FALSE(), TRUE())))</f>
        <v/>
      </c>
      <c r="Y105" s="67" t="str">
        <f aca="false">IF(ISBLANK($C105),"",IF(L105=Constants!$B$19,Constants!$B$19,Constants!$B$18))</f>
        <v/>
      </c>
      <c r="Z105" s="67" t="str">
        <f aca="false">IF(ISBLANK($C105),"",IF(ISNUMBER(M105),IF(M105&gt;=0,M105,""),""))</f>
        <v/>
      </c>
      <c r="AA105" s="67" t="str">
        <f aca="false">IF(ISBLANK($C105),"",IF(N105=Constants!$B$2, TRUE(), IF(N105=Constants!$B$3, FALSE(), TRUE())))</f>
        <v/>
      </c>
      <c r="AB105" s="67" t="str">
        <f aca="false">IF(ISBLANK($C105),"",IF(O105=Constants!$B$2, TRUE(), IF(O105=Constants!$B$3, FALSE(), TRUE())))</f>
        <v/>
      </c>
      <c r="AC105" s="67" t="str">
        <f aca="false">IF(ISBLANK($C105),"",IF(P105=Constants!$B$2, TRUE(), IF(P105=Constants!$B$3, FALSE(), FALSE())))</f>
        <v/>
      </c>
      <c r="AD105" s="67" t="str">
        <f aca="false">IF(ISBLANK($C105),"",AND(V105&lt;&gt;"",IF(U105=Constants!$B$19,S105,R105)))</f>
        <v/>
      </c>
      <c r="AE105" s="67" t="str">
        <f aca="false">IF(ISBLANK($C105),"",AND(Z105&lt;&gt;"",IF(Y105=Constants!$B$19,S105,R105)))</f>
        <v/>
      </c>
      <c r="AF105" s="67" t="str">
        <f aca="false">IF(ISBLANK($C105),"",IF(AC105,Constants!$B$4,IF(COUNTA(E105:O105)=0,Constants!$B$5,IF(AND(NOT(AD105),NOT(AE105)),Constants!$B$6,Constants!$B$7))))</f>
        <v/>
      </c>
      <c r="AG105" s="67" t="str">
        <f aca="false">IF(ISBLANK($C105),"",IF($AF105&lt;&gt;Constants!$B$7,$AF105,Constants!$B$20))</f>
        <v/>
      </c>
      <c r="AH105" s="67" t="str">
        <f aca="false">IF($AF105=Constants!$B$7,IF(AD105,V105,Constants!$B$13),"")</f>
        <v/>
      </c>
      <c r="AI105" s="67" t="str">
        <f aca="false">IF($AF105=Constants!$B$7,IF(AD105,T105*IF(W105, 1, Constants!$B$11)*IF(X105, 1, Constants!$B$12),Constants!$B$13),"")</f>
        <v/>
      </c>
      <c r="AJ105" s="67" t="str">
        <f aca="false">IF($AF105=Constants!$B$7,AH105*AI105,"")</f>
        <v/>
      </c>
      <c r="AK105" s="67" t="str">
        <f aca="false">IF($AF105=Constants!$B$7,IF(AE105,Z105,Constants!$B$13),"")</f>
        <v/>
      </c>
      <c r="AL105" s="67" t="str">
        <f aca="false">IF($AF105=Constants!$B$7,IF(AE105,T105*IF(AA105, 1, Constants!$B$11)*IF(AB105, 1, Constants!$B$12),Constants!$B$13),"")</f>
        <v/>
      </c>
      <c r="AM105" s="67" t="str">
        <f aca="false">IF($AF105=Constants!$B$7,AK105*AL105,"")</f>
        <v/>
      </c>
      <c r="AN105" s="67" t="str">
        <f aca="false">IF($AF105=Constants!$B$7,IF(AM105&gt;AJ105,2,1),"")</f>
        <v/>
      </c>
      <c r="AO105" s="67" t="str">
        <f aca="false">IF($AF105=Constants!$B$7,IF(AN105=1,2,1),"")</f>
        <v/>
      </c>
      <c r="AP105" s="67" t="str">
        <f aca="false">IF(ISBLANK($C105),"",IF($AF105&lt;&gt;Constants!$B$7,$AF105,IF(AN105=1,AJ105,AM105)))</f>
        <v/>
      </c>
      <c r="AQ105" s="67" t="str">
        <f aca="false">IF(ISBLANK($C105),"",IF($AF105=Constants!$B$7,IF(ISNUMBER(AP105),RANK(AP105,$AP$8:$AP$507),Constants!$B$14),$AF105))</f>
        <v/>
      </c>
      <c r="AR105" s="67" t="str">
        <f aca="false">IF(ISBLANK($C105),"",IF($AF105=Constants!$B$7,IF(AO105=1,AJ105,AM105),""))</f>
        <v/>
      </c>
      <c r="AS105" s="67" t="str">
        <f aca="false">IF(ISBLANK($C105),"",IF($AF105=Constants!$B$7,RANK(AR105,$AR$8:$AR$507),$AF105))</f>
        <v/>
      </c>
      <c r="AT105" s="67" t="str">
        <f aca="false">IF(ISBLANK($C105),"",IF($AF105=Constants!$B$7,IF(ISNUMBER(AQ105),COUNTIFS($AQ$8:$AQ$507,"&lt;"&amp;$AQ105)+COUNTIFS($AQ$8:$AQ$507,$AQ105,$AS$8:$AS$507,"&lt;"&amp;$AS105)+1,Constants!$B$14),$AF105))</f>
        <v/>
      </c>
      <c r="AU105" s="67" t="str">
        <f aca="false">IF(ISBLANK($C105),"",IF($AF105=Constants!$B$7,IF(ISNUMBER(AQ105),AQ105-AT105,Constants!$B$14),$AF105))</f>
        <v/>
      </c>
      <c r="AV105" s="69"/>
      <c r="AW105" s="70" t="str">
        <f aca="false">IF(ISBLANK($C105),"",IF($AF105&lt;&gt;Constants!$B$7,"",AN105))</f>
        <v/>
      </c>
      <c r="AX105" s="85" t="str">
        <f aca="false">IF(ISBLANK($C105),"",IF($AF105&lt;&gt;Constants!$B$7,"",IF(AN105=1,AH105,AK105)))</f>
        <v/>
      </c>
      <c r="AY105" s="72" t="str">
        <f aca="false">IF(ISBLANK($C105),"",IF($AF105&lt;&gt;Constants!$B$7,"",IF(AN105=1,AI105,AL105)))</f>
        <v/>
      </c>
      <c r="AZ105" s="73" t="str">
        <f aca="false">IF(ISBLANK($C105),"",IF($AF105&lt;&gt;Constants!$B$7,$AF105,AP105))</f>
        <v/>
      </c>
      <c r="BA105" s="74" t="str">
        <f aca="false">IF(ISBLANK($C105),"",IF($AF105&lt;&gt;Constants!$B$7,$AF105,AG105))</f>
        <v/>
      </c>
      <c r="BB105" s="75" t="str">
        <f aca="false">IF(ISBLANK($C105),"",AU105)</f>
        <v/>
      </c>
      <c r="BC105" s="75" t="str">
        <f aca="false">IF(ISBLANK($C105),"",AT105)</f>
        <v/>
      </c>
      <c r="BD105" s="76" t="str">
        <f aca="false">IF(ISBLANK($C105),"",IFERROR(_xlfn.SWITCH(BC105,Constants!$B$4,COUNTA($C$8:$C$507)+2,Constants!$B$5,COUNTA($C$8:$C$507)+1,Constants!$B$6,COUNTA($C$8:$C$507)),BC105))</f>
        <v/>
      </c>
      <c r="BE105" s="5"/>
      <c r="BF105" s="77" t="n">
        <f aca="false">IF(OR(ISNUMBER(BC105),BC105=Constants!$B$4,BC105=Constants!$B$6,BC105=Constants!$B$5),1,0)</f>
        <v>0</v>
      </c>
      <c r="BG105" s="77" t="n">
        <v>98</v>
      </c>
      <c r="BH105" s="77" t="str">
        <f aca="false">IF(ISBLANK($C105),"",IF(ISNUMBER(BD105),BD105+ROW($B105)/1000,""))</f>
        <v/>
      </c>
      <c r="BI105" s="77" t="str">
        <f aca="false">IF(ISNUMBER(BH105),RANK(BH105,$BH$8:$BH$507,1),"")</f>
        <v/>
      </c>
      <c r="BJ105" s="77" t="str">
        <f aca="false">IF(ISBLANK($C105),"",$B105)</f>
        <v/>
      </c>
      <c r="BK105" s="77" t="str">
        <f aca="false">IF(ISBLANK($C105),"",$C105)</f>
        <v/>
      </c>
      <c r="BL105" s="77" t="str">
        <f aca="false">IF(ISBLANK($C105),"",$D105)</f>
        <v/>
      </c>
      <c r="BM105" s="78" t="str">
        <f aca="false">BA105</f>
        <v/>
      </c>
      <c r="BN105" s="79" t="str">
        <f aca="false">AZ105</f>
        <v/>
      </c>
      <c r="BO105" s="77" t="str">
        <f aca="false">IF(ISBLANK($C105),"",BC105)</f>
        <v/>
      </c>
      <c r="BP105" s="80" t="str">
        <f aca="false">IF($BG105&gt;$BF$7,"",VLOOKUP($BG105,$BI$8:$BO$507,7,FALSE()))</f>
        <v/>
      </c>
      <c r="BQ105" s="81" t="str">
        <f aca="false">IF($BG105&gt;$BF$7,"",VLOOKUP($BG105,$BI$8:$BO$507,2,FALSE()))</f>
        <v/>
      </c>
      <c r="BR105" s="81" t="str">
        <f aca="false">IF($BG105&gt;$BF$7,"",VLOOKUP($BG105,$BI$8:$BO$507,3,FALSE()))</f>
        <v/>
      </c>
      <c r="BS105" s="81" t="str">
        <f aca="false">IF($BG105&gt;$BF$7,"",VLOOKUP($BG105,$BI$8:$BO$507,4,FALSE()))</f>
        <v/>
      </c>
      <c r="BT105" s="81" t="str">
        <f aca="false">IF($BG105&gt;$BF$7,"",VLOOKUP($BG105,$BI$8:$BO$507,5,FALSE()))</f>
        <v/>
      </c>
      <c r="BU105" s="82" t="str">
        <f aca="false">IF($BG105&gt;$BF$7,"",VLOOKUP($BG105,$BI$8:$BO$507,6,FALSE()))</f>
        <v/>
      </c>
      <c r="BV105" s="54"/>
    </row>
    <row r="106" customFormat="false" ht="15.75" hidden="false" customHeight="false" outlineLevel="0" collapsed="false">
      <c r="A106" s="5"/>
      <c r="B106" s="135"/>
      <c r="C106" s="56"/>
      <c r="D106" s="57"/>
      <c r="E106" s="84"/>
      <c r="F106" s="136"/>
      <c r="G106" s="60"/>
      <c r="H106" s="137"/>
      <c r="I106" s="62"/>
      <c r="J106" s="62"/>
      <c r="K106" s="60"/>
      <c r="L106" s="138"/>
      <c r="M106" s="62"/>
      <c r="N106" s="62"/>
      <c r="O106" s="60"/>
      <c r="P106" s="84"/>
      <c r="Q106" s="65"/>
      <c r="R106" s="67" t="str">
        <f aca="false">IF(ISBLANK($C106),"",IF(E106=Constants!$B$2, TRUE(), IF(E106=Constants!$B$3, FALSE(), TRUE())))</f>
        <v/>
      </c>
      <c r="S106" s="67" t="str">
        <f aca="false">IF(ISBLANK($C106),"",IF(F106=Constants!$B$2, TRUE(), IF(F106=Constants!$B$3, FALSE(), TRUE())))</f>
        <v/>
      </c>
      <c r="T106" s="67" t="str">
        <f aca="false">IF(ISBLANK($C106),"",IF(G106=Constants!$B$16,Constants!$B$9,IF(G106=Constants!$B$17,Constants!$B$10,Constants!$B$8)))</f>
        <v/>
      </c>
      <c r="U106" s="67" t="str">
        <f aca="false">IF(ISBLANK($C106),"",IF(H106=Constants!$B$19,Constants!$B$19,Constants!$B$18))</f>
        <v/>
      </c>
      <c r="V106" s="67" t="str">
        <f aca="false">IF(ISBLANK($C106),"",IF(ISNUMBER(I106),IF(I106&gt;=0,I106,""),""))</f>
        <v/>
      </c>
      <c r="W106" s="67" t="str">
        <f aca="false">IF(ISBLANK($C106),"",IF(J106=Constants!$B$2, TRUE(), IF(J106=Constants!$B$3, FALSE(), TRUE())))</f>
        <v/>
      </c>
      <c r="X106" s="67" t="str">
        <f aca="false">IF(ISBLANK($C106),"",IF(K106=Constants!$B$2, TRUE(), IF(K106=Constants!$B$3, FALSE(), TRUE())))</f>
        <v/>
      </c>
      <c r="Y106" s="67" t="str">
        <f aca="false">IF(ISBLANK($C106),"",IF(L106=Constants!$B$19,Constants!$B$19,Constants!$B$18))</f>
        <v/>
      </c>
      <c r="Z106" s="67" t="str">
        <f aca="false">IF(ISBLANK($C106),"",IF(ISNUMBER(M106),IF(M106&gt;=0,M106,""),""))</f>
        <v/>
      </c>
      <c r="AA106" s="67" t="str">
        <f aca="false">IF(ISBLANK($C106),"",IF(N106=Constants!$B$2, TRUE(), IF(N106=Constants!$B$3, FALSE(), TRUE())))</f>
        <v/>
      </c>
      <c r="AB106" s="67" t="str">
        <f aca="false">IF(ISBLANK($C106),"",IF(O106=Constants!$B$2, TRUE(), IF(O106=Constants!$B$3, FALSE(), TRUE())))</f>
        <v/>
      </c>
      <c r="AC106" s="67" t="str">
        <f aca="false">IF(ISBLANK($C106),"",IF(P106=Constants!$B$2, TRUE(), IF(P106=Constants!$B$3, FALSE(), FALSE())))</f>
        <v/>
      </c>
      <c r="AD106" s="67" t="str">
        <f aca="false">IF(ISBLANK($C106),"",AND(V106&lt;&gt;"",IF(U106=Constants!$B$19,S106,R106)))</f>
        <v/>
      </c>
      <c r="AE106" s="67" t="str">
        <f aca="false">IF(ISBLANK($C106),"",AND(Z106&lt;&gt;"",IF(Y106=Constants!$B$19,S106,R106)))</f>
        <v/>
      </c>
      <c r="AF106" s="67" t="str">
        <f aca="false">IF(ISBLANK($C106),"",IF(AC106,Constants!$B$4,IF(COUNTA(E106:O106)=0,Constants!$B$5,IF(AND(NOT(AD106),NOT(AE106)),Constants!$B$6,Constants!$B$7))))</f>
        <v/>
      </c>
      <c r="AG106" s="67" t="str">
        <f aca="false">IF(ISBLANK($C106),"",IF($AF106&lt;&gt;Constants!$B$7,$AF106,Constants!$B$20))</f>
        <v/>
      </c>
      <c r="AH106" s="67" t="str">
        <f aca="false">IF($AF106=Constants!$B$7,IF(AD106,V106,Constants!$B$13),"")</f>
        <v/>
      </c>
      <c r="AI106" s="67" t="str">
        <f aca="false">IF($AF106=Constants!$B$7,IF(AD106,T106*IF(W106, 1, Constants!$B$11)*IF(X106, 1, Constants!$B$12),Constants!$B$13),"")</f>
        <v/>
      </c>
      <c r="AJ106" s="67" t="str">
        <f aca="false">IF($AF106=Constants!$B$7,AH106*AI106,"")</f>
        <v/>
      </c>
      <c r="AK106" s="67" t="str">
        <f aca="false">IF($AF106=Constants!$B$7,IF(AE106,Z106,Constants!$B$13),"")</f>
        <v/>
      </c>
      <c r="AL106" s="67" t="str">
        <f aca="false">IF($AF106=Constants!$B$7,IF(AE106,T106*IF(AA106, 1, Constants!$B$11)*IF(AB106, 1, Constants!$B$12),Constants!$B$13),"")</f>
        <v/>
      </c>
      <c r="AM106" s="67" t="str">
        <f aca="false">IF($AF106=Constants!$B$7,AK106*AL106,"")</f>
        <v/>
      </c>
      <c r="AN106" s="67" t="str">
        <f aca="false">IF($AF106=Constants!$B$7,IF(AM106&gt;AJ106,2,1),"")</f>
        <v/>
      </c>
      <c r="AO106" s="67" t="str">
        <f aca="false">IF($AF106=Constants!$B$7,IF(AN106=1,2,1),"")</f>
        <v/>
      </c>
      <c r="AP106" s="67" t="str">
        <f aca="false">IF(ISBLANK($C106),"",IF($AF106&lt;&gt;Constants!$B$7,$AF106,IF(AN106=1,AJ106,AM106)))</f>
        <v/>
      </c>
      <c r="AQ106" s="67" t="str">
        <f aca="false">IF(ISBLANK($C106),"",IF($AF106=Constants!$B$7,IF(ISNUMBER(AP106),RANK(AP106,$AP$8:$AP$507),Constants!$B$14),$AF106))</f>
        <v/>
      </c>
      <c r="AR106" s="67" t="str">
        <f aca="false">IF(ISBLANK($C106),"",IF($AF106=Constants!$B$7,IF(AO106=1,AJ106,AM106),""))</f>
        <v/>
      </c>
      <c r="AS106" s="67" t="str">
        <f aca="false">IF(ISBLANK($C106),"",IF($AF106=Constants!$B$7,RANK(AR106,$AR$8:$AR$507),$AF106))</f>
        <v/>
      </c>
      <c r="AT106" s="67" t="str">
        <f aca="false">IF(ISBLANK($C106),"",IF($AF106=Constants!$B$7,IF(ISNUMBER(AQ106),COUNTIFS($AQ$8:$AQ$507,"&lt;"&amp;$AQ106)+COUNTIFS($AQ$8:$AQ$507,$AQ106,$AS$8:$AS$507,"&lt;"&amp;$AS106)+1,Constants!$B$14),$AF106))</f>
        <v/>
      </c>
      <c r="AU106" s="67" t="str">
        <f aca="false">IF(ISBLANK($C106),"",IF($AF106=Constants!$B$7,IF(ISNUMBER(AQ106),AQ106-AT106,Constants!$B$14),$AF106))</f>
        <v/>
      </c>
      <c r="AV106" s="69"/>
      <c r="AW106" s="70" t="str">
        <f aca="false">IF(ISBLANK($C106),"",IF($AF106&lt;&gt;Constants!$B$7,"",AN106))</f>
        <v/>
      </c>
      <c r="AX106" s="85" t="str">
        <f aca="false">IF(ISBLANK($C106),"",IF($AF106&lt;&gt;Constants!$B$7,"",IF(AN106=1,AH106,AK106)))</f>
        <v/>
      </c>
      <c r="AY106" s="72" t="str">
        <f aca="false">IF(ISBLANK($C106),"",IF($AF106&lt;&gt;Constants!$B$7,"",IF(AN106=1,AI106,AL106)))</f>
        <v/>
      </c>
      <c r="AZ106" s="73" t="str">
        <f aca="false">IF(ISBLANK($C106),"",IF($AF106&lt;&gt;Constants!$B$7,$AF106,AP106))</f>
        <v/>
      </c>
      <c r="BA106" s="74" t="str">
        <f aca="false">IF(ISBLANK($C106),"",IF($AF106&lt;&gt;Constants!$B$7,$AF106,AG106))</f>
        <v/>
      </c>
      <c r="BB106" s="75" t="str">
        <f aca="false">IF(ISBLANK($C106),"",AU106)</f>
        <v/>
      </c>
      <c r="BC106" s="75" t="str">
        <f aca="false">IF(ISBLANK($C106),"",AT106)</f>
        <v/>
      </c>
      <c r="BD106" s="76" t="str">
        <f aca="false">IF(ISBLANK($C106),"",IFERROR(_xlfn.SWITCH(BC106,Constants!$B$4,COUNTA($C$8:$C$507)+2,Constants!$B$5,COUNTA($C$8:$C$507)+1,Constants!$B$6,COUNTA($C$8:$C$507)),BC106))</f>
        <v/>
      </c>
      <c r="BE106" s="5"/>
      <c r="BF106" s="77" t="n">
        <f aca="false">IF(OR(ISNUMBER(BC106),BC106=Constants!$B$4,BC106=Constants!$B$6,BC106=Constants!$B$5),1,0)</f>
        <v>0</v>
      </c>
      <c r="BG106" s="77" t="n">
        <v>99</v>
      </c>
      <c r="BH106" s="77" t="str">
        <f aca="false">IF(ISBLANK($C106),"",IF(ISNUMBER(BD106),BD106+ROW($B106)/1000,""))</f>
        <v/>
      </c>
      <c r="BI106" s="77" t="str">
        <f aca="false">IF(ISNUMBER(BH106),RANK(BH106,$BH$8:$BH$507,1),"")</f>
        <v/>
      </c>
      <c r="BJ106" s="77" t="str">
        <f aca="false">IF(ISBLANK($C106),"",$B106)</f>
        <v/>
      </c>
      <c r="BK106" s="77" t="str">
        <f aca="false">IF(ISBLANK($C106),"",$C106)</f>
        <v/>
      </c>
      <c r="BL106" s="77" t="str">
        <f aca="false">IF(ISBLANK($C106),"",$D106)</f>
        <v/>
      </c>
      <c r="BM106" s="78" t="str">
        <f aca="false">BA106</f>
        <v/>
      </c>
      <c r="BN106" s="79" t="str">
        <f aca="false">AZ106</f>
        <v/>
      </c>
      <c r="BO106" s="77" t="str">
        <f aca="false">IF(ISBLANK($C106),"",BC106)</f>
        <v/>
      </c>
      <c r="BP106" s="80" t="str">
        <f aca="false">IF($BG106&gt;$BF$7,"",VLOOKUP($BG106,$BI$8:$BO$507,7,FALSE()))</f>
        <v/>
      </c>
      <c r="BQ106" s="81" t="str">
        <f aca="false">IF($BG106&gt;$BF$7,"",VLOOKUP($BG106,$BI$8:$BO$507,2,FALSE()))</f>
        <v/>
      </c>
      <c r="BR106" s="81" t="str">
        <f aca="false">IF($BG106&gt;$BF$7,"",VLOOKUP($BG106,$BI$8:$BO$507,3,FALSE()))</f>
        <v/>
      </c>
      <c r="BS106" s="81" t="str">
        <f aca="false">IF($BG106&gt;$BF$7,"",VLOOKUP($BG106,$BI$8:$BO$507,4,FALSE()))</f>
        <v/>
      </c>
      <c r="BT106" s="81" t="str">
        <f aca="false">IF($BG106&gt;$BF$7,"",VLOOKUP($BG106,$BI$8:$BO$507,5,FALSE()))</f>
        <v/>
      </c>
      <c r="BU106" s="82" t="str">
        <f aca="false">IF($BG106&gt;$BF$7,"",VLOOKUP($BG106,$BI$8:$BO$507,6,FALSE()))</f>
        <v/>
      </c>
      <c r="BV106" s="54"/>
    </row>
    <row r="107" customFormat="false" ht="15.75" hidden="false" customHeight="false" outlineLevel="0" collapsed="false">
      <c r="A107" s="5"/>
      <c r="B107" s="128"/>
      <c r="C107" s="129"/>
      <c r="D107" s="114"/>
      <c r="E107" s="134"/>
      <c r="F107" s="139"/>
      <c r="G107" s="93"/>
      <c r="H107" s="140"/>
      <c r="I107" s="95"/>
      <c r="J107" s="95"/>
      <c r="K107" s="93"/>
      <c r="L107" s="141"/>
      <c r="M107" s="95"/>
      <c r="N107" s="95"/>
      <c r="O107" s="93"/>
      <c r="P107" s="134"/>
      <c r="Q107" s="98"/>
      <c r="R107" s="99" t="str">
        <f aca="false">IF(ISBLANK($C107),"",IF(E107=Constants!$B$2, TRUE(), IF(E107=Constants!$B$3, FALSE(), TRUE())))</f>
        <v/>
      </c>
      <c r="S107" s="99" t="str">
        <f aca="false">IF(ISBLANK($C107),"",IF(F107=Constants!$B$2, TRUE(), IF(F107=Constants!$B$3, FALSE(), TRUE())))</f>
        <v/>
      </c>
      <c r="T107" s="99" t="str">
        <f aca="false">IF(ISBLANK($C107),"",IF(G107=Constants!$B$16,Constants!$B$9,IF(G107=Constants!$B$17,Constants!$B$10,Constants!$B$8)))</f>
        <v/>
      </c>
      <c r="U107" s="99" t="str">
        <f aca="false">IF(ISBLANK($C107),"",IF(H107=Constants!$B$19,Constants!$B$19,Constants!$B$18))</f>
        <v/>
      </c>
      <c r="V107" s="99" t="str">
        <f aca="false">IF(ISBLANK($C107),"",IF(ISNUMBER(I107),IF(I107&gt;=0,I107,""),""))</f>
        <v/>
      </c>
      <c r="W107" s="99" t="str">
        <f aca="false">IF(ISBLANK($C107),"",IF(J107=Constants!$B$2, TRUE(), IF(J107=Constants!$B$3, FALSE(), TRUE())))</f>
        <v/>
      </c>
      <c r="X107" s="99" t="str">
        <f aca="false">IF(ISBLANK($C107),"",IF(K107=Constants!$B$2, TRUE(), IF(K107=Constants!$B$3, FALSE(), TRUE())))</f>
        <v/>
      </c>
      <c r="Y107" s="99" t="str">
        <f aca="false">IF(ISBLANK($C107),"",IF(L107=Constants!$B$19,Constants!$B$19,Constants!$B$18))</f>
        <v/>
      </c>
      <c r="Z107" s="99" t="str">
        <f aca="false">IF(ISBLANK($C107),"",IF(ISNUMBER(M107),IF(M107&gt;=0,M107,""),""))</f>
        <v/>
      </c>
      <c r="AA107" s="99" t="str">
        <f aca="false">IF(ISBLANK($C107),"",IF(N107=Constants!$B$2, TRUE(), IF(N107=Constants!$B$3, FALSE(), TRUE())))</f>
        <v/>
      </c>
      <c r="AB107" s="99" t="str">
        <f aca="false">IF(ISBLANK($C107),"",IF(O107=Constants!$B$2, TRUE(), IF(O107=Constants!$B$3, FALSE(), TRUE())))</f>
        <v/>
      </c>
      <c r="AC107" s="99" t="str">
        <f aca="false">IF(ISBLANK($C107),"",IF(P107=Constants!$B$2, TRUE(), IF(P107=Constants!$B$3, FALSE(), FALSE())))</f>
        <v/>
      </c>
      <c r="AD107" s="99" t="str">
        <f aca="false">IF(ISBLANK($C107),"",AND(V107&lt;&gt;"",IF(U107=Constants!$B$19,S107,R107)))</f>
        <v/>
      </c>
      <c r="AE107" s="99" t="str">
        <f aca="false">IF(ISBLANK($C107),"",AND(Z107&lt;&gt;"",IF(Y107=Constants!$B$19,S107,R107)))</f>
        <v/>
      </c>
      <c r="AF107" s="99" t="str">
        <f aca="false">IF(ISBLANK($C107),"",IF(AC107,Constants!$B$4,IF(COUNTA(E107:O107)=0,Constants!$B$5,IF(AND(NOT(AD107),NOT(AE107)),Constants!$B$6,Constants!$B$7))))</f>
        <v/>
      </c>
      <c r="AG107" s="99" t="str">
        <f aca="false">IF(ISBLANK($C107),"",IF($AF107&lt;&gt;Constants!$B$7,$AF107,Constants!$B$20))</f>
        <v/>
      </c>
      <c r="AH107" s="99" t="str">
        <f aca="false">IF($AF107=Constants!$B$7,IF(AD107,V107,Constants!$B$13),"")</f>
        <v/>
      </c>
      <c r="AI107" s="99" t="str">
        <f aca="false">IF($AF107=Constants!$B$7,IF(AD107,T107*IF(W107, 1, Constants!$B$11)*IF(X107, 1, Constants!$B$12),Constants!$B$13),"")</f>
        <v/>
      </c>
      <c r="AJ107" s="99" t="str">
        <f aca="false">IF($AF107=Constants!$B$7,AH107*AI107,"")</f>
        <v/>
      </c>
      <c r="AK107" s="99" t="str">
        <f aca="false">IF($AF107=Constants!$B$7,IF(AE107,Z107,Constants!$B$13),"")</f>
        <v/>
      </c>
      <c r="AL107" s="99" t="str">
        <f aca="false">IF($AF107=Constants!$B$7,IF(AE107,T107*IF(AA107, 1, Constants!$B$11)*IF(AB107, 1, Constants!$B$12),Constants!$B$13),"")</f>
        <v/>
      </c>
      <c r="AM107" s="99" t="str">
        <f aca="false">IF($AF107=Constants!$B$7,AK107*AL107,"")</f>
        <v/>
      </c>
      <c r="AN107" s="99" t="str">
        <f aca="false">IF($AF107=Constants!$B$7,IF(AM107&gt;AJ107,2,1),"")</f>
        <v/>
      </c>
      <c r="AO107" s="99" t="str">
        <f aca="false">IF($AF107=Constants!$B$7,IF(AN107=1,2,1),"")</f>
        <v/>
      </c>
      <c r="AP107" s="99" t="str">
        <f aca="false">IF(ISBLANK($C107),"",IF($AF107&lt;&gt;Constants!$B$7,$AF107,IF(AN107=1,AJ107,AM107)))</f>
        <v/>
      </c>
      <c r="AQ107" s="99" t="str">
        <f aca="false">IF(ISBLANK($C107),"",IF($AF107=Constants!$B$7,IF(ISNUMBER(AP107),RANK(AP107,$AP$8:$AP$507),Constants!$B$14),$AF107))</f>
        <v/>
      </c>
      <c r="AR107" s="99" t="str">
        <f aca="false">IF(ISBLANK($C107),"",IF($AF107=Constants!$B$7,IF(AO107=1,AJ107,AM107),""))</f>
        <v/>
      </c>
      <c r="AS107" s="99" t="str">
        <f aca="false">IF(ISBLANK($C107),"",IF($AF107=Constants!$B$7,RANK(AR107,$AR$8:$AR$507),$AF107))</f>
        <v/>
      </c>
      <c r="AT107" s="99" t="str">
        <f aca="false">IF(ISBLANK($C107),"",IF($AF107=Constants!$B$7,IF(ISNUMBER(AQ107),COUNTIFS($AQ$8:$AQ$507,"&lt;"&amp;$AQ107)+COUNTIFS($AQ$8:$AQ$507,$AQ107,$AS$8:$AS$507,"&lt;"&amp;$AS107)+1,Constants!$B$14),$AF107))</f>
        <v/>
      </c>
      <c r="AU107" s="99" t="str">
        <f aca="false">IF(ISBLANK($C107),"",IF($AF107=Constants!$B$7,IF(ISNUMBER(AQ107),AQ107-AT107,Constants!$B$14),$AF107))</f>
        <v/>
      </c>
      <c r="AV107" s="100"/>
      <c r="AW107" s="101" t="str">
        <f aca="false">IF(ISBLANK($C107),"",IF($AF107&lt;&gt;Constants!$B$7,"",AN107))</f>
        <v/>
      </c>
      <c r="AX107" s="102" t="str">
        <f aca="false">IF(ISBLANK($C107),"",IF($AF107&lt;&gt;Constants!$B$7,"",IF(AN107=1,AH107,AK107)))</f>
        <v/>
      </c>
      <c r="AY107" s="103" t="str">
        <f aca="false">IF(ISBLANK($C107),"",IF($AF107&lt;&gt;Constants!$B$7,"",IF(AN107=1,AI107,AL107)))</f>
        <v/>
      </c>
      <c r="AZ107" s="104" t="str">
        <f aca="false">IF(ISBLANK($C107),"",IF($AF107&lt;&gt;Constants!$B$7,$AF107,AP107))</f>
        <v/>
      </c>
      <c r="BA107" s="105" t="str">
        <f aca="false">IF(ISBLANK($C107),"",IF($AF107&lt;&gt;Constants!$B$7,$AF107,AG107))</f>
        <v/>
      </c>
      <c r="BB107" s="106" t="str">
        <f aca="false">IF(ISBLANK($C107),"",AU107)</f>
        <v/>
      </c>
      <c r="BC107" s="106" t="str">
        <f aca="false">IF(ISBLANK($C107),"",AT107)</f>
        <v/>
      </c>
      <c r="BD107" s="107" t="str">
        <f aca="false">IF(ISBLANK($C107),"",IFERROR(_xlfn.SWITCH(BC107,Constants!$B$4,COUNTA($C$8:$C$507)+2,Constants!$B$5,COUNTA($C$8:$C$507)+1,Constants!$B$6,COUNTA($C$8:$C$507)),BC107))</f>
        <v/>
      </c>
      <c r="BE107" s="5"/>
      <c r="BF107" s="108" t="n">
        <f aca="false">IF(OR(ISNUMBER(BC107),BC107=Constants!$B$4,BC107=Constants!$B$6,BC107=Constants!$B$5),1,0)</f>
        <v>0</v>
      </c>
      <c r="BG107" s="108" t="n">
        <v>100</v>
      </c>
      <c r="BH107" s="108" t="str">
        <f aca="false">IF(ISBLANK($C107),"",IF(ISNUMBER(BD107),BD107+ROW($B107)/1000,""))</f>
        <v/>
      </c>
      <c r="BI107" s="108" t="str">
        <f aca="false">IF(ISNUMBER(BH107),RANK(BH107,$BH$8:$BH$507,1),"")</f>
        <v/>
      </c>
      <c r="BJ107" s="108" t="str">
        <f aca="false">IF(ISBLANK($C107),"",$B107)</f>
        <v/>
      </c>
      <c r="BK107" s="108" t="str">
        <f aca="false">IF(ISBLANK($C107),"",$C107)</f>
        <v/>
      </c>
      <c r="BL107" s="108" t="str">
        <f aca="false">IF(ISBLANK($C107),"",$D107)</f>
        <v/>
      </c>
      <c r="BM107" s="109" t="str">
        <f aca="false">BA107</f>
        <v/>
      </c>
      <c r="BN107" s="110" t="str">
        <f aca="false">AZ107</f>
        <v/>
      </c>
      <c r="BO107" s="108" t="str">
        <f aca="false">IF(ISBLANK($C107),"",BC107)</f>
        <v/>
      </c>
      <c r="BP107" s="111" t="str">
        <f aca="false">IF($BG107&gt;$BF$7,"",VLOOKUP($BG107,$BI$8:$BO$507,7,FALSE()))</f>
        <v/>
      </c>
      <c r="BQ107" s="112" t="str">
        <f aca="false">IF($BG107&gt;$BF$7,"",VLOOKUP($BG107,$BI$8:$BO$507,2,FALSE()))</f>
        <v/>
      </c>
      <c r="BR107" s="112" t="str">
        <f aca="false">IF($BG107&gt;$BF$7,"",VLOOKUP($BG107,$BI$8:$BO$507,3,FALSE()))</f>
        <v/>
      </c>
      <c r="BS107" s="112" t="str">
        <f aca="false">IF($BG107&gt;$BF$7,"",VLOOKUP($BG107,$BI$8:$BO$507,4,FALSE()))</f>
        <v/>
      </c>
      <c r="BT107" s="112" t="str">
        <f aca="false">IF($BG107&gt;$BF$7,"",VLOOKUP($BG107,$BI$8:$BO$507,5,FALSE()))</f>
        <v/>
      </c>
      <c r="BU107" s="113" t="str">
        <f aca="false">IF($BG107&gt;$BF$7,"",VLOOKUP($BG107,$BI$8:$BO$507,6,FALSE()))</f>
        <v/>
      </c>
      <c r="BV107" s="54"/>
    </row>
    <row r="108" customFormat="false" ht="15.75" hidden="false" customHeight="false" outlineLevel="0" collapsed="false">
      <c r="A108" s="5"/>
      <c r="B108" s="128"/>
      <c r="C108" s="129"/>
      <c r="D108" s="114"/>
      <c r="E108" s="134"/>
      <c r="F108" s="139"/>
      <c r="G108" s="93"/>
      <c r="H108" s="140"/>
      <c r="I108" s="95"/>
      <c r="J108" s="95"/>
      <c r="K108" s="93"/>
      <c r="L108" s="141"/>
      <c r="M108" s="95"/>
      <c r="N108" s="95"/>
      <c r="O108" s="93"/>
      <c r="P108" s="134"/>
      <c r="Q108" s="98"/>
      <c r="R108" s="99" t="str">
        <f aca="false">IF(ISBLANK($C108),"",IF(E108=Constants!$B$2, TRUE(), IF(E108=Constants!$B$3, FALSE(), TRUE())))</f>
        <v/>
      </c>
      <c r="S108" s="99" t="str">
        <f aca="false">IF(ISBLANK($C108),"",IF(F108=Constants!$B$2, TRUE(), IF(F108=Constants!$B$3, FALSE(), TRUE())))</f>
        <v/>
      </c>
      <c r="T108" s="99" t="str">
        <f aca="false">IF(ISBLANK($C108),"",IF(G108=Constants!$B$16,Constants!$B$9,IF(G108=Constants!$B$17,Constants!$B$10,Constants!$B$8)))</f>
        <v/>
      </c>
      <c r="U108" s="99" t="str">
        <f aca="false">IF(ISBLANK($C108),"",IF(H108=Constants!$B$19,Constants!$B$19,Constants!$B$18))</f>
        <v/>
      </c>
      <c r="V108" s="99" t="str">
        <f aca="false">IF(ISBLANK($C108),"",IF(ISNUMBER(I108),IF(I108&gt;=0,I108,""),""))</f>
        <v/>
      </c>
      <c r="W108" s="99" t="str">
        <f aca="false">IF(ISBLANK($C108),"",IF(J108=Constants!$B$2, TRUE(), IF(J108=Constants!$B$3, FALSE(), TRUE())))</f>
        <v/>
      </c>
      <c r="X108" s="99" t="str">
        <f aca="false">IF(ISBLANK($C108),"",IF(K108=Constants!$B$2, TRUE(), IF(K108=Constants!$B$3, FALSE(), TRUE())))</f>
        <v/>
      </c>
      <c r="Y108" s="99" t="str">
        <f aca="false">IF(ISBLANK($C108),"",IF(L108=Constants!$B$19,Constants!$B$19,Constants!$B$18))</f>
        <v/>
      </c>
      <c r="Z108" s="99" t="str">
        <f aca="false">IF(ISBLANK($C108),"",IF(ISNUMBER(M108),IF(M108&gt;=0,M108,""),""))</f>
        <v/>
      </c>
      <c r="AA108" s="99" t="str">
        <f aca="false">IF(ISBLANK($C108),"",IF(N108=Constants!$B$2, TRUE(), IF(N108=Constants!$B$3, FALSE(), TRUE())))</f>
        <v/>
      </c>
      <c r="AB108" s="99" t="str">
        <f aca="false">IF(ISBLANK($C108),"",IF(O108=Constants!$B$2, TRUE(), IF(O108=Constants!$B$3, FALSE(), TRUE())))</f>
        <v/>
      </c>
      <c r="AC108" s="99" t="str">
        <f aca="false">IF(ISBLANK($C108),"",IF(P108=Constants!$B$2, TRUE(), IF(P108=Constants!$B$3, FALSE(), FALSE())))</f>
        <v/>
      </c>
      <c r="AD108" s="99" t="str">
        <f aca="false">IF(ISBLANK($C108),"",AND(V108&lt;&gt;"",IF(U108=Constants!$B$19,S108,R108)))</f>
        <v/>
      </c>
      <c r="AE108" s="99" t="str">
        <f aca="false">IF(ISBLANK($C108),"",AND(Z108&lt;&gt;"",IF(Y108=Constants!$B$19,S108,R108)))</f>
        <v/>
      </c>
      <c r="AF108" s="99" t="str">
        <f aca="false">IF(ISBLANK($C108),"",IF(AC108,Constants!$B$4,IF(COUNTA(E108:O108)=0,Constants!$B$5,IF(AND(NOT(AD108),NOT(AE108)),Constants!$B$6,Constants!$B$7))))</f>
        <v/>
      </c>
      <c r="AG108" s="99" t="str">
        <f aca="false">IF(ISBLANK($C108),"",IF($AF108&lt;&gt;Constants!$B$7,$AF108,Constants!$B$20))</f>
        <v/>
      </c>
      <c r="AH108" s="99" t="str">
        <f aca="false">IF($AF108=Constants!$B$7,IF(AD108,V108,Constants!$B$13),"")</f>
        <v/>
      </c>
      <c r="AI108" s="99" t="str">
        <f aca="false">IF($AF108=Constants!$B$7,IF(AD108,T108*IF(W108, 1, Constants!$B$11)*IF(X108, 1, Constants!$B$12),Constants!$B$13),"")</f>
        <v/>
      </c>
      <c r="AJ108" s="99" t="str">
        <f aca="false">IF($AF108=Constants!$B$7,AH108*AI108,"")</f>
        <v/>
      </c>
      <c r="AK108" s="99" t="str">
        <f aca="false">IF($AF108=Constants!$B$7,IF(AE108,Z108,Constants!$B$13),"")</f>
        <v/>
      </c>
      <c r="AL108" s="99" t="str">
        <f aca="false">IF($AF108=Constants!$B$7,IF(AE108,T108*IF(AA108, 1, Constants!$B$11)*IF(AB108, 1, Constants!$B$12),Constants!$B$13),"")</f>
        <v/>
      </c>
      <c r="AM108" s="99" t="str">
        <f aca="false">IF($AF108=Constants!$B$7,AK108*AL108,"")</f>
        <v/>
      </c>
      <c r="AN108" s="99" t="str">
        <f aca="false">IF($AF108=Constants!$B$7,IF(AM108&gt;AJ108,2,1),"")</f>
        <v/>
      </c>
      <c r="AO108" s="99" t="str">
        <f aca="false">IF($AF108=Constants!$B$7,IF(AN108=1,2,1),"")</f>
        <v/>
      </c>
      <c r="AP108" s="99" t="str">
        <f aca="false">IF(ISBLANK($C108),"",IF($AF108&lt;&gt;Constants!$B$7,$AF108,IF(AN108=1,AJ108,AM108)))</f>
        <v/>
      </c>
      <c r="AQ108" s="99" t="str">
        <f aca="false">IF(ISBLANK($C108),"",IF($AF108=Constants!$B$7,IF(ISNUMBER(AP108),RANK(AP108,$AP$8:$AP$507),Constants!$B$14),$AF108))</f>
        <v/>
      </c>
      <c r="AR108" s="99" t="str">
        <f aca="false">IF(ISBLANK($C108),"",IF($AF108=Constants!$B$7,IF(AO108=1,AJ108,AM108),""))</f>
        <v/>
      </c>
      <c r="AS108" s="99" t="str">
        <f aca="false">IF(ISBLANK($C108),"",IF($AF108=Constants!$B$7,RANK(AR108,$AR$8:$AR$507),$AF108))</f>
        <v/>
      </c>
      <c r="AT108" s="99" t="str">
        <f aca="false">IF(ISBLANK($C108),"",IF($AF108=Constants!$B$7,IF(ISNUMBER(AQ108),COUNTIFS($AQ$8:$AQ$507,"&lt;"&amp;$AQ108)+COUNTIFS($AQ$8:$AQ$507,$AQ108,$AS$8:$AS$507,"&lt;"&amp;$AS108)+1,Constants!$B$14),$AF108))</f>
        <v/>
      </c>
      <c r="AU108" s="99" t="str">
        <f aca="false">IF(ISBLANK($C108),"",IF($AF108=Constants!$B$7,IF(ISNUMBER(AQ108),AQ108-AT108,Constants!$B$14),$AF108))</f>
        <v/>
      </c>
      <c r="AV108" s="100"/>
      <c r="AW108" s="101" t="str">
        <f aca="false">IF(ISBLANK($C108),"",IF($AF108&lt;&gt;Constants!$B$7,"",AN108))</f>
        <v/>
      </c>
      <c r="AX108" s="102" t="str">
        <f aca="false">IF(ISBLANK($C108),"",IF($AF108&lt;&gt;Constants!$B$7,"",IF(AN108=1,AH108,AK108)))</f>
        <v/>
      </c>
      <c r="AY108" s="103" t="str">
        <f aca="false">IF(ISBLANK($C108),"",IF($AF108&lt;&gt;Constants!$B$7,"",IF(AN108=1,AI108,AL108)))</f>
        <v/>
      </c>
      <c r="AZ108" s="104" t="str">
        <f aca="false">IF(ISBLANK($C108),"",IF($AF108&lt;&gt;Constants!$B$7,$AF108,AP108))</f>
        <v/>
      </c>
      <c r="BA108" s="105" t="str">
        <f aca="false">IF(ISBLANK($C108),"",IF($AF108&lt;&gt;Constants!$B$7,$AF108,AG108))</f>
        <v/>
      </c>
      <c r="BB108" s="106" t="str">
        <f aca="false">IF(ISBLANK($C108),"",AU108)</f>
        <v/>
      </c>
      <c r="BC108" s="106" t="str">
        <f aca="false">IF(ISBLANK($C108),"",AT108)</f>
        <v/>
      </c>
      <c r="BD108" s="107" t="str">
        <f aca="false">IF(ISBLANK($C108),"",IFERROR(_xlfn.SWITCH(BC108,Constants!$B$4,COUNTA($C$8:$C$507)+2,Constants!$B$5,COUNTA($C$8:$C$507)+1,Constants!$B$6,COUNTA($C$8:$C$507)),BC108))</f>
        <v/>
      </c>
      <c r="BE108" s="5"/>
      <c r="BF108" s="108" t="n">
        <f aca="false">IF(OR(ISNUMBER(BC108),BC108=Constants!$B$4,BC108=Constants!$B$6,BC108=Constants!$B$5),1,0)</f>
        <v>0</v>
      </c>
      <c r="BG108" s="108" t="n">
        <v>101</v>
      </c>
      <c r="BH108" s="108" t="str">
        <f aca="false">IF(ISBLANK($C108),"",IF(ISNUMBER(BD108),BD108+ROW($B108)/1000,""))</f>
        <v/>
      </c>
      <c r="BI108" s="108" t="str">
        <f aca="false">IF(ISNUMBER(BH108),RANK(BH108,$BH$8:$BH$507,1),"")</f>
        <v/>
      </c>
      <c r="BJ108" s="108" t="str">
        <f aca="false">IF(ISBLANK($C108),"",$B108)</f>
        <v/>
      </c>
      <c r="BK108" s="108" t="str">
        <f aca="false">IF(ISBLANK($C108),"",$C108)</f>
        <v/>
      </c>
      <c r="BL108" s="108" t="str">
        <f aca="false">IF(ISBLANK($C108),"",$D108)</f>
        <v/>
      </c>
      <c r="BM108" s="109" t="str">
        <f aca="false">BA108</f>
        <v/>
      </c>
      <c r="BN108" s="110" t="str">
        <f aca="false">AZ108</f>
        <v/>
      </c>
      <c r="BO108" s="108" t="str">
        <f aca="false">IF(ISBLANK($C108),"",BC108)</f>
        <v/>
      </c>
      <c r="BP108" s="111" t="str">
        <f aca="false">IF($BG108&gt;$BF$7,"",VLOOKUP($BG108,$BI$8:$BO$507,7,FALSE()))</f>
        <v/>
      </c>
      <c r="BQ108" s="112" t="str">
        <f aca="false">IF($BG108&gt;$BF$7,"",VLOOKUP($BG108,$BI$8:$BO$507,2,FALSE()))</f>
        <v/>
      </c>
      <c r="BR108" s="112" t="str">
        <f aca="false">IF($BG108&gt;$BF$7,"",VLOOKUP($BG108,$BI$8:$BO$507,3,FALSE()))</f>
        <v/>
      </c>
      <c r="BS108" s="112" t="str">
        <f aca="false">IF($BG108&gt;$BF$7,"",VLOOKUP($BG108,$BI$8:$BO$507,4,FALSE()))</f>
        <v/>
      </c>
      <c r="BT108" s="112" t="str">
        <f aca="false">IF($BG108&gt;$BF$7,"",VLOOKUP($BG108,$BI$8:$BO$507,5,FALSE()))</f>
        <v/>
      </c>
      <c r="BU108" s="113" t="str">
        <f aca="false">IF($BG108&gt;$BF$7,"",VLOOKUP($BG108,$BI$8:$BO$507,6,FALSE()))</f>
        <v/>
      </c>
      <c r="BV108" s="54"/>
    </row>
    <row r="109" customFormat="false" ht="15.75" hidden="false" customHeight="false" outlineLevel="0" collapsed="false">
      <c r="A109" s="5"/>
      <c r="B109" s="128"/>
      <c r="C109" s="129"/>
      <c r="D109" s="114"/>
      <c r="E109" s="134"/>
      <c r="F109" s="139"/>
      <c r="G109" s="93"/>
      <c r="H109" s="140"/>
      <c r="I109" s="95"/>
      <c r="J109" s="95"/>
      <c r="K109" s="93"/>
      <c r="L109" s="141"/>
      <c r="M109" s="95"/>
      <c r="N109" s="95"/>
      <c r="O109" s="93"/>
      <c r="P109" s="134"/>
      <c r="Q109" s="98"/>
      <c r="R109" s="99" t="str">
        <f aca="false">IF(ISBLANK($C109),"",IF(E109=Constants!$B$2, TRUE(), IF(E109=Constants!$B$3, FALSE(), TRUE())))</f>
        <v/>
      </c>
      <c r="S109" s="99" t="str">
        <f aca="false">IF(ISBLANK($C109),"",IF(F109=Constants!$B$2, TRUE(), IF(F109=Constants!$B$3, FALSE(), TRUE())))</f>
        <v/>
      </c>
      <c r="T109" s="99" t="str">
        <f aca="false">IF(ISBLANK($C109),"",IF(G109=Constants!$B$16,Constants!$B$9,IF(G109=Constants!$B$17,Constants!$B$10,Constants!$B$8)))</f>
        <v/>
      </c>
      <c r="U109" s="99" t="str">
        <f aca="false">IF(ISBLANK($C109),"",IF(H109=Constants!$B$19,Constants!$B$19,Constants!$B$18))</f>
        <v/>
      </c>
      <c r="V109" s="99" t="str">
        <f aca="false">IF(ISBLANK($C109),"",IF(ISNUMBER(I109),IF(I109&gt;=0,I109,""),""))</f>
        <v/>
      </c>
      <c r="W109" s="99" t="str">
        <f aca="false">IF(ISBLANK($C109),"",IF(J109=Constants!$B$2, TRUE(), IF(J109=Constants!$B$3, FALSE(), TRUE())))</f>
        <v/>
      </c>
      <c r="X109" s="99" t="str">
        <f aca="false">IF(ISBLANK($C109),"",IF(K109=Constants!$B$2, TRUE(), IF(K109=Constants!$B$3, FALSE(), TRUE())))</f>
        <v/>
      </c>
      <c r="Y109" s="99" t="str">
        <f aca="false">IF(ISBLANK($C109),"",IF(L109=Constants!$B$19,Constants!$B$19,Constants!$B$18))</f>
        <v/>
      </c>
      <c r="Z109" s="99" t="str">
        <f aca="false">IF(ISBLANK($C109),"",IF(ISNUMBER(M109),IF(M109&gt;=0,M109,""),""))</f>
        <v/>
      </c>
      <c r="AA109" s="99" t="str">
        <f aca="false">IF(ISBLANK($C109),"",IF(N109=Constants!$B$2, TRUE(), IF(N109=Constants!$B$3, FALSE(), TRUE())))</f>
        <v/>
      </c>
      <c r="AB109" s="99" t="str">
        <f aca="false">IF(ISBLANK($C109),"",IF(O109=Constants!$B$2, TRUE(), IF(O109=Constants!$B$3, FALSE(), TRUE())))</f>
        <v/>
      </c>
      <c r="AC109" s="99" t="str">
        <f aca="false">IF(ISBLANK($C109),"",IF(P109=Constants!$B$2, TRUE(), IF(P109=Constants!$B$3, FALSE(), FALSE())))</f>
        <v/>
      </c>
      <c r="AD109" s="99" t="str">
        <f aca="false">IF(ISBLANK($C109),"",AND(V109&lt;&gt;"",IF(U109=Constants!$B$19,S109,R109)))</f>
        <v/>
      </c>
      <c r="AE109" s="99" t="str">
        <f aca="false">IF(ISBLANK($C109),"",AND(Z109&lt;&gt;"",IF(Y109=Constants!$B$19,S109,R109)))</f>
        <v/>
      </c>
      <c r="AF109" s="99" t="str">
        <f aca="false">IF(ISBLANK($C109),"",IF(AC109,Constants!$B$4,IF(COUNTA(E109:O109)=0,Constants!$B$5,IF(AND(NOT(AD109),NOT(AE109)),Constants!$B$6,Constants!$B$7))))</f>
        <v/>
      </c>
      <c r="AG109" s="99" t="str">
        <f aca="false">IF(ISBLANK($C109),"",IF($AF109&lt;&gt;Constants!$B$7,$AF109,Constants!$B$20))</f>
        <v/>
      </c>
      <c r="AH109" s="99" t="str">
        <f aca="false">IF($AF109=Constants!$B$7,IF(AD109,V109,Constants!$B$13),"")</f>
        <v/>
      </c>
      <c r="AI109" s="99" t="str">
        <f aca="false">IF($AF109=Constants!$B$7,IF(AD109,T109*IF(W109, 1, Constants!$B$11)*IF(X109, 1, Constants!$B$12),Constants!$B$13),"")</f>
        <v/>
      </c>
      <c r="AJ109" s="99" t="str">
        <f aca="false">IF($AF109=Constants!$B$7,AH109*AI109,"")</f>
        <v/>
      </c>
      <c r="AK109" s="99" t="str">
        <f aca="false">IF($AF109=Constants!$B$7,IF(AE109,Z109,Constants!$B$13),"")</f>
        <v/>
      </c>
      <c r="AL109" s="99" t="str">
        <f aca="false">IF($AF109=Constants!$B$7,IF(AE109,T109*IF(AA109, 1, Constants!$B$11)*IF(AB109, 1, Constants!$B$12),Constants!$B$13),"")</f>
        <v/>
      </c>
      <c r="AM109" s="99" t="str">
        <f aca="false">IF($AF109=Constants!$B$7,AK109*AL109,"")</f>
        <v/>
      </c>
      <c r="AN109" s="99" t="str">
        <f aca="false">IF($AF109=Constants!$B$7,IF(AM109&gt;AJ109,2,1),"")</f>
        <v/>
      </c>
      <c r="AO109" s="99" t="str">
        <f aca="false">IF($AF109=Constants!$B$7,IF(AN109=1,2,1),"")</f>
        <v/>
      </c>
      <c r="AP109" s="99" t="str">
        <f aca="false">IF(ISBLANK($C109),"",IF($AF109&lt;&gt;Constants!$B$7,$AF109,IF(AN109=1,AJ109,AM109)))</f>
        <v/>
      </c>
      <c r="AQ109" s="99" t="str">
        <f aca="false">IF(ISBLANK($C109),"",IF($AF109=Constants!$B$7,IF(ISNUMBER(AP109),RANK(AP109,$AP$8:$AP$507),Constants!$B$14),$AF109))</f>
        <v/>
      </c>
      <c r="AR109" s="99" t="str">
        <f aca="false">IF(ISBLANK($C109),"",IF($AF109=Constants!$B$7,IF(AO109=1,AJ109,AM109),""))</f>
        <v/>
      </c>
      <c r="AS109" s="99" t="str">
        <f aca="false">IF(ISBLANK($C109),"",IF($AF109=Constants!$B$7,RANK(AR109,$AR$8:$AR$507),$AF109))</f>
        <v/>
      </c>
      <c r="AT109" s="99" t="str">
        <f aca="false">IF(ISBLANK($C109),"",IF($AF109=Constants!$B$7,IF(ISNUMBER(AQ109),COUNTIFS($AQ$8:$AQ$507,"&lt;"&amp;$AQ109)+COUNTIFS($AQ$8:$AQ$507,$AQ109,$AS$8:$AS$507,"&lt;"&amp;$AS109)+1,Constants!$B$14),$AF109))</f>
        <v/>
      </c>
      <c r="AU109" s="99" t="str">
        <f aca="false">IF(ISBLANK($C109),"",IF($AF109=Constants!$B$7,IF(ISNUMBER(AQ109),AQ109-AT109,Constants!$B$14),$AF109))</f>
        <v/>
      </c>
      <c r="AV109" s="100"/>
      <c r="AW109" s="101" t="str">
        <f aca="false">IF(ISBLANK($C109),"",IF($AF109&lt;&gt;Constants!$B$7,"",AN109))</f>
        <v/>
      </c>
      <c r="AX109" s="102" t="str">
        <f aca="false">IF(ISBLANK($C109),"",IF($AF109&lt;&gt;Constants!$B$7,"",IF(AN109=1,AH109,AK109)))</f>
        <v/>
      </c>
      <c r="AY109" s="103" t="str">
        <f aca="false">IF(ISBLANK($C109),"",IF($AF109&lt;&gt;Constants!$B$7,"",IF(AN109=1,AI109,AL109)))</f>
        <v/>
      </c>
      <c r="AZ109" s="104" t="str">
        <f aca="false">IF(ISBLANK($C109),"",IF($AF109&lt;&gt;Constants!$B$7,$AF109,AP109))</f>
        <v/>
      </c>
      <c r="BA109" s="105" t="str">
        <f aca="false">IF(ISBLANK($C109),"",IF($AF109&lt;&gt;Constants!$B$7,$AF109,AG109))</f>
        <v/>
      </c>
      <c r="BB109" s="106" t="str">
        <f aca="false">IF(ISBLANK($C109),"",AU109)</f>
        <v/>
      </c>
      <c r="BC109" s="106" t="str">
        <f aca="false">IF(ISBLANK($C109),"",AT109)</f>
        <v/>
      </c>
      <c r="BD109" s="107" t="str">
        <f aca="false">IF(ISBLANK($C109),"",IFERROR(_xlfn.SWITCH(BC109,Constants!$B$4,COUNTA($C$8:$C$507)+2,Constants!$B$5,COUNTA($C$8:$C$507)+1,Constants!$B$6,COUNTA($C$8:$C$507)),BC109))</f>
        <v/>
      </c>
      <c r="BE109" s="5"/>
      <c r="BF109" s="108" t="n">
        <f aca="false">IF(OR(ISNUMBER(BC109),BC109=Constants!$B$4,BC109=Constants!$B$6,BC109=Constants!$B$5),1,0)</f>
        <v>0</v>
      </c>
      <c r="BG109" s="108" t="n">
        <v>102</v>
      </c>
      <c r="BH109" s="108" t="str">
        <f aca="false">IF(ISBLANK($C109),"",IF(ISNUMBER(BD109),BD109+ROW($B109)/1000,""))</f>
        <v/>
      </c>
      <c r="BI109" s="108" t="str">
        <f aca="false">IF(ISNUMBER(BH109),RANK(BH109,$BH$8:$BH$507,1),"")</f>
        <v/>
      </c>
      <c r="BJ109" s="108" t="str">
        <f aca="false">IF(ISBLANK($C109),"",$B109)</f>
        <v/>
      </c>
      <c r="BK109" s="108" t="str">
        <f aca="false">IF(ISBLANK($C109),"",$C109)</f>
        <v/>
      </c>
      <c r="BL109" s="108" t="str">
        <f aca="false">IF(ISBLANK($C109),"",$D109)</f>
        <v/>
      </c>
      <c r="BM109" s="109" t="str">
        <f aca="false">BA109</f>
        <v/>
      </c>
      <c r="BN109" s="110" t="str">
        <f aca="false">AZ109</f>
        <v/>
      </c>
      <c r="BO109" s="108" t="str">
        <f aca="false">IF(ISBLANK($C109),"",BC109)</f>
        <v/>
      </c>
      <c r="BP109" s="111" t="str">
        <f aca="false">IF($BG109&gt;$BF$7,"",VLOOKUP($BG109,$BI$8:$BO$507,7,FALSE()))</f>
        <v/>
      </c>
      <c r="BQ109" s="112" t="str">
        <f aca="false">IF($BG109&gt;$BF$7,"",VLOOKUP($BG109,$BI$8:$BO$507,2,FALSE()))</f>
        <v/>
      </c>
      <c r="BR109" s="112" t="str">
        <f aca="false">IF($BG109&gt;$BF$7,"",VLOOKUP($BG109,$BI$8:$BO$507,3,FALSE()))</f>
        <v/>
      </c>
      <c r="BS109" s="112" t="str">
        <f aca="false">IF($BG109&gt;$BF$7,"",VLOOKUP($BG109,$BI$8:$BO$507,4,FALSE()))</f>
        <v/>
      </c>
      <c r="BT109" s="112" t="str">
        <f aca="false">IF($BG109&gt;$BF$7,"",VLOOKUP($BG109,$BI$8:$BO$507,5,FALSE()))</f>
        <v/>
      </c>
      <c r="BU109" s="113" t="str">
        <f aca="false">IF($BG109&gt;$BF$7,"",VLOOKUP($BG109,$BI$8:$BO$507,6,FALSE()))</f>
        <v/>
      </c>
      <c r="BV109" s="54"/>
    </row>
    <row r="110" customFormat="false" ht="15.75" hidden="false" customHeight="false" outlineLevel="0" collapsed="false">
      <c r="A110" s="5"/>
      <c r="B110" s="135"/>
      <c r="C110" s="56"/>
      <c r="D110" s="57"/>
      <c r="E110" s="84"/>
      <c r="F110" s="136"/>
      <c r="G110" s="60"/>
      <c r="H110" s="137"/>
      <c r="I110" s="62"/>
      <c r="J110" s="62"/>
      <c r="K110" s="60"/>
      <c r="L110" s="138"/>
      <c r="M110" s="62"/>
      <c r="N110" s="62"/>
      <c r="O110" s="60"/>
      <c r="P110" s="84"/>
      <c r="Q110" s="65"/>
      <c r="R110" s="67" t="str">
        <f aca="false">IF(ISBLANK($C110),"",IF(E110=Constants!$B$2, TRUE(), IF(E110=Constants!$B$3, FALSE(), TRUE())))</f>
        <v/>
      </c>
      <c r="S110" s="67" t="str">
        <f aca="false">IF(ISBLANK($C110),"",IF(F110=Constants!$B$2, TRUE(), IF(F110=Constants!$B$3, FALSE(), TRUE())))</f>
        <v/>
      </c>
      <c r="T110" s="67" t="str">
        <f aca="false">IF(ISBLANK($C110),"",IF(G110=Constants!$B$16,Constants!$B$9,IF(G110=Constants!$B$17,Constants!$B$10,Constants!$B$8)))</f>
        <v/>
      </c>
      <c r="U110" s="67" t="str">
        <f aca="false">IF(ISBLANK($C110),"",IF(H110=Constants!$B$19,Constants!$B$19,Constants!$B$18))</f>
        <v/>
      </c>
      <c r="V110" s="67" t="str">
        <f aca="false">IF(ISBLANK($C110),"",IF(ISNUMBER(I110),IF(I110&gt;=0,I110,""),""))</f>
        <v/>
      </c>
      <c r="W110" s="67" t="str">
        <f aca="false">IF(ISBLANK($C110),"",IF(J110=Constants!$B$2, TRUE(), IF(J110=Constants!$B$3, FALSE(), TRUE())))</f>
        <v/>
      </c>
      <c r="X110" s="67" t="str">
        <f aca="false">IF(ISBLANK($C110),"",IF(K110=Constants!$B$2, TRUE(), IF(K110=Constants!$B$3, FALSE(), TRUE())))</f>
        <v/>
      </c>
      <c r="Y110" s="67" t="str">
        <f aca="false">IF(ISBLANK($C110),"",IF(L110=Constants!$B$19,Constants!$B$19,Constants!$B$18))</f>
        <v/>
      </c>
      <c r="Z110" s="67" t="str">
        <f aca="false">IF(ISBLANK($C110),"",IF(ISNUMBER(M110),IF(M110&gt;=0,M110,""),""))</f>
        <v/>
      </c>
      <c r="AA110" s="67" t="str">
        <f aca="false">IF(ISBLANK($C110),"",IF(N110=Constants!$B$2, TRUE(), IF(N110=Constants!$B$3, FALSE(), TRUE())))</f>
        <v/>
      </c>
      <c r="AB110" s="67" t="str">
        <f aca="false">IF(ISBLANK($C110),"",IF(O110=Constants!$B$2, TRUE(), IF(O110=Constants!$B$3, FALSE(), TRUE())))</f>
        <v/>
      </c>
      <c r="AC110" s="67" t="str">
        <f aca="false">IF(ISBLANK($C110),"",IF(P110=Constants!$B$2, TRUE(), IF(P110=Constants!$B$3, FALSE(), FALSE())))</f>
        <v/>
      </c>
      <c r="AD110" s="67" t="str">
        <f aca="false">IF(ISBLANK($C110),"",AND(V110&lt;&gt;"",IF(U110=Constants!$B$19,S110,R110)))</f>
        <v/>
      </c>
      <c r="AE110" s="67" t="str">
        <f aca="false">IF(ISBLANK($C110),"",AND(Z110&lt;&gt;"",IF(Y110=Constants!$B$19,S110,R110)))</f>
        <v/>
      </c>
      <c r="AF110" s="67" t="str">
        <f aca="false">IF(ISBLANK($C110),"",IF(AC110,Constants!$B$4,IF(COUNTA(E110:O110)=0,Constants!$B$5,IF(AND(NOT(AD110),NOT(AE110)),Constants!$B$6,Constants!$B$7))))</f>
        <v/>
      </c>
      <c r="AG110" s="67" t="str">
        <f aca="false">IF(ISBLANK($C110),"",IF($AF110&lt;&gt;Constants!$B$7,$AF110,Constants!$B$20))</f>
        <v/>
      </c>
      <c r="AH110" s="67" t="str">
        <f aca="false">IF($AF110=Constants!$B$7,IF(AD110,V110,Constants!$B$13),"")</f>
        <v/>
      </c>
      <c r="AI110" s="67" t="str">
        <f aca="false">IF($AF110=Constants!$B$7,IF(AD110,T110*IF(W110, 1, Constants!$B$11)*IF(X110, 1, Constants!$B$12),Constants!$B$13),"")</f>
        <v/>
      </c>
      <c r="AJ110" s="67" t="str">
        <f aca="false">IF($AF110=Constants!$B$7,AH110*AI110,"")</f>
        <v/>
      </c>
      <c r="AK110" s="67" t="str">
        <f aca="false">IF($AF110=Constants!$B$7,IF(AE110,Z110,Constants!$B$13),"")</f>
        <v/>
      </c>
      <c r="AL110" s="67" t="str">
        <f aca="false">IF($AF110=Constants!$B$7,IF(AE110,T110*IF(AA110, 1, Constants!$B$11)*IF(AB110, 1, Constants!$B$12),Constants!$B$13),"")</f>
        <v/>
      </c>
      <c r="AM110" s="67" t="str">
        <f aca="false">IF($AF110=Constants!$B$7,AK110*AL110,"")</f>
        <v/>
      </c>
      <c r="AN110" s="67" t="str">
        <f aca="false">IF($AF110=Constants!$B$7,IF(AM110&gt;AJ110,2,1),"")</f>
        <v/>
      </c>
      <c r="AO110" s="67" t="str">
        <f aca="false">IF($AF110=Constants!$B$7,IF(AN110=1,2,1),"")</f>
        <v/>
      </c>
      <c r="AP110" s="67" t="str">
        <f aca="false">IF(ISBLANK($C110),"",IF($AF110&lt;&gt;Constants!$B$7,$AF110,IF(AN110=1,AJ110,AM110)))</f>
        <v/>
      </c>
      <c r="AQ110" s="67" t="str">
        <f aca="false">IF(ISBLANK($C110),"",IF($AF110=Constants!$B$7,IF(ISNUMBER(AP110),RANK(AP110,$AP$8:$AP$507),Constants!$B$14),$AF110))</f>
        <v/>
      </c>
      <c r="AR110" s="67" t="str">
        <f aca="false">IF(ISBLANK($C110),"",IF($AF110=Constants!$B$7,IF(AO110=1,AJ110,AM110),""))</f>
        <v/>
      </c>
      <c r="AS110" s="67" t="str">
        <f aca="false">IF(ISBLANK($C110),"",IF($AF110=Constants!$B$7,RANK(AR110,$AR$8:$AR$507),$AF110))</f>
        <v/>
      </c>
      <c r="AT110" s="67" t="str">
        <f aca="false">IF(ISBLANK($C110),"",IF($AF110=Constants!$B$7,IF(ISNUMBER(AQ110),COUNTIFS($AQ$8:$AQ$507,"&lt;"&amp;$AQ110)+COUNTIFS($AQ$8:$AQ$507,$AQ110,$AS$8:$AS$507,"&lt;"&amp;$AS110)+1,Constants!$B$14),$AF110))</f>
        <v/>
      </c>
      <c r="AU110" s="67" t="str">
        <f aca="false">IF(ISBLANK($C110),"",IF($AF110=Constants!$B$7,IF(ISNUMBER(AQ110),AQ110-AT110,Constants!$B$14),$AF110))</f>
        <v/>
      </c>
      <c r="AV110" s="69"/>
      <c r="AW110" s="70" t="str">
        <f aca="false">IF(ISBLANK($C110),"",IF($AF110&lt;&gt;Constants!$B$7,"",AN110))</f>
        <v/>
      </c>
      <c r="AX110" s="85" t="str">
        <f aca="false">IF(ISBLANK($C110),"",IF($AF110&lt;&gt;Constants!$B$7,"",IF(AN110=1,AH110,AK110)))</f>
        <v/>
      </c>
      <c r="AY110" s="72" t="str">
        <f aca="false">IF(ISBLANK($C110),"",IF($AF110&lt;&gt;Constants!$B$7,"",IF(AN110=1,AI110,AL110)))</f>
        <v/>
      </c>
      <c r="AZ110" s="73" t="str">
        <f aca="false">IF(ISBLANK($C110),"",IF($AF110&lt;&gt;Constants!$B$7,$AF110,AP110))</f>
        <v/>
      </c>
      <c r="BA110" s="74" t="str">
        <f aca="false">IF(ISBLANK($C110),"",IF($AF110&lt;&gt;Constants!$B$7,$AF110,AG110))</f>
        <v/>
      </c>
      <c r="BB110" s="75" t="str">
        <f aca="false">IF(ISBLANK($C110),"",AU110)</f>
        <v/>
      </c>
      <c r="BC110" s="75" t="str">
        <f aca="false">IF(ISBLANK($C110),"",AT110)</f>
        <v/>
      </c>
      <c r="BD110" s="76" t="str">
        <f aca="false">IF(ISBLANK($C110),"",IFERROR(_xlfn.SWITCH(BC110,Constants!$B$4,COUNTA($C$8:$C$507)+2,Constants!$B$5,COUNTA($C$8:$C$507)+1,Constants!$B$6,COUNTA($C$8:$C$507)),BC110))</f>
        <v/>
      </c>
      <c r="BE110" s="5"/>
      <c r="BF110" s="77" t="n">
        <f aca="false">IF(OR(ISNUMBER(BC110),BC110=Constants!$B$4,BC110=Constants!$B$6,BC110=Constants!$B$5),1,0)</f>
        <v>0</v>
      </c>
      <c r="BG110" s="77" t="n">
        <v>103</v>
      </c>
      <c r="BH110" s="77" t="str">
        <f aca="false">IF(ISBLANK($C110),"",IF(ISNUMBER(BD110),BD110+ROW($B110)/1000,""))</f>
        <v/>
      </c>
      <c r="BI110" s="77" t="str">
        <f aca="false">IF(ISNUMBER(BH110),RANK(BH110,$BH$8:$BH$507,1),"")</f>
        <v/>
      </c>
      <c r="BJ110" s="77" t="str">
        <f aca="false">IF(ISBLANK($C110),"",$B110)</f>
        <v/>
      </c>
      <c r="BK110" s="77" t="str">
        <f aca="false">IF(ISBLANK($C110),"",$C110)</f>
        <v/>
      </c>
      <c r="BL110" s="77" t="str">
        <f aca="false">IF(ISBLANK($C110),"",$D110)</f>
        <v/>
      </c>
      <c r="BM110" s="78" t="str">
        <f aca="false">BA110</f>
        <v/>
      </c>
      <c r="BN110" s="79" t="str">
        <f aca="false">AZ110</f>
        <v/>
      </c>
      <c r="BO110" s="77" t="str">
        <f aca="false">IF(ISBLANK($C110),"",BC110)</f>
        <v/>
      </c>
      <c r="BP110" s="80" t="str">
        <f aca="false">IF($BG110&gt;$BF$7,"",VLOOKUP($BG110,$BI$8:$BO$507,7,FALSE()))</f>
        <v/>
      </c>
      <c r="BQ110" s="81" t="str">
        <f aca="false">IF($BG110&gt;$BF$7,"",VLOOKUP($BG110,$BI$8:$BO$507,2,FALSE()))</f>
        <v/>
      </c>
      <c r="BR110" s="81" t="str">
        <f aca="false">IF($BG110&gt;$BF$7,"",VLOOKUP($BG110,$BI$8:$BO$507,3,FALSE()))</f>
        <v/>
      </c>
      <c r="BS110" s="81" t="str">
        <f aca="false">IF($BG110&gt;$BF$7,"",VLOOKUP($BG110,$BI$8:$BO$507,4,FALSE()))</f>
        <v/>
      </c>
      <c r="BT110" s="81" t="str">
        <f aca="false">IF($BG110&gt;$BF$7,"",VLOOKUP($BG110,$BI$8:$BO$507,5,FALSE()))</f>
        <v/>
      </c>
      <c r="BU110" s="82" t="str">
        <f aca="false">IF($BG110&gt;$BF$7,"",VLOOKUP($BG110,$BI$8:$BO$507,6,FALSE()))</f>
        <v/>
      </c>
      <c r="BV110" s="54"/>
    </row>
    <row r="111" customFormat="false" ht="15.75" hidden="false" customHeight="false" outlineLevel="0" collapsed="false">
      <c r="A111" s="5"/>
      <c r="B111" s="135"/>
      <c r="C111" s="56"/>
      <c r="D111" s="57"/>
      <c r="E111" s="84"/>
      <c r="F111" s="136"/>
      <c r="G111" s="60"/>
      <c r="H111" s="137"/>
      <c r="I111" s="62"/>
      <c r="J111" s="62"/>
      <c r="K111" s="60"/>
      <c r="L111" s="138"/>
      <c r="M111" s="62"/>
      <c r="N111" s="62"/>
      <c r="O111" s="60"/>
      <c r="P111" s="84"/>
      <c r="Q111" s="65"/>
      <c r="R111" s="67" t="str">
        <f aca="false">IF(ISBLANK($C111),"",IF(E111=Constants!$B$2, TRUE(), IF(E111=Constants!$B$3, FALSE(), TRUE())))</f>
        <v/>
      </c>
      <c r="S111" s="67" t="str">
        <f aca="false">IF(ISBLANK($C111),"",IF(F111=Constants!$B$2, TRUE(), IF(F111=Constants!$B$3, FALSE(), TRUE())))</f>
        <v/>
      </c>
      <c r="T111" s="67" t="str">
        <f aca="false">IF(ISBLANK($C111),"",IF(G111=Constants!$B$16,Constants!$B$9,IF(G111=Constants!$B$17,Constants!$B$10,Constants!$B$8)))</f>
        <v/>
      </c>
      <c r="U111" s="67" t="str">
        <f aca="false">IF(ISBLANK($C111),"",IF(H111=Constants!$B$19,Constants!$B$19,Constants!$B$18))</f>
        <v/>
      </c>
      <c r="V111" s="67" t="str">
        <f aca="false">IF(ISBLANK($C111),"",IF(ISNUMBER(I111),IF(I111&gt;=0,I111,""),""))</f>
        <v/>
      </c>
      <c r="W111" s="67" t="str">
        <f aca="false">IF(ISBLANK($C111),"",IF(J111=Constants!$B$2, TRUE(), IF(J111=Constants!$B$3, FALSE(), TRUE())))</f>
        <v/>
      </c>
      <c r="X111" s="67" t="str">
        <f aca="false">IF(ISBLANK($C111),"",IF(K111=Constants!$B$2, TRUE(), IF(K111=Constants!$B$3, FALSE(), TRUE())))</f>
        <v/>
      </c>
      <c r="Y111" s="67" t="str">
        <f aca="false">IF(ISBLANK($C111),"",IF(L111=Constants!$B$19,Constants!$B$19,Constants!$B$18))</f>
        <v/>
      </c>
      <c r="Z111" s="67" t="str">
        <f aca="false">IF(ISBLANK($C111),"",IF(ISNUMBER(M111),IF(M111&gt;=0,M111,""),""))</f>
        <v/>
      </c>
      <c r="AA111" s="67" t="str">
        <f aca="false">IF(ISBLANK($C111),"",IF(N111=Constants!$B$2, TRUE(), IF(N111=Constants!$B$3, FALSE(), TRUE())))</f>
        <v/>
      </c>
      <c r="AB111" s="67" t="str">
        <f aca="false">IF(ISBLANK($C111),"",IF(O111=Constants!$B$2, TRUE(), IF(O111=Constants!$B$3, FALSE(), TRUE())))</f>
        <v/>
      </c>
      <c r="AC111" s="67" t="str">
        <f aca="false">IF(ISBLANK($C111),"",IF(P111=Constants!$B$2, TRUE(), IF(P111=Constants!$B$3, FALSE(), FALSE())))</f>
        <v/>
      </c>
      <c r="AD111" s="67" t="str">
        <f aca="false">IF(ISBLANK($C111),"",AND(V111&lt;&gt;"",IF(U111=Constants!$B$19,S111,R111)))</f>
        <v/>
      </c>
      <c r="AE111" s="67" t="str">
        <f aca="false">IF(ISBLANK($C111),"",AND(Z111&lt;&gt;"",IF(Y111=Constants!$B$19,S111,R111)))</f>
        <v/>
      </c>
      <c r="AF111" s="67" t="str">
        <f aca="false">IF(ISBLANK($C111),"",IF(AC111,Constants!$B$4,IF(COUNTA(E111:O111)=0,Constants!$B$5,IF(AND(NOT(AD111),NOT(AE111)),Constants!$B$6,Constants!$B$7))))</f>
        <v/>
      </c>
      <c r="AG111" s="67" t="str">
        <f aca="false">IF(ISBLANK($C111),"",IF($AF111&lt;&gt;Constants!$B$7,$AF111,Constants!$B$20))</f>
        <v/>
      </c>
      <c r="AH111" s="67" t="str">
        <f aca="false">IF($AF111=Constants!$B$7,IF(AD111,V111,Constants!$B$13),"")</f>
        <v/>
      </c>
      <c r="AI111" s="67" t="str">
        <f aca="false">IF($AF111=Constants!$B$7,IF(AD111,T111*IF(W111, 1, Constants!$B$11)*IF(X111, 1, Constants!$B$12),Constants!$B$13),"")</f>
        <v/>
      </c>
      <c r="AJ111" s="67" t="str">
        <f aca="false">IF($AF111=Constants!$B$7,AH111*AI111,"")</f>
        <v/>
      </c>
      <c r="AK111" s="67" t="str">
        <f aca="false">IF($AF111=Constants!$B$7,IF(AE111,Z111,Constants!$B$13),"")</f>
        <v/>
      </c>
      <c r="AL111" s="67" t="str">
        <f aca="false">IF($AF111=Constants!$B$7,IF(AE111,T111*IF(AA111, 1, Constants!$B$11)*IF(AB111, 1, Constants!$B$12),Constants!$B$13),"")</f>
        <v/>
      </c>
      <c r="AM111" s="67" t="str">
        <f aca="false">IF($AF111=Constants!$B$7,AK111*AL111,"")</f>
        <v/>
      </c>
      <c r="AN111" s="67" t="str">
        <f aca="false">IF($AF111=Constants!$B$7,IF(AM111&gt;AJ111,2,1),"")</f>
        <v/>
      </c>
      <c r="AO111" s="67" t="str">
        <f aca="false">IF($AF111=Constants!$B$7,IF(AN111=1,2,1),"")</f>
        <v/>
      </c>
      <c r="AP111" s="67" t="str">
        <f aca="false">IF(ISBLANK($C111),"",IF($AF111&lt;&gt;Constants!$B$7,$AF111,IF(AN111=1,AJ111,AM111)))</f>
        <v/>
      </c>
      <c r="AQ111" s="67" t="str">
        <f aca="false">IF(ISBLANK($C111),"",IF($AF111=Constants!$B$7,IF(ISNUMBER(AP111),RANK(AP111,$AP$8:$AP$507),Constants!$B$14),$AF111))</f>
        <v/>
      </c>
      <c r="AR111" s="67" t="str">
        <f aca="false">IF(ISBLANK($C111),"",IF($AF111=Constants!$B$7,IF(AO111=1,AJ111,AM111),""))</f>
        <v/>
      </c>
      <c r="AS111" s="67" t="str">
        <f aca="false">IF(ISBLANK($C111),"",IF($AF111=Constants!$B$7,RANK(AR111,$AR$8:$AR$507),$AF111))</f>
        <v/>
      </c>
      <c r="AT111" s="67" t="str">
        <f aca="false">IF(ISBLANK($C111),"",IF($AF111=Constants!$B$7,IF(ISNUMBER(AQ111),COUNTIFS($AQ$8:$AQ$507,"&lt;"&amp;$AQ111)+COUNTIFS($AQ$8:$AQ$507,$AQ111,$AS$8:$AS$507,"&lt;"&amp;$AS111)+1,Constants!$B$14),$AF111))</f>
        <v/>
      </c>
      <c r="AU111" s="67" t="str">
        <f aca="false">IF(ISBLANK($C111),"",IF($AF111=Constants!$B$7,IF(ISNUMBER(AQ111),AQ111-AT111,Constants!$B$14),$AF111))</f>
        <v/>
      </c>
      <c r="AV111" s="69"/>
      <c r="AW111" s="70" t="str">
        <f aca="false">IF(ISBLANK($C111),"",IF($AF111&lt;&gt;Constants!$B$7,"",AN111))</f>
        <v/>
      </c>
      <c r="AX111" s="85" t="str">
        <f aca="false">IF(ISBLANK($C111),"",IF($AF111&lt;&gt;Constants!$B$7,"",IF(AN111=1,AH111,AK111)))</f>
        <v/>
      </c>
      <c r="AY111" s="72" t="str">
        <f aca="false">IF(ISBLANK($C111),"",IF($AF111&lt;&gt;Constants!$B$7,"",IF(AN111=1,AI111,AL111)))</f>
        <v/>
      </c>
      <c r="AZ111" s="73" t="str">
        <f aca="false">IF(ISBLANK($C111),"",IF($AF111&lt;&gt;Constants!$B$7,$AF111,AP111))</f>
        <v/>
      </c>
      <c r="BA111" s="74" t="str">
        <f aca="false">IF(ISBLANK($C111),"",IF($AF111&lt;&gt;Constants!$B$7,$AF111,AG111))</f>
        <v/>
      </c>
      <c r="BB111" s="75" t="str">
        <f aca="false">IF(ISBLANK($C111),"",AU111)</f>
        <v/>
      </c>
      <c r="BC111" s="75" t="str">
        <f aca="false">IF(ISBLANK($C111),"",AT111)</f>
        <v/>
      </c>
      <c r="BD111" s="76" t="str">
        <f aca="false">IF(ISBLANK($C111),"",IFERROR(_xlfn.SWITCH(BC111,Constants!$B$4,COUNTA($C$8:$C$507)+2,Constants!$B$5,COUNTA($C$8:$C$507)+1,Constants!$B$6,COUNTA($C$8:$C$507)),BC111))</f>
        <v/>
      </c>
      <c r="BE111" s="5"/>
      <c r="BF111" s="77" t="n">
        <f aca="false">IF(OR(ISNUMBER(BC111),BC111=Constants!$B$4,BC111=Constants!$B$6,BC111=Constants!$B$5),1,0)</f>
        <v>0</v>
      </c>
      <c r="BG111" s="77" t="n">
        <v>104</v>
      </c>
      <c r="BH111" s="77" t="str">
        <f aca="false">IF(ISBLANK($C111),"",IF(ISNUMBER(BD111),BD111+ROW($B111)/1000,""))</f>
        <v/>
      </c>
      <c r="BI111" s="77" t="str">
        <f aca="false">IF(ISNUMBER(BH111),RANK(BH111,$BH$8:$BH$507,1),"")</f>
        <v/>
      </c>
      <c r="BJ111" s="77" t="str">
        <f aca="false">IF(ISBLANK($C111),"",$B111)</f>
        <v/>
      </c>
      <c r="BK111" s="77" t="str">
        <f aca="false">IF(ISBLANK($C111),"",$C111)</f>
        <v/>
      </c>
      <c r="BL111" s="77" t="str">
        <f aca="false">IF(ISBLANK($C111),"",$D111)</f>
        <v/>
      </c>
      <c r="BM111" s="78" t="str">
        <f aca="false">BA111</f>
        <v/>
      </c>
      <c r="BN111" s="79" t="str">
        <f aca="false">AZ111</f>
        <v/>
      </c>
      <c r="BO111" s="77" t="str">
        <f aca="false">IF(ISBLANK($C111),"",BC111)</f>
        <v/>
      </c>
      <c r="BP111" s="80" t="str">
        <f aca="false">IF($BG111&gt;$BF$7,"",VLOOKUP($BG111,$BI$8:$BO$507,7,FALSE()))</f>
        <v/>
      </c>
      <c r="BQ111" s="81" t="str">
        <f aca="false">IF($BG111&gt;$BF$7,"",VLOOKUP($BG111,$BI$8:$BO$507,2,FALSE()))</f>
        <v/>
      </c>
      <c r="BR111" s="81" t="str">
        <f aca="false">IF($BG111&gt;$BF$7,"",VLOOKUP($BG111,$BI$8:$BO$507,3,FALSE()))</f>
        <v/>
      </c>
      <c r="BS111" s="81" t="str">
        <f aca="false">IF($BG111&gt;$BF$7,"",VLOOKUP($BG111,$BI$8:$BO$507,4,FALSE()))</f>
        <v/>
      </c>
      <c r="BT111" s="81" t="str">
        <f aca="false">IF($BG111&gt;$BF$7,"",VLOOKUP($BG111,$BI$8:$BO$507,5,FALSE()))</f>
        <v/>
      </c>
      <c r="BU111" s="82" t="str">
        <f aca="false">IF($BG111&gt;$BF$7,"",VLOOKUP($BG111,$BI$8:$BO$507,6,FALSE()))</f>
        <v/>
      </c>
      <c r="BV111" s="54"/>
    </row>
    <row r="112" customFormat="false" ht="15.75" hidden="false" customHeight="false" outlineLevel="0" collapsed="false">
      <c r="A112" s="5"/>
      <c r="B112" s="135"/>
      <c r="C112" s="56"/>
      <c r="D112" s="57"/>
      <c r="E112" s="84"/>
      <c r="F112" s="136"/>
      <c r="G112" s="60"/>
      <c r="H112" s="137"/>
      <c r="I112" s="62"/>
      <c r="J112" s="62"/>
      <c r="K112" s="60"/>
      <c r="L112" s="138"/>
      <c r="M112" s="62"/>
      <c r="N112" s="62"/>
      <c r="O112" s="60"/>
      <c r="P112" s="84"/>
      <c r="Q112" s="65"/>
      <c r="R112" s="67" t="str">
        <f aca="false">IF(ISBLANK($C112),"",IF(E112=Constants!$B$2, TRUE(), IF(E112=Constants!$B$3, FALSE(), TRUE())))</f>
        <v/>
      </c>
      <c r="S112" s="67" t="str">
        <f aca="false">IF(ISBLANK($C112),"",IF(F112=Constants!$B$2, TRUE(), IF(F112=Constants!$B$3, FALSE(), TRUE())))</f>
        <v/>
      </c>
      <c r="T112" s="67" t="str">
        <f aca="false">IF(ISBLANK($C112),"",IF(G112=Constants!$B$16,Constants!$B$9,IF(G112=Constants!$B$17,Constants!$B$10,Constants!$B$8)))</f>
        <v/>
      </c>
      <c r="U112" s="67" t="str">
        <f aca="false">IF(ISBLANK($C112),"",IF(H112=Constants!$B$19,Constants!$B$19,Constants!$B$18))</f>
        <v/>
      </c>
      <c r="V112" s="67" t="str">
        <f aca="false">IF(ISBLANK($C112),"",IF(ISNUMBER(I112),IF(I112&gt;=0,I112,""),""))</f>
        <v/>
      </c>
      <c r="W112" s="67" t="str">
        <f aca="false">IF(ISBLANK($C112),"",IF(J112=Constants!$B$2, TRUE(), IF(J112=Constants!$B$3, FALSE(), TRUE())))</f>
        <v/>
      </c>
      <c r="X112" s="67" t="str">
        <f aca="false">IF(ISBLANK($C112),"",IF(K112=Constants!$B$2, TRUE(), IF(K112=Constants!$B$3, FALSE(), TRUE())))</f>
        <v/>
      </c>
      <c r="Y112" s="67" t="str">
        <f aca="false">IF(ISBLANK($C112),"",IF(L112=Constants!$B$19,Constants!$B$19,Constants!$B$18))</f>
        <v/>
      </c>
      <c r="Z112" s="67" t="str">
        <f aca="false">IF(ISBLANK($C112),"",IF(ISNUMBER(M112),IF(M112&gt;=0,M112,""),""))</f>
        <v/>
      </c>
      <c r="AA112" s="67" t="str">
        <f aca="false">IF(ISBLANK($C112),"",IF(N112=Constants!$B$2, TRUE(), IF(N112=Constants!$B$3, FALSE(), TRUE())))</f>
        <v/>
      </c>
      <c r="AB112" s="67" t="str">
        <f aca="false">IF(ISBLANK($C112),"",IF(O112=Constants!$B$2, TRUE(), IF(O112=Constants!$B$3, FALSE(), TRUE())))</f>
        <v/>
      </c>
      <c r="AC112" s="67" t="str">
        <f aca="false">IF(ISBLANK($C112),"",IF(P112=Constants!$B$2, TRUE(), IF(P112=Constants!$B$3, FALSE(), FALSE())))</f>
        <v/>
      </c>
      <c r="AD112" s="67" t="str">
        <f aca="false">IF(ISBLANK($C112),"",AND(V112&lt;&gt;"",IF(U112=Constants!$B$19,S112,R112)))</f>
        <v/>
      </c>
      <c r="AE112" s="67" t="str">
        <f aca="false">IF(ISBLANK($C112),"",AND(Z112&lt;&gt;"",IF(Y112=Constants!$B$19,S112,R112)))</f>
        <v/>
      </c>
      <c r="AF112" s="67" t="str">
        <f aca="false">IF(ISBLANK($C112),"",IF(AC112,Constants!$B$4,IF(COUNTA(E112:O112)=0,Constants!$B$5,IF(AND(NOT(AD112),NOT(AE112)),Constants!$B$6,Constants!$B$7))))</f>
        <v/>
      </c>
      <c r="AG112" s="67" t="str">
        <f aca="false">IF(ISBLANK($C112),"",IF($AF112&lt;&gt;Constants!$B$7,$AF112,Constants!$B$20))</f>
        <v/>
      </c>
      <c r="AH112" s="67" t="str">
        <f aca="false">IF($AF112=Constants!$B$7,IF(AD112,V112,Constants!$B$13),"")</f>
        <v/>
      </c>
      <c r="AI112" s="67" t="str">
        <f aca="false">IF($AF112=Constants!$B$7,IF(AD112,T112*IF(W112, 1, Constants!$B$11)*IF(X112, 1, Constants!$B$12),Constants!$B$13),"")</f>
        <v/>
      </c>
      <c r="AJ112" s="67" t="str">
        <f aca="false">IF($AF112=Constants!$B$7,AH112*AI112,"")</f>
        <v/>
      </c>
      <c r="AK112" s="67" t="str">
        <f aca="false">IF($AF112=Constants!$B$7,IF(AE112,Z112,Constants!$B$13),"")</f>
        <v/>
      </c>
      <c r="AL112" s="67" t="str">
        <f aca="false">IF($AF112=Constants!$B$7,IF(AE112,T112*IF(AA112, 1, Constants!$B$11)*IF(AB112, 1, Constants!$B$12),Constants!$B$13),"")</f>
        <v/>
      </c>
      <c r="AM112" s="67" t="str">
        <f aca="false">IF($AF112=Constants!$B$7,AK112*AL112,"")</f>
        <v/>
      </c>
      <c r="AN112" s="67" t="str">
        <f aca="false">IF($AF112=Constants!$B$7,IF(AM112&gt;AJ112,2,1),"")</f>
        <v/>
      </c>
      <c r="AO112" s="67" t="str">
        <f aca="false">IF($AF112=Constants!$B$7,IF(AN112=1,2,1),"")</f>
        <v/>
      </c>
      <c r="AP112" s="67" t="str">
        <f aca="false">IF(ISBLANK($C112),"",IF($AF112&lt;&gt;Constants!$B$7,$AF112,IF(AN112=1,AJ112,AM112)))</f>
        <v/>
      </c>
      <c r="AQ112" s="67" t="str">
        <f aca="false">IF(ISBLANK($C112),"",IF($AF112=Constants!$B$7,IF(ISNUMBER(AP112),RANK(AP112,$AP$8:$AP$507),Constants!$B$14),$AF112))</f>
        <v/>
      </c>
      <c r="AR112" s="67" t="str">
        <f aca="false">IF(ISBLANK($C112),"",IF($AF112=Constants!$B$7,IF(AO112=1,AJ112,AM112),""))</f>
        <v/>
      </c>
      <c r="AS112" s="67" t="str">
        <f aca="false">IF(ISBLANK($C112),"",IF($AF112=Constants!$B$7,RANK(AR112,$AR$8:$AR$507),$AF112))</f>
        <v/>
      </c>
      <c r="AT112" s="67" t="str">
        <f aca="false">IF(ISBLANK($C112),"",IF($AF112=Constants!$B$7,IF(ISNUMBER(AQ112),COUNTIFS($AQ$8:$AQ$507,"&lt;"&amp;$AQ112)+COUNTIFS($AQ$8:$AQ$507,$AQ112,$AS$8:$AS$507,"&lt;"&amp;$AS112)+1,Constants!$B$14),$AF112))</f>
        <v/>
      </c>
      <c r="AU112" s="67" t="str">
        <f aca="false">IF(ISBLANK($C112),"",IF($AF112=Constants!$B$7,IF(ISNUMBER(AQ112),AQ112-AT112,Constants!$B$14),$AF112))</f>
        <v/>
      </c>
      <c r="AV112" s="69"/>
      <c r="AW112" s="70" t="str">
        <f aca="false">IF(ISBLANK($C112),"",IF($AF112&lt;&gt;Constants!$B$7,"",AN112))</f>
        <v/>
      </c>
      <c r="AX112" s="85" t="str">
        <f aca="false">IF(ISBLANK($C112),"",IF($AF112&lt;&gt;Constants!$B$7,"",IF(AN112=1,AH112,AK112)))</f>
        <v/>
      </c>
      <c r="AY112" s="72" t="str">
        <f aca="false">IF(ISBLANK($C112),"",IF($AF112&lt;&gt;Constants!$B$7,"",IF(AN112=1,AI112,AL112)))</f>
        <v/>
      </c>
      <c r="AZ112" s="73" t="str">
        <f aca="false">IF(ISBLANK($C112),"",IF($AF112&lt;&gt;Constants!$B$7,$AF112,AP112))</f>
        <v/>
      </c>
      <c r="BA112" s="74" t="str">
        <f aca="false">IF(ISBLANK($C112),"",IF($AF112&lt;&gt;Constants!$B$7,$AF112,AG112))</f>
        <v/>
      </c>
      <c r="BB112" s="75" t="str">
        <f aca="false">IF(ISBLANK($C112),"",AU112)</f>
        <v/>
      </c>
      <c r="BC112" s="75" t="str">
        <f aca="false">IF(ISBLANK($C112),"",AT112)</f>
        <v/>
      </c>
      <c r="BD112" s="76" t="str">
        <f aca="false">IF(ISBLANK($C112),"",IFERROR(_xlfn.SWITCH(BC112,Constants!$B$4,COUNTA($C$8:$C$507)+2,Constants!$B$5,COUNTA($C$8:$C$507)+1,Constants!$B$6,COUNTA($C$8:$C$507)),BC112))</f>
        <v/>
      </c>
      <c r="BE112" s="5"/>
      <c r="BF112" s="77" t="n">
        <f aca="false">IF(OR(ISNUMBER(BC112),BC112=Constants!$B$4,BC112=Constants!$B$6,BC112=Constants!$B$5),1,0)</f>
        <v>0</v>
      </c>
      <c r="BG112" s="77" t="n">
        <v>105</v>
      </c>
      <c r="BH112" s="77" t="str">
        <f aca="false">IF(ISBLANK($C112),"",IF(ISNUMBER(BD112),BD112+ROW($B112)/1000,""))</f>
        <v/>
      </c>
      <c r="BI112" s="77" t="str">
        <f aca="false">IF(ISNUMBER(BH112),RANK(BH112,$BH$8:$BH$507,1),"")</f>
        <v/>
      </c>
      <c r="BJ112" s="77" t="str">
        <f aca="false">IF(ISBLANK($C112),"",$B112)</f>
        <v/>
      </c>
      <c r="BK112" s="77" t="str">
        <f aca="false">IF(ISBLANK($C112),"",$C112)</f>
        <v/>
      </c>
      <c r="BL112" s="77" t="str">
        <f aca="false">IF(ISBLANK($C112),"",$D112)</f>
        <v/>
      </c>
      <c r="BM112" s="78" t="str">
        <f aca="false">BA112</f>
        <v/>
      </c>
      <c r="BN112" s="79" t="str">
        <f aca="false">AZ112</f>
        <v/>
      </c>
      <c r="BO112" s="77" t="str">
        <f aca="false">IF(ISBLANK($C112),"",BC112)</f>
        <v/>
      </c>
      <c r="BP112" s="80" t="str">
        <f aca="false">IF($BG112&gt;$BF$7,"",VLOOKUP($BG112,$BI$8:$BO$507,7,FALSE()))</f>
        <v/>
      </c>
      <c r="BQ112" s="81" t="str">
        <f aca="false">IF($BG112&gt;$BF$7,"",VLOOKUP($BG112,$BI$8:$BO$507,2,FALSE()))</f>
        <v/>
      </c>
      <c r="BR112" s="81" t="str">
        <f aca="false">IF($BG112&gt;$BF$7,"",VLOOKUP($BG112,$BI$8:$BO$507,3,FALSE()))</f>
        <v/>
      </c>
      <c r="BS112" s="81" t="str">
        <f aca="false">IF($BG112&gt;$BF$7,"",VLOOKUP($BG112,$BI$8:$BO$507,4,FALSE()))</f>
        <v/>
      </c>
      <c r="BT112" s="81" t="str">
        <f aca="false">IF($BG112&gt;$BF$7,"",VLOOKUP($BG112,$BI$8:$BO$507,5,FALSE()))</f>
        <v/>
      </c>
      <c r="BU112" s="82" t="str">
        <f aca="false">IF($BG112&gt;$BF$7,"",VLOOKUP($BG112,$BI$8:$BO$507,6,FALSE()))</f>
        <v/>
      </c>
      <c r="BV112" s="54"/>
    </row>
    <row r="113" customFormat="false" ht="15.75" hidden="false" customHeight="false" outlineLevel="0" collapsed="false">
      <c r="A113" s="5"/>
      <c r="B113" s="128"/>
      <c r="C113" s="129"/>
      <c r="D113" s="114"/>
      <c r="E113" s="134"/>
      <c r="F113" s="139"/>
      <c r="G113" s="93"/>
      <c r="H113" s="140"/>
      <c r="I113" s="95"/>
      <c r="J113" s="95"/>
      <c r="K113" s="93"/>
      <c r="L113" s="141"/>
      <c r="M113" s="95"/>
      <c r="N113" s="95"/>
      <c r="O113" s="93"/>
      <c r="P113" s="134"/>
      <c r="Q113" s="98"/>
      <c r="R113" s="99" t="str">
        <f aca="false">IF(ISBLANK($C113),"",IF(E113=Constants!$B$2, TRUE(), IF(E113=Constants!$B$3, FALSE(), TRUE())))</f>
        <v/>
      </c>
      <c r="S113" s="99" t="str">
        <f aca="false">IF(ISBLANK($C113),"",IF(F113=Constants!$B$2, TRUE(), IF(F113=Constants!$B$3, FALSE(), TRUE())))</f>
        <v/>
      </c>
      <c r="T113" s="99" t="str">
        <f aca="false">IF(ISBLANK($C113),"",IF(G113=Constants!$B$16,Constants!$B$9,IF(G113=Constants!$B$17,Constants!$B$10,Constants!$B$8)))</f>
        <v/>
      </c>
      <c r="U113" s="99" t="str">
        <f aca="false">IF(ISBLANK($C113),"",IF(H113=Constants!$B$19,Constants!$B$19,Constants!$B$18))</f>
        <v/>
      </c>
      <c r="V113" s="99" t="str">
        <f aca="false">IF(ISBLANK($C113),"",IF(ISNUMBER(I113),IF(I113&gt;=0,I113,""),""))</f>
        <v/>
      </c>
      <c r="W113" s="99" t="str">
        <f aca="false">IF(ISBLANK($C113),"",IF(J113=Constants!$B$2, TRUE(), IF(J113=Constants!$B$3, FALSE(), TRUE())))</f>
        <v/>
      </c>
      <c r="X113" s="99" t="str">
        <f aca="false">IF(ISBLANK($C113),"",IF(K113=Constants!$B$2, TRUE(), IF(K113=Constants!$B$3, FALSE(), TRUE())))</f>
        <v/>
      </c>
      <c r="Y113" s="99" t="str">
        <f aca="false">IF(ISBLANK($C113),"",IF(L113=Constants!$B$19,Constants!$B$19,Constants!$B$18))</f>
        <v/>
      </c>
      <c r="Z113" s="99" t="str">
        <f aca="false">IF(ISBLANK($C113),"",IF(ISNUMBER(M113),IF(M113&gt;=0,M113,""),""))</f>
        <v/>
      </c>
      <c r="AA113" s="99" t="str">
        <f aca="false">IF(ISBLANK($C113),"",IF(N113=Constants!$B$2, TRUE(), IF(N113=Constants!$B$3, FALSE(), TRUE())))</f>
        <v/>
      </c>
      <c r="AB113" s="99" t="str">
        <f aca="false">IF(ISBLANK($C113),"",IF(O113=Constants!$B$2, TRUE(), IF(O113=Constants!$B$3, FALSE(), TRUE())))</f>
        <v/>
      </c>
      <c r="AC113" s="99" t="str">
        <f aca="false">IF(ISBLANK($C113),"",IF(P113=Constants!$B$2, TRUE(), IF(P113=Constants!$B$3, FALSE(), FALSE())))</f>
        <v/>
      </c>
      <c r="AD113" s="99" t="str">
        <f aca="false">IF(ISBLANK($C113),"",AND(V113&lt;&gt;"",IF(U113=Constants!$B$19,S113,R113)))</f>
        <v/>
      </c>
      <c r="AE113" s="99" t="str">
        <f aca="false">IF(ISBLANK($C113),"",AND(Z113&lt;&gt;"",IF(Y113=Constants!$B$19,S113,R113)))</f>
        <v/>
      </c>
      <c r="AF113" s="99" t="str">
        <f aca="false">IF(ISBLANK($C113),"",IF(AC113,Constants!$B$4,IF(COUNTA(E113:O113)=0,Constants!$B$5,IF(AND(NOT(AD113),NOT(AE113)),Constants!$B$6,Constants!$B$7))))</f>
        <v/>
      </c>
      <c r="AG113" s="99" t="str">
        <f aca="false">IF(ISBLANK($C113),"",IF($AF113&lt;&gt;Constants!$B$7,$AF113,Constants!$B$20))</f>
        <v/>
      </c>
      <c r="AH113" s="99" t="str">
        <f aca="false">IF($AF113=Constants!$B$7,IF(AD113,V113,Constants!$B$13),"")</f>
        <v/>
      </c>
      <c r="AI113" s="99" t="str">
        <f aca="false">IF($AF113=Constants!$B$7,IF(AD113,T113*IF(W113, 1, Constants!$B$11)*IF(X113, 1, Constants!$B$12),Constants!$B$13),"")</f>
        <v/>
      </c>
      <c r="AJ113" s="99" t="str">
        <f aca="false">IF($AF113=Constants!$B$7,AH113*AI113,"")</f>
        <v/>
      </c>
      <c r="AK113" s="99" t="str">
        <f aca="false">IF($AF113=Constants!$B$7,IF(AE113,Z113,Constants!$B$13),"")</f>
        <v/>
      </c>
      <c r="AL113" s="99" t="str">
        <f aca="false">IF($AF113=Constants!$B$7,IF(AE113,T113*IF(AA113, 1, Constants!$B$11)*IF(AB113, 1, Constants!$B$12),Constants!$B$13),"")</f>
        <v/>
      </c>
      <c r="AM113" s="99" t="str">
        <f aca="false">IF($AF113=Constants!$B$7,AK113*AL113,"")</f>
        <v/>
      </c>
      <c r="AN113" s="99" t="str">
        <f aca="false">IF($AF113=Constants!$B$7,IF(AM113&gt;AJ113,2,1),"")</f>
        <v/>
      </c>
      <c r="AO113" s="99" t="str">
        <f aca="false">IF($AF113=Constants!$B$7,IF(AN113=1,2,1),"")</f>
        <v/>
      </c>
      <c r="AP113" s="99" t="str">
        <f aca="false">IF(ISBLANK($C113),"",IF($AF113&lt;&gt;Constants!$B$7,$AF113,IF(AN113=1,AJ113,AM113)))</f>
        <v/>
      </c>
      <c r="AQ113" s="99" t="str">
        <f aca="false">IF(ISBLANK($C113),"",IF($AF113=Constants!$B$7,IF(ISNUMBER(AP113),RANK(AP113,$AP$8:$AP$507),Constants!$B$14),$AF113))</f>
        <v/>
      </c>
      <c r="AR113" s="99" t="str">
        <f aca="false">IF(ISBLANK($C113),"",IF($AF113=Constants!$B$7,IF(AO113=1,AJ113,AM113),""))</f>
        <v/>
      </c>
      <c r="AS113" s="99" t="str">
        <f aca="false">IF(ISBLANK($C113),"",IF($AF113=Constants!$B$7,RANK(AR113,$AR$8:$AR$507),$AF113))</f>
        <v/>
      </c>
      <c r="AT113" s="99" t="str">
        <f aca="false">IF(ISBLANK($C113),"",IF($AF113=Constants!$B$7,IF(ISNUMBER(AQ113),COUNTIFS($AQ$8:$AQ$507,"&lt;"&amp;$AQ113)+COUNTIFS($AQ$8:$AQ$507,$AQ113,$AS$8:$AS$507,"&lt;"&amp;$AS113)+1,Constants!$B$14),$AF113))</f>
        <v/>
      </c>
      <c r="AU113" s="99" t="str">
        <f aca="false">IF(ISBLANK($C113),"",IF($AF113=Constants!$B$7,IF(ISNUMBER(AQ113),AQ113-AT113,Constants!$B$14),$AF113))</f>
        <v/>
      </c>
      <c r="AV113" s="100"/>
      <c r="AW113" s="101" t="str">
        <f aca="false">IF(ISBLANK($C113),"",IF($AF113&lt;&gt;Constants!$B$7,"",AN113))</f>
        <v/>
      </c>
      <c r="AX113" s="102" t="str">
        <f aca="false">IF(ISBLANK($C113),"",IF($AF113&lt;&gt;Constants!$B$7,"",IF(AN113=1,AH113,AK113)))</f>
        <v/>
      </c>
      <c r="AY113" s="103" t="str">
        <f aca="false">IF(ISBLANK($C113),"",IF($AF113&lt;&gt;Constants!$B$7,"",IF(AN113=1,AI113,AL113)))</f>
        <v/>
      </c>
      <c r="AZ113" s="104" t="str">
        <f aca="false">IF(ISBLANK($C113),"",IF($AF113&lt;&gt;Constants!$B$7,$AF113,AP113))</f>
        <v/>
      </c>
      <c r="BA113" s="105" t="str">
        <f aca="false">IF(ISBLANK($C113),"",IF($AF113&lt;&gt;Constants!$B$7,$AF113,AG113))</f>
        <v/>
      </c>
      <c r="BB113" s="106" t="str">
        <f aca="false">IF(ISBLANK($C113),"",AU113)</f>
        <v/>
      </c>
      <c r="BC113" s="106" t="str">
        <f aca="false">IF(ISBLANK($C113),"",AT113)</f>
        <v/>
      </c>
      <c r="BD113" s="107" t="str">
        <f aca="false">IF(ISBLANK($C113),"",IFERROR(_xlfn.SWITCH(BC113,Constants!$B$4,COUNTA($C$8:$C$507)+2,Constants!$B$5,COUNTA($C$8:$C$507)+1,Constants!$B$6,COUNTA($C$8:$C$507)),BC113))</f>
        <v/>
      </c>
      <c r="BE113" s="5"/>
      <c r="BF113" s="108" t="n">
        <f aca="false">IF(OR(ISNUMBER(BC113),BC113=Constants!$B$4,BC113=Constants!$B$6,BC113=Constants!$B$5),1,0)</f>
        <v>0</v>
      </c>
      <c r="BG113" s="108" t="n">
        <v>106</v>
      </c>
      <c r="BH113" s="108" t="str">
        <f aca="false">IF(ISBLANK($C113),"",IF(ISNUMBER(BD113),BD113+ROW($B113)/1000,""))</f>
        <v/>
      </c>
      <c r="BI113" s="108" t="str">
        <f aca="false">IF(ISNUMBER(BH113),RANK(BH113,$BH$8:$BH$507,1),"")</f>
        <v/>
      </c>
      <c r="BJ113" s="108" t="str">
        <f aca="false">IF(ISBLANK($C113),"",$B113)</f>
        <v/>
      </c>
      <c r="BK113" s="108" t="str">
        <f aca="false">IF(ISBLANK($C113),"",$C113)</f>
        <v/>
      </c>
      <c r="BL113" s="108" t="str">
        <f aca="false">IF(ISBLANK($C113),"",$D113)</f>
        <v/>
      </c>
      <c r="BM113" s="109" t="str">
        <f aca="false">BA113</f>
        <v/>
      </c>
      <c r="BN113" s="110" t="str">
        <f aca="false">AZ113</f>
        <v/>
      </c>
      <c r="BO113" s="108" t="str">
        <f aca="false">IF(ISBLANK($C113),"",BC113)</f>
        <v/>
      </c>
      <c r="BP113" s="111" t="str">
        <f aca="false">IF($BG113&gt;$BF$7,"",VLOOKUP($BG113,$BI$8:$BO$507,7,FALSE()))</f>
        <v/>
      </c>
      <c r="BQ113" s="112" t="str">
        <f aca="false">IF($BG113&gt;$BF$7,"",VLOOKUP($BG113,$BI$8:$BO$507,2,FALSE()))</f>
        <v/>
      </c>
      <c r="BR113" s="112" t="str">
        <f aca="false">IF($BG113&gt;$BF$7,"",VLOOKUP($BG113,$BI$8:$BO$507,3,FALSE()))</f>
        <v/>
      </c>
      <c r="BS113" s="112" t="str">
        <f aca="false">IF($BG113&gt;$BF$7,"",VLOOKUP($BG113,$BI$8:$BO$507,4,FALSE()))</f>
        <v/>
      </c>
      <c r="BT113" s="112" t="str">
        <f aca="false">IF($BG113&gt;$BF$7,"",VLOOKUP($BG113,$BI$8:$BO$507,5,FALSE()))</f>
        <v/>
      </c>
      <c r="BU113" s="113" t="str">
        <f aca="false">IF($BG113&gt;$BF$7,"",VLOOKUP($BG113,$BI$8:$BO$507,6,FALSE()))</f>
        <v/>
      </c>
      <c r="BV113" s="54"/>
    </row>
    <row r="114" customFormat="false" ht="15.75" hidden="false" customHeight="false" outlineLevel="0" collapsed="false">
      <c r="A114" s="5"/>
      <c r="B114" s="128"/>
      <c r="C114" s="129"/>
      <c r="D114" s="114"/>
      <c r="E114" s="134"/>
      <c r="F114" s="139"/>
      <c r="G114" s="93"/>
      <c r="H114" s="140"/>
      <c r="I114" s="95"/>
      <c r="J114" s="95"/>
      <c r="K114" s="93"/>
      <c r="L114" s="141"/>
      <c r="M114" s="95"/>
      <c r="N114" s="95"/>
      <c r="O114" s="93"/>
      <c r="P114" s="134"/>
      <c r="Q114" s="98"/>
      <c r="R114" s="99" t="str">
        <f aca="false">IF(ISBLANK($C114),"",IF(E114=Constants!$B$2, TRUE(), IF(E114=Constants!$B$3, FALSE(), TRUE())))</f>
        <v/>
      </c>
      <c r="S114" s="99" t="str">
        <f aca="false">IF(ISBLANK($C114),"",IF(F114=Constants!$B$2, TRUE(), IF(F114=Constants!$B$3, FALSE(), TRUE())))</f>
        <v/>
      </c>
      <c r="T114" s="99" t="str">
        <f aca="false">IF(ISBLANK($C114),"",IF(G114=Constants!$B$16,Constants!$B$9,IF(G114=Constants!$B$17,Constants!$B$10,Constants!$B$8)))</f>
        <v/>
      </c>
      <c r="U114" s="99" t="str">
        <f aca="false">IF(ISBLANK($C114),"",IF(H114=Constants!$B$19,Constants!$B$19,Constants!$B$18))</f>
        <v/>
      </c>
      <c r="V114" s="99" t="str">
        <f aca="false">IF(ISBLANK($C114),"",IF(ISNUMBER(I114),IF(I114&gt;=0,I114,""),""))</f>
        <v/>
      </c>
      <c r="W114" s="99" t="str">
        <f aca="false">IF(ISBLANK($C114),"",IF(J114=Constants!$B$2, TRUE(), IF(J114=Constants!$B$3, FALSE(), TRUE())))</f>
        <v/>
      </c>
      <c r="X114" s="99" t="str">
        <f aca="false">IF(ISBLANK($C114),"",IF(K114=Constants!$B$2, TRUE(), IF(K114=Constants!$B$3, FALSE(), TRUE())))</f>
        <v/>
      </c>
      <c r="Y114" s="99" t="str">
        <f aca="false">IF(ISBLANK($C114),"",IF(L114=Constants!$B$19,Constants!$B$19,Constants!$B$18))</f>
        <v/>
      </c>
      <c r="Z114" s="99" t="str">
        <f aca="false">IF(ISBLANK($C114),"",IF(ISNUMBER(M114),IF(M114&gt;=0,M114,""),""))</f>
        <v/>
      </c>
      <c r="AA114" s="99" t="str">
        <f aca="false">IF(ISBLANK($C114),"",IF(N114=Constants!$B$2, TRUE(), IF(N114=Constants!$B$3, FALSE(), TRUE())))</f>
        <v/>
      </c>
      <c r="AB114" s="99" t="str">
        <f aca="false">IF(ISBLANK($C114),"",IF(O114=Constants!$B$2, TRUE(), IF(O114=Constants!$B$3, FALSE(), TRUE())))</f>
        <v/>
      </c>
      <c r="AC114" s="99" t="str">
        <f aca="false">IF(ISBLANK($C114),"",IF(P114=Constants!$B$2, TRUE(), IF(P114=Constants!$B$3, FALSE(), FALSE())))</f>
        <v/>
      </c>
      <c r="AD114" s="99" t="str">
        <f aca="false">IF(ISBLANK($C114),"",AND(V114&lt;&gt;"",IF(U114=Constants!$B$19,S114,R114)))</f>
        <v/>
      </c>
      <c r="AE114" s="99" t="str">
        <f aca="false">IF(ISBLANK($C114),"",AND(Z114&lt;&gt;"",IF(Y114=Constants!$B$19,S114,R114)))</f>
        <v/>
      </c>
      <c r="AF114" s="99" t="str">
        <f aca="false">IF(ISBLANK($C114),"",IF(AC114,Constants!$B$4,IF(COUNTA(E114:O114)=0,Constants!$B$5,IF(AND(NOT(AD114),NOT(AE114)),Constants!$B$6,Constants!$B$7))))</f>
        <v/>
      </c>
      <c r="AG114" s="99" t="str">
        <f aca="false">IF(ISBLANK($C114),"",IF($AF114&lt;&gt;Constants!$B$7,$AF114,Constants!$B$20))</f>
        <v/>
      </c>
      <c r="AH114" s="99" t="str">
        <f aca="false">IF($AF114=Constants!$B$7,IF(AD114,V114,Constants!$B$13),"")</f>
        <v/>
      </c>
      <c r="AI114" s="99" t="str">
        <f aca="false">IF($AF114=Constants!$B$7,IF(AD114,T114*IF(W114, 1, Constants!$B$11)*IF(X114, 1, Constants!$B$12),Constants!$B$13),"")</f>
        <v/>
      </c>
      <c r="AJ114" s="99" t="str">
        <f aca="false">IF($AF114=Constants!$B$7,AH114*AI114,"")</f>
        <v/>
      </c>
      <c r="AK114" s="99" t="str">
        <f aca="false">IF($AF114=Constants!$B$7,IF(AE114,Z114,Constants!$B$13),"")</f>
        <v/>
      </c>
      <c r="AL114" s="99" t="str">
        <f aca="false">IF($AF114=Constants!$B$7,IF(AE114,T114*IF(AA114, 1, Constants!$B$11)*IF(AB114, 1, Constants!$B$12),Constants!$B$13),"")</f>
        <v/>
      </c>
      <c r="AM114" s="99" t="str">
        <f aca="false">IF($AF114=Constants!$B$7,AK114*AL114,"")</f>
        <v/>
      </c>
      <c r="AN114" s="99" t="str">
        <f aca="false">IF($AF114=Constants!$B$7,IF(AM114&gt;AJ114,2,1),"")</f>
        <v/>
      </c>
      <c r="AO114" s="99" t="str">
        <f aca="false">IF($AF114=Constants!$B$7,IF(AN114=1,2,1),"")</f>
        <v/>
      </c>
      <c r="AP114" s="99" t="str">
        <f aca="false">IF(ISBLANK($C114),"",IF($AF114&lt;&gt;Constants!$B$7,$AF114,IF(AN114=1,AJ114,AM114)))</f>
        <v/>
      </c>
      <c r="AQ114" s="99" t="str">
        <f aca="false">IF(ISBLANK($C114),"",IF($AF114=Constants!$B$7,IF(ISNUMBER(AP114),RANK(AP114,$AP$8:$AP$507),Constants!$B$14),$AF114))</f>
        <v/>
      </c>
      <c r="AR114" s="99" t="str">
        <f aca="false">IF(ISBLANK($C114),"",IF($AF114=Constants!$B$7,IF(AO114=1,AJ114,AM114),""))</f>
        <v/>
      </c>
      <c r="AS114" s="99" t="str">
        <f aca="false">IF(ISBLANK($C114),"",IF($AF114=Constants!$B$7,RANK(AR114,$AR$8:$AR$507),$AF114))</f>
        <v/>
      </c>
      <c r="AT114" s="99" t="str">
        <f aca="false">IF(ISBLANK($C114),"",IF($AF114=Constants!$B$7,IF(ISNUMBER(AQ114),COUNTIFS($AQ$8:$AQ$507,"&lt;"&amp;$AQ114)+COUNTIFS($AQ$8:$AQ$507,$AQ114,$AS$8:$AS$507,"&lt;"&amp;$AS114)+1,Constants!$B$14),$AF114))</f>
        <v/>
      </c>
      <c r="AU114" s="99" t="str">
        <f aca="false">IF(ISBLANK($C114),"",IF($AF114=Constants!$B$7,IF(ISNUMBER(AQ114),AQ114-AT114,Constants!$B$14),$AF114))</f>
        <v/>
      </c>
      <c r="AV114" s="100"/>
      <c r="AW114" s="101" t="str">
        <f aca="false">IF(ISBLANK($C114),"",IF($AF114&lt;&gt;Constants!$B$7,"",AN114))</f>
        <v/>
      </c>
      <c r="AX114" s="102" t="str">
        <f aca="false">IF(ISBLANK($C114),"",IF($AF114&lt;&gt;Constants!$B$7,"",IF(AN114=1,AH114,AK114)))</f>
        <v/>
      </c>
      <c r="AY114" s="103" t="str">
        <f aca="false">IF(ISBLANK($C114),"",IF($AF114&lt;&gt;Constants!$B$7,"",IF(AN114=1,AI114,AL114)))</f>
        <v/>
      </c>
      <c r="AZ114" s="104" t="str">
        <f aca="false">IF(ISBLANK($C114),"",IF($AF114&lt;&gt;Constants!$B$7,$AF114,AP114))</f>
        <v/>
      </c>
      <c r="BA114" s="105" t="str">
        <f aca="false">IF(ISBLANK($C114),"",IF($AF114&lt;&gt;Constants!$B$7,$AF114,AG114))</f>
        <v/>
      </c>
      <c r="BB114" s="106" t="str">
        <f aca="false">IF(ISBLANK($C114),"",AU114)</f>
        <v/>
      </c>
      <c r="BC114" s="106" t="str">
        <f aca="false">IF(ISBLANK($C114),"",AT114)</f>
        <v/>
      </c>
      <c r="BD114" s="107" t="str">
        <f aca="false">IF(ISBLANK($C114),"",IFERROR(_xlfn.SWITCH(BC114,Constants!$B$4,COUNTA($C$8:$C$507)+2,Constants!$B$5,COUNTA($C$8:$C$507)+1,Constants!$B$6,COUNTA($C$8:$C$507)),BC114))</f>
        <v/>
      </c>
      <c r="BE114" s="5"/>
      <c r="BF114" s="108" t="n">
        <f aca="false">IF(OR(ISNUMBER(BC114),BC114=Constants!$B$4,BC114=Constants!$B$6,BC114=Constants!$B$5),1,0)</f>
        <v>0</v>
      </c>
      <c r="BG114" s="108" t="n">
        <v>107</v>
      </c>
      <c r="BH114" s="108" t="str">
        <f aca="false">IF(ISBLANK($C114),"",IF(ISNUMBER(BD114),BD114+ROW($B114)/1000,""))</f>
        <v/>
      </c>
      <c r="BI114" s="108" t="str">
        <f aca="false">IF(ISNUMBER(BH114),RANK(BH114,$BH$8:$BH$507,1),"")</f>
        <v/>
      </c>
      <c r="BJ114" s="108" t="str">
        <f aca="false">IF(ISBLANK($C114),"",$B114)</f>
        <v/>
      </c>
      <c r="BK114" s="108" t="str">
        <f aca="false">IF(ISBLANK($C114),"",$C114)</f>
        <v/>
      </c>
      <c r="BL114" s="108" t="str">
        <f aca="false">IF(ISBLANK($C114),"",$D114)</f>
        <v/>
      </c>
      <c r="BM114" s="109" t="str">
        <f aca="false">BA114</f>
        <v/>
      </c>
      <c r="BN114" s="110" t="str">
        <f aca="false">AZ114</f>
        <v/>
      </c>
      <c r="BO114" s="108" t="str">
        <f aca="false">IF(ISBLANK($C114),"",BC114)</f>
        <v/>
      </c>
      <c r="BP114" s="111" t="str">
        <f aca="false">IF($BG114&gt;$BF$7,"",VLOOKUP($BG114,$BI$8:$BO$507,7,FALSE()))</f>
        <v/>
      </c>
      <c r="BQ114" s="112" t="str">
        <f aca="false">IF($BG114&gt;$BF$7,"",VLOOKUP($BG114,$BI$8:$BO$507,2,FALSE()))</f>
        <v/>
      </c>
      <c r="BR114" s="112" t="str">
        <f aca="false">IF($BG114&gt;$BF$7,"",VLOOKUP($BG114,$BI$8:$BO$507,3,FALSE()))</f>
        <v/>
      </c>
      <c r="BS114" s="112" t="str">
        <f aca="false">IF($BG114&gt;$BF$7,"",VLOOKUP($BG114,$BI$8:$BO$507,4,FALSE()))</f>
        <v/>
      </c>
      <c r="BT114" s="112" t="str">
        <f aca="false">IF($BG114&gt;$BF$7,"",VLOOKUP($BG114,$BI$8:$BO$507,5,FALSE()))</f>
        <v/>
      </c>
      <c r="BU114" s="113" t="str">
        <f aca="false">IF($BG114&gt;$BF$7,"",VLOOKUP($BG114,$BI$8:$BO$507,6,FALSE()))</f>
        <v/>
      </c>
      <c r="BV114" s="54"/>
    </row>
    <row r="115" customFormat="false" ht="15.75" hidden="false" customHeight="false" outlineLevel="0" collapsed="false">
      <c r="A115" s="5"/>
      <c r="B115" s="128"/>
      <c r="C115" s="129"/>
      <c r="D115" s="114"/>
      <c r="E115" s="134"/>
      <c r="F115" s="139"/>
      <c r="G115" s="93"/>
      <c r="H115" s="140"/>
      <c r="I115" s="95"/>
      <c r="J115" s="95"/>
      <c r="K115" s="93"/>
      <c r="L115" s="141"/>
      <c r="M115" s="95"/>
      <c r="N115" s="95"/>
      <c r="O115" s="93"/>
      <c r="P115" s="134"/>
      <c r="Q115" s="98"/>
      <c r="R115" s="99" t="str">
        <f aca="false">IF(ISBLANK($C115),"",IF(E115=Constants!$B$2, TRUE(), IF(E115=Constants!$B$3, FALSE(), TRUE())))</f>
        <v/>
      </c>
      <c r="S115" s="99" t="str">
        <f aca="false">IF(ISBLANK($C115),"",IF(F115=Constants!$B$2, TRUE(), IF(F115=Constants!$B$3, FALSE(), TRUE())))</f>
        <v/>
      </c>
      <c r="T115" s="99" t="str">
        <f aca="false">IF(ISBLANK($C115),"",IF(G115=Constants!$B$16,Constants!$B$9,IF(G115=Constants!$B$17,Constants!$B$10,Constants!$B$8)))</f>
        <v/>
      </c>
      <c r="U115" s="99" t="str">
        <f aca="false">IF(ISBLANK($C115),"",IF(H115=Constants!$B$19,Constants!$B$19,Constants!$B$18))</f>
        <v/>
      </c>
      <c r="V115" s="99" t="str">
        <f aca="false">IF(ISBLANK($C115),"",IF(ISNUMBER(I115),IF(I115&gt;=0,I115,""),""))</f>
        <v/>
      </c>
      <c r="W115" s="99" t="str">
        <f aca="false">IF(ISBLANK($C115),"",IF(J115=Constants!$B$2, TRUE(), IF(J115=Constants!$B$3, FALSE(), TRUE())))</f>
        <v/>
      </c>
      <c r="X115" s="99" t="str">
        <f aca="false">IF(ISBLANK($C115),"",IF(K115=Constants!$B$2, TRUE(), IF(K115=Constants!$B$3, FALSE(), TRUE())))</f>
        <v/>
      </c>
      <c r="Y115" s="99" t="str">
        <f aca="false">IF(ISBLANK($C115),"",IF(L115=Constants!$B$19,Constants!$B$19,Constants!$B$18))</f>
        <v/>
      </c>
      <c r="Z115" s="99" t="str">
        <f aca="false">IF(ISBLANK($C115),"",IF(ISNUMBER(M115),IF(M115&gt;=0,M115,""),""))</f>
        <v/>
      </c>
      <c r="AA115" s="99" t="str">
        <f aca="false">IF(ISBLANK($C115),"",IF(N115=Constants!$B$2, TRUE(), IF(N115=Constants!$B$3, FALSE(), TRUE())))</f>
        <v/>
      </c>
      <c r="AB115" s="99" t="str">
        <f aca="false">IF(ISBLANK($C115),"",IF(O115=Constants!$B$2, TRUE(), IF(O115=Constants!$B$3, FALSE(), TRUE())))</f>
        <v/>
      </c>
      <c r="AC115" s="99" t="str">
        <f aca="false">IF(ISBLANK($C115),"",IF(P115=Constants!$B$2, TRUE(), IF(P115=Constants!$B$3, FALSE(), FALSE())))</f>
        <v/>
      </c>
      <c r="AD115" s="99" t="str">
        <f aca="false">IF(ISBLANK($C115),"",AND(V115&lt;&gt;"",IF(U115=Constants!$B$19,S115,R115)))</f>
        <v/>
      </c>
      <c r="AE115" s="99" t="str">
        <f aca="false">IF(ISBLANK($C115),"",AND(Z115&lt;&gt;"",IF(Y115=Constants!$B$19,S115,R115)))</f>
        <v/>
      </c>
      <c r="AF115" s="99" t="str">
        <f aca="false">IF(ISBLANK($C115),"",IF(AC115,Constants!$B$4,IF(COUNTA(E115:O115)=0,Constants!$B$5,IF(AND(NOT(AD115),NOT(AE115)),Constants!$B$6,Constants!$B$7))))</f>
        <v/>
      </c>
      <c r="AG115" s="99" t="str">
        <f aca="false">IF(ISBLANK($C115),"",IF($AF115&lt;&gt;Constants!$B$7,$AF115,Constants!$B$20))</f>
        <v/>
      </c>
      <c r="AH115" s="99" t="str">
        <f aca="false">IF($AF115=Constants!$B$7,IF(AD115,V115,Constants!$B$13),"")</f>
        <v/>
      </c>
      <c r="AI115" s="99" t="str">
        <f aca="false">IF($AF115=Constants!$B$7,IF(AD115,T115*IF(W115, 1, Constants!$B$11)*IF(X115, 1, Constants!$B$12),Constants!$B$13),"")</f>
        <v/>
      </c>
      <c r="AJ115" s="99" t="str">
        <f aca="false">IF($AF115=Constants!$B$7,AH115*AI115,"")</f>
        <v/>
      </c>
      <c r="AK115" s="99" t="str">
        <f aca="false">IF($AF115=Constants!$B$7,IF(AE115,Z115,Constants!$B$13),"")</f>
        <v/>
      </c>
      <c r="AL115" s="99" t="str">
        <f aca="false">IF($AF115=Constants!$B$7,IF(AE115,T115*IF(AA115, 1, Constants!$B$11)*IF(AB115, 1, Constants!$B$12),Constants!$B$13),"")</f>
        <v/>
      </c>
      <c r="AM115" s="99" t="str">
        <f aca="false">IF($AF115=Constants!$B$7,AK115*AL115,"")</f>
        <v/>
      </c>
      <c r="AN115" s="99" t="str">
        <f aca="false">IF($AF115=Constants!$B$7,IF(AM115&gt;AJ115,2,1),"")</f>
        <v/>
      </c>
      <c r="AO115" s="99" t="str">
        <f aca="false">IF($AF115=Constants!$B$7,IF(AN115=1,2,1),"")</f>
        <v/>
      </c>
      <c r="AP115" s="99" t="str">
        <f aca="false">IF(ISBLANK($C115),"",IF($AF115&lt;&gt;Constants!$B$7,$AF115,IF(AN115=1,AJ115,AM115)))</f>
        <v/>
      </c>
      <c r="AQ115" s="99" t="str">
        <f aca="false">IF(ISBLANK($C115),"",IF($AF115=Constants!$B$7,IF(ISNUMBER(AP115),RANK(AP115,$AP$8:$AP$507),Constants!$B$14),$AF115))</f>
        <v/>
      </c>
      <c r="AR115" s="99" t="str">
        <f aca="false">IF(ISBLANK($C115),"",IF($AF115=Constants!$B$7,IF(AO115=1,AJ115,AM115),""))</f>
        <v/>
      </c>
      <c r="AS115" s="99" t="str">
        <f aca="false">IF(ISBLANK($C115),"",IF($AF115=Constants!$B$7,RANK(AR115,$AR$8:$AR$507),$AF115))</f>
        <v/>
      </c>
      <c r="AT115" s="99" t="str">
        <f aca="false">IF(ISBLANK($C115),"",IF($AF115=Constants!$B$7,IF(ISNUMBER(AQ115),COUNTIFS($AQ$8:$AQ$507,"&lt;"&amp;$AQ115)+COUNTIFS($AQ$8:$AQ$507,$AQ115,$AS$8:$AS$507,"&lt;"&amp;$AS115)+1,Constants!$B$14),$AF115))</f>
        <v/>
      </c>
      <c r="AU115" s="99" t="str">
        <f aca="false">IF(ISBLANK($C115),"",IF($AF115=Constants!$B$7,IF(ISNUMBER(AQ115),AQ115-AT115,Constants!$B$14),$AF115))</f>
        <v/>
      </c>
      <c r="AV115" s="100"/>
      <c r="AW115" s="101" t="str">
        <f aca="false">IF(ISBLANK($C115),"",IF($AF115&lt;&gt;Constants!$B$7,"",AN115))</f>
        <v/>
      </c>
      <c r="AX115" s="102" t="str">
        <f aca="false">IF(ISBLANK($C115),"",IF($AF115&lt;&gt;Constants!$B$7,"",IF(AN115=1,AH115,AK115)))</f>
        <v/>
      </c>
      <c r="AY115" s="103" t="str">
        <f aca="false">IF(ISBLANK($C115),"",IF($AF115&lt;&gt;Constants!$B$7,"",IF(AN115=1,AI115,AL115)))</f>
        <v/>
      </c>
      <c r="AZ115" s="104" t="str">
        <f aca="false">IF(ISBLANK($C115),"",IF($AF115&lt;&gt;Constants!$B$7,$AF115,AP115))</f>
        <v/>
      </c>
      <c r="BA115" s="105" t="str">
        <f aca="false">IF(ISBLANK($C115),"",IF($AF115&lt;&gt;Constants!$B$7,$AF115,AG115))</f>
        <v/>
      </c>
      <c r="BB115" s="106" t="str">
        <f aca="false">IF(ISBLANK($C115),"",AU115)</f>
        <v/>
      </c>
      <c r="BC115" s="106" t="str">
        <f aca="false">IF(ISBLANK($C115),"",AT115)</f>
        <v/>
      </c>
      <c r="BD115" s="107" t="str">
        <f aca="false">IF(ISBLANK($C115),"",IFERROR(_xlfn.SWITCH(BC115,Constants!$B$4,COUNTA($C$8:$C$507)+2,Constants!$B$5,COUNTA($C$8:$C$507)+1,Constants!$B$6,COUNTA($C$8:$C$507)),BC115))</f>
        <v/>
      </c>
      <c r="BE115" s="5"/>
      <c r="BF115" s="108" t="n">
        <f aca="false">IF(OR(ISNUMBER(BC115),BC115=Constants!$B$4,BC115=Constants!$B$6,BC115=Constants!$B$5),1,0)</f>
        <v>0</v>
      </c>
      <c r="BG115" s="108" t="n">
        <v>108</v>
      </c>
      <c r="BH115" s="108" t="str">
        <f aca="false">IF(ISBLANK($C115),"",IF(ISNUMBER(BD115),BD115+ROW($B115)/1000,""))</f>
        <v/>
      </c>
      <c r="BI115" s="108" t="str">
        <f aca="false">IF(ISNUMBER(BH115),RANK(BH115,$BH$8:$BH$507,1),"")</f>
        <v/>
      </c>
      <c r="BJ115" s="108" t="str">
        <f aca="false">IF(ISBLANK($C115),"",$B115)</f>
        <v/>
      </c>
      <c r="BK115" s="108" t="str">
        <f aca="false">IF(ISBLANK($C115),"",$C115)</f>
        <v/>
      </c>
      <c r="BL115" s="108" t="str">
        <f aca="false">IF(ISBLANK($C115),"",$D115)</f>
        <v/>
      </c>
      <c r="BM115" s="109" t="str">
        <f aca="false">BA115</f>
        <v/>
      </c>
      <c r="BN115" s="110" t="str">
        <f aca="false">AZ115</f>
        <v/>
      </c>
      <c r="BO115" s="108" t="str">
        <f aca="false">IF(ISBLANK($C115),"",BC115)</f>
        <v/>
      </c>
      <c r="BP115" s="111" t="str">
        <f aca="false">IF($BG115&gt;$BF$7,"",VLOOKUP($BG115,$BI$8:$BO$507,7,FALSE()))</f>
        <v/>
      </c>
      <c r="BQ115" s="112" t="str">
        <f aca="false">IF($BG115&gt;$BF$7,"",VLOOKUP($BG115,$BI$8:$BO$507,2,FALSE()))</f>
        <v/>
      </c>
      <c r="BR115" s="112" t="str">
        <f aca="false">IF($BG115&gt;$BF$7,"",VLOOKUP($BG115,$BI$8:$BO$507,3,FALSE()))</f>
        <v/>
      </c>
      <c r="BS115" s="112" t="str">
        <f aca="false">IF($BG115&gt;$BF$7,"",VLOOKUP($BG115,$BI$8:$BO$507,4,FALSE()))</f>
        <v/>
      </c>
      <c r="BT115" s="112" t="str">
        <f aca="false">IF($BG115&gt;$BF$7,"",VLOOKUP($BG115,$BI$8:$BO$507,5,FALSE()))</f>
        <v/>
      </c>
      <c r="BU115" s="113" t="str">
        <f aca="false">IF($BG115&gt;$BF$7,"",VLOOKUP($BG115,$BI$8:$BO$507,6,FALSE()))</f>
        <v/>
      </c>
      <c r="BV115" s="54"/>
    </row>
    <row r="116" customFormat="false" ht="15.75" hidden="false" customHeight="false" outlineLevel="0" collapsed="false">
      <c r="A116" s="5"/>
      <c r="B116" s="135"/>
      <c r="C116" s="56"/>
      <c r="D116" s="57"/>
      <c r="E116" s="84"/>
      <c r="F116" s="136"/>
      <c r="G116" s="60"/>
      <c r="H116" s="137"/>
      <c r="I116" s="62"/>
      <c r="J116" s="62"/>
      <c r="K116" s="60"/>
      <c r="L116" s="138"/>
      <c r="M116" s="62"/>
      <c r="N116" s="62"/>
      <c r="O116" s="60"/>
      <c r="P116" s="84"/>
      <c r="Q116" s="65"/>
      <c r="R116" s="67" t="str">
        <f aca="false">IF(ISBLANK($C116),"",IF(E116=Constants!$B$2, TRUE(), IF(E116=Constants!$B$3, FALSE(), TRUE())))</f>
        <v/>
      </c>
      <c r="S116" s="67" t="str">
        <f aca="false">IF(ISBLANK($C116),"",IF(F116=Constants!$B$2, TRUE(), IF(F116=Constants!$B$3, FALSE(), TRUE())))</f>
        <v/>
      </c>
      <c r="T116" s="67" t="str">
        <f aca="false">IF(ISBLANK($C116),"",IF(G116=Constants!$B$16,Constants!$B$9,IF(G116=Constants!$B$17,Constants!$B$10,Constants!$B$8)))</f>
        <v/>
      </c>
      <c r="U116" s="67" t="str">
        <f aca="false">IF(ISBLANK($C116),"",IF(H116=Constants!$B$19,Constants!$B$19,Constants!$B$18))</f>
        <v/>
      </c>
      <c r="V116" s="67" t="str">
        <f aca="false">IF(ISBLANK($C116),"",IF(ISNUMBER(I116),IF(I116&gt;=0,I116,""),""))</f>
        <v/>
      </c>
      <c r="W116" s="67" t="str">
        <f aca="false">IF(ISBLANK($C116),"",IF(J116=Constants!$B$2, TRUE(), IF(J116=Constants!$B$3, FALSE(), TRUE())))</f>
        <v/>
      </c>
      <c r="X116" s="67" t="str">
        <f aca="false">IF(ISBLANK($C116),"",IF(K116=Constants!$B$2, TRUE(), IF(K116=Constants!$B$3, FALSE(), TRUE())))</f>
        <v/>
      </c>
      <c r="Y116" s="67" t="str">
        <f aca="false">IF(ISBLANK($C116),"",IF(L116=Constants!$B$19,Constants!$B$19,Constants!$B$18))</f>
        <v/>
      </c>
      <c r="Z116" s="67" t="str">
        <f aca="false">IF(ISBLANK($C116),"",IF(ISNUMBER(M116),IF(M116&gt;=0,M116,""),""))</f>
        <v/>
      </c>
      <c r="AA116" s="67" t="str">
        <f aca="false">IF(ISBLANK($C116),"",IF(N116=Constants!$B$2, TRUE(), IF(N116=Constants!$B$3, FALSE(), TRUE())))</f>
        <v/>
      </c>
      <c r="AB116" s="67" t="str">
        <f aca="false">IF(ISBLANK($C116),"",IF(O116=Constants!$B$2, TRUE(), IF(O116=Constants!$B$3, FALSE(), TRUE())))</f>
        <v/>
      </c>
      <c r="AC116" s="67" t="str">
        <f aca="false">IF(ISBLANK($C116),"",IF(P116=Constants!$B$2, TRUE(), IF(P116=Constants!$B$3, FALSE(), FALSE())))</f>
        <v/>
      </c>
      <c r="AD116" s="67" t="str">
        <f aca="false">IF(ISBLANK($C116),"",AND(V116&lt;&gt;"",IF(U116=Constants!$B$19,S116,R116)))</f>
        <v/>
      </c>
      <c r="AE116" s="67" t="str">
        <f aca="false">IF(ISBLANK($C116),"",AND(Z116&lt;&gt;"",IF(Y116=Constants!$B$19,S116,R116)))</f>
        <v/>
      </c>
      <c r="AF116" s="67" t="str">
        <f aca="false">IF(ISBLANK($C116),"",IF(AC116,Constants!$B$4,IF(COUNTA(E116:O116)=0,Constants!$B$5,IF(AND(NOT(AD116),NOT(AE116)),Constants!$B$6,Constants!$B$7))))</f>
        <v/>
      </c>
      <c r="AG116" s="67" t="str">
        <f aca="false">IF(ISBLANK($C116),"",IF($AF116&lt;&gt;Constants!$B$7,$AF116,Constants!$B$20))</f>
        <v/>
      </c>
      <c r="AH116" s="67" t="str">
        <f aca="false">IF($AF116=Constants!$B$7,IF(AD116,V116,Constants!$B$13),"")</f>
        <v/>
      </c>
      <c r="AI116" s="67" t="str">
        <f aca="false">IF($AF116=Constants!$B$7,IF(AD116,T116*IF(W116, 1, Constants!$B$11)*IF(X116, 1, Constants!$B$12),Constants!$B$13),"")</f>
        <v/>
      </c>
      <c r="AJ116" s="67" t="str">
        <f aca="false">IF($AF116=Constants!$B$7,AH116*AI116,"")</f>
        <v/>
      </c>
      <c r="AK116" s="67" t="str">
        <f aca="false">IF($AF116=Constants!$B$7,IF(AE116,Z116,Constants!$B$13),"")</f>
        <v/>
      </c>
      <c r="AL116" s="67" t="str">
        <f aca="false">IF($AF116=Constants!$B$7,IF(AE116,T116*IF(AA116, 1, Constants!$B$11)*IF(AB116, 1, Constants!$B$12),Constants!$B$13),"")</f>
        <v/>
      </c>
      <c r="AM116" s="67" t="str">
        <f aca="false">IF($AF116=Constants!$B$7,AK116*AL116,"")</f>
        <v/>
      </c>
      <c r="AN116" s="67" t="str">
        <f aca="false">IF($AF116=Constants!$B$7,IF(AM116&gt;AJ116,2,1),"")</f>
        <v/>
      </c>
      <c r="AO116" s="67" t="str">
        <f aca="false">IF($AF116=Constants!$B$7,IF(AN116=1,2,1),"")</f>
        <v/>
      </c>
      <c r="AP116" s="67" t="str">
        <f aca="false">IF(ISBLANK($C116),"",IF($AF116&lt;&gt;Constants!$B$7,$AF116,IF(AN116=1,AJ116,AM116)))</f>
        <v/>
      </c>
      <c r="AQ116" s="67" t="str">
        <f aca="false">IF(ISBLANK($C116),"",IF($AF116=Constants!$B$7,IF(ISNUMBER(AP116),RANK(AP116,$AP$8:$AP$507),Constants!$B$14),$AF116))</f>
        <v/>
      </c>
      <c r="AR116" s="67" t="str">
        <f aca="false">IF(ISBLANK($C116),"",IF($AF116=Constants!$B$7,IF(AO116=1,AJ116,AM116),""))</f>
        <v/>
      </c>
      <c r="AS116" s="67" t="str">
        <f aca="false">IF(ISBLANK($C116),"",IF($AF116=Constants!$B$7,RANK(AR116,$AR$8:$AR$507),$AF116))</f>
        <v/>
      </c>
      <c r="AT116" s="67" t="str">
        <f aca="false">IF(ISBLANK($C116),"",IF($AF116=Constants!$B$7,IF(ISNUMBER(AQ116),COUNTIFS($AQ$8:$AQ$507,"&lt;"&amp;$AQ116)+COUNTIFS($AQ$8:$AQ$507,$AQ116,$AS$8:$AS$507,"&lt;"&amp;$AS116)+1,Constants!$B$14),$AF116))</f>
        <v/>
      </c>
      <c r="AU116" s="67" t="str">
        <f aca="false">IF(ISBLANK($C116),"",IF($AF116=Constants!$B$7,IF(ISNUMBER(AQ116),AQ116-AT116,Constants!$B$14),$AF116))</f>
        <v/>
      </c>
      <c r="AV116" s="69"/>
      <c r="AW116" s="70" t="str">
        <f aca="false">IF(ISBLANK($C116),"",IF($AF116&lt;&gt;Constants!$B$7,"",AN116))</f>
        <v/>
      </c>
      <c r="AX116" s="85" t="str">
        <f aca="false">IF(ISBLANK($C116),"",IF($AF116&lt;&gt;Constants!$B$7,"",IF(AN116=1,AH116,AK116)))</f>
        <v/>
      </c>
      <c r="AY116" s="72" t="str">
        <f aca="false">IF(ISBLANK($C116),"",IF($AF116&lt;&gt;Constants!$B$7,"",IF(AN116=1,AI116,AL116)))</f>
        <v/>
      </c>
      <c r="AZ116" s="73" t="str">
        <f aca="false">IF(ISBLANK($C116),"",IF($AF116&lt;&gt;Constants!$B$7,$AF116,AP116))</f>
        <v/>
      </c>
      <c r="BA116" s="74" t="str">
        <f aca="false">IF(ISBLANK($C116),"",IF($AF116&lt;&gt;Constants!$B$7,$AF116,AG116))</f>
        <v/>
      </c>
      <c r="BB116" s="75" t="str">
        <f aca="false">IF(ISBLANK($C116),"",AU116)</f>
        <v/>
      </c>
      <c r="BC116" s="75" t="str">
        <f aca="false">IF(ISBLANK($C116),"",AT116)</f>
        <v/>
      </c>
      <c r="BD116" s="76" t="str">
        <f aca="false">IF(ISBLANK($C116),"",IFERROR(_xlfn.SWITCH(BC116,Constants!$B$4,COUNTA($C$8:$C$507)+2,Constants!$B$5,COUNTA($C$8:$C$507)+1,Constants!$B$6,COUNTA($C$8:$C$507)),BC116))</f>
        <v/>
      </c>
      <c r="BE116" s="5"/>
      <c r="BF116" s="77" t="n">
        <f aca="false">IF(OR(ISNUMBER(BC116),BC116=Constants!$B$4,BC116=Constants!$B$6,BC116=Constants!$B$5),1,0)</f>
        <v>0</v>
      </c>
      <c r="BG116" s="77" t="n">
        <v>109</v>
      </c>
      <c r="BH116" s="77" t="str">
        <f aca="false">IF(ISBLANK($C116),"",IF(ISNUMBER(BD116),BD116+ROW($B116)/1000,""))</f>
        <v/>
      </c>
      <c r="BI116" s="77" t="str">
        <f aca="false">IF(ISNUMBER(BH116),RANK(BH116,$BH$8:$BH$507,1),"")</f>
        <v/>
      </c>
      <c r="BJ116" s="77" t="str">
        <f aca="false">IF(ISBLANK($C116),"",$B116)</f>
        <v/>
      </c>
      <c r="BK116" s="77" t="str">
        <f aca="false">IF(ISBLANK($C116),"",$C116)</f>
        <v/>
      </c>
      <c r="BL116" s="77" t="str">
        <f aca="false">IF(ISBLANK($C116),"",$D116)</f>
        <v/>
      </c>
      <c r="BM116" s="78" t="str">
        <f aca="false">BA116</f>
        <v/>
      </c>
      <c r="BN116" s="79" t="str">
        <f aca="false">AZ116</f>
        <v/>
      </c>
      <c r="BO116" s="77" t="str">
        <f aca="false">IF(ISBLANK($C116),"",BC116)</f>
        <v/>
      </c>
      <c r="BP116" s="80" t="str">
        <f aca="false">IF($BG116&gt;$BF$7,"",VLOOKUP($BG116,$BI$8:$BO$507,7,FALSE()))</f>
        <v/>
      </c>
      <c r="BQ116" s="81" t="str">
        <f aca="false">IF($BG116&gt;$BF$7,"",VLOOKUP($BG116,$BI$8:$BO$507,2,FALSE()))</f>
        <v/>
      </c>
      <c r="BR116" s="81" t="str">
        <f aca="false">IF($BG116&gt;$BF$7,"",VLOOKUP($BG116,$BI$8:$BO$507,3,FALSE()))</f>
        <v/>
      </c>
      <c r="BS116" s="81" t="str">
        <f aca="false">IF($BG116&gt;$BF$7,"",VLOOKUP($BG116,$BI$8:$BO$507,4,FALSE()))</f>
        <v/>
      </c>
      <c r="BT116" s="81" t="str">
        <f aca="false">IF($BG116&gt;$BF$7,"",VLOOKUP($BG116,$BI$8:$BO$507,5,FALSE()))</f>
        <v/>
      </c>
      <c r="BU116" s="82" t="str">
        <f aca="false">IF($BG116&gt;$BF$7,"",VLOOKUP($BG116,$BI$8:$BO$507,6,FALSE()))</f>
        <v/>
      </c>
      <c r="BV116" s="54"/>
    </row>
    <row r="117" customFormat="false" ht="15.75" hidden="false" customHeight="false" outlineLevel="0" collapsed="false">
      <c r="A117" s="5"/>
      <c r="B117" s="135"/>
      <c r="C117" s="56"/>
      <c r="D117" s="57"/>
      <c r="E117" s="84"/>
      <c r="F117" s="136"/>
      <c r="G117" s="60"/>
      <c r="H117" s="137"/>
      <c r="I117" s="62"/>
      <c r="J117" s="62"/>
      <c r="K117" s="60"/>
      <c r="L117" s="138"/>
      <c r="M117" s="62"/>
      <c r="N117" s="62"/>
      <c r="O117" s="60"/>
      <c r="P117" s="84"/>
      <c r="Q117" s="65"/>
      <c r="R117" s="67" t="str">
        <f aca="false">IF(ISBLANK($C117),"",IF(E117=Constants!$B$2, TRUE(), IF(E117=Constants!$B$3, FALSE(), TRUE())))</f>
        <v/>
      </c>
      <c r="S117" s="67" t="str">
        <f aca="false">IF(ISBLANK($C117),"",IF(F117=Constants!$B$2, TRUE(), IF(F117=Constants!$B$3, FALSE(), TRUE())))</f>
        <v/>
      </c>
      <c r="T117" s="67" t="str">
        <f aca="false">IF(ISBLANK($C117),"",IF(G117=Constants!$B$16,Constants!$B$9,IF(G117=Constants!$B$17,Constants!$B$10,Constants!$B$8)))</f>
        <v/>
      </c>
      <c r="U117" s="67" t="str">
        <f aca="false">IF(ISBLANK($C117),"",IF(H117=Constants!$B$19,Constants!$B$19,Constants!$B$18))</f>
        <v/>
      </c>
      <c r="V117" s="67" t="str">
        <f aca="false">IF(ISBLANK($C117),"",IF(ISNUMBER(I117),IF(I117&gt;=0,I117,""),""))</f>
        <v/>
      </c>
      <c r="W117" s="67" t="str">
        <f aca="false">IF(ISBLANK($C117),"",IF(J117=Constants!$B$2, TRUE(), IF(J117=Constants!$B$3, FALSE(), TRUE())))</f>
        <v/>
      </c>
      <c r="X117" s="67" t="str">
        <f aca="false">IF(ISBLANK($C117),"",IF(K117=Constants!$B$2, TRUE(), IF(K117=Constants!$B$3, FALSE(), TRUE())))</f>
        <v/>
      </c>
      <c r="Y117" s="67" t="str">
        <f aca="false">IF(ISBLANK($C117),"",IF(L117=Constants!$B$19,Constants!$B$19,Constants!$B$18))</f>
        <v/>
      </c>
      <c r="Z117" s="67" t="str">
        <f aca="false">IF(ISBLANK($C117),"",IF(ISNUMBER(M117),IF(M117&gt;=0,M117,""),""))</f>
        <v/>
      </c>
      <c r="AA117" s="67" t="str">
        <f aca="false">IF(ISBLANK($C117),"",IF(N117=Constants!$B$2, TRUE(), IF(N117=Constants!$B$3, FALSE(), TRUE())))</f>
        <v/>
      </c>
      <c r="AB117" s="67" t="str">
        <f aca="false">IF(ISBLANK($C117),"",IF(O117=Constants!$B$2, TRUE(), IF(O117=Constants!$B$3, FALSE(), TRUE())))</f>
        <v/>
      </c>
      <c r="AC117" s="67" t="str">
        <f aca="false">IF(ISBLANK($C117),"",IF(P117=Constants!$B$2, TRUE(), IF(P117=Constants!$B$3, FALSE(), FALSE())))</f>
        <v/>
      </c>
      <c r="AD117" s="67" t="str">
        <f aca="false">IF(ISBLANK($C117),"",AND(V117&lt;&gt;"",IF(U117=Constants!$B$19,S117,R117)))</f>
        <v/>
      </c>
      <c r="AE117" s="67" t="str">
        <f aca="false">IF(ISBLANK($C117),"",AND(Z117&lt;&gt;"",IF(Y117=Constants!$B$19,S117,R117)))</f>
        <v/>
      </c>
      <c r="AF117" s="67" t="str">
        <f aca="false">IF(ISBLANK($C117),"",IF(AC117,Constants!$B$4,IF(COUNTA(E117:O117)=0,Constants!$B$5,IF(AND(NOT(AD117),NOT(AE117)),Constants!$B$6,Constants!$B$7))))</f>
        <v/>
      </c>
      <c r="AG117" s="67" t="str">
        <f aca="false">IF(ISBLANK($C117),"",IF($AF117&lt;&gt;Constants!$B$7,$AF117,Constants!$B$20))</f>
        <v/>
      </c>
      <c r="AH117" s="67" t="str">
        <f aca="false">IF($AF117=Constants!$B$7,IF(AD117,V117,Constants!$B$13),"")</f>
        <v/>
      </c>
      <c r="AI117" s="67" t="str">
        <f aca="false">IF($AF117=Constants!$B$7,IF(AD117,T117*IF(W117, 1, Constants!$B$11)*IF(X117, 1, Constants!$B$12),Constants!$B$13),"")</f>
        <v/>
      </c>
      <c r="AJ117" s="67" t="str">
        <f aca="false">IF($AF117=Constants!$B$7,AH117*AI117,"")</f>
        <v/>
      </c>
      <c r="AK117" s="67" t="str">
        <f aca="false">IF($AF117=Constants!$B$7,IF(AE117,Z117,Constants!$B$13),"")</f>
        <v/>
      </c>
      <c r="AL117" s="67" t="str">
        <f aca="false">IF($AF117=Constants!$B$7,IF(AE117,T117*IF(AA117, 1, Constants!$B$11)*IF(AB117, 1, Constants!$B$12),Constants!$B$13),"")</f>
        <v/>
      </c>
      <c r="AM117" s="67" t="str">
        <f aca="false">IF($AF117=Constants!$B$7,AK117*AL117,"")</f>
        <v/>
      </c>
      <c r="AN117" s="67" t="str">
        <f aca="false">IF($AF117=Constants!$B$7,IF(AM117&gt;AJ117,2,1),"")</f>
        <v/>
      </c>
      <c r="AO117" s="67" t="str">
        <f aca="false">IF($AF117=Constants!$B$7,IF(AN117=1,2,1),"")</f>
        <v/>
      </c>
      <c r="AP117" s="67" t="str">
        <f aca="false">IF(ISBLANK($C117),"",IF($AF117&lt;&gt;Constants!$B$7,$AF117,IF(AN117=1,AJ117,AM117)))</f>
        <v/>
      </c>
      <c r="AQ117" s="67" t="str">
        <f aca="false">IF(ISBLANK($C117),"",IF($AF117=Constants!$B$7,IF(ISNUMBER(AP117),RANK(AP117,$AP$8:$AP$507),Constants!$B$14),$AF117))</f>
        <v/>
      </c>
      <c r="AR117" s="67" t="str">
        <f aca="false">IF(ISBLANK($C117),"",IF($AF117=Constants!$B$7,IF(AO117=1,AJ117,AM117),""))</f>
        <v/>
      </c>
      <c r="AS117" s="67" t="str">
        <f aca="false">IF(ISBLANK($C117),"",IF($AF117=Constants!$B$7,RANK(AR117,$AR$8:$AR$507),$AF117))</f>
        <v/>
      </c>
      <c r="AT117" s="67" t="str">
        <f aca="false">IF(ISBLANK($C117),"",IF($AF117=Constants!$B$7,IF(ISNUMBER(AQ117),COUNTIFS($AQ$8:$AQ$507,"&lt;"&amp;$AQ117)+COUNTIFS($AQ$8:$AQ$507,$AQ117,$AS$8:$AS$507,"&lt;"&amp;$AS117)+1,Constants!$B$14),$AF117))</f>
        <v/>
      </c>
      <c r="AU117" s="67" t="str">
        <f aca="false">IF(ISBLANK($C117),"",IF($AF117=Constants!$B$7,IF(ISNUMBER(AQ117),AQ117-AT117,Constants!$B$14),$AF117))</f>
        <v/>
      </c>
      <c r="AV117" s="69"/>
      <c r="AW117" s="70" t="str">
        <f aca="false">IF(ISBLANK($C117),"",IF($AF117&lt;&gt;Constants!$B$7,"",AN117))</f>
        <v/>
      </c>
      <c r="AX117" s="85" t="str">
        <f aca="false">IF(ISBLANK($C117),"",IF($AF117&lt;&gt;Constants!$B$7,"",IF(AN117=1,AH117,AK117)))</f>
        <v/>
      </c>
      <c r="AY117" s="72" t="str">
        <f aca="false">IF(ISBLANK($C117),"",IF($AF117&lt;&gt;Constants!$B$7,"",IF(AN117=1,AI117,AL117)))</f>
        <v/>
      </c>
      <c r="AZ117" s="73" t="str">
        <f aca="false">IF(ISBLANK($C117),"",IF($AF117&lt;&gt;Constants!$B$7,$AF117,AP117))</f>
        <v/>
      </c>
      <c r="BA117" s="74" t="str">
        <f aca="false">IF(ISBLANK($C117),"",IF($AF117&lt;&gt;Constants!$B$7,$AF117,AG117))</f>
        <v/>
      </c>
      <c r="BB117" s="75" t="str">
        <f aca="false">IF(ISBLANK($C117),"",AU117)</f>
        <v/>
      </c>
      <c r="BC117" s="75" t="str">
        <f aca="false">IF(ISBLANK($C117),"",AT117)</f>
        <v/>
      </c>
      <c r="BD117" s="76" t="str">
        <f aca="false">IF(ISBLANK($C117),"",IFERROR(_xlfn.SWITCH(BC117,Constants!$B$4,COUNTA($C$8:$C$507)+2,Constants!$B$5,COUNTA($C$8:$C$507)+1,Constants!$B$6,COUNTA($C$8:$C$507)),BC117))</f>
        <v/>
      </c>
      <c r="BE117" s="5"/>
      <c r="BF117" s="77" t="n">
        <f aca="false">IF(OR(ISNUMBER(BC117),BC117=Constants!$B$4,BC117=Constants!$B$6,BC117=Constants!$B$5),1,0)</f>
        <v>0</v>
      </c>
      <c r="BG117" s="77" t="n">
        <v>110</v>
      </c>
      <c r="BH117" s="77" t="str">
        <f aca="false">IF(ISBLANK($C117),"",IF(ISNUMBER(BD117),BD117+ROW($B117)/1000,""))</f>
        <v/>
      </c>
      <c r="BI117" s="77" t="str">
        <f aca="false">IF(ISNUMBER(BH117),RANK(BH117,$BH$8:$BH$507,1),"")</f>
        <v/>
      </c>
      <c r="BJ117" s="77" t="str">
        <f aca="false">IF(ISBLANK($C117),"",$B117)</f>
        <v/>
      </c>
      <c r="BK117" s="77" t="str">
        <f aca="false">IF(ISBLANK($C117),"",$C117)</f>
        <v/>
      </c>
      <c r="BL117" s="77" t="str">
        <f aca="false">IF(ISBLANK($C117),"",$D117)</f>
        <v/>
      </c>
      <c r="BM117" s="78" t="str">
        <f aca="false">BA117</f>
        <v/>
      </c>
      <c r="BN117" s="79" t="str">
        <f aca="false">AZ117</f>
        <v/>
      </c>
      <c r="BO117" s="77" t="str">
        <f aca="false">IF(ISBLANK($C117),"",BC117)</f>
        <v/>
      </c>
      <c r="BP117" s="80" t="str">
        <f aca="false">IF($BG117&gt;$BF$7,"",VLOOKUP($BG117,$BI$8:$BO$507,7,FALSE()))</f>
        <v/>
      </c>
      <c r="BQ117" s="81" t="str">
        <f aca="false">IF($BG117&gt;$BF$7,"",VLOOKUP($BG117,$BI$8:$BO$507,2,FALSE()))</f>
        <v/>
      </c>
      <c r="BR117" s="81" t="str">
        <f aca="false">IF($BG117&gt;$BF$7,"",VLOOKUP($BG117,$BI$8:$BO$507,3,FALSE()))</f>
        <v/>
      </c>
      <c r="BS117" s="81" t="str">
        <f aca="false">IF($BG117&gt;$BF$7,"",VLOOKUP($BG117,$BI$8:$BO$507,4,FALSE()))</f>
        <v/>
      </c>
      <c r="BT117" s="81" t="str">
        <f aca="false">IF($BG117&gt;$BF$7,"",VLOOKUP($BG117,$BI$8:$BO$507,5,FALSE()))</f>
        <v/>
      </c>
      <c r="BU117" s="82" t="str">
        <f aca="false">IF($BG117&gt;$BF$7,"",VLOOKUP($BG117,$BI$8:$BO$507,6,FALSE()))</f>
        <v/>
      </c>
      <c r="BV117" s="54"/>
    </row>
    <row r="118" customFormat="false" ht="15.75" hidden="false" customHeight="false" outlineLevel="0" collapsed="false">
      <c r="A118" s="5"/>
      <c r="B118" s="135"/>
      <c r="C118" s="56"/>
      <c r="D118" s="57"/>
      <c r="E118" s="84"/>
      <c r="F118" s="136"/>
      <c r="G118" s="60"/>
      <c r="H118" s="137"/>
      <c r="I118" s="62"/>
      <c r="J118" s="62"/>
      <c r="K118" s="60"/>
      <c r="L118" s="138"/>
      <c r="M118" s="62"/>
      <c r="N118" s="62"/>
      <c r="O118" s="60"/>
      <c r="P118" s="84"/>
      <c r="Q118" s="65"/>
      <c r="R118" s="67" t="str">
        <f aca="false">IF(ISBLANK($C118),"",IF(E118=Constants!$B$2, TRUE(), IF(E118=Constants!$B$3, FALSE(), TRUE())))</f>
        <v/>
      </c>
      <c r="S118" s="67" t="str">
        <f aca="false">IF(ISBLANK($C118),"",IF(F118=Constants!$B$2, TRUE(), IF(F118=Constants!$B$3, FALSE(), TRUE())))</f>
        <v/>
      </c>
      <c r="T118" s="67" t="str">
        <f aca="false">IF(ISBLANK($C118),"",IF(G118=Constants!$B$16,Constants!$B$9,IF(G118=Constants!$B$17,Constants!$B$10,Constants!$B$8)))</f>
        <v/>
      </c>
      <c r="U118" s="67" t="str">
        <f aca="false">IF(ISBLANK($C118),"",IF(H118=Constants!$B$19,Constants!$B$19,Constants!$B$18))</f>
        <v/>
      </c>
      <c r="V118" s="67" t="str">
        <f aca="false">IF(ISBLANK($C118),"",IF(ISNUMBER(I118),IF(I118&gt;=0,I118,""),""))</f>
        <v/>
      </c>
      <c r="W118" s="67" t="str">
        <f aca="false">IF(ISBLANK($C118),"",IF(J118=Constants!$B$2, TRUE(), IF(J118=Constants!$B$3, FALSE(), TRUE())))</f>
        <v/>
      </c>
      <c r="X118" s="67" t="str">
        <f aca="false">IF(ISBLANK($C118),"",IF(K118=Constants!$B$2, TRUE(), IF(K118=Constants!$B$3, FALSE(), TRUE())))</f>
        <v/>
      </c>
      <c r="Y118" s="67" t="str">
        <f aca="false">IF(ISBLANK($C118),"",IF(L118=Constants!$B$19,Constants!$B$19,Constants!$B$18))</f>
        <v/>
      </c>
      <c r="Z118" s="67" t="str">
        <f aca="false">IF(ISBLANK($C118),"",IF(ISNUMBER(M118),IF(M118&gt;=0,M118,""),""))</f>
        <v/>
      </c>
      <c r="AA118" s="67" t="str">
        <f aca="false">IF(ISBLANK($C118),"",IF(N118=Constants!$B$2, TRUE(), IF(N118=Constants!$B$3, FALSE(), TRUE())))</f>
        <v/>
      </c>
      <c r="AB118" s="67" t="str">
        <f aca="false">IF(ISBLANK($C118),"",IF(O118=Constants!$B$2, TRUE(), IF(O118=Constants!$B$3, FALSE(), TRUE())))</f>
        <v/>
      </c>
      <c r="AC118" s="67" t="str">
        <f aca="false">IF(ISBLANK($C118),"",IF(P118=Constants!$B$2, TRUE(), IF(P118=Constants!$B$3, FALSE(), FALSE())))</f>
        <v/>
      </c>
      <c r="AD118" s="67" t="str">
        <f aca="false">IF(ISBLANK($C118),"",AND(V118&lt;&gt;"",IF(U118=Constants!$B$19,S118,R118)))</f>
        <v/>
      </c>
      <c r="AE118" s="67" t="str">
        <f aca="false">IF(ISBLANK($C118),"",AND(Z118&lt;&gt;"",IF(Y118=Constants!$B$19,S118,R118)))</f>
        <v/>
      </c>
      <c r="AF118" s="67" t="str">
        <f aca="false">IF(ISBLANK($C118),"",IF(AC118,Constants!$B$4,IF(COUNTA(E118:O118)=0,Constants!$B$5,IF(AND(NOT(AD118),NOT(AE118)),Constants!$B$6,Constants!$B$7))))</f>
        <v/>
      </c>
      <c r="AG118" s="67" t="str">
        <f aca="false">IF(ISBLANK($C118),"",IF($AF118&lt;&gt;Constants!$B$7,$AF118,Constants!$B$20))</f>
        <v/>
      </c>
      <c r="AH118" s="67" t="str">
        <f aca="false">IF($AF118=Constants!$B$7,IF(AD118,V118,Constants!$B$13),"")</f>
        <v/>
      </c>
      <c r="AI118" s="67" t="str">
        <f aca="false">IF($AF118=Constants!$B$7,IF(AD118,T118*IF(W118, 1, Constants!$B$11)*IF(X118, 1, Constants!$B$12),Constants!$B$13),"")</f>
        <v/>
      </c>
      <c r="AJ118" s="67" t="str">
        <f aca="false">IF($AF118=Constants!$B$7,AH118*AI118,"")</f>
        <v/>
      </c>
      <c r="AK118" s="67" t="str">
        <f aca="false">IF($AF118=Constants!$B$7,IF(AE118,Z118,Constants!$B$13),"")</f>
        <v/>
      </c>
      <c r="AL118" s="67" t="str">
        <f aca="false">IF($AF118=Constants!$B$7,IF(AE118,T118*IF(AA118, 1, Constants!$B$11)*IF(AB118, 1, Constants!$B$12),Constants!$B$13),"")</f>
        <v/>
      </c>
      <c r="AM118" s="67" t="str">
        <f aca="false">IF($AF118=Constants!$B$7,AK118*AL118,"")</f>
        <v/>
      </c>
      <c r="AN118" s="67" t="str">
        <f aca="false">IF($AF118=Constants!$B$7,IF(AM118&gt;AJ118,2,1),"")</f>
        <v/>
      </c>
      <c r="AO118" s="67" t="str">
        <f aca="false">IF($AF118=Constants!$B$7,IF(AN118=1,2,1),"")</f>
        <v/>
      </c>
      <c r="AP118" s="67" t="str">
        <f aca="false">IF(ISBLANK($C118),"",IF($AF118&lt;&gt;Constants!$B$7,$AF118,IF(AN118=1,AJ118,AM118)))</f>
        <v/>
      </c>
      <c r="AQ118" s="67" t="str">
        <f aca="false">IF(ISBLANK($C118),"",IF($AF118=Constants!$B$7,IF(ISNUMBER(AP118),RANK(AP118,$AP$8:$AP$507),Constants!$B$14),$AF118))</f>
        <v/>
      </c>
      <c r="AR118" s="67" t="str">
        <f aca="false">IF(ISBLANK($C118),"",IF($AF118=Constants!$B$7,IF(AO118=1,AJ118,AM118),""))</f>
        <v/>
      </c>
      <c r="AS118" s="67" t="str">
        <f aca="false">IF(ISBLANK($C118),"",IF($AF118=Constants!$B$7,RANK(AR118,$AR$8:$AR$507),$AF118))</f>
        <v/>
      </c>
      <c r="AT118" s="67" t="str">
        <f aca="false">IF(ISBLANK($C118),"",IF($AF118=Constants!$B$7,IF(ISNUMBER(AQ118),COUNTIFS($AQ$8:$AQ$507,"&lt;"&amp;$AQ118)+COUNTIFS($AQ$8:$AQ$507,$AQ118,$AS$8:$AS$507,"&lt;"&amp;$AS118)+1,Constants!$B$14),$AF118))</f>
        <v/>
      </c>
      <c r="AU118" s="67" t="str">
        <f aca="false">IF(ISBLANK($C118),"",IF($AF118=Constants!$B$7,IF(ISNUMBER(AQ118),AQ118-AT118,Constants!$B$14),$AF118))</f>
        <v/>
      </c>
      <c r="AV118" s="69"/>
      <c r="AW118" s="70" t="str">
        <f aca="false">IF(ISBLANK($C118),"",IF($AF118&lt;&gt;Constants!$B$7,"",AN118))</f>
        <v/>
      </c>
      <c r="AX118" s="85" t="str">
        <f aca="false">IF(ISBLANK($C118),"",IF($AF118&lt;&gt;Constants!$B$7,"",IF(AN118=1,AH118,AK118)))</f>
        <v/>
      </c>
      <c r="AY118" s="72" t="str">
        <f aca="false">IF(ISBLANK($C118),"",IF($AF118&lt;&gt;Constants!$B$7,"",IF(AN118=1,AI118,AL118)))</f>
        <v/>
      </c>
      <c r="AZ118" s="73" t="str">
        <f aca="false">IF(ISBLANK($C118),"",IF($AF118&lt;&gt;Constants!$B$7,$AF118,AP118))</f>
        <v/>
      </c>
      <c r="BA118" s="74" t="str">
        <f aca="false">IF(ISBLANK($C118),"",IF($AF118&lt;&gt;Constants!$B$7,$AF118,AG118))</f>
        <v/>
      </c>
      <c r="BB118" s="75" t="str">
        <f aca="false">IF(ISBLANK($C118),"",AU118)</f>
        <v/>
      </c>
      <c r="BC118" s="75" t="str">
        <f aca="false">IF(ISBLANK($C118),"",AT118)</f>
        <v/>
      </c>
      <c r="BD118" s="76" t="str">
        <f aca="false">IF(ISBLANK($C118),"",IFERROR(_xlfn.SWITCH(BC118,Constants!$B$4,COUNTA($C$8:$C$507)+2,Constants!$B$5,COUNTA($C$8:$C$507)+1,Constants!$B$6,COUNTA($C$8:$C$507)),BC118))</f>
        <v/>
      </c>
      <c r="BE118" s="5"/>
      <c r="BF118" s="77" t="n">
        <f aca="false">IF(OR(ISNUMBER(BC118),BC118=Constants!$B$4,BC118=Constants!$B$6,BC118=Constants!$B$5),1,0)</f>
        <v>0</v>
      </c>
      <c r="BG118" s="77" t="n">
        <v>111</v>
      </c>
      <c r="BH118" s="77" t="str">
        <f aca="false">IF(ISBLANK($C118),"",IF(ISNUMBER(BD118),BD118+ROW($B118)/1000,""))</f>
        <v/>
      </c>
      <c r="BI118" s="77" t="str">
        <f aca="false">IF(ISNUMBER(BH118),RANK(BH118,$BH$8:$BH$507,1),"")</f>
        <v/>
      </c>
      <c r="BJ118" s="77" t="str">
        <f aca="false">IF(ISBLANK($C118),"",$B118)</f>
        <v/>
      </c>
      <c r="BK118" s="77" t="str">
        <f aca="false">IF(ISBLANK($C118),"",$C118)</f>
        <v/>
      </c>
      <c r="BL118" s="77" t="str">
        <f aca="false">IF(ISBLANK($C118),"",$D118)</f>
        <v/>
      </c>
      <c r="BM118" s="78" t="str">
        <f aca="false">BA118</f>
        <v/>
      </c>
      <c r="BN118" s="79" t="str">
        <f aca="false">AZ118</f>
        <v/>
      </c>
      <c r="BO118" s="77" t="str">
        <f aca="false">IF(ISBLANK($C118),"",BC118)</f>
        <v/>
      </c>
      <c r="BP118" s="80" t="str">
        <f aca="false">IF($BG118&gt;$BF$7,"",VLOOKUP($BG118,$BI$8:$BO$507,7,FALSE()))</f>
        <v/>
      </c>
      <c r="BQ118" s="81" t="str">
        <f aca="false">IF($BG118&gt;$BF$7,"",VLOOKUP($BG118,$BI$8:$BO$507,2,FALSE()))</f>
        <v/>
      </c>
      <c r="BR118" s="81" t="str">
        <f aca="false">IF($BG118&gt;$BF$7,"",VLOOKUP($BG118,$BI$8:$BO$507,3,FALSE()))</f>
        <v/>
      </c>
      <c r="BS118" s="81" t="str">
        <f aca="false">IF($BG118&gt;$BF$7,"",VLOOKUP($BG118,$BI$8:$BO$507,4,FALSE()))</f>
        <v/>
      </c>
      <c r="BT118" s="81" t="str">
        <f aca="false">IF($BG118&gt;$BF$7,"",VLOOKUP($BG118,$BI$8:$BO$507,5,FALSE()))</f>
        <v/>
      </c>
      <c r="BU118" s="82" t="str">
        <f aca="false">IF($BG118&gt;$BF$7,"",VLOOKUP($BG118,$BI$8:$BO$507,6,FALSE()))</f>
        <v/>
      </c>
      <c r="BV118" s="54"/>
    </row>
    <row r="119" customFormat="false" ht="15.75" hidden="false" customHeight="false" outlineLevel="0" collapsed="false">
      <c r="A119" s="5"/>
      <c r="B119" s="128"/>
      <c r="C119" s="129"/>
      <c r="D119" s="114"/>
      <c r="E119" s="134"/>
      <c r="F119" s="139"/>
      <c r="G119" s="93"/>
      <c r="H119" s="140"/>
      <c r="I119" s="95"/>
      <c r="J119" s="95"/>
      <c r="K119" s="93"/>
      <c r="L119" s="141"/>
      <c r="M119" s="95"/>
      <c r="N119" s="95"/>
      <c r="O119" s="93"/>
      <c r="P119" s="134"/>
      <c r="Q119" s="98"/>
      <c r="R119" s="99" t="str">
        <f aca="false">IF(ISBLANK($C119),"",IF(E119=Constants!$B$2, TRUE(), IF(E119=Constants!$B$3, FALSE(), TRUE())))</f>
        <v/>
      </c>
      <c r="S119" s="99" t="str">
        <f aca="false">IF(ISBLANK($C119),"",IF(F119=Constants!$B$2, TRUE(), IF(F119=Constants!$B$3, FALSE(), TRUE())))</f>
        <v/>
      </c>
      <c r="T119" s="99" t="str">
        <f aca="false">IF(ISBLANK($C119),"",IF(G119=Constants!$B$16,Constants!$B$9,IF(G119=Constants!$B$17,Constants!$B$10,Constants!$B$8)))</f>
        <v/>
      </c>
      <c r="U119" s="99" t="str">
        <f aca="false">IF(ISBLANK($C119),"",IF(H119=Constants!$B$19,Constants!$B$19,Constants!$B$18))</f>
        <v/>
      </c>
      <c r="V119" s="99" t="str">
        <f aca="false">IF(ISBLANK($C119),"",IF(ISNUMBER(I119),IF(I119&gt;=0,I119,""),""))</f>
        <v/>
      </c>
      <c r="W119" s="99" t="str">
        <f aca="false">IF(ISBLANK($C119),"",IF(J119=Constants!$B$2, TRUE(), IF(J119=Constants!$B$3, FALSE(), TRUE())))</f>
        <v/>
      </c>
      <c r="X119" s="99" t="str">
        <f aca="false">IF(ISBLANK($C119),"",IF(K119=Constants!$B$2, TRUE(), IF(K119=Constants!$B$3, FALSE(), TRUE())))</f>
        <v/>
      </c>
      <c r="Y119" s="99" t="str">
        <f aca="false">IF(ISBLANK($C119),"",IF(L119=Constants!$B$19,Constants!$B$19,Constants!$B$18))</f>
        <v/>
      </c>
      <c r="Z119" s="99" t="str">
        <f aca="false">IF(ISBLANK($C119),"",IF(ISNUMBER(M119),IF(M119&gt;=0,M119,""),""))</f>
        <v/>
      </c>
      <c r="AA119" s="99" t="str">
        <f aca="false">IF(ISBLANK($C119),"",IF(N119=Constants!$B$2, TRUE(), IF(N119=Constants!$B$3, FALSE(), TRUE())))</f>
        <v/>
      </c>
      <c r="AB119" s="99" t="str">
        <f aca="false">IF(ISBLANK($C119),"",IF(O119=Constants!$B$2, TRUE(), IF(O119=Constants!$B$3, FALSE(), TRUE())))</f>
        <v/>
      </c>
      <c r="AC119" s="99" t="str">
        <f aca="false">IF(ISBLANK($C119),"",IF(P119=Constants!$B$2, TRUE(), IF(P119=Constants!$B$3, FALSE(), FALSE())))</f>
        <v/>
      </c>
      <c r="AD119" s="99" t="str">
        <f aca="false">IF(ISBLANK($C119),"",AND(V119&lt;&gt;"",IF(U119=Constants!$B$19,S119,R119)))</f>
        <v/>
      </c>
      <c r="AE119" s="99" t="str">
        <f aca="false">IF(ISBLANK($C119),"",AND(Z119&lt;&gt;"",IF(Y119=Constants!$B$19,S119,R119)))</f>
        <v/>
      </c>
      <c r="AF119" s="99" t="str">
        <f aca="false">IF(ISBLANK($C119),"",IF(AC119,Constants!$B$4,IF(COUNTA(E119:O119)=0,Constants!$B$5,IF(AND(NOT(AD119),NOT(AE119)),Constants!$B$6,Constants!$B$7))))</f>
        <v/>
      </c>
      <c r="AG119" s="99" t="str">
        <f aca="false">IF(ISBLANK($C119),"",IF($AF119&lt;&gt;Constants!$B$7,$AF119,Constants!$B$20))</f>
        <v/>
      </c>
      <c r="AH119" s="99" t="str">
        <f aca="false">IF($AF119=Constants!$B$7,IF(AD119,V119,Constants!$B$13),"")</f>
        <v/>
      </c>
      <c r="AI119" s="99" t="str">
        <f aca="false">IF($AF119=Constants!$B$7,IF(AD119,T119*IF(W119, 1, Constants!$B$11)*IF(X119, 1, Constants!$B$12),Constants!$B$13),"")</f>
        <v/>
      </c>
      <c r="AJ119" s="99" t="str">
        <f aca="false">IF($AF119=Constants!$B$7,AH119*AI119,"")</f>
        <v/>
      </c>
      <c r="AK119" s="99" t="str">
        <f aca="false">IF($AF119=Constants!$B$7,IF(AE119,Z119,Constants!$B$13),"")</f>
        <v/>
      </c>
      <c r="AL119" s="99" t="str">
        <f aca="false">IF($AF119=Constants!$B$7,IF(AE119,T119*IF(AA119, 1, Constants!$B$11)*IF(AB119, 1, Constants!$B$12),Constants!$B$13),"")</f>
        <v/>
      </c>
      <c r="AM119" s="99" t="str">
        <f aca="false">IF($AF119=Constants!$B$7,AK119*AL119,"")</f>
        <v/>
      </c>
      <c r="AN119" s="99" t="str">
        <f aca="false">IF($AF119=Constants!$B$7,IF(AM119&gt;AJ119,2,1),"")</f>
        <v/>
      </c>
      <c r="AO119" s="99" t="str">
        <f aca="false">IF($AF119=Constants!$B$7,IF(AN119=1,2,1),"")</f>
        <v/>
      </c>
      <c r="AP119" s="99" t="str">
        <f aca="false">IF(ISBLANK($C119),"",IF($AF119&lt;&gt;Constants!$B$7,$AF119,IF(AN119=1,AJ119,AM119)))</f>
        <v/>
      </c>
      <c r="AQ119" s="99" t="str">
        <f aca="false">IF(ISBLANK($C119),"",IF($AF119=Constants!$B$7,IF(ISNUMBER(AP119),RANK(AP119,$AP$8:$AP$507),Constants!$B$14),$AF119))</f>
        <v/>
      </c>
      <c r="AR119" s="99" t="str">
        <f aca="false">IF(ISBLANK($C119),"",IF($AF119=Constants!$B$7,IF(AO119=1,AJ119,AM119),""))</f>
        <v/>
      </c>
      <c r="AS119" s="99" t="str">
        <f aca="false">IF(ISBLANK($C119),"",IF($AF119=Constants!$B$7,RANK(AR119,$AR$8:$AR$507),$AF119))</f>
        <v/>
      </c>
      <c r="AT119" s="99" t="str">
        <f aca="false">IF(ISBLANK($C119),"",IF($AF119=Constants!$B$7,IF(ISNUMBER(AQ119),COUNTIFS($AQ$8:$AQ$507,"&lt;"&amp;$AQ119)+COUNTIFS($AQ$8:$AQ$507,$AQ119,$AS$8:$AS$507,"&lt;"&amp;$AS119)+1,Constants!$B$14),$AF119))</f>
        <v/>
      </c>
      <c r="AU119" s="99" t="str">
        <f aca="false">IF(ISBLANK($C119),"",IF($AF119=Constants!$B$7,IF(ISNUMBER(AQ119),AQ119-AT119,Constants!$B$14),$AF119))</f>
        <v/>
      </c>
      <c r="AV119" s="100"/>
      <c r="AW119" s="101" t="str">
        <f aca="false">IF(ISBLANK($C119),"",IF($AF119&lt;&gt;Constants!$B$7,"",AN119))</f>
        <v/>
      </c>
      <c r="AX119" s="102" t="str">
        <f aca="false">IF(ISBLANK($C119),"",IF($AF119&lt;&gt;Constants!$B$7,"",IF(AN119=1,AH119,AK119)))</f>
        <v/>
      </c>
      <c r="AY119" s="103" t="str">
        <f aca="false">IF(ISBLANK($C119),"",IF($AF119&lt;&gt;Constants!$B$7,"",IF(AN119=1,AI119,AL119)))</f>
        <v/>
      </c>
      <c r="AZ119" s="104" t="str">
        <f aca="false">IF(ISBLANK($C119),"",IF($AF119&lt;&gt;Constants!$B$7,$AF119,AP119))</f>
        <v/>
      </c>
      <c r="BA119" s="105" t="str">
        <f aca="false">IF(ISBLANK($C119),"",IF($AF119&lt;&gt;Constants!$B$7,$AF119,AG119))</f>
        <v/>
      </c>
      <c r="BB119" s="106" t="str">
        <f aca="false">IF(ISBLANK($C119),"",AU119)</f>
        <v/>
      </c>
      <c r="BC119" s="106" t="str">
        <f aca="false">IF(ISBLANK($C119),"",AT119)</f>
        <v/>
      </c>
      <c r="BD119" s="107" t="str">
        <f aca="false">IF(ISBLANK($C119),"",IFERROR(_xlfn.SWITCH(BC119,Constants!$B$4,COUNTA($C$8:$C$507)+2,Constants!$B$5,COUNTA($C$8:$C$507)+1,Constants!$B$6,COUNTA($C$8:$C$507)),BC119))</f>
        <v/>
      </c>
      <c r="BE119" s="5"/>
      <c r="BF119" s="108" t="n">
        <f aca="false">IF(OR(ISNUMBER(BC119),BC119=Constants!$B$4,BC119=Constants!$B$6,BC119=Constants!$B$5),1,0)</f>
        <v>0</v>
      </c>
      <c r="BG119" s="108" t="n">
        <v>112</v>
      </c>
      <c r="BH119" s="108" t="str">
        <f aca="false">IF(ISBLANK($C119),"",IF(ISNUMBER(BD119),BD119+ROW($B119)/1000,""))</f>
        <v/>
      </c>
      <c r="BI119" s="108" t="str">
        <f aca="false">IF(ISNUMBER(BH119),RANK(BH119,$BH$8:$BH$507,1),"")</f>
        <v/>
      </c>
      <c r="BJ119" s="108" t="str">
        <f aca="false">IF(ISBLANK($C119),"",$B119)</f>
        <v/>
      </c>
      <c r="BK119" s="108" t="str">
        <f aca="false">IF(ISBLANK($C119),"",$C119)</f>
        <v/>
      </c>
      <c r="BL119" s="108" t="str">
        <f aca="false">IF(ISBLANK($C119),"",$D119)</f>
        <v/>
      </c>
      <c r="BM119" s="109" t="str">
        <f aca="false">BA119</f>
        <v/>
      </c>
      <c r="BN119" s="110" t="str">
        <f aca="false">AZ119</f>
        <v/>
      </c>
      <c r="BO119" s="108" t="str">
        <f aca="false">IF(ISBLANK($C119),"",BC119)</f>
        <v/>
      </c>
      <c r="BP119" s="111" t="str">
        <f aca="false">IF($BG119&gt;$BF$7,"",VLOOKUP($BG119,$BI$8:$BO$507,7,FALSE()))</f>
        <v/>
      </c>
      <c r="BQ119" s="112" t="str">
        <f aca="false">IF($BG119&gt;$BF$7,"",VLOOKUP($BG119,$BI$8:$BO$507,2,FALSE()))</f>
        <v/>
      </c>
      <c r="BR119" s="112" t="str">
        <f aca="false">IF($BG119&gt;$BF$7,"",VLOOKUP($BG119,$BI$8:$BO$507,3,FALSE()))</f>
        <v/>
      </c>
      <c r="BS119" s="112" t="str">
        <f aca="false">IF($BG119&gt;$BF$7,"",VLOOKUP($BG119,$BI$8:$BO$507,4,FALSE()))</f>
        <v/>
      </c>
      <c r="BT119" s="112" t="str">
        <f aca="false">IF($BG119&gt;$BF$7,"",VLOOKUP($BG119,$BI$8:$BO$507,5,FALSE()))</f>
        <v/>
      </c>
      <c r="BU119" s="113" t="str">
        <f aca="false">IF($BG119&gt;$BF$7,"",VLOOKUP($BG119,$BI$8:$BO$507,6,FALSE()))</f>
        <v/>
      </c>
      <c r="BV119" s="54"/>
    </row>
    <row r="120" customFormat="false" ht="15.75" hidden="false" customHeight="false" outlineLevel="0" collapsed="false">
      <c r="A120" s="5"/>
      <c r="B120" s="128"/>
      <c r="C120" s="129"/>
      <c r="D120" s="114"/>
      <c r="E120" s="134"/>
      <c r="F120" s="139"/>
      <c r="G120" s="93"/>
      <c r="H120" s="140"/>
      <c r="I120" s="95"/>
      <c r="J120" s="95"/>
      <c r="K120" s="93"/>
      <c r="L120" s="141"/>
      <c r="M120" s="95"/>
      <c r="N120" s="95"/>
      <c r="O120" s="93"/>
      <c r="P120" s="134"/>
      <c r="Q120" s="98"/>
      <c r="R120" s="99" t="str">
        <f aca="false">IF(ISBLANK($C120),"",IF(E120=Constants!$B$2, TRUE(), IF(E120=Constants!$B$3, FALSE(), TRUE())))</f>
        <v/>
      </c>
      <c r="S120" s="99" t="str">
        <f aca="false">IF(ISBLANK($C120),"",IF(F120=Constants!$B$2, TRUE(), IF(F120=Constants!$B$3, FALSE(), TRUE())))</f>
        <v/>
      </c>
      <c r="T120" s="99" t="str">
        <f aca="false">IF(ISBLANK($C120),"",IF(G120=Constants!$B$16,Constants!$B$9,IF(G120=Constants!$B$17,Constants!$B$10,Constants!$B$8)))</f>
        <v/>
      </c>
      <c r="U120" s="99" t="str">
        <f aca="false">IF(ISBLANK($C120),"",IF(H120=Constants!$B$19,Constants!$B$19,Constants!$B$18))</f>
        <v/>
      </c>
      <c r="V120" s="99" t="str">
        <f aca="false">IF(ISBLANK($C120),"",IF(ISNUMBER(I120),IF(I120&gt;=0,I120,""),""))</f>
        <v/>
      </c>
      <c r="W120" s="99" t="str">
        <f aca="false">IF(ISBLANK($C120),"",IF(J120=Constants!$B$2, TRUE(), IF(J120=Constants!$B$3, FALSE(), TRUE())))</f>
        <v/>
      </c>
      <c r="X120" s="99" t="str">
        <f aca="false">IF(ISBLANK($C120),"",IF(K120=Constants!$B$2, TRUE(), IF(K120=Constants!$B$3, FALSE(), TRUE())))</f>
        <v/>
      </c>
      <c r="Y120" s="99" t="str">
        <f aca="false">IF(ISBLANK($C120),"",IF(L120=Constants!$B$19,Constants!$B$19,Constants!$B$18))</f>
        <v/>
      </c>
      <c r="Z120" s="99" t="str">
        <f aca="false">IF(ISBLANK($C120),"",IF(ISNUMBER(M120),IF(M120&gt;=0,M120,""),""))</f>
        <v/>
      </c>
      <c r="AA120" s="99" t="str">
        <f aca="false">IF(ISBLANK($C120),"",IF(N120=Constants!$B$2, TRUE(), IF(N120=Constants!$B$3, FALSE(), TRUE())))</f>
        <v/>
      </c>
      <c r="AB120" s="99" t="str">
        <f aca="false">IF(ISBLANK($C120),"",IF(O120=Constants!$B$2, TRUE(), IF(O120=Constants!$B$3, FALSE(), TRUE())))</f>
        <v/>
      </c>
      <c r="AC120" s="99" t="str">
        <f aca="false">IF(ISBLANK($C120),"",IF(P120=Constants!$B$2, TRUE(), IF(P120=Constants!$B$3, FALSE(), FALSE())))</f>
        <v/>
      </c>
      <c r="AD120" s="99" t="str">
        <f aca="false">IF(ISBLANK($C120),"",AND(V120&lt;&gt;"",IF(U120=Constants!$B$19,S120,R120)))</f>
        <v/>
      </c>
      <c r="AE120" s="99" t="str">
        <f aca="false">IF(ISBLANK($C120),"",AND(Z120&lt;&gt;"",IF(Y120=Constants!$B$19,S120,R120)))</f>
        <v/>
      </c>
      <c r="AF120" s="99" t="str">
        <f aca="false">IF(ISBLANK($C120),"",IF(AC120,Constants!$B$4,IF(COUNTA(E120:O120)=0,Constants!$B$5,IF(AND(NOT(AD120),NOT(AE120)),Constants!$B$6,Constants!$B$7))))</f>
        <v/>
      </c>
      <c r="AG120" s="99" t="str">
        <f aca="false">IF(ISBLANK($C120),"",IF($AF120&lt;&gt;Constants!$B$7,$AF120,Constants!$B$20))</f>
        <v/>
      </c>
      <c r="AH120" s="99" t="str">
        <f aca="false">IF($AF120=Constants!$B$7,IF(AD120,V120,Constants!$B$13),"")</f>
        <v/>
      </c>
      <c r="AI120" s="99" t="str">
        <f aca="false">IF($AF120=Constants!$B$7,IF(AD120,T120*IF(W120, 1, Constants!$B$11)*IF(X120, 1, Constants!$B$12),Constants!$B$13),"")</f>
        <v/>
      </c>
      <c r="AJ120" s="99" t="str">
        <f aca="false">IF($AF120=Constants!$B$7,AH120*AI120,"")</f>
        <v/>
      </c>
      <c r="AK120" s="99" t="str">
        <f aca="false">IF($AF120=Constants!$B$7,IF(AE120,Z120,Constants!$B$13),"")</f>
        <v/>
      </c>
      <c r="AL120" s="99" t="str">
        <f aca="false">IF($AF120=Constants!$B$7,IF(AE120,T120*IF(AA120, 1, Constants!$B$11)*IF(AB120, 1, Constants!$B$12),Constants!$B$13),"")</f>
        <v/>
      </c>
      <c r="AM120" s="99" t="str">
        <f aca="false">IF($AF120=Constants!$B$7,AK120*AL120,"")</f>
        <v/>
      </c>
      <c r="AN120" s="99" t="str">
        <f aca="false">IF($AF120=Constants!$B$7,IF(AM120&gt;AJ120,2,1),"")</f>
        <v/>
      </c>
      <c r="AO120" s="99" t="str">
        <f aca="false">IF($AF120=Constants!$B$7,IF(AN120=1,2,1),"")</f>
        <v/>
      </c>
      <c r="AP120" s="99" t="str">
        <f aca="false">IF(ISBLANK($C120),"",IF($AF120&lt;&gt;Constants!$B$7,$AF120,IF(AN120=1,AJ120,AM120)))</f>
        <v/>
      </c>
      <c r="AQ120" s="99" t="str">
        <f aca="false">IF(ISBLANK($C120),"",IF($AF120=Constants!$B$7,IF(ISNUMBER(AP120),RANK(AP120,$AP$8:$AP$507),Constants!$B$14),$AF120))</f>
        <v/>
      </c>
      <c r="AR120" s="99" t="str">
        <f aca="false">IF(ISBLANK($C120),"",IF($AF120=Constants!$B$7,IF(AO120=1,AJ120,AM120),""))</f>
        <v/>
      </c>
      <c r="AS120" s="99" t="str">
        <f aca="false">IF(ISBLANK($C120),"",IF($AF120=Constants!$B$7,RANK(AR120,$AR$8:$AR$507),$AF120))</f>
        <v/>
      </c>
      <c r="AT120" s="99" t="str">
        <f aca="false">IF(ISBLANK($C120),"",IF($AF120=Constants!$B$7,IF(ISNUMBER(AQ120),COUNTIFS($AQ$8:$AQ$507,"&lt;"&amp;$AQ120)+COUNTIFS($AQ$8:$AQ$507,$AQ120,$AS$8:$AS$507,"&lt;"&amp;$AS120)+1,Constants!$B$14),$AF120))</f>
        <v/>
      </c>
      <c r="AU120" s="99" t="str">
        <f aca="false">IF(ISBLANK($C120),"",IF($AF120=Constants!$B$7,IF(ISNUMBER(AQ120),AQ120-AT120,Constants!$B$14),$AF120))</f>
        <v/>
      </c>
      <c r="AV120" s="100"/>
      <c r="AW120" s="101" t="str">
        <f aca="false">IF(ISBLANK($C120),"",IF($AF120&lt;&gt;Constants!$B$7,"",AN120))</f>
        <v/>
      </c>
      <c r="AX120" s="102" t="str">
        <f aca="false">IF(ISBLANK($C120),"",IF($AF120&lt;&gt;Constants!$B$7,"",IF(AN120=1,AH120,AK120)))</f>
        <v/>
      </c>
      <c r="AY120" s="103" t="str">
        <f aca="false">IF(ISBLANK($C120),"",IF($AF120&lt;&gt;Constants!$B$7,"",IF(AN120=1,AI120,AL120)))</f>
        <v/>
      </c>
      <c r="AZ120" s="104" t="str">
        <f aca="false">IF(ISBLANK($C120),"",IF($AF120&lt;&gt;Constants!$B$7,$AF120,AP120))</f>
        <v/>
      </c>
      <c r="BA120" s="105" t="str">
        <f aca="false">IF(ISBLANK($C120),"",IF($AF120&lt;&gt;Constants!$B$7,$AF120,AG120))</f>
        <v/>
      </c>
      <c r="BB120" s="106" t="str">
        <f aca="false">IF(ISBLANK($C120),"",AU120)</f>
        <v/>
      </c>
      <c r="BC120" s="106" t="str">
        <f aca="false">IF(ISBLANK($C120),"",AT120)</f>
        <v/>
      </c>
      <c r="BD120" s="107" t="str">
        <f aca="false">IF(ISBLANK($C120),"",IFERROR(_xlfn.SWITCH(BC120,Constants!$B$4,COUNTA($C$8:$C$507)+2,Constants!$B$5,COUNTA($C$8:$C$507)+1,Constants!$B$6,COUNTA($C$8:$C$507)),BC120))</f>
        <v/>
      </c>
      <c r="BE120" s="5"/>
      <c r="BF120" s="108" t="n">
        <f aca="false">IF(OR(ISNUMBER(BC120),BC120=Constants!$B$4,BC120=Constants!$B$6,BC120=Constants!$B$5),1,0)</f>
        <v>0</v>
      </c>
      <c r="BG120" s="108" t="n">
        <v>113</v>
      </c>
      <c r="BH120" s="108" t="str">
        <f aca="false">IF(ISBLANK($C120),"",IF(ISNUMBER(BD120),BD120+ROW($B120)/1000,""))</f>
        <v/>
      </c>
      <c r="BI120" s="108" t="str">
        <f aca="false">IF(ISNUMBER(BH120),RANK(BH120,$BH$8:$BH$507,1),"")</f>
        <v/>
      </c>
      <c r="BJ120" s="108" t="str">
        <f aca="false">IF(ISBLANK($C120),"",$B120)</f>
        <v/>
      </c>
      <c r="BK120" s="108" t="str">
        <f aca="false">IF(ISBLANK($C120),"",$C120)</f>
        <v/>
      </c>
      <c r="BL120" s="108" t="str">
        <f aca="false">IF(ISBLANK($C120),"",$D120)</f>
        <v/>
      </c>
      <c r="BM120" s="109" t="str">
        <f aca="false">BA120</f>
        <v/>
      </c>
      <c r="BN120" s="110" t="str">
        <f aca="false">AZ120</f>
        <v/>
      </c>
      <c r="BO120" s="108" t="str">
        <f aca="false">IF(ISBLANK($C120),"",BC120)</f>
        <v/>
      </c>
      <c r="BP120" s="111" t="str">
        <f aca="false">IF($BG120&gt;$BF$7,"",VLOOKUP($BG120,$BI$8:$BO$507,7,FALSE()))</f>
        <v/>
      </c>
      <c r="BQ120" s="112" t="str">
        <f aca="false">IF($BG120&gt;$BF$7,"",VLOOKUP($BG120,$BI$8:$BO$507,2,FALSE()))</f>
        <v/>
      </c>
      <c r="BR120" s="112" t="str">
        <f aca="false">IF($BG120&gt;$BF$7,"",VLOOKUP($BG120,$BI$8:$BO$507,3,FALSE()))</f>
        <v/>
      </c>
      <c r="BS120" s="112" t="str">
        <f aca="false">IF($BG120&gt;$BF$7,"",VLOOKUP($BG120,$BI$8:$BO$507,4,FALSE()))</f>
        <v/>
      </c>
      <c r="BT120" s="112" t="str">
        <f aca="false">IF($BG120&gt;$BF$7,"",VLOOKUP($BG120,$BI$8:$BO$507,5,FALSE()))</f>
        <v/>
      </c>
      <c r="BU120" s="113" t="str">
        <f aca="false">IF($BG120&gt;$BF$7,"",VLOOKUP($BG120,$BI$8:$BO$507,6,FALSE()))</f>
        <v/>
      </c>
      <c r="BV120" s="54"/>
    </row>
    <row r="121" customFormat="false" ht="15.75" hidden="false" customHeight="false" outlineLevel="0" collapsed="false">
      <c r="A121" s="5"/>
      <c r="B121" s="128"/>
      <c r="C121" s="129"/>
      <c r="D121" s="114"/>
      <c r="E121" s="134"/>
      <c r="F121" s="139"/>
      <c r="G121" s="93"/>
      <c r="H121" s="140"/>
      <c r="I121" s="95"/>
      <c r="J121" s="95"/>
      <c r="K121" s="93"/>
      <c r="L121" s="141"/>
      <c r="M121" s="95"/>
      <c r="N121" s="95"/>
      <c r="O121" s="93"/>
      <c r="P121" s="134"/>
      <c r="Q121" s="98"/>
      <c r="R121" s="99" t="str">
        <f aca="false">IF(ISBLANK($C121),"",IF(E121=Constants!$B$2, TRUE(), IF(E121=Constants!$B$3, FALSE(), TRUE())))</f>
        <v/>
      </c>
      <c r="S121" s="99" t="str">
        <f aca="false">IF(ISBLANK($C121),"",IF(F121=Constants!$B$2, TRUE(), IF(F121=Constants!$B$3, FALSE(), TRUE())))</f>
        <v/>
      </c>
      <c r="T121" s="99" t="str">
        <f aca="false">IF(ISBLANK($C121),"",IF(G121=Constants!$B$16,Constants!$B$9,IF(G121=Constants!$B$17,Constants!$B$10,Constants!$B$8)))</f>
        <v/>
      </c>
      <c r="U121" s="99" t="str">
        <f aca="false">IF(ISBLANK($C121),"",IF(H121=Constants!$B$19,Constants!$B$19,Constants!$B$18))</f>
        <v/>
      </c>
      <c r="V121" s="99" t="str">
        <f aca="false">IF(ISBLANK($C121),"",IF(ISNUMBER(I121),IF(I121&gt;=0,I121,""),""))</f>
        <v/>
      </c>
      <c r="W121" s="99" t="str">
        <f aca="false">IF(ISBLANK($C121),"",IF(J121=Constants!$B$2, TRUE(), IF(J121=Constants!$B$3, FALSE(), TRUE())))</f>
        <v/>
      </c>
      <c r="X121" s="99" t="str">
        <f aca="false">IF(ISBLANK($C121),"",IF(K121=Constants!$B$2, TRUE(), IF(K121=Constants!$B$3, FALSE(), TRUE())))</f>
        <v/>
      </c>
      <c r="Y121" s="99" t="str">
        <f aca="false">IF(ISBLANK($C121),"",IF(L121=Constants!$B$19,Constants!$B$19,Constants!$B$18))</f>
        <v/>
      </c>
      <c r="Z121" s="99" t="str">
        <f aca="false">IF(ISBLANK($C121),"",IF(ISNUMBER(M121),IF(M121&gt;=0,M121,""),""))</f>
        <v/>
      </c>
      <c r="AA121" s="99" t="str">
        <f aca="false">IF(ISBLANK($C121),"",IF(N121=Constants!$B$2, TRUE(), IF(N121=Constants!$B$3, FALSE(), TRUE())))</f>
        <v/>
      </c>
      <c r="AB121" s="99" t="str">
        <f aca="false">IF(ISBLANK($C121),"",IF(O121=Constants!$B$2, TRUE(), IF(O121=Constants!$B$3, FALSE(), TRUE())))</f>
        <v/>
      </c>
      <c r="AC121" s="99" t="str">
        <f aca="false">IF(ISBLANK($C121),"",IF(P121=Constants!$B$2, TRUE(), IF(P121=Constants!$B$3, FALSE(), FALSE())))</f>
        <v/>
      </c>
      <c r="AD121" s="99" t="str">
        <f aca="false">IF(ISBLANK($C121),"",AND(V121&lt;&gt;"",IF(U121=Constants!$B$19,S121,R121)))</f>
        <v/>
      </c>
      <c r="AE121" s="99" t="str">
        <f aca="false">IF(ISBLANK($C121),"",AND(Z121&lt;&gt;"",IF(Y121=Constants!$B$19,S121,R121)))</f>
        <v/>
      </c>
      <c r="AF121" s="99" t="str">
        <f aca="false">IF(ISBLANK($C121),"",IF(AC121,Constants!$B$4,IF(COUNTA(E121:O121)=0,Constants!$B$5,IF(AND(NOT(AD121),NOT(AE121)),Constants!$B$6,Constants!$B$7))))</f>
        <v/>
      </c>
      <c r="AG121" s="99" t="str">
        <f aca="false">IF(ISBLANK($C121),"",IF($AF121&lt;&gt;Constants!$B$7,$AF121,Constants!$B$20))</f>
        <v/>
      </c>
      <c r="AH121" s="99" t="str">
        <f aca="false">IF($AF121=Constants!$B$7,IF(AD121,V121,Constants!$B$13),"")</f>
        <v/>
      </c>
      <c r="AI121" s="99" t="str">
        <f aca="false">IF($AF121=Constants!$B$7,IF(AD121,T121*IF(W121, 1, Constants!$B$11)*IF(X121, 1, Constants!$B$12),Constants!$B$13),"")</f>
        <v/>
      </c>
      <c r="AJ121" s="99" t="str">
        <f aca="false">IF($AF121=Constants!$B$7,AH121*AI121,"")</f>
        <v/>
      </c>
      <c r="AK121" s="99" t="str">
        <f aca="false">IF($AF121=Constants!$B$7,IF(AE121,Z121,Constants!$B$13),"")</f>
        <v/>
      </c>
      <c r="AL121" s="99" t="str">
        <f aca="false">IF($AF121=Constants!$B$7,IF(AE121,T121*IF(AA121, 1, Constants!$B$11)*IF(AB121, 1, Constants!$B$12),Constants!$B$13),"")</f>
        <v/>
      </c>
      <c r="AM121" s="99" t="str">
        <f aca="false">IF($AF121=Constants!$B$7,AK121*AL121,"")</f>
        <v/>
      </c>
      <c r="AN121" s="99" t="str">
        <f aca="false">IF($AF121=Constants!$B$7,IF(AM121&gt;AJ121,2,1),"")</f>
        <v/>
      </c>
      <c r="AO121" s="99" t="str">
        <f aca="false">IF($AF121=Constants!$B$7,IF(AN121=1,2,1),"")</f>
        <v/>
      </c>
      <c r="AP121" s="99" t="str">
        <f aca="false">IF(ISBLANK($C121),"",IF($AF121&lt;&gt;Constants!$B$7,$AF121,IF(AN121=1,AJ121,AM121)))</f>
        <v/>
      </c>
      <c r="AQ121" s="99" t="str">
        <f aca="false">IF(ISBLANK($C121),"",IF($AF121=Constants!$B$7,IF(ISNUMBER(AP121),RANK(AP121,$AP$8:$AP$507),Constants!$B$14),$AF121))</f>
        <v/>
      </c>
      <c r="AR121" s="99" t="str">
        <f aca="false">IF(ISBLANK($C121),"",IF($AF121=Constants!$B$7,IF(AO121=1,AJ121,AM121),""))</f>
        <v/>
      </c>
      <c r="AS121" s="99" t="str">
        <f aca="false">IF(ISBLANK($C121),"",IF($AF121=Constants!$B$7,RANK(AR121,$AR$8:$AR$507),$AF121))</f>
        <v/>
      </c>
      <c r="AT121" s="99" t="str">
        <f aca="false">IF(ISBLANK($C121),"",IF($AF121=Constants!$B$7,IF(ISNUMBER(AQ121),COUNTIFS($AQ$8:$AQ$507,"&lt;"&amp;$AQ121)+COUNTIFS($AQ$8:$AQ$507,$AQ121,$AS$8:$AS$507,"&lt;"&amp;$AS121)+1,Constants!$B$14),$AF121))</f>
        <v/>
      </c>
      <c r="AU121" s="99" t="str">
        <f aca="false">IF(ISBLANK($C121),"",IF($AF121=Constants!$B$7,IF(ISNUMBER(AQ121),AQ121-AT121,Constants!$B$14),$AF121))</f>
        <v/>
      </c>
      <c r="AV121" s="100"/>
      <c r="AW121" s="101" t="str">
        <f aca="false">IF(ISBLANK($C121),"",IF($AF121&lt;&gt;Constants!$B$7,"",AN121))</f>
        <v/>
      </c>
      <c r="AX121" s="102" t="str">
        <f aca="false">IF(ISBLANK($C121),"",IF($AF121&lt;&gt;Constants!$B$7,"",IF(AN121=1,AH121,AK121)))</f>
        <v/>
      </c>
      <c r="AY121" s="103" t="str">
        <f aca="false">IF(ISBLANK($C121),"",IF($AF121&lt;&gt;Constants!$B$7,"",IF(AN121=1,AI121,AL121)))</f>
        <v/>
      </c>
      <c r="AZ121" s="104" t="str">
        <f aca="false">IF(ISBLANK($C121),"",IF($AF121&lt;&gt;Constants!$B$7,$AF121,AP121))</f>
        <v/>
      </c>
      <c r="BA121" s="105" t="str">
        <f aca="false">IF(ISBLANK($C121),"",IF($AF121&lt;&gt;Constants!$B$7,$AF121,AG121))</f>
        <v/>
      </c>
      <c r="BB121" s="106" t="str">
        <f aca="false">IF(ISBLANK($C121),"",AU121)</f>
        <v/>
      </c>
      <c r="BC121" s="106" t="str">
        <f aca="false">IF(ISBLANK($C121),"",AT121)</f>
        <v/>
      </c>
      <c r="BD121" s="107" t="str">
        <f aca="false">IF(ISBLANK($C121),"",IFERROR(_xlfn.SWITCH(BC121,Constants!$B$4,COUNTA($C$8:$C$507)+2,Constants!$B$5,COUNTA($C$8:$C$507)+1,Constants!$B$6,COUNTA($C$8:$C$507)),BC121))</f>
        <v/>
      </c>
      <c r="BE121" s="5"/>
      <c r="BF121" s="108" t="n">
        <f aca="false">IF(OR(ISNUMBER(BC121),BC121=Constants!$B$4,BC121=Constants!$B$6,BC121=Constants!$B$5),1,0)</f>
        <v>0</v>
      </c>
      <c r="BG121" s="108" t="n">
        <v>114</v>
      </c>
      <c r="BH121" s="108" t="str">
        <f aca="false">IF(ISBLANK($C121),"",IF(ISNUMBER(BD121),BD121+ROW($B121)/1000,""))</f>
        <v/>
      </c>
      <c r="BI121" s="108" t="str">
        <f aca="false">IF(ISNUMBER(BH121),RANK(BH121,$BH$8:$BH$507,1),"")</f>
        <v/>
      </c>
      <c r="BJ121" s="108" t="str">
        <f aca="false">IF(ISBLANK($C121),"",$B121)</f>
        <v/>
      </c>
      <c r="BK121" s="108" t="str">
        <f aca="false">IF(ISBLANK($C121),"",$C121)</f>
        <v/>
      </c>
      <c r="BL121" s="108" t="str">
        <f aca="false">IF(ISBLANK($C121),"",$D121)</f>
        <v/>
      </c>
      <c r="BM121" s="109" t="str">
        <f aca="false">BA121</f>
        <v/>
      </c>
      <c r="BN121" s="110" t="str">
        <f aca="false">AZ121</f>
        <v/>
      </c>
      <c r="BO121" s="108" t="str">
        <f aca="false">IF(ISBLANK($C121),"",BC121)</f>
        <v/>
      </c>
      <c r="BP121" s="111" t="str">
        <f aca="false">IF($BG121&gt;$BF$7,"",VLOOKUP($BG121,$BI$8:$BO$507,7,FALSE()))</f>
        <v/>
      </c>
      <c r="BQ121" s="112" t="str">
        <f aca="false">IF($BG121&gt;$BF$7,"",VLOOKUP($BG121,$BI$8:$BO$507,2,FALSE()))</f>
        <v/>
      </c>
      <c r="BR121" s="112" t="str">
        <f aca="false">IF($BG121&gt;$BF$7,"",VLOOKUP($BG121,$BI$8:$BO$507,3,FALSE()))</f>
        <v/>
      </c>
      <c r="BS121" s="112" t="str">
        <f aca="false">IF($BG121&gt;$BF$7,"",VLOOKUP($BG121,$BI$8:$BO$507,4,FALSE()))</f>
        <v/>
      </c>
      <c r="BT121" s="112" t="str">
        <f aca="false">IF($BG121&gt;$BF$7,"",VLOOKUP($BG121,$BI$8:$BO$507,5,FALSE()))</f>
        <v/>
      </c>
      <c r="BU121" s="113" t="str">
        <f aca="false">IF($BG121&gt;$BF$7,"",VLOOKUP($BG121,$BI$8:$BO$507,6,FALSE()))</f>
        <v/>
      </c>
      <c r="BV121" s="54"/>
    </row>
    <row r="122" customFormat="false" ht="15.75" hidden="false" customHeight="false" outlineLevel="0" collapsed="false">
      <c r="A122" s="5"/>
      <c r="B122" s="135"/>
      <c r="C122" s="56"/>
      <c r="D122" s="57"/>
      <c r="E122" s="84"/>
      <c r="F122" s="136"/>
      <c r="G122" s="60"/>
      <c r="H122" s="137"/>
      <c r="I122" s="62"/>
      <c r="J122" s="62"/>
      <c r="K122" s="60"/>
      <c r="L122" s="138"/>
      <c r="M122" s="62"/>
      <c r="N122" s="62"/>
      <c r="O122" s="60"/>
      <c r="P122" s="84"/>
      <c r="Q122" s="65"/>
      <c r="R122" s="67" t="str">
        <f aca="false">IF(ISBLANK($C122),"",IF(E122=Constants!$B$2, TRUE(), IF(E122=Constants!$B$3, FALSE(), TRUE())))</f>
        <v/>
      </c>
      <c r="S122" s="67" t="str">
        <f aca="false">IF(ISBLANK($C122),"",IF(F122=Constants!$B$2, TRUE(), IF(F122=Constants!$B$3, FALSE(), TRUE())))</f>
        <v/>
      </c>
      <c r="T122" s="67" t="str">
        <f aca="false">IF(ISBLANK($C122),"",IF(G122=Constants!$B$16,Constants!$B$9,IF(G122=Constants!$B$17,Constants!$B$10,Constants!$B$8)))</f>
        <v/>
      </c>
      <c r="U122" s="67" t="str">
        <f aca="false">IF(ISBLANK($C122),"",IF(H122=Constants!$B$19,Constants!$B$19,Constants!$B$18))</f>
        <v/>
      </c>
      <c r="V122" s="67" t="str">
        <f aca="false">IF(ISBLANK($C122),"",IF(ISNUMBER(I122),IF(I122&gt;=0,I122,""),""))</f>
        <v/>
      </c>
      <c r="W122" s="67" t="str">
        <f aca="false">IF(ISBLANK($C122),"",IF(J122=Constants!$B$2, TRUE(), IF(J122=Constants!$B$3, FALSE(), TRUE())))</f>
        <v/>
      </c>
      <c r="X122" s="67" t="str">
        <f aca="false">IF(ISBLANK($C122),"",IF(K122=Constants!$B$2, TRUE(), IF(K122=Constants!$B$3, FALSE(), TRUE())))</f>
        <v/>
      </c>
      <c r="Y122" s="67" t="str">
        <f aca="false">IF(ISBLANK($C122),"",IF(L122=Constants!$B$19,Constants!$B$19,Constants!$B$18))</f>
        <v/>
      </c>
      <c r="Z122" s="67" t="str">
        <f aca="false">IF(ISBLANK($C122),"",IF(ISNUMBER(M122),IF(M122&gt;=0,M122,""),""))</f>
        <v/>
      </c>
      <c r="AA122" s="67" t="str">
        <f aca="false">IF(ISBLANK($C122),"",IF(N122=Constants!$B$2, TRUE(), IF(N122=Constants!$B$3, FALSE(), TRUE())))</f>
        <v/>
      </c>
      <c r="AB122" s="67" t="str">
        <f aca="false">IF(ISBLANK($C122),"",IF(O122=Constants!$B$2, TRUE(), IF(O122=Constants!$B$3, FALSE(), TRUE())))</f>
        <v/>
      </c>
      <c r="AC122" s="67" t="str">
        <f aca="false">IF(ISBLANK($C122),"",IF(P122=Constants!$B$2, TRUE(), IF(P122=Constants!$B$3, FALSE(), FALSE())))</f>
        <v/>
      </c>
      <c r="AD122" s="67" t="str">
        <f aca="false">IF(ISBLANK($C122),"",AND(V122&lt;&gt;"",IF(U122=Constants!$B$19,S122,R122)))</f>
        <v/>
      </c>
      <c r="AE122" s="67" t="str">
        <f aca="false">IF(ISBLANK($C122),"",AND(Z122&lt;&gt;"",IF(Y122=Constants!$B$19,S122,R122)))</f>
        <v/>
      </c>
      <c r="AF122" s="67" t="str">
        <f aca="false">IF(ISBLANK($C122),"",IF(AC122,Constants!$B$4,IF(COUNTA(E122:O122)=0,Constants!$B$5,IF(AND(NOT(AD122),NOT(AE122)),Constants!$B$6,Constants!$B$7))))</f>
        <v/>
      </c>
      <c r="AG122" s="67" t="str">
        <f aca="false">IF(ISBLANK($C122),"",IF($AF122&lt;&gt;Constants!$B$7,$AF122,Constants!$B$20))</f>
        <v/>
      </c>
      <c r="AH122" s="67" t="str">
        <f aca="false">IF($AF122=Constants!$B$7,IF(AD122,V122,Constants!$B$13),"")</f>
        <v/>
      </c>
      <c r="AI122" s="67" t="str">
        <f aca="false">IF($AF122=Constants!$B$7,IF(AD122,T122*IF(W122, 1, Constants!$B$11)*IF(X122, 1, Constants!$B$12),Constants!$B$13),"")</f>
        <v/>
      </c>
      <c r="AJ122" s="67" t="str">
        <f aca="false">IF($AF122=Constants!$B$7,AH122*AI122,"")</f>
        <v/>
      </c>
      <c r="AK122" s="67" t="str">
        <f aca="false">IF($AF122=Constants!$B$7,IF(AE122,Z122,Constants!$B$13),"")</f>
        <v/>
      </c>
      <c r="AL122" s="67" t="str">
        <f aca="false">IF($AF122=Constants!$B$7,IF(AE122,T122*IF(AA122, 1, Constants!$B$11)*IF(AB122, 1, Constants!$B$12),Constants!$B$13),"")</f>
        <v/>
      </c>
      <c r="AM122" s="67" t="str">
        <f aca="false">IF($AF122=Constants!$B$7,AK122*AL122,"")</f>
        <v/>
      </c>
      <c r="AN122" s="67" t="str">
        <f aca="false">IF($AF122=Constants!$B$7,IF(AM122&gt;AJ122,2,1),"")</f>
        <v/>
      </c>
      <c r="AO122" s="67" t="str">
        <f aca="false">IF($AF122=Constants!$B$7,IF(AN122=1,2,1),"")</f>
        <v/>
      </c>
      <c r="AP122" s="67" t="str">
        <f aca="false">IF(ISBLANK($C122),"",IF($AF122&lt;&gt;Constants!$B$7,$AF122,IF(AN122=1,AJ122,AM122)))</f>
        <v/>
      </c>
      <c r="AQ122" s="67" t="str">
        <f aca="false">IF(ISBLANK($C122),"",IF($AF122=Constants!$B$7,IF(ISNUMBER(AP122),RANK(AP122,$AP$8:$AP$507),Constants!$B$14),$AF122))</f>
        <v/>
      </c>
      <c r="AR122" s="67" t="str">
        <f aca="false">IF(ISBLANK($C122),"",IF($AF122=Constants!$B$7,IF(AO122=1,AJ122,AM122),""))</f>
        <v/>
      </c>
      <c r="AS122" s="67" t="str">
        <f aca="false">IF(ISBLANK($C122),"",IF($AF122=Constants!$B$7,RANK(AR122,$AR$8:$AR$507),$AF122))</f>
        <v/>
      </c>
      <c r="AT122" s="67" t="str">
        <f aca="false">IF(ISBLANK($C122),"",IF($AF122=Constants!$B$7,IF(ISNUMBER(AQ122),COUNTIFS($AQ$8:$AQ$507,"&lt;"&amp;$AQ122)+COUNTIFS($AQ$8:$AQ$507,$AQ122,$AS$8:$AS$507,"&lt;"&amp;$AS122)+1,Constants!$B$14),$AF122))</f>
        <v/>
      </c>
      <c r="AU122" s="67" t="str">
        <f aca="false">IF(ISBLANK($C122),"",IF($AF122=Constants!$B$7,IF(ISNUMBER(AQ122),AQ122-AT122,Constants!$B$14),$AF122))</f>
        <v/>
      </c>
      <c r="AV122" s="69"/>
      <c r="AW122" s="70" t="str">
        <f aca="false">IF(ISBLANK($C122),"",IF($AF122&lt;&gt;Constants!$B$7,"",AN122))</f>
        <v/>
      </c>
      <c r="AX122" s="85" t="str">
        <f aca="false">IF(ISBLANK($C122),"",IF($AF122&lt;&gt;Constants!$B$7,"",IF(AN122=1,AH122,AK122)))</f>
        <v/>
      </c>
      <c r="AY122" s="72" t="str">
        <f aca="false">IF(ISBLANK($C122),"",IF($AF122&lt;&gt;Constants!$B$7,"",IF(AN122=1,AI122,AL122)))</f>
        <v/>
      </c>
      <c r="AZ122" s="73" t="str">
        <f aca="false">IF(ISBLANK($C122),"",IF($AF122&lt;&gt;Constants!$B$7,$AF122,AP122))</f>
        <v/>
      </c>
      <c r="BA122" s="74" t="str">
        <f aca="false">IF(ISBLANK($C122),"",IF($AF122&lt;&gt;Constants!$B$7,$AF122,AG122))</f>
        <v/>
      </c>
      <c r="BB122" s="75" t="str">
        <f aca="false">IF(ISBLANK($C122),"",AU122)</f>
        <v/>
      </c>
      <c r="BC122" s="75" t="str">
        <f aca="false">IF(ISBLANK($C122),"",AT122)</f>
        <v/>
      </c>
      <c r="BD122" s="76" t="str">
        <f aca="false">IF(ISBLANK($C122),"",IFERROR(_xlfn.SWITCH(BC122,Constants!$B$4,COUNTA($C$8:$C$507)+2,Constants!$B$5,COUNTA($C$8:$C$507)+1,Constants!$B$6,COUNTA($C$8:$C$507)),BC122))</f>
        <v/>
      </c>
      <c r="BE122" s="5"/>
      <c r="BF122" s="77" t="n">
        <f aca="false">IF(OR(ISNUMBER(BC122),BC122=Constants!$B$4,BC122=Constants!$B$6,BC122=Constants!$B$5),1,0)</f>
        <v>0</v>
      </c>
      <c r="BG122" s="77" t="n">
        <v>115</v>
      </c>
      <c r="BH122" s="77" t="str">
        <f aca="false">IF(ISBLANK($C122),"",IF(ISNUMBER(BD122),BD122+ROW($B122)/1000,""))</f>
        <v/>
      </c>
      <c r="BI122" s="77" t="str">
        <f aca="false">IF(ISNUMBER(BH122),RANK(BH122,$BH$8:$BH$507,1),"")</f>
        <v/>
      </c>
      <c r="BJ122" s="77" t="str">
        <f aca="false">IF(ISBLANK($C122),"",$B122)</f>
        <v/>
      </c>
      <c r="BK122" s="77" t="str">
        <f aca="false">IF(ISBLANK($C122),"",$C122)</f>
        <v/>
      </c>
      <c r="BL122" s="77" t="str">
        <f aca="false">IF(ISBLANK($C122),"",$D122)</f>
        <v/>
      </c>
      <c r="BM122" s="78" t="str">
        <f aca="false">BA122</f>
        <v/>
      </c>
      <c r="BN122" s="79" t="str">
        <f aca="false">AZ122</f>
        <v/>
      </c>
      <c r="BO122" s="77" t="str">
        <f aca="false">IF(ISBLANK($C122),"",BC122)</f>
        <v/>
      </c>
      <c r="BP122" s="80" t="str">
        <f aca="false">IF($BG122&gt;$BF$7,"",VLOOKUP($BG122,$BI$8:$BO$507,7,FALSE()))</f>
        <v/>
      </c>
      <c r="BQ122" s="81" t="str">
        <f aca="false">IF($BG122&gt;$BF$7,"",VLOOKUP($BG122,$BI$8:$BO$507,2,FALSE()))</f>
        <v/>
      </c>
      <c r="BR122" s="81" t="str">
        <f aca="false">IF($BG122&gt;$BF$7,"",VLOOKUP($BG122,$BI$8:$BO$507,3,FALSE()))</f>
        <v/>
      </c>
      <c r="BS122" s="81" t="str">
        <f aca="false">IF($BG122&gt;$BF$7,"",VLOOKUP($BG122,$BI$8:$BO$507,4,FALSE()))</f>
        <v/>
      </c>
      <c r="BT122" s="81" t="str">
        <f aca="false">IF($BG122&gt;$BF$7,"",VLOOKUP($BG122,$BI$8:$BO$507,5,FALSE()))</f>
        <v/>
      </c>
      <c r="BU122" s="82" t="str">
        <f aca="false">IF($BG122&gt;$BF$7,"",VLOOKUP($BG122,$BI$8:$BO$507,6,FALSE()))</f>
        <v/>
      </c>
      <c r="BV122" s="54"/>
    </row>
    <row r="123" customFormat="false" ht="15.75" hidden="false" customHeight="false" outlineLevel="0" collapsed="false">
      <c r="A123" s="5"/>
      <c r="B123" s="135"/>
      <c r="C123" s="56"/>
      <c r="D123" s="57"/>
      <c r="E123" s="84"/>
      <c r="F123" s="136"/>
      <c r="G123" s="60"/>
      <c r="H123" s="137"/>
      <c r="I123" s="62"/>
      <c r="J123" s="62"/>
      <c r="K123" s="60"/>
      <c r="L123" s="138"/>
      <c r="M123" s="62"/>
      <c r="N123" s="62"/>
      <c r="O123" s="60"/>
      <c r="P123" s="84"/>
      <c r="Q123" s="65"/>
      <c r="R123" s="67" t="str">
        <f aca="false">IF(ISBLANK($C123),"",IF(E123=Constants!$B$2, TRUE(), IF(E123=Constants!$B$3, FALSE(), TRUE())))</f>
        <v/>
      </c>
      <c r="S123" s="67" t="str">
        <f aca="false">IF(ISBLANK($C123),"",IF(F123=Constants!$B$2, TRUE(), IF(F123=Constants!$B$3, FALSE(), TRUE())))</f>
        <v/>
      </c>
      <c r="T123" s="67" t="str">
        <f aca="false">IF(ISBLANK($C123),"",IF(G123=Constants!$B$16,Constants!$B$9,IF(G123=Constants!$B$17,Constants!$B$10,Constants!$B$8)))</f>
        <v/>
      </c>
      <c r="U123" s="67" t="str">
        <f aca="false">IF(ISBLANK($C123),"",IF(H123=Constants!$B$19,Constants!$B$19,Constants!$B$18))</f>
        <v/>
      </c>
      <c r="V123" s="67" t="str">
        <f aca="false">IF(ISBLANK($C123),"",IF(ISNUMBER(I123),IF(I123&gt;=0,I123,""),""))</f>
        <v/>
      </c>
      <c r="W123" s="67" t="str">
        <f aca="false">IF(ISBLANK($C123),"",IF(J123=Constants!$B$2, TRUE(), IF(J123=Constants!$B$3, FALSE(), TRUE())))</f>
        <v/>
      </c>
      <c r="X123" s="67" t="str">
        <f aca="false">IF(ISBLANK($C123),"",IF(K123=Constants!$B$2, TRUE(), IF(K123=Constants!$B$3, FALSE(), TRUE())))</f>
        <v/>
      </c>
      <c r="Y123" s="67" t="str">
        <f aca="false">IF(ISBLANK($C123),"",IF(L123=Constants!$B$19,Constants!$B$19,Constants!$B$18))</f>
        <v/>
      </c>
      <c r="Z123" s="67" t="str">
        <f aca="false">IF(ISBLANK($C123),"",IF(ISNUMBER(M123),IF(M123&gt;=0,M123,""),""))</f>
        <v/>
      </c>
      <c r="AA123" s="67" t="str">
        <f aca="false">IF(ISBLANK($C123),"",IF(N123=Constants!$B$2, TRUE(), IF(N123=Constants!$B$3, FALSE(), TRUE())))</f>
        <v/>
      </c>
      <c r="AB123" s="67" t="str">
        <f aca="false">IF(ISBLANK($C123),"",IF(O123=Constants!$B$2, TRUE(), IF(O123=Constants!$B$3, FALSE(), TRUE())))</f>
        <v/>
      </c>
      <c r="AC123" s="67" t="str">
        <f aca="false">IF(ISBLANK($C123),"",IF(P123=Constants!$B$2, TRUE(), IF(P123=Constants!$B$3, FALSE(), FALSE())))</f>
        <v/>
      </c>
      <c r="AD123" s="67" t="str">
        <f aca="false">IF(ISBLANK($C123),"",AND(V123&lt;&gt;"",IF(U123=Constants!$B$19,S123,R123)))</f>
        <v/>
      </c>
      <c r="AE123" s="67" t="str">
        <f aca="false">IF(ISBLANK($C123),"",AND(Z123&lt;&gt;"",IF(Y123=Constants!$B$19,S123,R123)))</f>
        <v/>
      </c>
      <c r="AF123" s="67" t="str">
        <f aca="false">IF(ISBLANK($C123),"",IF(AC123,Constants!$B$4,IF(COUNTA(E123:O123)=0,Constants!$B$5,IF(AND(NOT(AD123),NOT(AE123)),Constants!$B$6,Constants!$B$7))))</f>
        <v/>
      </c>
      <c r="AG123" s="67" t="str">
        <f aca="false">IF(ISBLANK($C123),"",IF($AF123&lt;&gt;Constants!$B$7,$AF123,Constants!$B$20))</f>
        <v/>
      </c>
      <c r="AH123" s="67" t="str">
        <f aca="false">IF($AF123=Constants!$B$7,IF(AD123,V123,Constants!$B$13),"")</f>
        <v/>
      </c>
      <c r="AI123" s="67" t="str">
        <f aca="false">IF($AF123=Constants!$B$7,IF(AD123,T123*IF(W123, 1, Constants!$B$11)*IF(X123, 1, Constants!$B$12),Constants!$B$13),"")</f>
        <v/>
      </c>
      <c r="AJ123" s="67" t="str">
        <f aca="false">IF($AF123=Constants!$B$7,AH123*AI123,"")</f>
        <v/>
      </c>
      <c r="AK123" s="67" t="str">
        <f aca="false">IF($AF123=Constants!$B$7,IF(AE123,Z123,Constants!$B$13),"")</f>
        <v/>
      </c>
      <c r="AL123" s="67" t="str">
        <f aca="false">IF($AF123=Constants!$B$7,IF(AE123,T123*IF(AA123, 1, Constants!$B$11)*IF(AB123, 1, Constants!$B$12),Constants!$B$13),"")</f>
        <v/>
      </c>
      <c r="AM123" s="67" t="str">
        <f aca="false">IF($AF123=Constants!$B$7,AK123*AL123,"")</f>
        <v/>
      </c>
      <c r="AN123" s="67" t="str">
        <f aca="false">IF($AF123=Constants!$B$7,IF(AM123&gt;AJ123,2,1),"")</f>
        <v/>
      </c>
      <c r="AO123" s="67" t="str">
        <f aca="false">IF($AF123=Constants!$B$7,IF(AN123=1,2,1),"")</f>
        <v/>
      </c>
      <c r="AP123" s="67" t="str">
        <f aca="false">IF(ISBLANK($C123),"",IF($AF123&lt;&gt;Constants!$B$7,$AF123,IF(AN123=1,AJ123,AM123)))</f>
        <v/>
      </c>
      <c r="AQ123" s="67" t="str">
        <f aca="false">IF(ISBLANK($C123),"",IF($AF123=Constants!$B$7,IF(ISNUMBER(AP123),RANK(AP123,$AP$8:$AP$507),Constants!$B$14),$AF123))</f>
        <v/>
      </c>
      <c r="AR123" s="67" t="str">
        <f aca="false">IF(ISBLANK($C123),"",IF($AF123=Constants!$B$7,IF(AO123=1,AJ123,AM123),""))</f>
        <v/>
      </c>
      <c r="AS123" s="67" t="str">
        <f aca="false">IF(ISBLANK($C123),"",IF($AF123=Constants!$B$7,RANK(AR123,$AR$8:$AR$507),$AF123))</f>
        <v/>
      </c>
      <c r="AT123" s="67" t="str">
        <f aca="false">IF(ISBLANK($C123),"",IF($AF123=Constants!$B$7,IF(ISNUMBER(AQ123),COUNTIFS($AQ$8:$AQ$507,"&lt;"&amp;$AQ123)+COUNTIFS($AQ$8:$AQ$507,$AQ123,$AS$8:$AS$507,"&lt;"&amp;$AS123)+1,Constants!$B$14),$AF123))</f>
        <v/>
      </c>
      <c r="AU123" s="67" t="str">
        <f aca="false">IF(ISBLANK($C123),"",IF($AF123=Constants!$B$7,IF(ISNUMBER(AQ123),AQ123-AT123,Constants!$B$14),$AF123))</f>
        <v/>
      </c>
      <c r="AV123" s="69"/>
      <c r="AW123" s="70" t="str">
        <f aca="false">IF(ISBLANK($C123),"",IF($AF123&lt;&gt;Constants!$B$7,"",AN123))</f>
        <v/>
      </c>
      <c r="AX123" s="85" t="str">
        <f aca="false">IF(ISBLANK($C123),"",IF($AF123&lt;&gt;Constants!$B$7,"",IF(AN123=1,AH123,AK123)))</f>
        <v/>
      </c>
      <c r="AY123" s="72" t="str">
        <f aca="false">IF(ISBLANK($C123),"",IF($AF123&lt;&gt;Constants!$B$7,"",IF(AN123=1,AI123,AL123)))</f>
        <v/>
      </c>
      <c r="AZ123" s="73" t="str">
        <f aca="false">IF(ISBLANK($C123),"",IF($AF123&lt;&gt;Constants!$B$7,$AF123,AP123))</f>
        <v/>
      </c>
      <c r="BA123" s="74" t="str">
        <f aca="false">IF(ISBLANK($C123),"",IF($AF123&lt;&gt;Constants!$B$7,$AF123,AG123))</f>
        <v/>
      </c>
      <c r="BB123" s="75" t="str">
        <f aca="false">IF(ISBLANK($C123),"",AU123)</f>
        <v/>
      </c>
      <c r="BC123" s="75" t="str">
        <f aca="false">IF(ISBLANK($C123),"",AT123)</f>
        <v/>
      </c>
      <c r="BD123" s="76" t="str">
        <f aca="false">IF(ISBLANK($C123),"",IFERROR(_xlfn.SWITCH(BC123,Constants!$B$4,COUNTA($C$8:$C$507)+2,Constants!$B$5,COUNTA($C$8:$C$507)+1,Constants!$B$6,COUNTA($C$8:$C$507)),BC123))</f>
        <v/>
      </c>
      <c r="BE123" s="5"/>
      <c r="BF123" s="77" t="n">
        <f aca="false">IF(OR(ISNUMBER(BC123),BC123=Constants!$B$4,BC123=Constants!$B$6,BC123=Constants!$B$5),1,0)</f>
        <v>0</v>
      </c>
      <c r="BG123" s="77" t="n">
        <v>116</v>
      </c>
      <c r="BH123" s="77" t="str">
        <f aca="false">IF(ISBLANK($C123),"",IF(ISNUMBER(BD123),BD123+ROW($B123)/1000,""))</f>
        <v/>
      </c>
      <c r="BI123" s="77" t="str">
        <f aca="false">IF(ISNUMBER(BH123),RANK(BH123,$BH$8:$BH$507,1),"")</f>
        <v/>
      </c>
      <c r="BJ123" s="77" t="str">
        <f aca="false">IF(ISBLANK($C123),"",$B123)</f>
        <v/>
      </c>
      <c r="BK123" s="77" t="str">
        <f aca="false">IF(ISBLANK($C123),"",$C123)</f>
        <v/>
      </c>
      <c r="BL123" s="77" t="str">
        <f aca="false">IF(ISBLANK($C123),"",$D123)</f>
        <v/>
      </c>
      <c r="BM123" s="78" t="str">
        <f aca="false">BA123</f>
        <v/>
      </c>
      <c r="BN123" s="79" t="str">
        <f aca="false">AZ123</f>
        <v/>
      </c>
      <c r="BO123" s="77" t="str">
        <f aca="false">IF(ISBLANK($C123),"",BC123)</f>
        <v/>
      </c>
      <c r="BP123" s="80" t="str">
        <f aca="false">IF($BG123&gt;$BF$7,"",VLOOKUP($BG123,$BI$8:$BO$507,7,FALSE()))</f>
        <v/>
      </c>
      <c r="BQ123" s="81" t="str">
        <f aca="false">IF($BG123&gt;$BF$7,"",VLOOKUP($BG123,$BI$8:$BO$507,2,FALSE()))</f>
        <v/>
      </c>
      <c r="BR123" s="81" t="str">
        <f aca="false">IF($BG123&gt;$BF$7,"",VLOOKUP($BG123,$BI$8:$BO$507,3,FALSE()))</f>
        <v/>
      </c>
      <c r="BS123" s="81" t="str">
        <f aca="false">IF($BG123&gt;$BF$7,"",VLOOKUP($BG123,$BI$8:$BO$507,4,FALSE()))</f>
        <v/>
      </c>
      <c r="BT123" s="81" t="str">
        <f aca="false">IF($BG123&gt;$BF$7,"",VLOOKUP($BG123,$BI$8:$BO$507,5,FALSE()))</f>
        <v/>
      </c>
      <c r="BU123" s="82" t="str">
        <f aca="false">IF($BG123&gt;$BF$7,"",VLOOKUP($BG123,$BI$8:$BO$507,6,FALSE()))</f>
        <v/>
      </c>
      <c r="BV123" s="54"/>
    </row>
    <row r="124" customFormat="false" ht="15.75" hidden="false" customHeight="false" outlineLevel="0" collapsed="false">
      <c r="A124" s="5"/>
      <c r="B124" s="135"/>
      <c r="C124" s="56"/>
      <c r="D124" s="57"/>
      <c r="E124" s="84"/>
      <c r="F124" s="136"/>
      <c r="G124" s="60"/>
      <c r="H124" s="137"/>
      <c r="I124" s="62"/>
      <c r="J124" s="62"/>
      <c r="K124" s="60"/>
      <c r="L124" s="138"/>
      <c r="M124" s="62"/>
      <c r="N124" s="62"/>
      <c r="O124" s="60"/>
      <c r="P124" s="84"/>
      <c r="Q124" s="65"/>
      <c r="R124" s="67" t="str">
        <f aca="false">IF(ISBLANK($C124),"",IF(E124=Constants!$B$2, TRUE(), IF(E124=Constants!$B$3, FALSE(), TRUE())))</f>
        <v/>
      </c>
      <c r="S124" s="67" t="str">
        <f aca="false">IF(ISBLANK($C124),"",IF(F124=Constants!$B$2, TRUE(), IF(F124=Constants!$B$3, FALSE(), TRUE())))</f>
        <v/>
      </c>
      <c r="T124" s="67" t="str">
        <f aca="false">IF(ISBLANK($C124),"",IF(G124=Constants!$B$16,Constants!$B$9,IF(G124=Constants!$B$17,Constants!$B$10,Constants!$B$8)))</f>
        <v/>
      </c>
      <c r="U124" s="67" t="str">
        <f aca="false">IF(ISBLANK($C124),"",IF(H124=Constants!$B$19,Constants!$B$19,Constants!$B$18))</f>
        <v/>
      </c>
      <c r="V124" s="67" t="str">
        <f aca="false">IF(ISBLANK($C124),"",IF(ISNUMBER(I124),IF(I124&gt;=0,I124,""),""))</f>
        <v/>
      </c>
      <c r="W124" s="67" t="str">
        <f aca="false">IF(ISBLANK($C124),"",IF(J124=Constants!$B$2, TRUE(), IF(J124=Constants!$B$3, FALSE(), TRUE())))</f>
        <v/>
      </c>
      <c r="X124" s="67" t="str">
        <f aca="false">IF(ISBLANK($C124),"",IF(K124=Constants!$B$2, TRUE(), IF(K124=Constants!$B$3, FALSE(), TRUE())))</f>
        <v/>
      </c>
      <c r="Y124" s="67" t="str">
        <f aca="false">IF(ISBLANK($C124),"",IF(L124=Constants!$B$19,Constants!$B$19,Constants!$B$18))</f>
        <v/>
      </c>
      <c r="Z124" s="67" t="str">
        <f aca="false">IF(ISBLANK($C124),"",IF(ISNUMBER(M124),IF(M124&gt;=0,M124,""),""))</f>
        <v/>
      </c>
      <c r="AA124" s="67" t="str">
        <f aca="false">IF(ISBLANK($C124),"",IF(N124=Constants!$B$2, TRUE(), IF(N124=Constants!$B$3, FALSE(), TRUE())))</f>
        <v/>
      </c>
      <c r="AB124" s="67" t="str">
        <f aca="false">IF(ISBLANK($C124),"",IF(O124=Constants!$B$2, TRUE(), IF(O124=Constants!$B$3, FALSE(), TRUE())))</f>
        <v/>
      </c>
      <c r="AC124" s="67" t="str">
        <f aca="false">IF(ISBLANK($C124),"",IF(P124=Constants!$B$2, TRUE(), IF(P124=Constants!$B$3, FALSE(), FALSE())))</f>
        <v/>
      </c>
      <c r="AD124" s="67" t="str">
        <f aca="false">IF(ISBLANK($C124),"",AND(V124&lt;&gt;"",IF(U124=Constants!$B$19,S124,R124)))</f>
        <v/>
      </c>
      <c r="AE124" s="67" t="str">
        <f aca="false">IF(ISBLANK($C124),"",AND(Z124&lt;&gt;"",IF(Y124=Constants!$B$19,S124,R124)))</f>
        <v/>
      </c>
      <c r="AF124" s="67" t="str">
        <f aca="false">IF(ISBLANK($C124),"",IF(AC124,Constants!$B$4,IF(COUNTA(E124:O124)=0,Constants!$B$5,IF(AND(NOT(AD124),NOT(AE124)),Constants!$B$6,Constants!$B$7))))</f>
        <v/>
      </c>
      <c r="AG124" s="67" t="str">
        <f aca="false">IF(ISBLANK($C124),"",IF($AF124&lt;&gt;Constants!$B$7,$AF124,Constants!$B$20))</f>
        <v/>
      </c>
      <c r="AH124" s="67" t="str">
        <f aca="false">IF($AF124=Constants!$B$7,IF(AD124,V124,Constants!$B$13),"")</f>
        <v/>
      </c>
      <c r="AI124" s="67" t="str">
        <f aca="false">IF($AF124=Constants!$B$7,IF(AD124,T124*IF(W124, 1, Constants!$B$11)*IF(X124, 1, Constants!$B$12),Constants!$B$13),"")</f>
        <v/>
      </c>
      <c r="AJ124" s="67" t="str">
        <f aca="false">IF($AF124=Constants!$B$7,AH124*AI124,"")</f>
        <v/>
      </c>
      <c r="AK124" s="67" t="str">
        <f aca="false">IF($AF124=Constants!$B$7,IF(AE124,Z124,Constants!$B$13),"")</f>
        <v/>
      </c>
      <c r="AL124" s="67" t="str">
        <f aca="false">IF($AF124=Constants!$B$7,IF(AE124,T124*IF(AA124, 1, Constants!$B$11)*IF(AB124, 1, Constants!$B$12),Constants!$B$13),"")</f>
        <v/>
      </c>
      <c r="AM124" s="67" t="str">
        <f aca="false">IF($AF124=Constants!$B$7,AK124*AL124,"")</f>
        <v/>
      </c>
      <c r="AN124" s="67" t="str">
        <f aca="false">IF($AF124=Constants!$B$7,IF(AM124&gt;AJ124,2,1),"")</f>
        <v/>
      </c>
      <c r="AO124" s="67" t="str">
        <f aca="false">IF($AF124=Constants!$B$7,IF(AN124=1,2,1),"")</f>
        <v/>
      </c>
      <c r="AP124" s="67" t="str">
        <f aca="false">IF(ISBLANK($C124),"",IF($AF124&lt;&gt;Constants!$B$7,$AF124,IF(AN124=1,AJ124,AM124)))</f>
        <v/>
      </c>
      <c r="AQ124" s="67" t="str">
        <f aca="false">IF(ISBLANK($C124),"",IF($AF124=Constants!$B$7,IF(ISNUMBER(AP124),RANK(AP124,$AP$8:$AP$507),Constants!$B$14),$AF124))</f>
        <v/>
      </c>
      <c r="AR124" s="67" t="str">
        <f aca="false">IF(ISBLANK($C124),"",IF($AF124=Constants!$B$7,IF(AO124=1,AJ124,AM124),""))</f>
        <v/>
      </c>
      <c r="AS124" s="67" t="str">
        <f aca="false">IF(ISBLANK($C124),"",IF($AF124=Constants!$B$7,RANK(AR124,$AR$8:$AR$507),$AF124))</f>
        <v/>
      </c>
      <c r="AT124" s="67" t="str">
        <f aca="false">IF(ISBLANK($C124),"",IF($AF124=Constants!$B$7,IF(ISNUMBER(AQ124),COUNTIFS($AQ$8:$AQ$507,"&lt;"&amp;$AQ124)+COUNTIFS($AQ$8:$AQ$507,$AQ124,$AS$8:$AS$507,"&lt;"&amp;$AS124)+1,Constants!$B$14),$AF124))</f>
        <v/>
      </c>
      <c r="AU124" s="67" t="str">
        <f aca="false">IF(ISBLANK($C124),"",IF($AF124=Constants!$B$7,IF(ISNUMBER(AQ124),AQ124-AT124,Constants!$B$14),$AF124))</f>
        <v/>
      </c>
      <c r="AV124" s="69"/>
      <c r="AW124" s="70" t="str">
        <f aca="false">IF(ISBLANK($C124),"",IF($AF124&lt;&gt;Constants!$B$7,"",AN124))</f>
        <v/>
      </c>
      <c r="AX124" s="85" t="str">
        <f aca="false">IF(ISBLANK($C124),"",IF($AF124&lt;&gt;Constants!$B$7,"",IF(AN124=1,AH124,AK124)))</f>
        <v/>
      </c>
      <c r="AY124" s="72" t="str">
        <f aca="false">IF(ISBLANK($C124),"",IF($AF124&lt;&gt;Constants!$B$7,"",IF(AN124=1,AI124,AL124)))</f>
        <v/>
      </c>
      <c r="AZ124" s="73" t="str">
        <f aca="false">IF(ISBLANK($C124),"",IF($AF124&lt;&gt;Constants!$B$7,$AF124,AP124))</f>
        <v/>
      </c>
      <c r="BA124" s="74" t="str">
        <f aca="false">IF(ISBLANK($C124),"",IF($AF124&lt;&gt;Constants!$B$7,$AF124,AG124))</f>
        <v/>
      </c>
      <c r="BB124" s="75" t="str">
        <f aca="false">IF(ISBLANK($C124),"",AU124)</f>
        <v/>
      </c>
      <c r="BC124" s="75" t="str">
        <f aca="false">IF(ISBLANK($C124),"",AT124)</f>
        <v/>
      </c>
      <c r="BD124" s="76" t="str">
        <f aca="false">IF(ISBLANK($C124),"",IFERROR(_xlfn.SWITCH(BC124,Constants!$B$4,COUNTA($C$8:$C$507)+2,Constants!$B$5,COUNTA($C$8:$C$507)+1,Constants!$B$6,COUNTA($C$8:$C$507)),BC124))</f>
        <v/>
      </c>
      <c r="BE124" s="5"/>
      <c r="BF124" s="77" t="n">
        <f aca="false">IF(OR(ISNUMBER(BC124),BC124=Constants!$B$4,BC124=Constants!$B$6,BC124=Constants!$B$5),1,0)</f>
        <v>0</v>
      </c>
      <c r="BG124" s="77" t="n">
        <v>117</v>
      </c>
      <c r="BH124" s="77" t="str">
        <f aca="false">IF(ISBLANK($C124),"",IF(ISNUMBER(BD124),BD124+ROW($B124)/1000,""))</f>
        <v/>
      </c>
      <c r="BI124" s="77" t="str">
        <f aca="false">IF(ISNUMBER(BH124),RANK(BH124,$BH$8:$BH$507,1),"")</f>
        <v/>
      </c>
      <c r="BJ124" s="77" t="str">
        <f aca="false">IF(ISBLANK($C124),"",$B124)</f>
        <v/>
      </c>
      <c r="BK124" s="77" t="str">
        <f aca="false">IF(ISBLANK($C124),"",$C124)</f>
        <v/>
      </c>
      <c r="BL124" s="77" t="str">
        <f aca="false">IF(ISBLANK($C124),"",$D124)</f>
        <v/>
      </c>
      <c r="BM124" s="78" t="str">
        <f aca="false">BA124</f>
        <v/>
      </c>
      <c r="BN124" s="79" t="str">
        <f aca="false">AZ124</f>
        <v/>
      </c>
      <c r="BO124" s="77" t="str">
        <f aca="false">IF(ISBLANK($C124),"",BC124)</f>
        <v/>
      </c>
      <c r="BP124" s="80" t="str">
        <f aca="false">IF($BG124&gt;$BF$7,"",VLOOKUP($BG124,$BI$8:$BO$507,7,FALSE()))</f>
        <v/>
      </c>
      <c r="BQ124" s="81" t="str">
        <f aca="false">IF($BG124&gt;$BF$7,"",VLOOKUP($BG124,$BI$8:$BO$507,2,FALSE()))</f>
        <v/>
      </c>
      <c r="BR124" s="81" t="str">
        <f aca="false">IF($BG124&gt;$BF$7,"",VLOOKUP($BG124,$BI$8:$BO$507,3,FALSE()))</f>
        <v/>
      </c>
      <c r="BS124" s="81" t="str">
        <f aca="false">IF($BG124&gt;$BF$7,"",VLOOKUP($BG124,$BI$8:$BO$507,4,FALSE()))</f>
        <v/>
      </c>
      <c r="BT124" s="81" t="str">
        <f aca="false">IF($BG124&gt;$BF$7,"",VLOOKUP($BG124,$BI$8:$BO$507,5,FALSE()))</f>
        <v/>
      </c>
      <c r="BU124" s="82" t="str">
        <f aca="false">IF($BG124&gt;$BF$7,"",VLOOKUP($BG124,$BI$8:$BO$507,6,FALSE()))</f>
        <v/>
      </c>
      <c r="BV124" s="54"/>
    </row>
    <row r="125" customFormat="false" ht="15.75" hidden="false" customHeight="false" outlineLevel="0" collapsed="false">
      <c r="A125" s="5"/>
      <c r="B125" s="128"/>
      <c r="C125" s="129"/>
      <c r="D125" s="114"/>
      <c r="E125" s="134"/>
      <c r="F125" s="139"/>
      <c r="G125" s="93"/>
      <c r="H125" s="140"/>
      <c r="I125" s="95"/>
      <c r="J125" s="95"/>
      <c r="K125" s="93"/>
      <c r="L125" s="141"/>
      <c r="M125" s="95"/>
      <c r="N125" s="95"/>
      <c r="O125" s="93"/>
      <c r="P125" s="134"/>
      <c r="Q125" s="98"/>
      <c r="R125" s="99" t="str">
        <f aca="false">IF(ISBLANK($C125),"",IF(E125=Constants!$B$2, TRUE(), IF(E125=Constants!$B$3, FALSE(), TRUE())))</f>
        <v/>
      </c>
      <c r="S125" s="99" t="str">
        <f aca="false">IF(ISBLANK($C125),"",IF(F125=Constants!$B$2, TRUE(), IF(F125=Constants!$B$3, FALSE(), TRUE())))</f>
        <v/>
      </c>
      <c r="T125" s="99" t="str">
        <f aca="false">IF(ISBLANK($C125),"",IF(G125=Constants!$B$16,Constants!$B$9,IF(G125=Constants!$B$17,Constants!$B$10,Constants!$B$8)))</f>
        <v/>
      </c>
      <c r="U125" s="99" t="str">
        <f aca="false">IF(ISBLANK($C125),"",IF(H125=Constants!$B$19,Constants!$B$19,Constants!$B$18))</f>
        <v/>
      </c>
      <c r="V125" s="99" t="str">
        <f aca="false">IF(ISBLANK($C125),"",IF(ISNUMBER(I125),IF(I125&gt;=0,I125,""),""))</f>
        <v/>
      </c>
      <c r="W125" s="99" t="str">
        <f aca="false">IF(ISBLANK($C125),"",IF(J125=Constants!$B$2, TRUE(), IF(J125=Constants!$B$3, FALSE(), TRUE())))</f>
        <v/>
      </c>
      <c r="X125" s="99" t="str">
        <f aca="false">IF(ISBLANK($C125),"",IF(K125=Constants!$B$2, TRUE(), IF(K125=Constants!$B$3, FALSE(), TRUE())))</f>
        <v/>
      </c>
      <c r="Y125" s="99" t="str">
        <f aca="false">IF(ISBLANK($C125),"",IF(L125=Constants!$B$19,Constants!$B$19,Constants!$B$18))</f>
        <v/>
      </c>
      <c r="Z125" s="99" t="str">
        <f aca="false">IF(ISBLANK($C125),"",IF(ISNUMBER(M125),IF(M125&gt;=0,M125,""),""))</f>
        <v/>
      </c>
      <c r="AA125" s="99" t="str">
        <f aca="false">IF(ISBLANK($C125),"",IF(N125=Constants!$B$2, TRUE(), IF(N125=Constants!$B$3, FALSE(), TRUE())))</f>
        <v/>
      </c>
      <c r="AB125" s="99" t="str">
        <f aca="false">IF(ISBLANK($C125),"",IF(O125=Constants!$B$2, TRUE(), IF(O125=Constants!$B$3, FALSE(), TRUE())))</f>
        <v/>
      </c>
      <c r="AC125" s="99" t="str">
        <f aca="false">IF(ISBLANK($C125),"",IF(P125=Constants!$B$2, TRUE(), IF(P125=Constants!$B$3, FALSE(), FALSE())))</f>
        <v/>
      </c>
      <c r="AD125" s="99" t="str">
        <f aca="false">IF(ISBLANK($C125),"",AND(V125&lt;&gt;"",IF(U125=Constants!$B$19,S125,R125)))</f>
        <v/>
      </c>
      <c r="AE125" s="99" t="str">
        <f aca="false">IF(ISBLANK($C125),"",AND(Z125&lt;&gt;"",IF(Y125=Constants!$B$19,S125,R125)))</f>
        <v/>
      </c>
      <c r="AF125" s="99" t="str">
        <f aca="false">IF(ISBLANK($C125),"",IF(AC125,Constants!$B$4,IF(COUNTA(E125:O125)=0,Constants!$B$5,IF(AND(NOT(AD125),NOT(AE125)),Constants!$B$6,Constants!$B$7))))</f>
        <v/>
      </c>
      <c r="AG125" s="99" t="str">
        <f aca="false">IF(ISBLANK($C125),"",IF($AF125&lt;&gt;Constants!$B$7,$AF125,Constants!$B$20))</f>
        <v/>
      </c>
      <c r="AH125" s="99" t="str">
        <f aca="false">IF($AF125=Constants!$B$7,IF(AD125,V125,Constants!$B$13),"")</f>
        <v/>
      </c>
      <c r="AI125" s="99" t="str">
        <f aca="false">IF($AF125=Constants!$B$7,IF(AD125,T125*IF(W125, 1, Constants!$B$11)*IF(X125, 1, Constants!$B$12),Constants!$B$13),"")</f>
        <v/>
      </c>
      <c r="AJ125" s="99" t="str">
        <f aca="false">IF($AF125=Constants!$B$7,AH125*AI125,"")</f>
        <v/>
      </c>
      <c r="AK125" s="99" t="str">
        <f aca="false">IF($AF125=Constants!$B$7,IF(AE125,Z125,Constants!$B$13),"")</f>
        <v/>
      </c>
      <c r="AL125" s="99" t="str">
        <f aca="false">IF($AF125=Constants!$B$7,IF(AE125,T125*IF(AA125, 1, Constants!$B$11)*IF(AB125, 1, Constants!$B$12),Constants!$B$13),"")</f>
        <v/>
      </c>
      <c r="AM125" s="99" t="str">
        <f aca="false">IF($AF125=Constants!$B$7,AK125*AL125,"")</f>
        <v/>
      </c>
      <c r="AN125" s="99" t="str">
        <f aca="false">IF($AF125=Constants!$B$7,IF(AM125&gt;AJ125,2,1),"")</f>
        <v/>
      </c>
      <c r="AO125" s="99" t="str">
        <f aca="false">IF($AF125=Constants!$B$7,IF(AN125=1,2,1),"")</f>
        <v/>
      </c>
      <c r="AP125" s="99" t="str">
        <f aca="false">IF(ISBLANK($C125),"",IF($AF125&lt;&gt;Constants!$B$7,$AF125,IF(AN125=1,AJ125,AM125)))</f>
        <v/>
      </c>
      <c r="AQ125" s="99" t="str">
        <f aca="false">IF(ISBLANK($C125),"",IF($AF125=Constants!$B$7,IF(ISNUMBER(AP125),RANK(AP125,$AP$8:$AP$507),Constants!$B$14),$AF125))</f>
        <v/>
      </c>
      <c r="AR125" s="99" t="str">
        <f aca="false">IF(ISBLANK($C125),"",IF($AF125=Constants!$B$7,IF(AO125=1,AJ125,AM125),""))</f>
        <v/>
      </c>
      <c r="AS125" s="99" t="str">
        <f aca="false">IF(ISBLANK($C125),"",IF($AF125=Constants!$B$7,RANK(AR125,$AR$8:$AR$507),$AF125))</f>
        <v/>
      </c>
      <c r="AT125" s="99" t="str">
        <f aca="false">IF(ISBLANK($C125),"",IF($AF125=Constants!$B$7,IF(ISNUMBER(AQ125),COUNTIFS($AQ$8:$AQ$507,"&lt;"&amp;$AQ125)+COUNTIFS($AQ$8:$AQ$507,$AQ125,$AS$8:$AS$507,"&lt;"&amp;$AS125)+1,Constants!$B$14),$AF125))</f>
        <v/>
      </c>
      <c r="AU125" s="99" t="str">
        <f aca="false">IF(ISBLANK($C125),"",IF($AF125=Constants!$B$7,IF(ISNUMBER(AQ125),AQ125-AT125,Constants!$B$14),$AF125))</f>
        <v/>
      </c>
      <c r="AV125" s="100"/>
      <c r="AW125" s="101" t="str">
        <f aca="false">IF(ISBLANK($C125),"",IF($AF125&lt;&gt;Constants!$B$7,"",AN125))</f>
        <v/>
      </c>
      <c r="AX125" s="102" t="str">
        <f aca="false">IF(ISBLANK($C125),"",IF($AF125&lt;&gt;Constants!$B$7,"",IF(AN125=1,AH125,AK125)))</f>
        <v/>
      </c>
      <c r="AY125" s="103" t="str">
        <f aca="false">IF(ISBLANK($C125),"",IF($AF125&lt;&gt;Constants!$B$7,"",IF(AN125=1,AI125,AL125)))</f>
        <v/>
      </c>
      <c r="AZ125" s="104" t="str">
        <f aca="false">IF(ISBLANK($C125),"",IF($AF125&lt;&gt;Constants!$B$7,$AF125,AP125))</f>
        <v/>
      </c>
      <c r="BA125" s="105" t="str">
        <f aca="false">IF(ISBLANK($C125),"",IF($AF125&lt;&gt;Constants!$B$7,$AF125,AG125))</f>
        <v/>
      </c>
      <c r="BB125" s="106" t="str">
        <f aca="false">IF(ISBLANK($C125),"",AU125)</f>
        <v/>
      </c>
      <c r="BC125" s="106" t="str">
        <f aca="false">IF(ISBLANK($C125),"",AT125)</f>
        <v/>
      </c>
      <c r="BD125" s="107" t="str">
        <f aca="false">IF(ISBLANK($C125),"",IFERROR(_xlfn.SWITCH(BC125,Constants!$B$4,COUNTA($C$8:$C$507)+2,Constants!$B$5,COUNTA($C$8:$C$507)+1,Constants!$B$6,COUNTA($C$8:$C$507)),BC125))</f>
        <v/>
      </c>
      <c r="BE125" s="5"/>
      <c r="BF125" s="108" t="n">
        <f aca="false">IF(OR(ISNUMBER(BC125),BC125=Constants!$B$4,BC125=Constants!$B$6,BC125=Constants!$B$5),1,0)</f>
        <v>0</v>
      </c>
      <c r="BG125" s="108" t="n">
        <v>118</v>
      </c>
      <c r="BH125" s="108" t="str">
        <f aca="false">IF(ISBLANK($C125),"",IF(ISNUMBER(BD125),BD125+ROW($B125)/1000,""))</f>
        <v/>
      </c>
      <c r="BI125" s="108" t="str">
        <f aca="false">IF(ISNUMBER(BH125),RANK(BH125,$BH$8:$BH$507,1),"")</f>
        <v/>
      </c>
      <c r="BJ125" s="108" t="str">
        <f aca="false">IF(ISBLANK($C125),"",$B125)</f>
        <v/>
      </c>
      <c r="BK125" s="108" t="str">
        <f aca="false">IF(ISBLANK($C125),"",$C125)</f>
        <v/>
      </c>
      <c r="BL125" s="108" t="str">
        <f aca="false">IF(ISBLANK($C125),"",$D125)</f>
        <v/>
      </c>
      <c r="BM125" s="109" t="str">
        <f aca="false">BA125</f>
        <v/>
      </c>
      <c r="BN125" s="110" t="str">
        <f aca="false">AZ125</f>
        <v/>
      </c>
      <c r="BO125" s="108" t="str">
        <f aca="false">IF(ISBLANK($C125),"",BC125)</f>
        <v/>
      </c>
      <c r="BP125" s="111" t="str">
        <f aca="false">IF($BG125&gt;$BF$7,"",VLOOKUP($BG125,$BI$8:$BO$507,7,FALSE()))</f>
        <v/>
      </c>
      <c r="BQ125" s="112" t="str">
        <f aca="false">IF($BG125&gt;$BF$7,"",VLOOKUP($BG125,$BI$8:$BO$507,2,FALSE()))</f>
        <v/>
      </c>
      <c r="BR125" s="112" t="str">
        <f aca="false">IF($BG125&gt;$BF$7,"",VLOOKUP($BG125,$BI$8:$BO$507,3,FALSE()))</f>
        <v/>
      </c>
      <c r="BS125" s="112" t="str">
        <f aca="false">IF($BG125&gt;$BF$7,"",VLOOKUP($BG125,$BI$8:$BO$507,4,FALSE()))</f>
        <v/>
      </c>
      <c r="BT125" s="112" t="str">
        <f aca="false">IF($BG125&gt;$BF$7,"",VLOOKUP($BG125,$BI$8:$BO$507,5,FALSE()))</f>
        <v/>
      </c>
      <c r="BU125" s="113" t="str">
        <f aca="false">IF($BG125&gt;$BF$7,"",VLOOKUP($BG125,$BI$8:$BO$507,6,FALSE()))</f>
        <v/>
      </c>
      <c r="BV125" s="54"/>
    </row>
    <row r="126" customFormat="false" ht="15.75" hidden="false" customHeight="false" outlineLevel="0" collapsed="false">
      <c r="A126" s="5"/>
      <c r="B126" s="128"/>
      <c r="C126" s="129"/>
      <c r="D126" s="114"/>
      <c r="E126" s="134"/>
      <c r="F126" s="139"/>
      <c r="G126" s="93"/>
      <c r="H126" s="140"/>
      <c r="I126" s="95"/>
      <c r="J126" s="95"/>
      <c r="K126" s="93"/>
      <c r="L126" s="141"/>
      <c r="M126" s="95"/>
      <c r="N126" s="95"/>
      <c r="O126" s="93"/>
      <c r="P126" s="134"/>
      <c r="Q126" s="98"/>
      <c r="R126" s="99" t="str">
        <f aca="false">IF(ISBLANK($C126),"",IF(E126=Constants!$B$2, TRUE(), IF(E126=Constants!$B$3, FALSE(), TRUE())))</f>
        <v/>
      </c>
      <c r="S126" s="99" t="str">
        <f aca="false">IF(ISBLANK($C126),"",IF(F126=Constants!$B$2, TRUE(), IF(F126=Constants!$B$3, FALSE(), TRUE())))</f>
        <v/>
      </c>
      <c r="T126" s="99" t="str">
        <f aca="false">IF(ISBLANK($C126),"",IF(G126=Constants!$B$16,Constants!$B$9,IF(G126=Constants!$B$17,Constants!$B$10,Constants!$B$8)))</f>
        <v/>
      </c>
      <c r="U126" s="99" t="str">
        <f aca="false">IF(ISBLANK($C126),"",IF(H126=Constants!$B$19,Constants!$B$19,Constants!$B$18))</f>
        <v/>
      </c>
      <c r="V126" s="99" t="str">
        <f aca="false">IF(ISBLANK($C126),"",IF(ISNUMBER(I126),IF(I126&gt;=0,I126,""),""))</f>
        <v/>
      </c>
      <c r="W126" s="99" t="str">
        <f aca="false">IF(ISBLANK($C126),"",IF(J126=Constants!$B$2, TRUE(), IF(J126=Constants!$B$3, FALSE(), TRUE())))</f>
        <v/>
      </c>
      <c r="X126" s="99" t="str">
        <f aca="false">IF(ISBLANK($C126),"",IF(K126=Constants!$B$2, TRUE(), IF(K126=Constants!$B$3, FALSE(), TRUE())))</f>
        <v/>
      </c>
      <c r="Y126" s="99" t="str">
        <f aca="false">IF(ISBLANK($C126),"",IF(L126=Constants!$B$19,Constants!$B$19,Constants!$B$18))</f>
        <v/>
      </c>
      <c r="Z126" s="99" t="str">
        <f aca="false">IF(ISBLANK($C126),"",IF(ISNUMBER(M126),IF(M126&gt;=0,M126,""),""))</f>
        <v/>
      </c>
      <c r="AA126" s="99" t="str">
        <f aca="false">IF(ISBLANK($C126),"",IF(N126=Constants!$B$2, TRUE(), IF(N126=Constants!$B$3, FALSE(), TRUE())))</f>
        <v/>
      </c>
      <c r="AB126" s="99" t="str">
        <f aca="false">IF(ISBLANK($C126),"",IF(O126=Constants!$B$2, TRUE(), IF(O126=Constants!$B$3, FALSE(), TRUE())))</f>
        <v/>
      </c>
      <c r="AC126" s="99" t="str">
        <f aca="false">IF(ISBLANK($C126),"",IF(P126=Constants!$B$2, TRUE(), IF(P126=Constants!$B$3, FALSE(), FALSE())))</f>
        <v/>
      </c>
      <c r="AD126" s="99" t="str">
        <f aca="false">IF(ISBLANK($C126),"",AND(V126&lt;&gt;"",IF(U126=Constants!$B$19,S126,R126)))</f>
        <v/>
      </c>
      <c r="AE126" s="99" t="str">
        <f aca="false">IF(ISBLANK($C126),"",AND(Z126&lt;&gt;"",IF(Y126=Constants!$B$19,S126,R126)))</f>
        <v/>
      </c>
      <c r="AF126" s="99" t="str">
        <f aca="false">IF(ISBLANK($C126),"",IF(AC126,Constants!$B$4,IF(COUNTA(E126:O126)=0,Constants!$B$5,IF(AND(NOT(AD126),NOT(AE126)),Constants!$B$6,Constants!$B$7))))</f>
        <v/>
      </c>
      <c r="AG126" s="99" t="str">
        <f aca="false">IF(ISBLANK($C126),"",IF($AF126&lt;&gt;Constants!$B$7,$AF126,Constants!$B$20))</f>
        <v/>
      </c>
      <c r="AH126" s="99" t="str">
        <f aca="false">IF($AF126=Constants!$B$7,IF(AD126,V126,Constants!$B$13),"")</f>
        <v/>
      </c>
      <c r="AI126" s="99" t="str">
        <f aca="false">IF($AF126=Constants!$B$7,IF(AD126,T126*IF(W126, 1, Constants!$B$11)*IF(X126, 1, Constants!$B$12),Constants!$B$13),"")</f>
        <v/>
      </c>
      <c r="AJ126" s="99" t="str">
        <f aca="false">IF($AF126=Constants!$B$7,AH126*AI126,"")</f>
        <v/>
      </c>
      <c r="AK126" s="99" t="str">
        <f aca="false">IF($AF126=Constants!$B$7,IF(AE126,Z126,Constants!$B$13),"")</f>
        <v/>
      </c>
      <c r="AL126" s="99" t="str">
        <f aca="false">IF($AF126=Constants!$B$7,IF(AE126,T126*IF(AA126, 1, Constants!$B$11)*IF(AB126, 1, Constants!$B$12),Constants!$B$13),"")</f>
        <v/>
      </c>
      <c r="AM126" s="99" t="str">
        <f aca="false">IF($AF126=Constants!$B$7,AK126*AL126,"")</f>
        <v/>
      </c>
      <c r="AN126" s="99" t="str">
        <f aca="false">IF($AF126=Constants!$B$7,IF(AM126&gt;AJ126,2,1),"")</f>
        <v/>
      </c>
      <c r="AO126" s="99" t="str">
        <f aca="false">IF($AF126=Constants!$B$7,IF(AN126=1,2,1),"")</f>
        <v/>
      </c>
      <c r="AP126" s="99" t="str">
        <f aca="false">IF(ISBLANK($C126),"",IF($AF126&lt;&gt;Constants!$B$7,$AF126,IF(AN126=1,AJ126,AM126)))</f>
        <v/>
      </c>
      <c r="AQ126" s="99" t="str">
        <f aca="false">IF(ISBLANK($C126),"",IF($AF126=Constants!$B$7,IF(ISNUMBER(AP126),RANK(AP126,$AP$8:$AP$507),Constants!$B$14),$AF126))</f>
        <v/>
      </c>
      <c r="AR126" s="99" t="str">
        <f aca="false">IF(ISBLANK($C126),"",IF($AF126=Constants!$B$7,IF(AO126=1,AJ126,AM126),""))</f>
        <v/>
      </c>
      <c r="AS126" s="99" t="str">
        <f aca="false">IF(ISBLANK($C126),"",IF($AF126=Constants!$B$7,RANK(AR126,$AR$8:$AR$507),$AF126))</f>
        <v/>
      </c>
      <c r="AT126" s="99" t="str">
        <f aca="false">IF(ISBLANK($C126),"",IF($AF126=Constants!$B$7,IF(ISNUMBER(AQ126),COUNTIFS($AQ$8:$AQ$507,"&lt;"&amp;$AQ126)+COUNTIFS($AQ$8:$AQ$507,$AQ126,$AS$8:$AS$507,"&lt;"&amp;$AS126)+1,Constants!$B$14),$AF126))</f>
        <v/>
      </c>
      <c r="AU126" s="99" t="str">
        <f aca="false">IF(ISBLANK($C126),"",IF($AF126=Constants!$B$7,IF(ISNUMBER(AQ126),AQ126-AT126,Constants!$B$14),$AF126))</f>
        <v/>
      </c>
      <c r="AV126" s="100"/>
      <c r="AW126" s="101" t="str">
        <f aca="false">IF(ISBLANK($C126),"",IF($AF126&lt;&gt;Constants!$B$7,"",AN126))</f>
        <v/>
      </c>
      <c r="AX126" s="102" t="str">
        <f aca="false">IF(ISBLANK($C126),"",IF($AF126&lt;&gt;Constants!$B$7,"",IF(AN126=1,AH126,AK126)))</f>
        <v/>
      </c>
      <c r="AY126" s="103" t="str">
        <f aca="false">IF(ISBLANK($C126),"",IF($AF126&lt;&gt;Constants!$B$7,"",IF(AN126=1,AI126,AL126)))</f>
        <v/>
      </c>
      <c r="AZ126" s="104" t="str">
        <f aca="false">IF(ISBLANK($C126),"",IF($AF126&lt;&gt;Constants!$B$7,$AF126,AP126))</f>
        <v/>
      </c>
      <c r="BA126" s="105" t="str">
        <f aca="false">IF(ISBLANK($C126),"",IF($AF126&lt;&gt;Constants!$B$7,$AF126,AG126))</f>
        <v/>
      </c>
      <c r="BB126" s="106" t="str">
        <f aca="false">IF(ISBLANK($C126),"",AU126)</f>
        <v/>
      </c>
      <c r="BC126" s="106" t="str">
        <f aca="false">IF(ISBLANK($C126),"",AT126)</f>
        <v/>
      </c>
      <c r="BD126" s="107" t="str">
        <f aca="false">IF(ISBLANK($C126),"",IFERROR(_xlfn.SWITCH(BC126,Constants!$B$4,COUNTA($C$8:$C$507)+2,Constants!$B$5,COUNTA($C$8:$C$507)+1,Constants!$B$6,COUNTA($C$8:$C$507)),BC126))</f>
        <v/>
      </c>
      <c r="BE126" s="5"/>
      <c r="BF126" s="108" t="n">
        <f aca="false">IF(OR(ISNUMBER(BC126),BC126=Constants!$B$4,BC126=Constants!$B$6,BC126=Constants!$B$5),1,0)</f>
        <v>0</v>
      </c>
      <c r="BG126" s="108" t="n">
        <v>119</v>
      </c>
      <c r="BH126" s="108" t="str">
        <f aca="false">IF(ISBLANK($C126),"",IF(ISNUMBER(BD126),BD126+ROW($B126)/1000,""))</f>
        <v/>
      </c>
      <c r="BI126" s="108" t="str">
        <f aca="false">IF(ISNUMBER(BH126),RANK(BH126,$BH$8:$BH$507,1),"")</f>
        <v/>
      </c>
      <c r="BJ126" s="108" t="str">
        <f aca="false">IF(ISBLANK($C126),"",$B126)</f>
        <v/>
      </c>
      <c r="BK126" s="108" t="str">
        <f aca="false">IF(ISBLANK($C126),"",$C126)</f>
        <v/>
      </c>
      <c r="BL126" s="108" t="str">
        <f aca="false">IF(ISBLANK($C126),"",$D126)</f>
        <v/>
      </c>
      <c r="BM126" s="109" t="str">
        <f aca="false">BA126</f>
        <v/>
      </c>
      <c r="BN126" s="110" t="str">
        <f aca="false">AZ126</f>
        <v/>
      </c>
      <c r="BO126" s="108" t="str">
        <f aca="false">IF(ISBLANK($C126),"",BC126)</f>
        <v/>
      </c>
      <c r="BP126" s="111" t="str">
        <f aca="false">IF($BG126&gt;$BF$7,"",VLOOKUP($BG126,$BI$8:$BO$507,7,FALSE()))</f>
        <v/>
      </c>
      <c r="BQ126" s="112" t="str">
        <f aca="false">IF($BG126&gt;$BF$7,"",VLOOKUP($BG126,$BI$8:$BO$507,2,FALSE()))</f>
        <v/>
      </c>
      <c r="BR126" s="112" t="str">
        <f aca="false">IF($BG126&gt;$BF$7,"",VLOOKUP($BG126,$BI$8:$BO$507,3,FALSE()))</f>
        <v/>
      </c>
      <c r="BS126" s="112" t="str">
        <f aca="false">IF($BG126&gt;$BF$7,"",VLOOKUP($BG126,$BI$8:$BO$507,4,FALSE()))</f>
        <v/>
      </c>
      <c r="BT126" s="112" t="str">
        <f aca="false">IF($BG126&gt;$BF$7,"",VLOOKUP($BG126,$BI$8:$BO$507,5,FALSE()))</f>
        <v/>
      </c>
      <c r="BU126" s="113" t="str">
        <f aca="false">IF($BG126&gt;$BF$7,"",VLOOKUP($BG126,$BI$8:$BO$507,6,FALSE()))</f>
        <v/>
      </c>
      <c r="BV126" s="54"/>
    </row>
    <row r="127" customFormat="false" ht="15.75" hidden="false" customHeight="false" outlineLevel="0" collapsed="false">
      <c r="A127" s="5"/>
      <c r="B127" s="128"/>
      <c r="C127" s="129"/>
      <c r="D127" s="114"/>
      <c r="E127" s="134"/>
      <c r="F127" s="139"/>
      <c r="G127" s="93"/>
      <c r="H127" s="140"/>
      <c r="I127" s="95"/>
      <c r="J127" s="95"/>
      <c r="K127" s="93"/>
      <c r="L127" s="141"/>
      <c r="M127" s="95"/>
      <c r="N127" s="95"/>
      <c r="O127" s="93"/>
      <c r="P127" s="134"/>
      <c r="Q127" s="98"/>
      <c r="R127" s="99" t="str">
        <f aca="false">IF(ISBLANK($C127),"",IF(E127=Constants!$B$2, TRUE(), IF(E127=Constants!$B$3, FALSE(), TRUE())))</f>
        <v/>
      </c>
      <c r="S127" s="99" t="str">
        <f aca="false">IF(ISBLANK($C127),"",IF(F127=Constants!$B$2, TRUE(), IF(F127=Constants!$B$3, FALSE(), TRUE())))</f>
        <v/>
      </c>
      <c r="T127" s="99" t="str">
        <f aca="false">IF(ISBLANK($C127),"",IF(G127=Constants!$B$16,Constants!$B$9,IF(G127=Constants!$B$17,Constants!$B$10,Constants!$B$8)))</f>
        <v/>
      </c>
      <c r="U127" s="99" t="str">
        <f aca="false">IF(ISBLANK($C127),"",IF(H127=Constants!$B$19,Constants!$B$19,Constants!$B$18))</f>
        <v/>
      </c>
      <c r="V127" s="99" t="str">
        <f aca="false">IF(ISBLANK($C127),"",IF(ISNUMBER(I127),IF(I127&gt;=0,I127,""),""))</f>
        <v/>
      </c>
      <c r="W127" s="99" t="str">
        <f aca="false">IF(ISBLANK($C127),"",IF(J127=Constants!$B$2, TRUE(), IF(J127=Constants!$B$3, FALSE(), TRUE())))</f>
        <v/>
      </c>
      <c r="X127" s="99" t="str">
        <f aca="false">IF(ISBLANK($C127),"",IF(K127=Constants!$B$2, TRUE(), IF(K127=Constants!$B$3, FALSE(), TRUE())))</f>
        <v/>
      </c>
      <c r="Y127" s="99" t="str">
        <f aca="false">IF(ISBLANK($C127),"",IF(L127=Constants!$B$19,Constants!$B$19,Constants!$B$18))</f>
        <v/>
      </c>
      <c r="Z127" s="99" t="str">
        <f aca="false">IF(ISBLANK($C127),"",IF(ISNUMBER(M127),IF(M127&gt;=0,M127,""),""))</f>
        <v/>
      </c>
      <c r="AA127" s="99" t="str">
        <f aca="false">IF(ISBLANK($C127),"",IF(N127=Constants!$B$2, TRUE(), IF(N127=Constants!$B$3, FALSE(), TRUE())))</f>
        <v/>
      </c>
      <c r="AB127" s="99" t="str">
        <f aca="false">IF(ISBLANK($C127),"",IF(O127=Constants!$B$2, TRUE(), IF(O127=Constants!$B$3, FALSE(), TRUE())))</f>
        <v/>
      </c>
      <c r="AC127" s="99" t="str">
        <f aca="false">IF(ISBLANK($C127),"",IF(P127=Constants!$B$2, TRUE(), IF(P127=Constants!$B$3, FALSE(), FALSE())))</f>
        <v/>
      </c>
      <c r="AD127" s="99" t="str">
        <f aca="false">IF(ISBLANK($C127),"",AND(V127&lt;&gt;"",IF(U127=Constants!$B$19,S127,R127)))</f>
        <v/>
      </c>
      <c r="AE127" s="99" t="str">
        <f aca="false">IF(ISBLANK($C127),"",AND(Z127&lt;&gt;"",IF(Y127=Constants!$B$19,S127,R127)))</f>
        <v/>
      </c>
      <c r="AF127" s="99" t="str">
        <f aca="false">IF(ISBLANK($C127),"",IF(AC127,Constants!$B$4,IF(COUNTA(E127:O127)=0,Constants!$B$5,IF(AND(NOT(AD127),NOT(AE127)),Constants!$B$6,Constants!$B$7))))</f>
        <v/>
      </c>
      <c r="AG127" s="99" t="str">
        <f aca="false">IF(ISBLANK($C127),"",IF($AF127&lt;&gt;Constants!$B$7,$AF127,Constants!$B$20))</f>
        <v/>
      </c>
      <c r="AH127" s="99" t="str">
        <f aca="false">IF($AF127=Constants!$B$7,IF(AD127,V127,Constants!$B$13),"")</f>
        <v/>
      </c>
      <c r="AI127" s="99" t="str">
        <f aca="false">IF($AF127=Constants!$B$7,IF(AD127,T127*IF(W127, 1, Constants!$B$11)*IF(X127, 1, Constants!$B$12),Constants!$B$13),"")</f>
        <v/>
      </c>
      <c r="AJ127" s="99" t="str">
        <f aca="false">IF($AF127=Constants!$B$7,AH127*AI127,"")</f>
        <v/>
      </c>
      <c r="AK127" s="99" t="str">
        <f aca="false">IF($AF127=Constants!$B$7,IF(AE127,Z127,Constants!$B$13),"")</f>
        <v/>
      </c>
      <c r="AL127" s="99" t="str">
        <f aca="false">IF($AF127=Constants!$B$7,IF(AE127,T127*IF(AA127, 1, Constants!$B$11)*IF(AB127, 1, Constants!$B$12),Constants!$B$13),"")</f>
        <v/>
      </c>
      <c r="AM127" s="99" t="str">
        <f aca="false">IF($AF127=Constants!$B$7,AK127*AL127,"")</f>
        <v/>
      </c>
      <c r="AN127" s="99" t="str">
        <f aca="false">IF($AF127=Constants!$B$7,IF(AM127&gt;AJ127,2,1),"")</f>
        <v/>
      </c>
      <c r="AO127" s="99" t="str">
        <f aca="false">IF($AF127=Constants!$B$7,IF(AN127=1,2,1),"")</f>
        <v/>
      </c>
      <c r="AP127" s="99" t="str">
        <f aca="false">IF(ISBLANK($C127),"",IF($AF127&lt;&gt;Constants!$B$7,$AF127,IF(AN127=1,AJ127,AM127)))</f>
        <v/>
      </c>
      <c r="AQ127" s="99" t="str">
        <f aca="false">IF(ISBLANK($C127),"",IF($AF127=Constants!$B$7,IF(ISNUMBER(AP127),RANK(AP127,$AP$8:$AP$507),Constants!$B$14),$AF127))</f>
        <v/>
      </c>
      <c r="AR127" s="99" t="str">
        <f aca="false">IF(ISBLANK($C127),"",IF($AF127=Constants!$B$7,IF(AO127=1,AJ127,AM127),""))</f>
        <v/>
      </c>
      <c r="AS127" s="99" t="str">
        <f aca="false">IF(ISBLANK($C127),"",IF($AF127=Constants!$B$7,RANK(AR127,$AR$8:$AR$507),$AF127))</f>
        <v/>
      </c>
      <c r="AT127" s="99" t="str">
        <f aca="false">IF(ISBLANK($C127),"",IF($AF127=Constants!$B$7,IF(ISNUMBER(AQ127),COUNTIFS($AQ$8:$AQ$507,"&lt;"&amp;$AQ127)+COUNTIFS($AQ$8:$AQ$507,$AQ127,$AS$8:$AS$507,"&lt;"&amp;$AS127)+1,Constants!$B$14),$AF127))</f>
        <v/>
      </c>
      <c r="AU127" s="99" t="str">
        <f aca="false">IF(ISBLANK($C127),"",IF($AF127=Constants!$B$7,IF(ISNUMBER(AQ127),AQ127-AT127,Constants!$B$14),$AF127))</f>
        <v/>
      </c>
      <c r="AV127" s="100"/>
      <c r="AW127" s="101" t="str">
        <f aca="false">IF(ISBLANK($C127),"",IF($AF127&lt;&gt;Constants!$B$7,"",AN127))</f>
        <v/>
      </c>
      <c r="AX127" s="102" t="str">
        <f aca="false">IF(ISBLANK($C127),"",IF($AF127&lt;&gt;Constants!$B$7,"",IF(AN127=1,AH127,AK127)))</f>
        <v/>
      </c>
      <c r="AY127" s="103" t="str">
        <f aca="false">IF(ISBLANK($C127),"",IF($AF127&lt;&gt;Constants!$B$7,"",IF(AN127=1,AI127,AL127)))</f>
        <v/>
      </c>
      <c r="AZ127" s="104" t="str">
        <f aca="false">IF(ISBLANK($C127),"",IF($AF127&lt;&gt;Constants!$B$7,$AF127,AP127))</f>
        <v/>
      </c>
      <c r="BA127" s="105" t="str">
        <f aca="false">IF(ISBLANK($C127),"",IF($AF127&lt;&gt;Constants!$B$7,$AF127,AG127))</f>
        <v/>
      </c>
      <c r="BB127" s="106" t="str">
        <f aca="false">IF(ISBLANK($C127),"",AU127)</f>
        <v/>
      </c>
      <c r="BC127" s="106" t="str">
        <f aca="false">IF(ISBLANK($C127),"",AT127)</f>
        <v/>
      </c>
      <c r="BD127" s="107" t="str">
        <f aca="false">IF(ISBLANK($C127),"",IFERROR(_xlfn.SWITCH(BC127,Constants!$B$4,COUNTA($C$8:$C$507)+2,Constants!$B$5,COUNTA($C$8:$C$507)+1,Constants!$B$6,COUNTA($C$8:$C$507)),BC127))</f>
        <v/>
      </c>
      <c r="BE127" s="5"/>
      <c r="BF127" s="108" t="n">
        <f aca="false">IF(OR(ISNUMBER(BC127),BC127=Constants!$B$4,BC127=Constants!$B$6,BC127=Constants!$B$5),1,0)</f>
        <v>0</v>
      </c>
      <c r="BG127" s="108" t="n">
        <v>120</v>
      </c>
      <c r="BH127" s="108" t="str">
        <f aca="false">IF(ISBLANK($C127),"",IF(ISNUMBER(BD127),BD127+ROW($B127)/1000,""))</f>
        <v/>
      </c>
      <c r="BI127" s="108" t="str">
        <f aca="false">IF(ISNUMBER(BH127),RANK(BH127,$BH$8:$BH$507,1),"")</f>
        <v/>
      </c>
      <c r="BJ127" s="108" t="str">
        <f aca="false">IF(ISBLANK($C127),"",$B127)</f>
        <v/>
      </c>
      <c r="BK127" s="108" t="str">
        <f aca="false">IF(ISBLANK($C127),"",$C127)</f>
        <v/>
      </c>
      <c r="BL127" s="108" t="str">
        <f aca="false">IF(ISBLANK($C127),"",$D127)</f>
        <v/>
      </c>
      <c r="BM127" s="109" t="str">
        <f aca="false">BA127</f>
        <v/>
      </c>
      <c r="BN127" s="110" t="str">
        <f aca="false">AZ127</f>
        <v/>
      </c>
      <c r="BO127" s="108" t="str">
        <f aca="false">IF(ISBLANK($C127),"",BC127)</f>
        <v/>
      </c>
      <c r="BP127" s="111" t="str">
        <f aca="false">IF($BG127&gt;$BF$7,"",VLOOKUP($BG127,$BI$8:$BO$507,7,FALSE()))</f>
        <v/>
      </c>
      <c r="BQ127" s="112" t="str">
        <f aca="false">IF($BG127&gt;$BF$7,"",VLOOKUP($BG127,$BI$8:$BO$507,2,FALSE()))</f>
        <v/>
      </c>
      <c r="BR127" s="112" t="str">
        <f aca="false">IF($BG127&gt;$BF$7,"",VLOOKUP($BG127,$BI$8:$BO$507,3,FALSE()))</f>
        <v/>
      </c>
      <c r="BS127" s="112" t="str">
        <f aca="false">IF($BG127&gt;$BF$7,"",VLOOKUP($BG127,$BI$8:$BO$507,4,FALSE()))</f>
        <v/>
      </c>
      <c r="BT127" s="112" t="str">
        <f aca="false">IF($BG127&gt;$BF$7,"",VLOOKUP($BG127,$BI$8:$BO$507,5,FALSE()))</f>
        <v/>
      </c>
      <c r="BU127" s="113" t="str">
        <f aca="false">IF($BG127&gt;$BF$7,"",VLOOKUP($BG127,$BI$8:$BO$507,6,FALSE()))</f>
        <v/>
      </c>
      <c r="BV127" s="54"/>
    </row>
    <row r="128" customFormat="false" ht="15.75" hidden="false" customHeight="false" outlineLevel="0" collapsed="false">
      <c r="A128" s="5"/>
      <c r="B128" s="135"/>
      <c r="C128" s="56"/>
      <c r="D128" s="57"/>
      <c r="E128" s="84"/>
      <c r="F128" s="136"/>
      <c r="G128" s="60"/>
      <c r="H128" s="137"/>
      <c r="I128" s="62"/>
      <c r="J128" s="62"/>
      <c r="K128" s="60"/>
      <c r="L128" s="138"/>
      <c r="M128" s="62"/>
      <c r="N128" s="62"/>
      <c r="O128" s="60"/>
      <c r="P128" s="84"/>
      <c r="Q128" s="65"/>
      <c r="R128" s="67" t="str">
        <f aca="false">IF(ISBLANK($C128),"",IF(E128=Constants!$B$2, TRUE(), IF(E128=Constants!$B$3, FALSE(), TRUE())))</f>
        <v/>
      </c>
      <c r="S128" s="67" t="str">
        <f aca="false">IF(ISBLANK($C128),"",IF(F128=Constants!$B$2, TRUE(), IF(F128=Constants!$B$3, FALSE(), TRUE())))</f>
        <v/>
      </c>
      <c r="T128" s="67" t="str">
        <f aca="false">IF(ISBLANK($C128),"",IF(G128=Constants!$B$16,Constants!$B$9,IF(G128=Constants!$B$17,Constants!$B$10,Constants!$B$8)))</f>
        <v/>
      </c>
      <c r="U128" s="67" t="str">
        <f aca="false">IF(ISBLANK($C128),"",IF(H128=Constants!$B$19,Constants!$B$19,Constants!$B$18))</f>
        <v/>
      </c>
      <c r="V128" s="67" t="str">
        <f aca="false">IF(ISBLANK($C128),"",IF(ISNUMBER(I128),IF(I128&gt;=0,I128,""),""))</f>
        <v/>
      </c>
      <c r="W128" s="67" t="str">
        <f aca="false">IF(ISBLANK($C128),"",IF(J128=Constants!$B$2, TRUE(), IF(J128=Constants!$B$3, FALSE(), TRUE())))</f>
        <v/>
      </c>
      <c r="X128" s="67" t="str">
        <f aca="false">IF(ISBLANK($C128),"",IF(K128=Constants!$B$2, TRUE(), IF(K128=Constants!$B$3, FALSE(), TRUE())))</f>
        <v/>
      </c>
      <c r="Y128" s="67" t="str">
        <f aca="false">IF(ISBLANK($C128),"",IF(L128=Constants!$B$19,Constants!$B$19,Constants!$B$18))</f>
        <v/>
      </c>
      <c r="Z128" s="67" t="str">
        <f aca="false">IF(ISBLANK($C128),"",IF(ISNUMBER(M128),IF(M128&gt;=0,M128,""),""))</f>
        <v/>
      </c>
      <c r="AA128" s="67" t="str">
        <f aca="false">IF(ISBLANK($C128),"",IF(N128=Constants!$B$2, TRUE(), IF(N128=Constants!$B$3, FALSE(), TRUE())))</f>
        <v/>
      </c>
      <c r="AB128" s="67" t="str">
        <f aca="false">IF(ISBLANK($C128),"",IF(O128=Constants!$B$2, TRUE(), IF(O128=Constants!$B$3, FALSE(), TRUE())))</f>
        <v/>
      </c>
      <c r="AC128" s="67" t="str">
        <f aca="false">IF(ISBLANK($C128),"",IF(P128=Constants!$B$2, TRUE(), IF(P128=Constants!$B$3, FALSE(), FALSE())))</f>
        <v/>
      </c>
      <c r="AD128" s="67" t="str">
        <f aca="false">IF(ISBLANK($C128),"",AND(V128&lt;&gt;"",IF(U128=Constants!$B$19,S128,R128)))</f>
        <v/>
      </c>
      <c r="AE128" s="67" t="str">
        <f aca="false">IF(ISBLANK($C128),"",AND(Z128&lt;&gt;"",IF(Y128=Constants!$B$19,S128,R128)))</f>
        <v/>
      </c>
      <c r="AF128" s="67" t="str">
        <f aca="false">IF(ISBLANK($C128),"",IF(AC128,Constants!$B$4,IF(COUNTA(E128:O128)=0,Constants!$B$5,IF(AND(NOT(AD128),NOT(AE128)),Constants!$B$6,Constants!$B$7))))</f>
        <v/>
      </c>
      <c r="AG128" s="67" t="str">
        <f aca="false">IF(ISBLANK($C128),"",IF($AF128&lt;&gt;Constants!$B$7,$AF128,Constants!$B$20))</f>
        <v/>
      </c>
      <c r="AH128" s="67" t="str">
        <f aca="false">IF($AF128=Constants!$B$7,IF(AD128,V128,Constants!$B$13),"")</f>
        <v/>
      </c>
      <c r="AI128" s="67" t="str">
        <f aca="false">IF($AF128=Constants!$B$7,IF(AD128,T128*IF(W128, 1, Constants!$B$11)*IF(X128, 1, Constants!$B$12),Constants!$B$13),"")</f>
        <v/>
      </c>
      <c r="AJ128" s="67" t="str">
        <f aca="false">IF($AF128=Constants!$B$7,AH128*AI128,"")</f>
        <v/>
      </c>
      <c r="AK128" s="67" t="str">
        <f aca="false">IF($AF128=Constants!$B$7,IF(AE128,Z128,Constants!$B$13),"")</f>
        <v/>
      </c>
      <c r="AL128" s="67" t="str">
        <f aca="false">IF($AF128=Constants!$B$7,IF(AE128,T128*IF(AA128, 1, Constants!$B$11)*IF(AB128, 1, Constants!$B$12),Constants!$B$13),"")</f>
        <v/>
      </c>
      <c r="AM128" s="67" t="str">
        <f aca="false">IF($AF128=Constants!$B$7,AK128*AL128,"")</f>
        <v/>
      </c>
      <c r="AN128" s="67" t="str">
        <f aca="false">IF($AF128=Constants!$B$7,IF(AM128&gt;AJ128,2,1),"")</f>
        <v/>
      </c>
      <c r="AO128" s="67" t="str">
        <f aca="false">IF($AF128=Constants!$B$7,IF(AN128=1,2,1),"")</f>
        <v/>
      </c>
      <c r="AP128" s="67" t="str">
        <f aca="false">IF(ISBLANK($C128),"",IF($AF128&lt;&gt;Constants!$B$7,$AF128,IF(AN128=1,AJ128,AM128)))</f>
        <v/>
      </c>
      <c r="AQ128" s="67" t="str">
        <f aca="false">IF(ISBLANK($C128),"",IF($AF128=Constants!$B$7,IF(ISNUMBER(AP128),RANK(AP128,$AP$8:$AP$507),Constants!$B$14),$AF128))</f>
        <v/>
      </c>
      <c r="AR128" s="67" t="str">
        <f aca="false">IF(ISBLANK($C128),"",IF($AF128=Constants!$B$7,IF(AO128=1,AJ128,AM128),""))</f>
        <v/>
      </c>
      <c r="AS128" s="67" t="str">
        <f aca="false">IF(ISBLANK($C128),"",IF($AF128=Constants!$B$7,RANK(AR128,$AR$8:$AR$507),$AF128))</f>
        <v/>
      </c>
      <c r="AT128" s="67" t="str">
        <f aca="false">IF(ISBLANK($C128),"",IF($AF128=Constants!$B$7,IF(ISNUMBER(AQ128),COUNTIFS($AQ$8:$AQ$507,"&lt;"&amp;$AQ128)+COUNTIFS($AQ$8:$AQ$507,$AQ128,$AS$8:$AS$507,"&lt;"&amp;$AS128)+1,Constants!$B$14),$AF128))</f>
        <v/>
      </c>
      <c r="AU128" s="67" t="str">
        <f aca="false">IF(ISBLANK($C128),"",IF($AF128=Constants!$B$7,IF(ISNUMBER(AQ128),AQ128-AT128,Constants!$B$14),$AF128))</f>
        <v/>
      </c>
      <c r="AV128" s="69"/>
      <c r="AW128" s="70" t="str">
        <f aca="false">IF(ISBLANK($C128),"",IF($AF128&lt;&gt;Constants!$B$7,"",AN128))</f>
        <v/>
      </c>
      <c r="AX128" s="85" t="str">
        <f aca="false">IF(ISBLANK($C128),"",IF($AF128&lt;&gt;Constants!$B$7,"",IF(AN128=1,AH128,AK128)))</f>
        <v/>
      </c>
      <c r="AY128" s="72" t="str">
        <f aca="false">IF(ISBLANK($C128),"",IF($AF128&lt;&gt;Constants!$B$7,"",IF(AN128=1,AI128,AL128)))</f>
        <v/>
      </c>
      <c r="AZ128" s="73" t="str">
        <f aca="false">IF(ISBLANK($C128),"",IF($AF128&lt;&gt;Constants!$B$7,$AF128,AP128))</f>
        <v/>
      </c>
      <c r="BA128" s="74" t="str">
        <f aca="false">IF(ISBLANK($C128),"",IF($AF128&lt;&gt;Constants!$B$7,$AF128,AG128))</f>
        <v/>
      </c>
      <c r="BB128" s="75" t="str">
        <f aca="false">IF(ISBLANK($C128),"",AU128)</f>
        <v/>
      </c>
      <c r="BC128" s="75" t="str">
        <f aca="false">IF(ISBLANK($C128),"",AT128)</f>
        <v/>
      </c>
      <c r="BD128" s="76" t="str">
        <f aca="false">IF(ISBLANK($C128),"",IFERROR(_xlfn.SWITCH(BC128,Constants!$B$4,COUNTA($C$8:$C$507)+2,Constants!$B$5,COUNTA($C$8:$C$507)+1,Constants!$B$6,COUNTA($C$8:$C$507)),BC128))</f>
        <v/>
      </c>
      <c r="BE128" s="5"/>
      <c r="BF128" s="77" t="n">
        <f aca="false">IF(OR(ISNUMBER(BC128),BC128=Constants!$B$4,BC128=Constants!$B$6,BC128=Constants!$B$5),1,0)</f>
        <v>0</v>
      </c>
      <c r="BG128" s="77" t="n">
        <v>121</v>
      </c>
      <c r="BH128" s="77" t="str">
        <f aca="false">IF(ISBLANK($C128),"",IF(ISNUMBER(BD128),BD128+ROW($B128)/1000,""))</f>
        <v/>
      </c>
      <c r="BI128" s="77" t="str">
        <f aca="false">IF(ISNUMBER(BH128),RANK(BH128,$BH$8:$BH$507,1),"")</f>
        <v/>
      </c>
      <c r="BJ128" s="77" t="str">
        <f aca="false">IF(ISBLANK($C128),"",$B128)</f>
        <v/>
      </c>
      <c r="BK128" s="77" t="str">
        <f aca="false">IF(ISBLANK($C128),"",$C128)</f>
        <v/>
      </c>
      <c r="BL128" s="77" t="str">
        <f aca="false">IF(ISBLANK($C128),"",$D128)</f>
        <v/>
      </c>
      <c r="BM128" s="78" t="str">
        <f aca="false">BA128</f>
        <v/>
      </c>
      <c r="BN128" s="79" t="str">
        <f aca="false">AZ128</f>
        <v/>
      </c>
      <c r="BO128" s="77" t="str">
        <f aca="false">IF(ISBLANK($C128),"",BC128)</f>
        <v/>
      </c>
      <c r="BP128" s="80" t="str">
        <f aca="false">IF($BG128&gt;$BF$7,"",VLOOKUP($BG128,$BI$8:$BO$507,7,FALSE()))</f>
        <v/>
      </c>
      <c r="BQ128" s="81" t="str">
        <f aca="false">IF($BG128&gt;$BF$7,"",VLOOKUP($BG128,$BI$8:$BO$507,2,FALSE()))</f>
        <v/>
      </c>
      <c r="BR128" s="81" t="str">
        <f aca="false">IF($BG128&gt;$BF$7,"",VLOOKUP($BG128,$BI$8:$BO$507,3,FALSE()))</f>
        <v/>
      </c>
      <c r="BS128" s="81" t="str">
        <f aca="false">IF($BG128&gt;$BF$7,"",VLOOKUP($BG128,$BI$8:$BO$507,4,FALSE()))</f>
        <v/>
      </c>
      <c r="BT128" s="81" t="str">
        <f aca="false">IF($BG128&gt;$BF$7,"",VLOOKUP($BG128,$BI$8:$BO$507,5,FALSE()))</f>
        <v/>
      </c>
      <c r="BU128" s="82" t="str">
        <f aca="false">IF($BG128&gt;$BF$7,"",VLOOKUP($BG128,$BI$8:$BO$507,6,FALSE()))</f>
        <v/>
      </c>
      <c r="BV128" s="54"/>
    </row>
    <row r="129" customFormat="false" ht="15.75" hidden="false" customHeight="false" outlineLevel="0" collapsed="false">
      <c r="A129" s="5"/>
      <c r="B129" s="135"/>
      <c r="C129" s="56"/>
      <c r="D129" s="57"/>
      <c r="E129" s="84"/>
      <c r="F129" s="136"/>
      <c r="G129" s="60"/>
      <c r="H129" s="137"/>
      <c r="I129" s="62"/>
      <c r="J129" s="62"/>
      <c r="K129" s="60"/>
      <c r="L129" s="138"/>
      <c r="M129" s="62"/>
      <c r="N129" s="62"/>
      <c r="O129" s="60"/>
      <c r="P129" s="84"/>
      <c r="Q129" s="65"/>
      <c r="R129" s="67" t="str">
        <f aca="false">IF(ISBLANK($C129),"",IF(E129=Constants!$B$2, TRUE(), IF(E129=Constants!$B$3, FALSE(), TRUE())))</f>
        <v/>
      </c>
      <c r="S129" s="67" t="str">
        <f aca="false">IF(ISBLANK($C129),"",IF(F129=Constants!$B$2, TRUE(), IF(F129=Constants!$B$3, FALSE(), TRUE())))</f>
        <v/>
      </c>
      <c r="T129" s="67" t="str">
        <f aca="false">IF(ISBLANK($C129),"",IF(G129=Constants!$B$16,Constants!$B$9,IF(G129=Constants!$B$17,Constants!$B$10,Constants!$B$8)))</f>
        <v/>
      </c>
      <c r="U129" s="67" t="str">
        <f aca="false">IF(ISBLANK($C129),"",IF(H129=Constants!$B$19,Constants!$B$19,Constants!$B$18))</f>
        <v/>
      </c>
      <c r="V129" s="67" t="str">
        <f aca="false">IF(ISBLANK($C129),"",IF(ISNUMBER(I129),IF(I129&gt;=0,I129,""),""))</f>
        <v/>
      </c>
      <c r="W129" s="67" t="str">
        <f aca="false">IF(ISBLANK($C129),"",IF(J129=Constants!$B$2, TRUE(), IF(J129=Constants!$B$3, FALSE(), TRUE())))</f>
        <v/>
      </c>
      <c r="X129" s="67" t="str">
        <f aca="false">IF(ISBLANK($C129),"",IF(K129=Constants!$B$2, TRUE(), IF(K129=Constants!$B$3, FALSE(), TRUE())))</f>
        <v/>
      </c>
      <c r="Y129" s="67" t="str">
        <f aca="false">IF(ISBLANK($C129),"",IF(L129=Constants!$B$19,Constants!$B$19,Constants!$B$18))</f>
        <v/>
      </c>
      <c r="Z129" s="67" t="str">
        <f aca="false">IF(ISBLANK($C129),"",IF(ISNUMBER(M129),IF(M129&gt;=0,M129,""),""))</f>
        <v/>
      </c>
      <c r="AA129" s="67" t="str">
        <f aca="false">IF(ISBLANK($C129),"",IF(N129=Constants!$B$2, TRUE(), IF(N129=Constants!$B$3, FALSE(), TRUE())))</f>
        <v/>
      </c>
      <c r="AB129" s="67" t="str">
        <f aca="false">IF(ISBLANK($C129),"",IF(O129=Constants!$B$2, TRUE(), IF(O129=Constants!$B$3, FALSE(), TRUE())))</f>
        <v/>
      </c>
      <c r="AC129" s="67" t="str">
        <f aca="false">IF(ISBLANK($C129),"",IF(P129=Constants!$B$2, TRUE(), IF(P129=Constants!$B$3, FALSE(), FALSE())))</f>
        <v/>
      </c>
      <c r="AD129" s="67" t="str">
        <f aca="false">IF(ISBLANK($C129),"",AND(V129&lt;&gt;"",IF(U129=Constants!$B$19,S129,R129)))</f>
        <v/>
      </c>
      <c r="AE129" s="67" t="str">
        <f aca="false">IF(ISBLANK($C129),"",AND(Z129&lt;&gt;"",IF(Y129=Constants!$B$19,S129,R129)))</f>
        <v/>
      </c>
      <c r="AF129" s="67" t="str">
        <f aca="false">IF(ISBLANK($C129),"",IF(AC129,Constants!$B$4,IF(COUNTA(E129:O129)=0,Constants!$B$5,IF(AND(NOT(AD129),NOT(AE129)),Constants!$B$6,Constants!$B$7))))</f>
        <v/>
      </c>
      <c r="AG129" s="67" t="str">
        <f aca="false">IF(ISBLANK($C129),"",IF($AF129&lt;&gt;Constants!$B$7,$AF129,Constants!$B$20))</f>
        <v/>
      </c>
      <c r="AH129" s="67" t="str">
        <f aca="false">IF($AF129=Constants!$B$7,IF(AD129,V129,Constants!$B$13),"")</f>
        <v/>
      </c>
      <c r="AI129" s="67" t="str">
        <f aca="false">IF($AF129=Constants!$B$7,IF(AD129,T129*IF(W129, 1, Constants!$B$11)*IF(X129, 1, Constants!$B$12),Constants!$B$13),"")</f>
        <v/>
      </c>
      <c r="AJ129" s="67" t="str">
        <f aca="false">IF($AF129=Constants!$B$7,AH129*AI129,"")</f>
        <v/>
      </c>
      <c r="AK129" s="67" t="str">
        <f aca="false">IF($AF129=Constants!$B$7,IF(AE129,Z129,Constants!$B$13),"")</f>
        <v/>
      </c>
      <c r="AL129" s="67" t="str">
        <f aca="false">IF($AF129=Constants!$B$7,IF(AE129,T129*IF(AA129, 1, Constants!$B$11)*IF(AB129, 1, Constants!$B$12),Constants!$B$13),"")</f>
        <v/>
      </c>
      <c r="AM129" s="67" t="str">
        <f aca="false">IF($AF129=Constants!$B$7,AK129*AL129,"")</f>
        <v/>
      </c>
      <c r="AN129" s="67" t="str">
        <f aca="false">IF($AF129=Constants!$B$7,IF(AM129&gt;AJ129,2,1),"")</f>
        <v/>
      </c>
      <c r="AO129" s="67" t="str">
        <f aca="false">IF($AF129=Constants!$B$7,IF(AN129=1,2,1),"")</f>
        <v/>
      </c>
      <c r="AP129" s="67" t="str">
        <f aca="false">IF(ISBLANK($C129),"",IF($AF129&lt;&gt;Constants!$B$7,$AF129,IF(AN129=1,AJ129,AM129)))</f>
        <v/>
      </c>
      <c r="AQ129" s="67" t="str">
        <f aca="false">IF(ISBLANK($C129),"",IF($AF129=Constants!$B$7,IF(ISNUMBER(AP129),RANK(AP129,$AP$8:$AP$507),Constants!$B$14),$AF129))</f>
        <v/>
      </c>
      <c r="AR129" s="67" t="str">
        <f aca="false">IF(ISBLANK($C129),"",IF($AF129=Constants!$B$7,IF(AO129=1,AJ129,AM129),""))</f>
        <v/>
      </c>
      <c r="AS129" s="67" t="str">
        <f aca="false">IF(ISBLANK($C129),"",IF($AF129=Constants!$B$7,RANK(AR129,$AR$8:$AR$507),$AF129))</f>
        <v/>
      </c>
      <c r="AT129" s="67" t="str">
        <f aca="false">IF(ISBLANK($C129),"",IF($AF129=Constants!$B$7,IF(ISNUMBER(AQ129),COUNTIFS($AQ$8:$AQ$507,"&lt;"&amp;$AQ129)+COUNTIFS($AQ$8:$AQ$507,$AQ129,$AS$8:$AS$507,"&lt;"&amp;$AS129)+1,Constants!$B$14),$AF129))</f>
        <v/>
      </c>
      <c r="AU129" s="67" t="str">
        <f aca="false">IF(ISBLANK($C129),"",IF($AF129=Constants!$B$7,IF(ISNUMBER(AQ129),AQ129-AT129,Constants!$B$14),$AF129))</f>
        <v/>
      </c>
      <c r="AV129" s="69"/>
      <c r="AW129" s="70" t="str">
        <f aca="false">IF(ISBLANK($C129),"",IF($AF129&lt;&gt;Constants!$B$7,"",AN129))</f>
        <v/>
      </c>
      <c r="AX129" s="85" t="str">
        <f aca="false">IF(ISBLANK($C129),"",IF($AF129&lt;&gt;Constants!$B$7,"",IF(AN129=1,AH129,AK129)))</f>
        <v/>
      </c>
      <c r="AY129" s="72" t="str">
        <f aca="false">IF(ISBLANK($C129),"",IF($AF129&lt;&gt;Constants!$B$7,"",IF(AN129=1,AI129,AL129)))</f>
        <v/>
      </c>
      <c r="AZ129" s="73" t="str">
        <f aca="false">IF(ISBLANK($C129),"",IF($AF129&lt;&gt;Constants!$B$7,$AF129,AP129))</f>
        <v/>
      </c>
      <c r="BA129" s="74" t="str">
        <f aca="false">IF(ISBLANK($C129),"",IF($AF129&lt;&gt;Constants!$B$7,$AF129,AG129))</f>
        <v/>
      </c>
      <c r="BB129" s="75" t="str">
        <f aca="false">IF(ISBLANK($C129),"",AU129)</f>
        <v/>
      </c>
      <c r="BC129" s="75" t="str">
        <f aca="false">IF(ISBLANK($C129),"",AT129)</f>
        <v/>
      </c>
      <c r="BD129" s="76" t="str">
        <f aca="false">IF(ISBLANK($C129),"",IFERROR(_xlfn.SWITCH(BC129,Constants!$B$4,COUNTA($C$8:$C$507)+2,Constants!$B$5,COUNTA($C$8:$C$507)+1,Constants!$B$6,COUNTA($C$8:$C$507)),BC129))</f>
        <v/>
      </c>
      <c r="BE129" s="5"/>
      <c r="BF129" s="77" t="n">
        <f aca="false">IF(OR(ISNUMBER(BC129),BC129=Constants!$B$4,BC129=Constants!$B$6,BC129=Constants!$B$5),1,0)</f>
        <v>0</v>
      </c>
      <c r="BG129" s="77" t="n">
        <v>122</v>
      </c>
      <c r="BH129" s="77" t="str">
        <f aca="false">IF(ISBLANK($C129),"",IF(ISNUMBER(BD129),BD129+ROW($B129)/1000,""))</f>
        <v/>
      </c>
      <c r="BI129" s="77" t="str">
        <f aca="false">IF(ISNUMBER(BH129),RANK(BH129,$BH$8:$BH$507,1),"")</f>
        <v/>
      </c>
      <c r="BJ129" s="77" t="str">
        <f aca="false">IF(ISBLANK($C129),"",$B129)</f>
        <v/>
      </c>
      <c r="BK129" s="77" t="str">
        <f aca="false">IF(ISBLANK($C129),"",$C129)</f>
        <v/>
      </c>
      <c r="BL129" s="77" t="str">
        <f aca="false">IF(ISBLANK($C129),"",$D129)</f>
        <v/>
      </c>
      <c r="BM129" s="78" t="str">
        <f aca="false">BA129</f>
        <v/>
      </c>
      <c r="BN129" s="79" t="str">
        <f aca="false">AZ129</f>
        <v/>
      </c>
      <c r="BO129" s="77" t="str">
        <f aca="false">IF(ISBLANK($C129),"",BC129)</f>
        <v/>
      </c>
      <c r="BP129" s="80" t="str">
        <f aca="false">IF($BG129&gt;$BF$7,"",VLOOKUP($BG129,$BI$8:$BO$507,7,FALSE()))</f>
        <v/>
      </c>
      <c r="BQ129" s="81" t="str">
        <f aca="false">IF($BG129&gt;$BF$7,"",VLOOKUP($BG129,$BI$8:$BO$507,2,FALSE()))</f>
        <v/>
      </c>
      <c r="BR129" s="81" t="str">
        <f aca="false">IF($BG129&gt;$BF$7,"",VLOOKUP($BG129,$BI$8:$BO$507,3,FALSE()))</f>
        <v/>
      </c>
      <c r="BS129" s="81" t="str">
        <f aca="false">IF($BG129&gt;$BF$7,"",VLOOKUP($BG129,$BI$8:$BO$507,4,FALSE()))</f>
        <v/>
      </c>
      <c r="BT129" s="81" t="str">
        <f aca="false">IF($BG129&gt;$BF$7,"",VLOOKUP($BG129,$BI$8:$BO$507,5,FALSE()))</f>
        <v/>
      </c>
      <c r="BU129" s="82" t="str">
        <f aca="false">IF($BG129&gt;$BF$7,"",VLOOKUP($BG129,$BI$8:$BO$507,6,FALSE()))</f>
        <v/>
      </c>
      <c r="BV129" s="54"/>
    </row>
    <row r="130" customFormat="false" ht="15.75" hidden="false" customHeight="false" outlineLevel="0" collapsed="false">
      <c r="A130" s="5"/>
      <c r="B130" s="135"/>
      <c r="C130" s="56"/>
      <c r="D130" s="57"/>
      <c r="E130" s="84"/>
      <c r="F130" s="136"/>
      <c r="G130" s="60"/>
      <c r="H130" s="137"/>
      <c r="I130" s="62"/>
      <c r="J130" s="62"/>
      <c r="K130" s="60"/>
      <c r="L130" s="138"/>
      <c r="M130" s="62"/>
      <c r="N130" s="62"/>
      <c r="O130" s="60"/>
      <c r="P130" s="84"/>
      <c r="Q130" s="65"/>
      <c r="R130" s="67" t="str">
        <f aca="false">IF(ISBLANK($C130),"",IF(E130=Constants!$B$2, TRUE(), IF(E130=Constants!$B$3, FALSE(), TRUE())))</f>
        <v/>
      </c>
      <c r="S130" s="67" t="str">
        <f aca="false">IF(ISBLANK($C130),"",IF(F130=Constants!$B$2, TRUE(), IF(F130=Constants!$B$3, FALSE(), TRUE())))</f>
        <v/>
      </c>
      <c r="T130" s="67" t="str">
        <f aca="false">IF(ISBLANK($C130),"",IF(G130=Constants!$B$16,Constants!$B$9,IF(G130=Constants!$B$17,Constants!$B$10,Constants!$B$8)))</f>
        <v/>
      </c>
      <c r="U130" s="67" t="str">
        <f aca="false">IF(ISBLANK($C130),"",IF(H130=Constants!$B$19,Constants!$B$19,Constants!$B$18))</f>
        <v/>
      </c>
      <c r="V130" s="67" t="str">
        <f aca="false">IF(ISBLANK($C130),"",IF(ISNUMBER(I130),IF(I130&gt;=0,I130,""),""))</f>
        <v/>
      </c>
      <c r="W130" s="67" t="str">
        <f aca="false">IF(ISBLANK($C130),"",IF(J130=Constants!$B$2, TRUE(), IF(J130=Constants!$B$3, FALSE(), TRUE())))</f>
        <v/>
      </c>
      <c r="X130" s="67" t="str">
        <f aca="false">IF(ISBLANK($C130),"",IF(K130=Constants!$B$2, TRUE(), IF(K130=Constants!$B$3, FALSE(), TRUE())))</f>
        <v/>
      </c>
      <c r="Y130" s="67" t="str">
        <f aca="false">IF(ISBLANK($C130),"",IF(L130=Constants!$B$19,Constants!$B$19,Constants!$B$18))</f>
        <v/>
      </c>
      <c r="Z130" s="67" t="str">
        <f aca="false">IF(ISBLANK($C130),"",IF(ISNUMBER(M130),IF(M130&gt;=0,M130,""),""))</f>
        <v/>
      </c>
      <c r="AA130" s="67" t="str">
        <f aca="false">IF(ISBLANK($C130),"",IF(N130=Constants!$B$2, TRUE(), IF(N130=Constants!$B$3, FALSE(), TRUE())))</f>
        <v/>
      </c>
      <c r="AB130" s="67" t="str">
        <f aca="false">IF(ISBLANK($C130),"",IF(O130=Constants!$B$2, TRUE(), IF(O130=Constants!$B$3, FALSE(), TRUE())))</f>
        <v/>
      </c>
      <c r="AC130" s="67" t="str">
        <f aca="false">IF(ISBLANK($C130),"",IF(P130=Constants!$B$2, TRUE(), IF(P130=Constants!$B$3, FALSE(), FALSE())))</f>
        <v/>
      </c>
      <c r="AD130" s="67" t="str">
        <f aca="false">IF(ISBLANK($C130),"",AND(V130&lt;&gt;"",IF(U130=Constants!$B$19,S130,R130)))</f>
        <v/>
      </c>
      <c r="AE130" s="67" t="str">
        <f aca="false">IF(ISBLANK($C130),"",AND(Z130&lt;&gt;"",IF(Y130=Constants!$B$19,S130,R130)))</f>
        <v/>
      </c>
      <c r="AF130" s="67" t="str">
        <f aca="false">IF(ISBLANK($C130),"",IF(AC130,Constants!$B$4,IF(COUNTA(E130:O130)=0,Constants!$B$5,IF(AND(NOT(AD130),NOT(AE130)),Constants!$B$6,Constants!$B$7))))</f>
        <v/>
      </c>
      <c r="AG130" s="67" t="str">
        <f aca="false">IF(ISBLANK($C130),"",IF($AF130&lt;&gt;Constants!$B$7,$AF130,Constants!$B$20))</f>
        <v/>
      </c>
      <c r="AH130" s="67" t="str">
        <f aca="false">IF($AF130=Constants!$B$7,IF(AD130,V130,Constants!$B$13),"")</f>
        <v/>
      </c>
      <c r="AI130" s="67" t="str">
        <f aca="false">IF($AF130=Constants!$B$7,IF(AD130,T130*IF(W130, 1, Constants!$B$11)*IF(X130, 1, Constants!$B$12),Constants!$B$13),"")</f>
        <v/>
      </c>
      <c r="AJ130" s="67" t="str">
        <f aca="false">IF($AF130=Constants!$B$7,AH130*AI130,"")</f>
        <v/>
      </c>
      <c r="AK130" s="67" t="str">
        <f aca="false">IF($AF130=Constants!$B$7,IF(AE130,Z130,Constants!$B$13),"")</f>
        <v/>
      </c>
      <c r="AL130" s="67" t="str">
        <f aca="false">IF($AF130=Constants!$B$7,IF(AE130,T130*IF(AA130, 1, Constants!$B$11)*IF(AB130, 1, Constants!$B$12),Constants!$B$13),"")</f>
        <v/>
      </c>
      <c r="AM130" s="67" t="str">
        <f aca="false">IF($AF130=Constants!$B$7,AK130*AL130,"")</f>
        <v/>
      </c>
      <c r="AN130" s="67" t="str">
        <f aca="false">IF($AF130=Constants!$B$7,IF(AM130&gt;AJ130,2,1),"")</f>
        <v/>
      </c>
      <c r="AO130" s="67" t="str">
        <f aca="false">IF($AF130=Constants!$B$7,IF(AN130=1,2,1),"")</f>
        <v/>
      </c>
      <c r="AP130" s="67" t="str">
        <f aca="false">IF(ISBLANK($C130),"",IF($AF130&lt;&gt;Constants!$B$7,$AF130,IF(AN130=1,AJ130,AM130)))</f>
        <v/>
      </c>
      <c r="AQ130" s="67" t="str">
        <f aca="false">IF(ISBLANK($C130),"",IF($AF130=Constants!$B$7,IF(ISNUMBER(AP130),RANK(AP130,$AP$8:$AP$507),Constants!$B$14),$AF130))</f>
        <v/>
      </c>
      <c r="AR130" s="67" t="str">
        <f aca="false">IF(ISBLANK($C130),"",IF($AF130=Constants!$B$7,IF(AO130=1,AJ130,AM130),""))</f>
        <v/>
      </c>
      <c r="AS130" s="67" t="str">
        <f aca="false">IF(ISBLANK($C130),"",IF($AF130=Constants!$B$7,RANK(AR130,$AR$8:$AR$507),$AF130))</f>
        <v/>
      </c>
      <c r="AT130" s="67" t="str">
        <f aca="false">IF(ISBLANK($C130),"",IF($AF130=Constants!$B$7,IF(ISNUMBER(AQ130),COUNTIFS($AQ$8:$AQ$507,"&lt;"&amp;$AQ130)+COUNTIFS($AQ$8:$AQ$507,$AQ130,$AS$8:$AS$507,"&lt;"&amp;$AS130)+1,Constants!$B$14),$AF130))</f>
        <v/>
      </c>
      <c r="AU130" s="67" t="str">
        <f aca="false">IF(ISBLANK($C130),"",IF($AF130=Constants!$B$7,IF(ISNUMBER(AQ130),AQ130-AT130,Constants!$B$14),$AF130))</f>
        <v/>
      </c>
      <c r="AV130" s="69"/>
      <c r="AW130" s="70" t="str">
        <f aca="false">IF(ISBLANK($C130),"",IF($AF130&lt;&gt;Constants!$B$7,"",AN130))</f>
        <v/>
      </c>
      <c r="AX130" s="85" t="str">
        <f aca="false">IF(ISBLANK($C130),"",IF($AF130&lt;&gt;Constants!$B$7,"",IF(AN130=1,AH130,AK130)))</f>
        <v/>
      </c>
      <c r="AY130" s="72" t="str">
        <f aca="false">IF(ISBLANK($C130),"",IF($AF130&lt;&gt;Constants!$B$7,"",IF(AN130=1,AI130,AL130)))</f>
        <v/>
      </c>
      <c r="AZ130" s="73" t="str">
        <f aca="false">IF(ISBLANK($C130),"",IF($AF130&lt;&gt;Constants!$B$7,$AF130,AP130))</f>
        <v/>
      </c>
      <c r="BA130" s="74" t="str">
        <f aca="false">IF(ISBLANK($C130),"",IF($AF130&lt;&gt;Constants!$B$7,$AF130,AG130))</f>
        <v/>
      </c>
      <c r="BB130" s="75" t="str">
        <f aca="false">IF(ISBLANK($C130),"",AU130)</f>
        <v/>
      </c>
      <c r="BC130" s="75" t="str">
        <f aca="false">IF(ISBLANK($C130),"",AT130)</f>
        <v/>
      </c>
      <c r="BD130" s="76" t="str">
        <f aca="false">IF(ISBLANK($C130),"",IFERROR(_xlfn.SWITCH(BC130,Constants!$B$4,COUNTA($C$8:$C$507)+2,Constants!$B$5,COUNTA($C$8:$C$507)+1,Constants!$B$6,COUNTA($C$8:$C$507)),BC130))</f>
        <v/>
      </c>
      <c r="BE130" s="5"/>
      <c r="BF130" s="77" t="n">
        <f aca="false">IF(OR(ISNUMBER(BC130),BC130=Constants!$B$4,BC130=Constants!$B$6,BC130=Constants!$B$5),1,0)</f>
        <v>0</v>
      </c>
      <c r="BG130" s="77" t="n">
        <v>123</v>
      </c>
      <c r="BH130" s="77" t="str">
        <f aca="false">IF(ISBLANK($C130),"",IF(ISNUMBER(BD130),BD130+ROW($B130)/1000,""))</f>
        <v/>
      </c>
      <c r="BI130" s="77" t="str">
        <f aca="false">IF(ISNUMBER(BH130),RANK(BH130,$BH$8:$BH$507,1),"")</f>
        <v/>
      </c>
      <c r="BJ130" s="77" t="str">
        <f aca="false">IF(ISBLANK($C130),"",$B130)</f>
        <v/>
      </c>
      <c r="BK130" s="77" t="str">
        <f aca="false">IF(ISBLANK($C130),"",$C130)</f>
        <v/>
      </c>
      <c r="BL130" s="77" t="str">
        <f aca="false">IF(ISBLANK($C130),"",$D130)</f>
        <v/>
      </c>
      <c r="BM130" s="78" t="str">
        <f aca="false">BA130</f>
        <v/>
      </c>
      <c r="BN130" s="79" t="str">
        <f aca="false">AZ130</f>
        <v/>
      </c>
      <c r="BO130" s="77" t="str">
        <f aca="false">IF(ISBLANK($C130),"",BC130)</f>
        <v/>
      </c>
      <c r="BP130" s="80" t="str">
        <f aca="false">IF($BG130&gt;$BF$7,"",VLOOKUP($BG130,$BI$8:$BO$507,7,FALSE()))</f>
        <v/>
      </c>
      <c r="BQ130" s="81" t="str">
        <f aca="false">IF($BG130&gt;$BF$7,"",VLOOKUP($BG130,$BI$8:$BO$507,2,FALSE()))</f>
        <v/>
      </c>
      <c r="BR130" s="81" t="str">
        <f aca="false">IF($BG130&gt;$BF$7,"",VLOOKUP($BG130,$BI$8:$BO$507,3,FALSE()))</f>
        <v/>
      </c>
      <c r="BS130" s="81" t="str">
        <f aca="false">IF($BG130&gt;$BF$7,"",VLOOKUP($BG130,$BI$8:$BO$507,4,FALSE()))</f>
        <v/>
      </c>
      <c r="BT130" s="81" t="str">
        <f aca="false">IF($BG130&gt;$BF$7,"",VLOOKUP($BG130,$BI$8:$BO$507,5,FALSE()))</f>
        <v/>
      </c>
      <c r="BU130" s="82" t="str">
        <f aca="false">IF($BG130&gt;$BF$7,"",VLOOKUP($BG130,$BI$8:$BO$507,6,FALSE()))</f>
        <v/>
      </c>
      <c r="BV130" s="54"/>
    </row>
    <row r="131" customFormat="false" ht="15.75" hidden="false" customHeight="false" outlineLevel="0" collapsed="false">
      <c r="A131" s="5"/>
      <c r="B131" s="128"/>
      <c r="C131" s="129"/>
      <c r="D131" s="114"/>
      <c r="E131" s="134"/>
      <c r="F131" s="139"/>
      <c r="G131" s="93"/>
      <c r="H131" s="140"/>
      <c r="I131" s="95"/>
      <c r="J131" s="95"/>
      <c r="K131" s="93"/>
      <c r="L131" s="141"/>
      <c r="M131" s="95"/>
      <c r="N131" s="95"/>
      <c r="O131" s="93"/>
      <c r="P131" s="134"/>
      <c r="Q131" s="98"/>
      <c r="R131" s="99" t="str">
        <f aca="false">IF(ISBLANK($C131),"",IF(E131=Constants!$B$2, TRUE(), IF(E131=Constants!$B$3, FALSE(), TRUE())))</f>
        <v/>
      </c>
      <c r="S131" s="99" t="str">
        <f aca="false">IF(ISBLANK($C131),"",IF(F131=Constants!$B$2, TRUE(), IF(F131=Constants!$B$3, FALSE(), TRUE())))</f>
        <v/>
      </c>
      <c r="T131" s="99" t="str">
        <f aca="false">IF(ISBLANK($C131),"",IF(G131=Constants!$B$16,Constants!$B$9,IF(G131=Constants!$B$17,Constants!$B$10,Constants!$B$8)))</f>
        <v/>
      </c>
      <c r="U131" s="99" t="str">
        <f aca="false">IF(ISBLANK($C131),"",IF(H131=Constants!$B$19,Constants!$B$19,Constants!$B$18))</f>
        <v/>
      </c>
      <c r="V131" s="99" t="str">
        <f aca="false">IF(ISBLANK($C131),"",IF(ISNUMBER(I131),IF(I131&gt;=0,I131,""),""))</f>
        <v/>
      </c>
      <c r="W131" s="99" t="str">
        <f aca="false">IF(ISBLANK($C131),"",IF(J131=Constants!$B$2, TRUE(), IF(J131=Constants!$B$3, FALSE(), TRUE())))</f>
        <v/>
      </c>
      <c r="X131" s="99" t="str">
        <f aca="false">IF(ISBLANK($C131),"",IF(K131=Constants!$B$2, TRUE(), IF(K131=Constants!$B$3, FALSE(), TRUE())))</f>
        <v/>
      </c>
      <c r="Y131" s="99" t="str">
        <f aca="false">IF(ISBLANK($C131),"",IF(L131=Constants!$B$19,Constants!$B$19,Constants!$B$18))</f>
        <v/>
      </c>
      <c r="Z131" s="99" t="str">
        <f aca="false">IF(ISBLANK($C131),"",IF(ISNUMBER(M131),IF(M131&gt;=0,M131,""),""))</f>
        <v/>
      </c>
      <c r="AA131" s="99" t="str">
        <f aca="false">IF(ISBLANK($C131),"",IF(N131=Constants!$B$2, TRUE(), IF(N131=Constants!$B$3, FALSE(), TRUE())))</f>
        <v/>
      </c>
      <c r="AB131" s="99" t="str">
        <f aca="false">IF(ISBLANK($C131),"",IF(O131=Constants!$B$2, TRUE(), IF(O131=Constants!$B$3, FALSE(), TRUE())))</f>
        <v/>
      </c>
      <c r="AC131" s="99" t="str">
        <f aca="false">IF(ISBLANK($C131),"",IF(P131=Constants!$B$2, TRUE(), IF(P131=Constants!$B$3, FALSE(), FALSE())))</f>
        <v/>
      </c>
      <c r="AD131" s="99" t="str">
        <f aca="false">IF(ISBLANK($C131),"",AND(V131&lt;&gt;"",IF(U131=Constants!$B$19,S131,R131)))</f>
        <v/>
      </c>
      <c r="AE131" s="99" t="str">
        <f aca="false">IF(ISBLANK($C131),"",AND(Z131&lt;&gt;"",IF(Y131=Constants!$B$19,S131,R131)))</f>
        <v/>
      </c>
      <c r="AF131" s="99" t="str">
        <f aca="false">IF(ISBLANK($C131),"",IF(AC131,Constants!$B$4,IF(COUNTA(E131:O131)=0,Constants!$B$5,IF(AND(NOT(AD131),NOT(AE131)),Constants!$B$6,Constants!$B$7))))</f>
        <v/>
      </c>
      <c r="AG131" s="99" t="str">
        <f aca="false">IF(ISBLANK($C131),"",IF($AF131&lt;&gt;Constants!$B$7,$AF131,Constants!$B$20))</f>
        <v/>
      </c>
      <c r="AH131" s="99" t="str">
        <f aca="false">IF($AF131=Constants!$B$7,IF(AD131,V131,Constants!$B$13),"")</f>
        <v/>
      </c>
      <c r="AI131" s="99" t="str">
        <f aca="false">IF($AF131=Constants!$B$7,IF(AD131,T131*IF(W131, 1, Constants!$B$11)*IF(X131, 1, Constants!$B$12),Constants!$B$13),"")</f>
        <v/>
      </c>
      <c r="AJ131" s="99" t="str">
        <f aca="false">IF($AF131=Constants!$B$7,AH131*AI131,"")</f>
        <v/>
      </c>
      <c r="AK131" s="99" t="str">
        <f aca="false">IF($AF131=Constants!$B$7,IF(AE131,Z131,Constants!$B$13),"")</f>
        <v/>
      </c>
      <c r="AL131" s="99" t="str">
        <f aca="false">IF($AF131=Constants!$B$7,IF(AE131,T131*IF(AA131, 1, Constants!$B$11)*IF(AB131, 1, Constants!$B$12),Constants!$B$13),"")</f>
        <v/>
      </c>
      <c r="AM131" s="99" t="str">
        <f aca="false">IF($AF131=Constants!$B$7,AK131*AL131,"")</f>
        <v/>
      </c>
      <c r="AN131" s="99" t="str">
        <f aca="false">IF($AF131=Constants!$B$7,IF(AM131&gt;AJ131,2,1),"")</f>
        <v/>
      </c>
      <c r="AO131" s="99" t="str">
        <f aca="false">IF($AF131=Constants!$B$7,IF(AN131=1,2,1),"")</f>
        <v/>
      </c>
      <c r="AP131" s="99" t="str">
        <f aca="false">IF(ISBLANK($C131),"",IF($AF131&lt;&gt;Constants!$B$7,$AF131,IF(AN131=1,AJ131,AM131)))</f>
        <v/>
      </c>
      <c r="AQ131" s="99" t="str">
        <f aca="false">IF(ISBLANK($C131),"",IF($AF131=Constants!$B$7,IF(ISNUMBER(AP131),RANK(AP131,$AP$8:$AP$507),Constants!$B$14),$AF131))</f>
        <v/>
      </c>
      <c r="AR131" s="99" t="str">
        <f aca="false">IF(ISBLANK($C131),"",IF($AF131=Constants!$B$7,IF(AO131=1,AJ131,AM131),""))</f>
        <v/>
      </c>
      <c r="AS131" s="99" t="str">
        <f aca="false">IF(ISBLANK($C131),"",IF($AF131=Constants!$B$7,RANK(AR131,$AR$8:$AR$507),$AF131))</f>
        <v/>
      </c>
      <c r="AT131" s="99" t="str">
        <f aca="false">IF(ISBLANK($C131),"",IF($AF131=Constants!$B$7,IF(ISNUMBER(AQ131),COUNTIFS($AQ$8:$AQ$507,"&lt;"&amp;$AQ131)+COUNTIFS($AQ$8:$AQ$507,$AQ131,$AS$8:$AS$507,"&lt;"&amp;$AS131)+1,Constants!$B$14),$AF131))</f>
        <v/>
      </c>
      <c r="AU131" s="99" t="str">
        <f aca="false">IF(ISBLANK($C131),"",IF($AF131=Constants!$B$7,IF(ISNUMBER(AQ131),AQ131-AT131,Constants!$B$14),$AF131))</f>
        <v/>
      </c>
      <c r="AV131" s="100"/>
      <c r="AW131" s="101" t="str">
        <f aca="false">IF(ISBLANK($C131),"",IF($AF131&lt;&gt;Constants!$B$7,"",AN131))</f>
        <v/>
      </c>
      <c r="AX131" s="102" t="str">
        <f aca="false">IF(ISBLANK($C131),"",IF($AF131&lt;&gt;Constants!$B$7,"",IF(AN131=1,AH131,AK131)))</f>
        <v/>
      </c>
      <c r="AY131" s="103" t="str">
        <f aca="false">IF(ISBLANK($C131),"",IF($AF131&lt;&gt;Constants!$B$7,"",IF(AN131=1,AI131,AL131)))</f>
        <v/>
      </c>
      <c r="AZ131" s="104" t="str">
        <f aca="false">IF(ISBLANK($C131),"",IF($AF131&lt;&gt;Constants!$B$7,$AF131,AP131))</f>
        <v/>
      </c>
      <c r="BA131" s="105" t="str">
        <f aca="false">IF(ISBLANK($C131),"",IF($AF131&lt;&gt;Constants!$B$7,$AF131,AG131))</f>
        <v/>
      </c>
      <c r="BB131" s="106" t="str">
        <f aca="false">IF(ISBLANK($C131),"",AU131)</f>
        <v/>
      </c>
      <c r="BC131" s="106" t="str">
        <f aca="false">IF(ISBLANK($C131),"",AT131)</f>
        <v/>
      </c>
      <c r="BD131" s="107" t="str">
        <f aca="false">IF(ISBLANK($C131),"",IFERROR(_xlfn.SWITCH(BC131,Constants!$B$4,COUNTA($C$8:$C$507)+2,Constants!$B$5,COUNTA($C$8:$C$507)+1,Constants!$B$6,COUNTA($C$8:$C$507)),BC131))</f>
        <v/>
      </c>
      <c r="BE131" s="5"/>
      <c r="BF131" s="108" t="n">
        <f aca="false">IF(OR(ISNUMBER(BC131),BC131=Constants!$B$4,BC131=Constants!$B$6,BC131=Constants!$B$5),1,0)</f>
        <v>0</v>
      </c>
      <c r="BG131" s="108" t="n">
        <v>124</v>
      </c>
      <c r="BH131" s="108" t="str">
        <f aca="false">IF(ISBLANK($C131),"",IF(ISNUMBER(BD131),BD131+ROW($B131)/1000,""))</f>
        <v/>
      </c>
      <c r="BI131" s="108" t="str">
        <f aca="false">IF(ISNUMBER(BH131),RANK(BH131,$BH$8:$BH$507,1),"")</f>
        <v/>
      </c>
      <c r="BJ131" s="108" t="str">
        <f aca="false">IF(ISBLANK($C131),"",$B131)</f>
        <v/>
      </c>
      <c r="BK131" s="108" t="str">
        <f aca="false">IF(ISBLANK($C131),"",$C131)</f>
        <v/>
      </c>
      <c r="BL131" s="108" t="str">
        <f aca="false">IF(ISBLANK($C131),"",$D131)</f>
        <v/>
      </c>
      <c r="BM131" s="109" t="str">
        <f aca="false">BA131</f>
        <v/>
      </c>
      <c r="BN131" s="110" t="str">
        <f aca="false">AZ131</f>
        <v/>
      </c>
      <c r="BO131" s="108" t="str">
        <f aca="false">IF(ISBLANK($C131),"",BC131)</f>
        <v/>
      </c>
      <c r="BP131" s="111" t="str">
        <f aca="false">IF($BG131&gt;$BF$7,"",VLOOKUP($BG131,$BI$8:$BO$507,7,FALSE()))</f>
        <v/>
      </c>
      <c r="BQ131" s="112" t="str">
        <f aca="false">IF($BG131&gt;$BF$7,"",VLOOKUP($BG131,$BI$8:$BO$507,2,FALSE()))</f>
        <v/>
      </c>
      <c r="BR131" s="112" t="str">
        <f aca="false">IF($BG131&gt;$BF$7,"",VLOOKUP($BG131,$BI$8:$BO$507,3,FALSE()))</f>
        <v/>
      </c>
      <c r="BS131" s="112" t="str">
        <f aca="false">IF($BG131&gt;$BF$7,"",VLOOKUP($BG131,$BI$8:$BO$507,4,FALSE()))</f>
        <v/>
      </c>
      <c r="BT131" s="112" t="str">
        <f aca="false">IF($BG131&gt;$BF$7,"",VLOOKUP($BG131,$BI$8:$BO$507,5,FALSE()))</f>
        <v/>
      </c>
      <c r="BU131" s="113" t="str">
        <f aca="false">IF($BG131&gt;$BF$7,"",VLOOKUP($BG131,$BI$8:$BO$507,6,FALSE()))</f>
        <v/>
      </c>
      <c r="BV131" s="54"/>
    </row>
    <row r="132" customFormat="false" ht="15.75" hidden="false" customHeight="false" outlineLevel="0" collapsed="false">
      <c r="A132" s="5"/>
      <c r="B132" s="128"/>
      <c r="C132" s="129"/>
      <c r="D132" s="114"/>
      <c r="E132" s="134"/>
      <c r="F132" s="139"/>
      <c r="G132" s="93"/>
      <c r="H132" s="140"/>
      <c r="I132" s="95"/>
      <c r="J132" s="95"/>
      <c r="K132" s="93"/>
      <c r="L132" s="141"/>
      <c r="M132" s="95"/>
      <c r="N132" s="95"/>
      <c r="O132" s="93"/>
      <c r="P132" s="134"/>
      <c r="Q132" s="98"/>
      <c r="R132" s="99" t="str">
        <f aca="false">IF(ISBLANK($C132),"",IF(E132=Constants!$B$2, TRUE(), IF(E132=Constants!$B$3, FALSE(), TRUE())))</f>
        <v/>
      </c>
      <c r="S132" s="99" t="str">
        <f aca="false">IF(ISBLANK($C132),"",IF(F132=Constants!$B$2, TRUE(), IF(F132=Constants!$B$3, FALSE(), TRUE())))</f>
        <v/>
      </c>
      <c r="T132" s="99" t="str">
        <f aca="false">IF(ISBLANK($C132),"",IF(G132=Constants!$B$16,Constants!$B$9,IF(G132=Constants!$B$17,Constants!$B$10,Constants!$B$8)))</f>
        <v/>
      </c>
      <c r="U132" s="99" t="str">
        <f aca="false">IF(ISBLANK($C132),"",IF(H132=Constants!$B$19,Constants!$B$19,Constants!$B$18))</f>
        <v/>
      </c>
      <c r="V132" s="99" t="str">
        <f aca="false">IF(ISBLANK($C132),"",IF(ISNUMBER(I132),IF(I132&gt;=0,I132,""),""))</f>
        <v/>
      </c>
      <c r="W132" s="99" t="str">
        <f aca="false">IF(ISBLANK($C132),"",IF(J132=Constants!$B$2, TRUE(), IF(J132=Constants!$B$3, FALSE(), TRUE())))</f>
        <v/>
      </c>
      <c r="X132" s="99" t="str">
        <f aca="false">IF(ISBLANK($C132),"",IF(K132=Constants!$B$2, TRUE(), IF(K132=Constants!$B$3, FALSE(), TRUE())))</f>
        <v/>
      </c>
      <c r="Y132" s="99" t="str">
        <f aca="false">IF(ISBLANK($C132),"",IF(L132=Constants!$B$19,Constants!$B$19,Constants!$B$18))</f>
        <v/>
      </c>
      <c r="Z132" s="99" t="str">
        <f aca="false">IF(ISBLANK($C132),"",IF(ISNUMBER(M132),IF(M132&gt;=0,M132,""),""))</f>
        <v/>
      </c>
      <c r="AA132" s="99" t="str">
        <f aca="false">IF(ISBLANK($C132),"",IF(N132=Constants!$B$2, TRUE(), IF(N132=Constants!$B$3, FALSE(), TRUE())))</f>
        <v/>
      </c>
      <c r="AB132" s="99" t="str">
        <f aca="false">IF(ISBLANK($C132),"",IF(O132=Constants!$B$2, TRUE(), IF(O132=Constants!$B$3, FALSE(), TRUE())))</f>
        <v/>
      </c>
      <c r="AC132" s="99" t="str">
        <f aca="false">IF(ISBLANK($C132),"",IF(P132=Constants!$B$2, TRUE(), IF(P132=Constants!$B$3, FALSE(), FALSE())))</f>
        <v/>
      </c>
      <c r="AD132" s="99" t="str">
        <f aca="false">IF(ISBLANK($C132),"",AND(V132&lt;&gt;"",IF(U132=Constants!$B$19,S132,R132)))</f>
        <v/>
      </c>
      <c r="AE132" s="99" t="str">
        <f aca="false">IF(ISBLANK($C132),"",AND(Z132&lt;&gt;"",IF(Y132=Constants!$B$19,S132,R132)))</f>
        <v/>
      </c>
      <c r="AF132" s="99" t="str">
        <f aca="false">IF(ISBLANK($C132),"",IF(AC132,Constants!$B$4,IF(COUNTA(E132:O132)=0,Constants!$B$5,IF(AND(NOT(AD132),NOT(AE132)),Constants!$B$6,Constants!$B$7))))</f>
        <v/>
      </c>
      <c r="AG132" s="99" t="str">
        <f aca="false">IF(ISBLANK($C132),"",IF($AF132&lt;&gt;Constants!$B$7,$AF132,Constants!$B$20))</f>
        <v/>
      </c>
      <c r="AH132" s="99" t="str">
        <f aca="false">IF($AF132=Constants!$B$7,IF(AD132,V132,Constants!$B$13),"")</f>
        <v/>
      </c>
      <c r="AI132" s="99" t="str">
        <f aca="false">IF($AF132=Constants!$B$7,IF(AD132,T132*IF(W132, 1, Constants!$B$11)*IF(X132, 1, Constants!$B$12),Constants!$B$13),"")</f>
        <v/>
      </c>
      <c r="AJ132" s="99" t="str">
        <f aca="false">IF($AF132=Constants!$B$7,AH132*AI132,"")</f>
        <v/>
      </c>
      <c r="AK132" s="99" t="str">
        <f aca="false">IF($AF132=Constants!$B$7,IF(AE132,Z132,Constants!$B$13),"")</f>
        <v/>
      </c>
      <c r="AL132" s="99" t="str">
        <f aca="false">IF($AF132=Constants!$B$7,IF(AE132,T132*IF(AA132, 1, Constants!$B$11)*IF(AB132, 1, Constants!$B$12),Constants!$B$13),"")</f>
        <v/>
      </c>
      <c r="AM132" s="99" t="str">
        <f aca="false">IF($AF132=Constants!$B$7,AK132*AL132,"")</f>
        <v/>
      </c>
      <c r="AN132" s="99" t="str">
        <f aca="false">IF($AF132=Constants!$B$7,IF(AM132&gt;AJ132,2,1),"")</f>
        <v/>
      </c>
      <c r="AO132" s="99" t="str">
        <f aca="false">IF($AF132=Constants!$B$7,IF(AN132=1,2,1),"")</f>
        <v/>
      </c>
      <c r="AP132" s="99" t="str">
        <f aca="false">IF(ISBLANK($C132),"",IF($AF132&lt;&gt;Constants!$B$7,$AF132,IF(AN132=1,AJ132,AM132)))</f>
        <v/>
      </c>
      <c r="AQ132" s="99" t="str">
        <f aca="false">IF(ISBLANK($C132),"",IF($AF132=Constants!$B$7,IF(ISNUMBER(AP132),RANK(AP132,$AP$8:$AP$507),Constants!$B$14),$AF132))</f>
        <v/>
      </c>
      <c r="AR132" s="99" t="str">
        <f aca="false">IF(ISBLANK($C132),"",IF($AF132=Constants!$B$7,IF(AO132=1,AJ132,AM132),""))</f>
        <v/>
      </c>
      <c r="AS132" s="99" t="str">
        <f aca="false">IF(ISBLANK($C132),"",IF($AF132=Constants!$B$7,RANK(AR132,$AR$8:$AR$507),$AF132))</f>
        <v/>
      </c>
      <c r="AT132" s="99" t="str">
        <f aca="false">IF(ISBLANK($C132),"",IF($AF132=Constants!$B$7,IF(ISNUMBER(AQ132),COUNTIFS($AQ$8:$AQ$507,"&lt;"&amp;$AQ132)+COUNTIFS($AQ$8:$AQ$507,$AQ132,$AS$8:$AS$507,"&lt;"&amp;$AS132)+1,Constants!$B$14),$AF132))</f>
        <v/>
      </c>
      <c r="AU132" s="99" t="str">
        <f aca="false">IF(ISBLANK($C132),"",IF($AF132=Constants!$B$7,IF(ISNUMBER(AQ132),AQ132-AT132,Constants!$B$14),$AF132))</f>
        <v/>
      </c>
      <c r="AV132" s="100"/>
      <c r="AW132" s="101" t="str">
        <f aca="false">IF(ISBLANK($C132),"",IF($AF132&lt;&gt;Constants!$B$7,"",AN132))</f>
        <v/>
      </c>
      <c r="AX132" s="102" t="str">
        <f aca="false">IF(ISBLANK($C132),"",IF($AF132&lt;&gt;Constants!$B$7,"",IF(AN132=1,AH132,AK132)))</f>
        <v/>
      </c>
      <c r="AY132" s="103" t="str">
        <f aca="false">IF(ISBLANK($C132),"",IF($AF132&lt;&gt;Constants!$B$7,"",IF(AN132=1,AI132,AL132)))</f>
        <v/>
      </c>
      <c r="AZ132" s="104" t="str">
        <f aca="false">IF(ISBLANK($C132),"",IF($AF132&lt;&gt;Constants!$B$7,$AF132,AP132))</f>
        <v/>
      </c>
      <c r="BA132" s="105" t="str">
        <f aca="false">IF(ISBLANK($C132),"",IF($AF132&lt;&gt;Constants!$B$7,$AF132,AG132))</f>
        <v/>
      </c>
      <c r="BB132" s="106" t="str">
        <f aca="false">IF(ISBLANK($C132),"",AU132)</f>
        <v/>
      </c>
      <c r="BC132" s="106" t="str">
        <f aca="false">IF(ISBLANK($C132),"",AT132)</f>
        <v/>
      </c>
      <c r="BD132" s="107" t="str">
        <f aca="false">IF(ISBLANK($C132),"",IFERROR(_xlfn.SWITCH(BC132,Constants!$B$4,COUNTA($C$8:$C$507)+2,Constants!$B$5,COUNTA($C$8:$C$507)+1,Constants!$B$6,COUNTA($C$8:$C$507)),BC132))</f>
        <v/>
      </c>
      <c r="BE132" s="5"/>
      <c r="BF132" s="108" t="n">
        <f aca="false">IF(OR(ISNUMBER(BC132),BC132=Constants!$B$4,BC132=Constants!$B$6,BC132=Constants!$B$5),1,0)</f>
        <v>0</v>
      </c>
      <c r="BG132" s="108" t="n">
        <v>125</v>
      </c>
      <c r="BH132" s="108" t="str">
        <f aca="false">IF(ISBLANK($C132),"",IF(ISNUMBER(BD132),BD132+ROW($B132)/1000,""))</f>
        <v/>
      </c>
      <c r="BI132" s="108" t="str">
        <f aca="false">IF(ISNUMBER(BH132),RANK(BH132,$BH$8:$BH$507,1),"")</f>
        <v/>
      </c>
      <c r="BJ132" s="108" t="str">
        <f aca="false">IF(ISBLANK($C132),"",$B132)</f>
        <v/>
      </c>
      <c r="BK132" s="108" t="str">
        <f aca="false">IF(ISBLANK($C132),"",$C132)</f>
        <v/>
      </c>
      <c r="BL132" s="108" t="str">
        <f aca="false">IF(ISBLANK($C132),"",$D132)</f>
        <v/>
      </c>
      <c r="BM132" s="109" t="str">
        <f aca="false">BA132</f>
        <v/>
      </c>
      <c r="BN132" s="110" t="str">
        <f aca="false">AZ132</f>
        <v/>
      </c>
      <c r="BO132" s="108" t="str">
        <f aca="false">IF(ISBLANK($C132),"",BC132)</f>
        <v/>
      </c>
      <c r="BP132" s="111" t="str">
        <f aca="false">IF($BG132&gt;$BF$7,"",VLOOKUP($BG132,$BI$8:$BO$507,7,FALSE()))</f>
        <v/>
      </c>
      <c r="BQ132" s="112" t="str">
        <f aca="false">IF($BG132&gt;$BF$7,"",VLOOKUP($BG132,$BI$8:$BO$507,2,FALSE()))</f>
        <v/>
      </c>
      <c r="BR132" s="112" t="str">
        <f aca="false">IF($BG132&gt;$BF$7,"",VLOOKUP($BG132,$BI$8:$BO$507,3,FALSE()))</f>
        <v/>
      </c>
      <c r="BS132" s="112" t="str">
        <f aca="false">IF($BG132&gt;$BF$7,"",VLOOKUP($BG132,$BI$8:$BO$507,4,FALSE()))</f>
        <v/>
      </c>
      <c r="BT132" s="112" t="str">
        <f aca="false">IF($BG132&gt;$BF$7,"",VLOOKUP($BG132,$BI$8:$BO$507,5,FALSE()))</f>
        <v/>
      </c>
      <c r="BU132" s="113" t="str">
        <f aca="false">IF($BG132&gt;$BF$7,"",VLOOKUP($BG132,$BI$8:$BO$507,6,FALSE()))</f>
        <v/>
      </c>
      <c r="BV132" s="54"/>
    </row>
    <row r="133" customFormat="false" ht="15.75" hidden="false" customHeight="false" outlineLevel="0" collapsed="false">
      <c r="A133" s="5"/>
      <c r="B133" s="128"/>
      <c r="C133" s="129"/>
      <c r="D133" s="114"/>
      <c r="E133" s="134"/>
      <c r="F133" s="139"/>
      <c r="G133" s="93"/>
      <c r="H133" s="140"/>
      <c r="I133" s="95"/>
      <c r="J133" s="95"/>
      <c r="K133" s="93"/>
      <c r="L133" s="141"/>
      <c r="M133" s="95"/>
      <c r="N133" s="95"/>
      <c r="O133" s="93"/>
      <c r="P133" s="134"/>
      <c r="Q133" s="98"/>
      <c r="R133" s="99" t="str">
        <f aca="false">IF(ISBLANK($C133),"",IF(E133=Constants!$B$2, TRUE(), IF(E133=Constants!$B$3, FALSE(), TRUE())))</f>
        <v/>
      </c>
      <c r="S133" s="99" t="str">
        <f aca="false">IF(ISBLANK($C133),"",IF(F133=Constants!$B$2, TRUE(), IF(F133=Constants!$B$3, FALSE(), TRUE())))</f>
        <v/>
      </c>
      <c r="T133" s="99" t="str">
        <f aca="false">IF(ISBLANK($C133),"",IF(G133=Constants!$B$16,Constants!$B$9,IF(G133=Constants!$B$17,Constants!$B$10,Constants!$B$8)))</f>
        <v/>
      </c>
      <c r="U133" s="99" t="str">
        <f aca="false">IF(ISBLANK($C133),"",IF(H133=Constants!$B$19,Constants!$B$19,Constants!$B$18))</f>
        <v/>
      </c>
      <c r="V133" s="99" t="str">
        <f aca="false">IF(ISBLANK($C133),"",IF(ISNUMBER(I133),IF(I133&gt;=0,I133,""),""))</f>
        <v/>
      </c>
      <c r="W133" s="99" t="str">
        <f aca="false">IF(ISBLANK($C133),"",IF(J133=Constants!$B$2, TRUE(), IF(J133=Constants!$B$3, FALSE(), TRUE())))</f>
        <v/>
      </c>
      <c r="X133" s="99" t="str">
        <f aca="false">IF(ISBLANK($C133),"",IF(K133=Constants!$B$2, TRUE(), IF(K133=Constants!$B$3, FALSE(), TRUE())))</f>
        <v/>
      </c>
      <c r="Y133" s="99" t="str">
        <f aca="false">IF(ISBLANK($C133),"",IF(L133=Constants!$B$19,Constants!$B$19,Constants!$B$18))</f>
        <v/>
      </c>
      <c r="Z133" s="99" t="str">
        <f aca="false">IF(ISBLANK($C133),"",IF(ISNUMBER(M133),IF(M133&gt;=0,M133,""),""))</f>
        <v/>
      </c>
      <c r="AA133" s="99" t="str">
        <f aca="false">IF(ISBLANK($C133),"",IF(N133=Constants!$B$2, TRUE(), IF(N133=Constants!$B$3, FALSE(), TRUE())))</f>
        <v/>
      </c>
      <c r="AB133" s="99" t="str">
        <f aca="false">IF(ISBLANK($C133),"",IF(O133=Constants!$B$2, TRUE(), IF(O133=Constants!$B$3, FALSE(), TRUE())))</f>
        <v/>
      </c>
      <c r="AC133" s="99" t="str">
        <f aca="false">IF(ISBLANK($C133),"",IF(P133=Constants!$B$2, TRUE(), IF(P133=Constants!$B$3, FALSE(), FALSE())))</f>
        <v/>
      </c>
      <c r="AD133" s="99" t="str">
        <f aca="false">IF(ISBLANK($C133),"",AND(V133&lt;&gt;"",IF(U133=Constants!$B$19,S133,R133)))</f>
        <v/>
      </c>
      <c r="AE133" s="99" t="str">
        <f aca="false">IF(ISBLANK($C133),"",AND(Z133&lt;&gt;"",IF(Y133=Constants!$B$19,S133,R133)))</f>
        <v/>
      </c>
      <c r="AF133" s="99" t="str">
        <f aca="false">IF(ISBLANK($C133),"",IF(AC133,Constants!$B$4,IF(COUNTA(E133:O133)=0,Constants!$B$5,IF(AND(NOT(AD133),NOT(AE133)),Constants!$B$6,Constants!$B$7))))</f>
        <v/>
      </c>
      <c r="AG133" s="99" t="str">
        <f aca="false">IF(ISBLANK($C133),"",IF($AF133&lt;&gt;Constants!$B$7,$AF133,Constants!$B$20))</f>
        <v/>
      </c>
      <c r="AH133" s="99" t="str">
        <f aca="false">IF($AF133=Constants!$B$7,IF(AD133,V133,Constants!$B$13),"")</f>
        <v/>
      </c>
      <c r="AI133" s="99" t="str">
        <f aca="false">IF($AF133=Constants!$B$7,IF(AD133,T133*IF(W133, 1, Constants!$B$11)*IF(X133, 1, Constants!$B$12),Constants!$B$13),"")</f>
        <v/>
      </c>
      <c r="AJ133" s="99" t="str">
        <f aca="false">IF($AF133=Constants!$B$7,AH133*AI133,"")</f>
        <v/>
      </c>
      <c r="AK133" s="99" t="str">
        <f aca="false">IF($AF133=Constants!$B$7,IF(AE133,Z133,Constants!$B$13),"")</f>
        <v/>
      </c>
      <c r="AL133" s="99" t="str">
        <f aca="false">IF($AF133=Constants!$B$7,IF(AE133,T133*IF(AA133, 1, Constants!$B$11)*IF(AB133, 1, Constants!$B$12),Constants!$B$13),"")</f>
        <v/>
      </c>
      <c r="AM133" s="99" t="str">
        <f aca="false">IF($AF133=Constants!$B$7,AK133*AL133,"")</f>
        <v/>
      </c>
      <c r="AN133" s="99" t="str">
        <f aca="false">IF($AF133=Constants!$B$7,IF(AM133&gt;AJ133,2,1),"")</f>
        <v/>
      </c>
      <c r="AO133" s="99" t="str">
        <f aca="false">IF($AF133=Constants!$B$7,IF(AN133=1,2,1),"")</f>
        <v/>
      </c>
      <c r="AP133" s="99" t="str">
        <f aca="false">IF(ISBLANK($C133),"",IF($AF133&lt;&gt;Constants!$B$7,$AF133,IF(AN133=1,AJ133,AM133)))</f>
        <v/>
      </c>
      <c r="AQ133" s="99" t="str">
        <f aca="false">IF(ISBLANK($C133),"",IF($AF133=Constants!$B$7,IF(ISNUMBER(AP133),RANK(AP133,$AP$8:$AP$507),Constants!$B$14),$AF133))</f>
        <v/>
      </c>
      <c r="AR133" s="99" t="str">
        <f aca="false">IF(ISBLANK($C133),"",IF($AF133=Constants!$B$7,IF(AO133=1,AJ133,AM133),""))</f>
        <v/>
      </c>
      <c r="AS133" s="99" t="str">
        <f aca="false">IF(ISBLANK($C133),"",IF($AF133=Constants!$B$7,RANK(AR133,$AR$8:$AR$507),$AF133))</f>
        <v/>
      </c>
      <c r="AT133" s="99" t="str">
        <f aca="false">IF(ISBLANK($C133),"",IF($AF133=Constants!$B$7,IF(ISNUMBER(AQ133),COUNTIFS($AQ$8:$AQ$507,"&lt;"&amp;$AQ133)+COUNTIFS($AQ$8:$AQ$507,$AQ133,$AS$8:$AS$507,"&lt;"&amp;$AS133)+1,Constants!$B$14),$AF133))</f>
        <v/>
      </c>
      <c r="AU133" s="99" t="str">
        <f aca="false">IF(ISBLANK($C133),"",IF($AF133=Constants!$B$7,IF(ISNUMBER(AQ133),AQ133-AT133,Constants!$B$14),$AF133))</f>
        <v/>
      </c>
      <c r="AV133" s="100"/>
      <c r="AW133" s="101" t="str">
        <f aca="false">IF(ISBLANK($C133),"",IF($AF133&lt;&gt;Constants!$B$7,"",AN133))</f>
        <v/>
      </c>
      <c r="AX133" s="102" t="str">
        <f aca="false">IF(ISBLANK($C133),"",IF($AF133&lt;&gt;Constants!$B$7,"",IF(AN133=1,AH133,AK133)))</f>
        <v/>
      </c>
      <c r="AY133" s="103" t="str">
        <f aca="false">IF(ISBLANK($C133),"",IF($AF133&lt;&gt;Constants!$B$7,"",IF(AN133=1,AI133,AL133)))</f>
        <v/>
      </c>
      <c r="AZ133" s="104" t="str">
        <f aca="false">IF(ISBLANK($C133),"",IF($AF133&lt;&gt;Constants!$B$7,$AF133,AP133))</f>
        <v/>
      </c>
      <c r="BA133" s="105" t="str">
        <f aca="false">IF(ISBLANK($C133),"",IF($AF133&lt;&gt;Constants!$B$7,$AF133,AG133))</f>
        <v/>
      </c>
      <c r="BB133" s="106" t="str">
        <f aca="false">IF(ISBLANK($C133),"",AU133)</f>
        <v/>
      </c>
      <c r="BC133" s="106" t="str">
        <f aca="false">IF(ISBLANK($C133),"",AT133)</f>
        <v/>
      </c>
      <c r="BD133" s="107" t="str">
        <f aca="false">IF(ISBLANK($C133),"",IFERROR(_xlfn.SWITCH(BC133,Constants!$B$4,COUNTA($C$8:$C$507)+2,Constants!$B$5,COUNTA($C$8:$C$507)+1,Constants!$B$6,COUNTA($C$8:$C$507)),BC133))</f>
        <v/>
      </c>
      <c r="BE133" s="5"/>
      <c r="BF133" s="108" t="n">
        <f aca="false">IF(OR(ISNUMBER(BC133),BC133=Constants!$B$4,BC133=Constants!$B$6,BC133=Constants!$B$5),1,0)</f>
        <v>0</v>
      </c>
      <c r="BG133" s="108" t="n">
        <v>126</v>
      </c>
      <c r="BH133" s="108" t="str">
        <f aca="false">IF(ISBLANK($C133),"",IF(ISNUMBER(BD133),BD133+ROW($B133)/1000,""))</f>
        <v/>
      </c>
      <c r="BI133" s="108" t="str">
        <f aca="false">IF(ISNUMBER(BH133),RANK(BH133,$BH$8:$BH$507,1),"")</f>
        <v/>
      </c>
      <c r="BJ133" s="108" t="str">
        <f aca="false">IF(ISBLANK($C133),"",$B133)</f>
        <v/>
      </c>
      <c r="BK133" s="108" t="str">
        <f aca="false">IF(ISBLANK($C133),"",$C133)</f>
        <v/>
      </c>
      <c r="BL133" s="108" t="str">
        <f aca="false">IF(ISBLANK($C133),"",$D133)</f>
        <v/>
      </c>
      <c r="BM133" s="109" t="str">
        <f aca="false">BA133</f>
        <v/>
      </c>
      <c r="BN133" s="110" t="str">
        <f aca="false">AZ133</f>
        <v/>
      </c>
      <c r="BO133" s="108" t="str">
        <f aca="false">IF(ISBLANK($C133),"",BC133)</f>
        <v/>
      </c>
      <c r="BP133" s="111" t="str">
        <f aca="false">IF($BG133&gt;$BF$7,"",VLOOKUP($BG133,$BI$8:$BO$507,7,FALSE()))</f>
        <v/>
      </c>
      <c r="BQ133" s="112" t="str">
        <f aca="false">IF($BG133&gt;$BF$7,"",VLOOKUP($BG133,$BI$8:$BO$507,2,FALSE()))</f>
        <v/>
      </c>
      <c r="BR133" s="112" t="str">
        <f aca="false">IF($BG133&gt;$BF$7,"",VLOOKUP($BG133,$BI$8:$BO$507,3,FALSE()))</f>
        <v/>
      </c>
      <c r="BS133" s="112" t="str">
        <f aca="false">IF($BG133&gt;$BF$7,"",VLOOKUP($BG133,$BI$8:$BO$507,4,FALSE()))</f>
        <v/>
      </c>
      <c r="BT133" s="112" t="str">
        <f aca="false">IF($BG133&gt;$BF$7,"",VLOOKUP($BG133,$BI$8:$BO$507,5,FALSE()))</f>
        <v/>
      </c>
      <c r="BU133" s="113" t="str">
        <f aca="false">IF($BG133&gt;$BF$7,"",VLOOKUP($BG133,$BI$8:$BO$507,6,FALSE()))</f>
        <v/>
      </c>
      <c r="BV133" s="54"/>
    </row>
    <row r="134" customFormat="false" ht="15.75" hidden="false" customHeight="false" outlineLevel="0" collapsed="false">
      <c r="A134" s="5"/>
      <c r="B134" s="135"/>
      <c r="C134" s="56"/>
      <c r="D134" s="57"/>
      <c r="E134" s="84"/>
      <c r="F134" s="136"/>
      <c r="G134" s="60"/>
      <c r="H134" s="137"/>
      <c r="I134" s="62"/>
      <c r="J134" s="62"/>
      <c r="K134" s="60"/>
      <c r="L134" s="138"/>
      <c r="M134" s="62"/>
      <c r="N134" s="62"/>
      <c r="O134" s="60"/>
      <c r="P134" s="84"/>
      <c r="Q134" s="65"/>
      <c r="R134" s="67" t="str">
        <f aca="false">IF(ISBLANK($C134),"",IF(E134=Constants!$B$2, TRUE(), IF(E134=Constants!$B$3, FALSE(), TRUE())))</f>
        <v/>
      </c>
      <c r="S134" s="67" t="str">
        <f aca="false">IF(ISBLANK($C134),"",IF(F134=Constants!$B$2, TRUE(), IF(F134=Constants!$B$3, FALSE(), TRUE())))</f>
        <v/>
      </c>
      <c r="T134" s="67" t="str">
        <f aca="false">IF(ISBLANK($C134),"",IF(G134=Constants!$B$16,Constants!$B$9,IF(G134=Constants!$B$17,Constants!$B$10,Constants!$B$8)))</f>
        <v/>
      </c>
      <c r="U134" s="67" t="str">
        <f aca="false">IF(ISBLANK($C134),"",IF(H134=Constants!$B$19,Constants!$B$19,Constants!$B$18))</f>
        <v/>
      </c>
      <c r="V134" s="67" t="str">
        <f aca="false">IF(ISBLANK($C134),"",IF(ISNUMBER(I134),IF(I134&gt;=0,I134,""),""))</f>
        <v/>
      </c>
      <c r="W134" s="67" t="str">
        <f aca="false">IF(ISBLANK($C134),"",IF(J134=Constants!$B$2, TRUE(), IF(J134=Constants!$B$3, FALSE(), TRUE())))</f>
        <v/>
      </c>
      <c r="X134" s="67" t="str">
        <f aca="false">IF(ISBLANK($C134),"",IF(K134=Constants!$B$2, TRUE(), IF(K134=Constants!$B$3, FALSE(), TRUE())))</f>
        <v/>
      </c>
      <c r="Y134" s="67" t="str">
        <f aca="false">IF(ISBLANK($C134),"",IF(L134=Constants!$B$19,Constants!$B$19,Constants!$B$18))</f>
        <v/>
      </c>
      <c r="Z134" s="67" t="str">
        <f aca="false">IF(ISBLANK($C134),"",IF(ISNUMBER(M134),IF(M134&gt;=0,M134,""),""))</f>
        <v/>
      </c>
      <c r="AA134" s="67" t="str">
        <f aca="false">IF(ISBLANK($C134),"",IF(N134=Constants!$B$2, TRUE(), IF(N134=Constants!$B$3, FALSE(), TRUE())))</f>
        <v/>
      </c>
      <c r="AB134" s="67" t="str">
        <f aca="false">IF(ISBLANK($C134),"",IF(O134=Constants!$B$2, TRUE(), IF(O134=Constants!$B$3, FALSE(), TRUE())))</f>
        <v/>
      </c>
      <c r="AC134" s="67" t="str">
        <f aca="false">IF(ISBLANK($C134),"",IF(P134=Constants!$B$2, TRUE(), IF(P134=Constants!$B$3, FALSE(), FALSE())))</f>
        <v/>
      </c>
      <c r="AD134" s="67" t="str">
        <f aca="false">IF(ISBLANK($C134),"",AND(V134&lt;&gt;"",IF(U134=Constants!$B$19,S134,R134)))</f>
        <v/>
      </c>
      <c r="AE134" s="67" t="str">
        <f aca="false">IF(ISBLANK($C134),"",AND(Z134&lt;&gt;"",IF(Y134=Constants!$B$19,S134,R134)))</f>
        <v/>
      </c>
      <c r="AF134" s="67" t="str">
        <f aca="false">IF(ISBLANK($C134),"",IF(AC134,Constants!$B$4,IF(COUNTA(E134:O134)=0,Constants!$B$5,IF(AND(NOT(AD134),NOT(AE134)),Constants!$B$6,Constants!$B$7))))</f>
        <v/>
      </c>
      <c r="AG134" s="67" t="str">
        <f aca="false">IF(ISBLANK($C134),"",IF($AF134&lt;&gt;Constants!$B$7,$AF134,Constants!$B$20))</f>
        <v/>
      </c>
      <c r="AH134" s="67" t="str">
        <f aca="false">IF($AF134=Constants!$B$7,IF(AD134,V134,Constants!$B$13),"")</f>
        <v/>
      </c>
      <c r="AI134" s="67" t="str">
        <f aca="false">IF($AF134=Constants!$B$7,IF(AD134,T134*IF(W134, 1, Constants!$B$11)*IF(X134, 1, Constants!$B$12),Constants!$B$13),"")</f>
        <v/>
      </c>
      <c r="AJ134" s="67" t="str">
        <f aca="false">IF($AF134=Constants!$B$7,AH134*AI134,"")</f>
        <v/>
      </c>
      <c r="AK134" s="67" t="str">
        <f aca="false">IF($AF134=Constants!$B$7,IF(AE134,Z134,Constants!$B$13),"")</f>
        <v/>
      </c>
      <c r="AL134" s="67" t="str">
        <f aca="false">IF($AF134=Constants!$B$7,IF(AE134,T134*IF(AA134, 1, Constants!$B$11)*IF(AB134, 1, Constants!$B$12),Constants!$B$13),"")</f>
        <v/>
      </c>
      <c r="AM134" s="67" t="str">
        <f aca="false">IF($AF134=Constants!$B$7,AK134*AL134,"")</f>
        <v/>
      </c>
      <c r="AN134" s="67" t="str">
        <f aca="false">IF($AF134=Constants!$B$7,IF(AM134&gt;AJ134,2,1),"")</f>
        <v/>
      </c>
      <c r="AO134" s="67" t="str">
        <f aca="false">IF($AF134=Constants!$B$7,IF(AN134=1,2,1),"")</f>
        <v/>
      </c>
      <c r="AP134" s="67" t="str">
        <f aca="false">IF(ISBLANK($C134),"",IF($AF134&lt;&gt;Constants!$B$7,$AF134,IF(AN134=1,AJ134,AM134)))</f>
        <v/>
      </c>
      <c r="AQ134" s="67" t="str">
        <f aca="false">IF(ISBLANK($C134),"",IF($AF134=Constants!$B$7,IF(ISNUMBER(AP134),RANK(AP134,$AP$8:$AP$507),Constants!$B$14),$AF134))</f>
        <v/>
      </c>
      <c r="AR134" s="67" t="str">
        <f aca="false">IF(ISBLANK($C134),"",IF($AF134=Constants!$B$7,IF(AO134=1,AJ134,AM134),""))</f>
        <v/>
      </c>
      <c r="AS134" s="67" t="str">
        <f aca="false">IF(ISBLANK($C134),"",IF($AF134=Constants!$B$7,RANK(AR134,$AR$8:$AR$507),$AF134))</f>
        <v/>
      </c>
      <c r="AT134" s="67" t="str">
        <f aca="false">IF(ISBLANK($C134),"",IF($AF134=Constants!$B$7,IF(ISNUMBER(AQ134),COUNTIFS($AQ$8:$AQ$507,"&lt;"&amp;$AQ134)+COUNTIFS($AQ$8:$AQ$507,$AQ134,$AS$8:$AS$507,"&lt;"&amp;$AS134)+1,Constants!$B$14),$AF134))</f>
        <v/>
      </c>
      <c r="AU134" s="67" t="str">
        <f aca="false">IF(ISBLANK($C134),"",IF($AF134=Constants!$B$7,IF(ISNUMBER(AQ134),AQ134-AT134,Constants!$B$14),$AF134))</f>
        <v/>
      </c>
      <c r="AV134" s="69"/>
      <c r="AW134" s="70" t="str">
        <f aca="false">IF(ISBLANK($C134),"",IF($AF134&lt;&gt;Constants!$B$7,"",AN134))</f>
        <v/>
      </c>
      <c r="AX134" s="85" t="str">
        <f aca="false">IF(ISBLANK($C134),"",IF($AF134&lt;&gt;Constants!$B$7,"",IF(AN134=1,AH134,AK134)))</f>
        <v/>
      </c>
      <c r="AY134" s="72" t="str">
        <f aca="false">IF(ISBLANK($C134),"",IF($AF134&lt;&gt;Constants!$B$7,"",IF(AN134=1,AI134,AL134)))</f>
        <v/>
      </c>
      <c r="AZ134" s="73" t="str">
        <f aca="false">IF(ISBLANK($C134),"",IF($AF134&lt;&gt;Constants!$B$7,$AF134,AP134))</f>
        <v/>
      </c>
      <c r="BA134" s="74" t="str">
        <f aca="false">IF(ISBLANK($C134),"",IF($AF134&lt;&gt;Constants!$B$7,$AF134,AG134))</f>
        <v/>
      </c>
      <c r="BB134" s="75" t="str">
        <f aca="false">IF(ISBLANK($C134),"",AU134)</f>
        <v/>
      </c>
      <c r="BC134" s="75" t="str">
        <f aca="false">IF(ISBLANK($C134),"",AT134)</f>
        <v/>
      </c>
      <c r="BD134" s="76" t="str">
        <f aca="false">IF(ISBLANK($C134),"",IFERROR(_xlfn.SWITCH(BC134,Constants!$B$4,COUNTA($C$8:$C$507)+2,Constants!$B$5,COUNTA($C$8:$C$507)+1,Constants!$B$6,COUNTA($C$8:$C$507)),BC134))</f>
        <v/>
      </c>
      <c r="BE134" s="5"/>
      <c r="BF134" s="77" t="n">
        <f aca="false">IF(OR(ISNUMBER(BC134),BC134=Constants!$B$4,BC134=Constants!$B$6,BC134=Constants!$B$5),1,0)</f>
        <v>0</v>
      </c>
      <c r="BG134" s="77" t="n">
        <v>127</v>
      </c>
      <c r="BH134" s="77" t="str">
        <f aca="false">IF(ISBLANK($C134),"",IF(ISNUMBER(BD134),BD134+ROW($B134)/1000,""))</f>
        <v/>
      </c>
      <c r="BI134" s="77" t="str">
        <f aca="false">IF(ISNUMBER(BH134),RANK(BH134,$BH$8:$BH$507,1),"")</f>
        <v/>
      </c>
      <c r="BJ134" s="77" t="str">
        <f aca="false">IF(ISBLANK($C134),"",$B134)</f>
        <v/>
      </c>
      <c r="BK134" s="77" t="str">
        <f aca="false">IF(ISBLANK($C134),"",$C134)</f>
        <v/>
      </c>
      <c r="BL134" s="77" t="str">
        <f aca="false">IF(ISBLANK($C134),"",$D134)</f>
        <v/>
      </c>
      <c r="BM134" s="78" t="str">
        <f aca="false">BA134</f>
        <v/>
      </c>
      <c r="BN134" s="79" t="str">
        <f aca="false">AZ134</f>
        <v/>
      </c>
      <c r="BO134" s="77" t="str">
        <f aca="false">IF(ISBLANK($C134),"",BC134)</f>
        <v/>
      </c>
      <c r="BP134" s="80" t="str">
        <f aca="false">IF($BG134&gt;$BF$7,"",VLOOKUP($BG134,$BI$8:$BO$507,7,FALSE()))</f>
        <v/>
      </c>
      <c r="BQ134" s="81" t="str">
        <f aca="false">IF($BG134&gt;$BF$7,"",VLOOKUP($BG134,$BI$8:$BO$507,2,FALSE()))</f>
        <v/>
      </c>
      <c r="BR134" s="81" t="str">
        <f aca="false">IF($BG134&gt;$BF$7,"",VLOOKUP($BG134,$BI$8:$BO$507,3,FALSE()))</f>
        <v/>
      </c>
      <c r="BS134" s="81" t="str">
        <f aca="false">IF($BG134&gt;$BF$7,"",VLOOKUP($BG134,$BI$8:$BO$507,4,FALSE()))</f>
        <v/>
      </c>
      <c r="BT134" s="81" t="str">
        <f aca="false">IF($BG134&gt;$BF$7,"",VLOOKUP($BG134,$BI$8:$BO$507,5,FALSE()))</f>
        <v/>
      </c>
      <c r="BU134" s="82" t="str">
        <f aca="false">IF($BG134&gt;$BF$7,"",VLOOKUP($BG134,$BI$8:$BO$507,6,FALSE()))</f>
        <v/>
      </c>
      <c r="BV134" s="54"/>
    </row>
    <row r="135" customFormat="false" ht="15.75" hidden="false" customHeight="false" outlineLevel="0" collapsed="false">
      <c r="A135" s="5"/>
      <c r="B135" s="135"/>
      <c r="C135" s="56"/>
      <c r="D135" s="57"/>
      <c r="E135" s="84"/>
      <c r="F135" s="136"/>
      <c r="G135" s="60"/>
      <c r="H135" s="137"/>
      <c r="I135" s="62"/>
      <c r="J135" s="62"/>
      <c r="K135" s="60"/>
      <c r="L135" s="138"/>
      <c r="M135" s="62"/>
      <c r="N135" s="62"/>
      <c r="O135" s="60"/>
      <c r="P135" s="84"/>
      <c r="Q135" s="65"/>
      <c r="R135" s="67" t="str">
        <f aca="false">IF(ISBLANK($C135),"",IF(E135=Constants!$B$2, TRUE(), IF(E135=Constants!$B$3, FALSE(), TRUE())))</f>
        <v/>
      </c>
      <c r="S135" s="67" t="str">
        <f aca="false">IF(ISBLANK($C135),"",IF(F135=Constants!$B$2, TRUE(), IF(F135=Constants!$B$3, FALSE(), TRUE())))</f>
        <v/>
      </c>
      <c r="T135" s="67" t="str">
        <f aca="false">IF(ISBLANK($C135),"",IF(G135=Constants!$B$16,Constants!$B$9,IF(G135=Constants!$B$17,Constants!$B$10,Constants!$B$8)))</f>
        <v/>
      </c>
      <c r="U135" s="67" t="str">
        <f aca="false">IF(ISBLANK($C135),"",IF(H135=Constants!$B$19,Constants!$B$19,Constants!$B$18))</f>
        <v/>
      </c>
      <c r="V135" s="67" t="str">
        <f aca="false">IF(ISBLANK($C135),"",IF(ISNUMBER(I135),IF(I135&gt;=0,I135,""),""))</f>
        <v/>
      </c>
      <c r="W135" s="67" t="str">
        <f aca="false">IF(ISBLANK($C135),"",IF(J135=Constants!$B$2, TRUE(), IF(J135=Constants!$B$3, FALSE(), TRUE())))</f>
        <v/>
      </c>
      <c r="X135" s="67" t="str">
        <f aca="false">IF(ISBLANK($C135),"",IF(K135=Constants!$B$2, TRUE(), IF(K135=Constants!$B$3, FALSE(), TRUE())))</f>
        <v/>
      </c>
      <c r="Y135" s="67" t="str">
        <f aca="false">IF(ISBLANK($C135),"",IF(L135=Constants!$B$19,Constants!$B$19,Constants!$B$18))</f>
        <v/>
      </c>
      <c r="Z135" s="67" t="str">
        <f aca="false">IF(ISBLANK($C135),"",IF(ISNUMBER(M135),IF(M135&gt;=0,M135,""),""))</f>
        <v/>
      </c>
      <c r="AA135" s="67" t="str">
        <f aca="false">IF(ISBLANK($C135),"",IF(N135=Constants!$B$2, TRUE(), IF(N135=Constants!$B$3, FALSE(), TRUE())))</f>
        <v/>
      </c>
      <c r="AB135" s="67" t="str">
        <f aca="false">IF(ISBLANK($C135),"",IF(O135=Constants!$B$2, TRUE(), IF(O135=Constants!$B$3, FALSE(), TRUE())))</f>
        <v/>
      </c>
      <c r="AC135" s="67" t="str">
        <f aca="false">IF(ISBLANK($C135),"",IF(P135=Constants!$B$2, TRUE(), IF(P135=Constants!$B$3, FALSE(), FALSE())))</f>
        <v/>
      </c>
      <c r="AD135" s="67" t="str">
        <f aca="false">IF(ISBLANK($C135),"",AND(V135&lt;&gt;"",IF(U135=Constants!$B$19,S135,R135)))</f>
        <v/>
      </c>
      <c r="AE135" s="67" t="str">
        <f aca="false">IF(ISBLANK($C135),"",AND(Z135&lt;&gt;"",IF(Y135=Constants!$B$19,S135,R135)))</f>
        <v/>
      </c>
      <c r="AF135" s="67" t="str">
        <f aca="false">IF(ISBLANK($C135),"",IF(AC135,Constants!$B$4,IF(COUNTA(E135:O135)=0,Constants!$B$5,IF(AND(NOT(AD135),NOT(AE135)),Constants!$B$6,Constants!$B$7))))</f>
        <v/>
      </c>
      <c r="AG135" s="67" t="str">
        <f aca="false">IF(ISBLANK($C135),"",IF($AF135&lt;&gt;Constants!$B$7,$AF135,Constants!$B$20))</f>
        <v/>
      </c>
      <c r="AH135" s="67" t="str">
        <f aca="false">IF($AF135=Constants!$B$7,IF(AD135,V135,Constants!$B$13),"")</f>
        <v/>
      </c>
      <c r="AI135" s="67" t="str">
        <f aca="false">IF($AF135=Constants!$B$7,IF(AD135,T135*IF(W135, 1, Constants!$B$11)*IF(X135, 1, Constants!$B$12),Constants!$B$13),"")</f>
        <v/>
      </c>
      <c r="AJ135" s="67" t="str">
        <f aca="false">IF($AF135=Constants!$B$7,AH135*AI135,"")</f>
        <v/>
      </c>
      <c r="AK135" s="67" t="str">
        <f aca="false">IF($AF135=Constants!$B$7,IF(AE135,Z135,Constants!$B$13),"")</f>
        <v/>
      </c>
      <c r="AL135" s="67" t="str">
        <f aca="false">IF($AF135=Constants!$B$7,IF(AE135,T135*IF(AA135, 1, Constants!$B$11)*IF(AB135, 1, Constants!$B$12),Constants!$B$13),"")</f>
        <v/>
      </c>
      <c r="AM135" s="67" t="str">
        <f aca="false">IF($AF135=Constants!$B$7,AK135*AL135,"")</f>
        <v/>
      </c>
      <c r="AN135" s="67" t="str">
        <f aca="false">IF($AF135=Constants!$B$7,IF(AM135&gt;AJ135,2,1),"")</f>
        <v/>
      </c>
      <c r="AO135" s="67" t="str">
        <f aca="false">IF($AF135=Constants!$B$7,IF(AN135=1,2,1),"")</f>
        <v/>
      </c>
      <c r="AP135" s="67" t="str">
        <f aca="false">IF(ISBLANK($C135),"",IF($AF135&lt;&gt;Constants!$B$7,$AF135,IF(AN135=1,AJ135,AM135)))</f>
        <v/>
      </c>
      <c r="AQ135" s="67" t="str">
        <f aca="false">IF(ISBLANK($C135),"",IF($AF135=Constants!$B$7,IF(ISNUMBER(AP135),RANK(AP135,$AP$8:$AP$507),Constants!$B$14),$AF135))</f>
        <v/>
      </c>
      <c r="AR135" s="67" t="str">
        <f aca="false">IF(ISBLANK($C135),"",IF($AF135=Constants!$B$7,IF(AO135=1,AJ135,AM135),""))</f>
        <v/>
      </c>
      <c r="AS135" s="67" t="str">
        <f aca="false">IF(ISBLANK($C135),"",IF($AF135=Constants!$B$7,RANK(AR135,$AR$8:$AR$507),$AF135))</f>
        <v/>
      </c>
      <c r="AT135" s="67" t="str">
        <f aca="false">IF(ISBLANK($C135),"",IF($AF135=Constants!$B$7,IF(ISNUMBER(AQ135),COUNTIFS($AQ$8:$AQ$507,"&lt;"&amp;$AQ135)+COUNTIFS($AQ$8:$AQ$507,$AQ135,$AS$8:$AS$507,"&lt;"&amp;$AS135)+1,Constants!$B$14),$AF135))</f>
        <v/>
      </c>
      <c r="AU135" s="67" t="str">
        <f aca="false">IF(ISBLANK($C135),"",IF($AF135=Constants!$B$7,IF(ISNUMBER(AQ135),AQ135-AT135,Constants!$B$14),$AF135))</f>
        <v/>
      </c>
      <c r="AV135" s="69"/>
      <c r="AW135" s="70" t="str">
        <f aca="false">IF(ISBLANK($C135),"",IF($AF135&lt;&gt;Constants!$B$7,"",AN135))</f>
        <v/>
      </c>
      <c r="AX135" s="85" t="str">
        <f aca="false">IF(ISBLANK($C135),"",IF($AF135&lt;&gt;Constants!$B$7,"",IF(AN135=1,AH135,AK135)))</f>
        <v/>
      </c>
      <c r="AY135" s="72" t="str">
        <f aca="false">IF(ISBLANK($C135),"",IF($AF135&lt;&gt;Constants!$B$7,"",IF(AN135=1,AI135,AL135)))</f>
        <v/>
      </c>
      <c r="AZ135" s="73" t="str">
        <f aca="false">IF(ISBLANK($C135),"",IF($AF135&lt;&gt;Constants!$B$7,$AF135,AP135))</f>
        <v/>
      </c>
      <c r="BA135" s="74" t="str">
        <f aca="false">IF(ISBLANK($C135),"",IF($AF135&lt;&gt;Constants!$B$7,$AF135,AG135))</f>
        <v/>
      </c>
      <c r="BB135" s="75" t="str">
        <f aca="false">IF(ISBLANK($C135),"",AU135)</f>
        <v/>
      </c>
      <c r="BC135" s="75" t="str">
        <f aca="false">IF(ISBLANK($C135),"",AT135)</f>
        <v/>
      </c>
      <c r="BD135" s="76" t="str">
        <f aca="false">IF(ISBLANK($C135),"",IFERROR(_xlfn.SWITCH(BC135,Constants!$B$4,COUNTA($C$8:$C$507)+2,Constants!$B$5,COUNTA($C$8:$C$507)+1,Constants!$B$6,COUNTA($C$8:$C$507)),BC135))</f>
        <v/>
      </c>
      <c r="BE135" s="5"/>
      <c r="BF135" s="77" t="n">
        <f aca="false">IF(OR(ISNUMBER(BC135),BC135=Constants!$B$4,BC135=Constants!$B$6,BC135=Constants!$B$5),1,0)</f>
        <v>0</v>
      </c>
      <c r="BG135" s="77" t="n">
        <v>128</v>
      </c>
      <c r="BH135" s="77" t="str">
        <f aca="false">IF(ISBLANK($C135),"",IF(ISNUMBER(BD135),BD135+ROW($B135)/1000,""))</f>
        <v/>
      </c>
      <c r="BI135" s="77" t="str">
        <f aca="false">IF(ISNUMBER(BH135),RANK(BH135,$BH$8:$BH$507,1),"")</f>
        <v/>
      </c>
      <c r="BJ135" s="77" t="str">
        <f aca="false">IF(ISBLANK($C135),"",$B135)</f>
        <v/>
      </c>
      <c r="BK135" s="77" t="str">
        <f aca="false">IF(ISBLANK($C135),"",$C135)</f>
        <v/>
      </c>
      <c r="BL135" s="77" t="str">
        <f aca="false">IF(ISBLANK($C135),"",$D135)</f>
        <v/>
      </c>
      <c r="BM135" s="78" t="str">
        <f aca="false">BA135</f>
        <v/>
      </c>
      <c r="BN135" s="79" t="str">
        <f aca="false">AZ135</f>
        <v/>
      </c>
      <c r="BO135" s="77" t="str">
        <f aca="false">IF(ISBLANK($C135),"",BC135)</f>
        <v/>
      </c>
      <c r="BP135" s="80" t="str">
        <f aca="false">IF($BG135&gt;$BF$7,"",VLOOKUP($BG135,$BI$8:$BO$507,7,FALSE()))</f>
        <v/>
      </c>
      <c r="BQ135" s="81" t="str">
        <f aca="false">IF($BG135&gt;$BF$7,"",VLOOKUP($BG135,$BI$8:$BO$507,2,FALSE()))</f>
        <v/>
      </c>
      <c r="BR135" s="81" t="str">
        <f aca="false">IF($BG135&gt;$BF$7,"",VLOOKUP($BG135,$BI$8:$BO$507,3,FALSE()))</f>
        <v/>
      </c>
      <c r="BS135" s="81" t="str">
        <f aca="false">IF($BG135&gt;$BF$7,"",VLOOKUP($BG135,$BI$8:$BO$507,4,FALSE()))</f>
        <v/>
      </c>
      <c r="BT135" s="81" t="str">
        <f aca="false">IF($BG135&gt;$BF$7,"",VLOOKUP($BG135,$BI$8:$BO$507,5,FALSE()))</f>
        <v/>
      </c>
      <c r="BU135" s="82" t="str">
        <f aca="false">IF($BG135&gt;$BF$7,"",VLOOKUP($BG135,$BI$8:$BO$507,6,FALSE()))</f>
        <v/>
      </c>
      <c r="BV135" s="54"/>
    </row>
    <row r="136" customFormat="false" ht="15.75" hidden="false" customHeight="false" outlineLevel="0" collapsed="false">
      <c r="A136" s="5"/>
      <c r="B136" s="135"/>
      <c r="C136" s="56"/>
      <c r="D136" s="57"/>
      <c r="E136" s="84"/>
      <c r="F136" s="136"/>
      <c r="G136" s="60"/>
      <c r="H136" s="137"/>
      <c r="I136" s="62"/>
      <c r="J136" s="62"/>
      <c r="K136" s="60"/>
      <c r="L136" s="138"/>
      <c r="M136" s="62"/>
      <c r="N136" s="62"/>
      <c r="O136" s="60"/>
      <c r="P136" s="84"/>
      <c r="Q136" s="65"/>
      <c r="R136" s="67" t="str">
        <f aca="false">IF(ISBLANK($C136),"",IF(E136=Constants!$B$2, TRUE(), IF(E136=Constants!$B$3, FALSE(), TRUE())))</f>
        <v/>
      </c>
      <c r="S136" s="67" t="str">
        <f aca="false">IF(ISBLANK($C136),"",IF(F136=Constants!$B$2, TRUE(), IF(F136=Constants!$B$3, FALSE(), TRUE())))</f>
        <v/>
      </c>
      <c r="T136" s="67" t="str">
        <f aca="false">IF(ISBLANK($C136),"",IF(G136=Constants!$B$16,Constants!$B$9,IF(G136=Constants!$B$17,Constants!$B$10,Constants!$B$8)))</f>
        <v/>
      </c>
      <c r="U136" s="67" t="str">
        <f aca="false">IF(ISBLANK($C136),"",IF(H136=Constants!$B$19,Constants!$B$19,Constants!$B$18))</f>
        <v/>
      </c>
      <c r="V136" s="67" t="str">
        <f aca="false">IF(ISBLANK($C136),"",IF(ISNUMBER(I136),IF(I136&gt;=0,I136,""),""))</f>
        <v/>
      </c>
      <c r="W136" s="67" t="str">
        <f aca="false">IF(ISBLANK($C136),"",IF(J136=Constants!$B$2, TRUE(), IF(J136=Constants!$B$3, FALSE(), TRUE())))</f>
        <v/>
      </c>
      <c r="X136" s="67" t="str">
        <f aca="false">IF(ISBLANK($C136),"",IF(K136=Constants!$B$2, TRUE(), IF(K136=Constants!$B$3, FALSE(), TRUE())))</f>
        <v/>
      </c>
      <c r="Y136" s="67" t="str">
        <f aca="false">IF(ISBLANK($C136),"",IF(L136=Constants!$B$19,Constants!$B$19,Constants!$B$18))</f>
        <v/>
      </c>
      <c r="Z136" s="67" t="str">
        <f aca="false">IF(ISBLANK($C136),"",IF(ISNUMBER(M136),IF(M136&gt;=0,M136,""),""))</f>
        <v/>
      </c>
      <c r="AA136" s="67" t="str">
        <f aca="false">IF(ISBLANK($C136),"",IF(N136=Constants!$B$2, TRUE(), IF(N136=Constants!$B$3, FALSE(), TRUE())))</f>
        <v/>
      </c>
      <c r="AB136" s="67" t="str">
        <f aca="false">IF(ISBLANK($C136),"",IF(O136=Constants!$B$2, TRUE(), IF(O136=Constants!$B$3, FALSE(), TRUE())))</f>
        <v/>
      </c>
      <c r="AC136" s="67" t="str">
        <f aca="false">IF(ISBLANK($C136),"",IF(P136=Constants!$B$2, TRUE(), IF(P136=Constants!$B$3, FALSE(), FALSE())))</f>
        <v/>
      </c>
      <c r="AD136" s="67" t="str">
        <f aca="false">IF(ISBLANK($C136),"",AND(V136&lt;&gt;"",IF(U136=Constants!$B$19,S136,R136)))</f>
        <v/>
      </c>
      <c r="AE136" s="67" t="str">
        <f aca="false">IF(ISBLANK($C136),"",AND(Z136&lt;&gt;"",IF(Y136=Constants!$B$19,S136,R136)))</f>
        <v/>
      </c>
      <c r="AF136" s="67" t="str">
        <f aca="false">IF(ISBLANK($C136),"",IF(AC136,Constants!$B$4,IF(COUNTA(E136:O136)=0,Constants!$B$5,IF(AND(NOT(AD136),NOT(AE136)),Constants!$B$6,Constants!$B$7))))</f>
        <v/>
      </c>
      <c r="AG136" s="67" t="str">
        <f aca="false">IF(ISBLANK($C136),"",IF($AF136&lt;&gt;Constants!$B$7,$AF136,Constants!$B$20))</f>
        <v/>
      </c>
      <c r="AH136" s="67" t="str">
        <f aca="false">IF($AF136=Constants!$B$7,IF(AD136,V136,Constants!$B$13),"")</f>
        <v/>
      </c>
      <c r="AI136" s="67" t="str">
        <f aca="false">IF($AF136=Constants!$B$7,IF(AD136,T136*IF(W136, 1, Constants!$B$11)*IF(X136, 1, Constants!$B$12),Constants!$B$13),"")</f>
        <v/>
      </c>
      <c r="AJ136" s="67" t="str">
        <f aca="false">IF($AF136=Constants!$B$7,AH136*AI136,"")</f>
        <v/>
      </c>
      <c r="AK136" s="67" t="str">
        <f aca="false">IF($AF136=Constants!$B$7,IF(AE136,Z136,Constants!$B$13),"")</f>
        <v/>
      </c>
      <c r="AL136" s="67" t="str">
        <f aca="false">IF($AF136=Constants!$B$7,IF(AE136,T136*IF(AA136, 1, Constants!$B$11)*IF(AB136, 1, Constants!$B$12),Constants!$B$13),"")</f>
        <v/>
      </c>
      <c r="AM136" s="67" t="str">
        <f aca="false">IF($AF136=Constants!$B$7,AK136*AL136,"")</f>
        <v/>
      </c>
      <c r="AN136" s="67" t="str">
        <f aca="false">IF($AF136=Constants!$B$7,IF(AM136&gt;AJ136,2,1),"")</f>
        <v/>
      </c>
      <c r="AO136" s="67" t="str">
        <f aca="false">IF($AF136=Constants!$B$7,IF(AN136=1,2,1),"")</f>
        <v/>
      </c>
      <c r="AP136" s="67" t="str">
        <f aca="false">IF(ISBLANK($C136),"",IF($AF136&lt;&gt;Constants!$B$7,$AF136,IF(AN136=1,AJ136,AM136)))</f>
        <v/>
      </c>
      <c r="AQ136" s="67" t="str">
        <f aca="false">IF(ISBLANK($C136),"",IF($AF136=Constants!$B$7,IF(ISNUMBER(AP136),RANK(AP136,$AP$8:$AP$507),Constants!$B$14),$AF136))</f>
        <v/>
      </c>
      <c r="AR136" s="67" t="str">
        <f aca="false">IF(ISBLANK($C136),"",IF($AF136=Constants!$B$7,IF(AO136=1,AJ136,AM136),""))</f>
        <v/>
      </c>
      <c r="AS136" s="67" t="str">
        <f aca="false">IF(ISBLANK($C136),"",IF($AF136=Constants!$B$7,RANK(AR136,$AR$8:$AR$507),$AF136))</f>
        <v/>
      </c>
      <c r="AT136" s="67" t="str">
        <f aca="false">IF(ISBLANK($C136),"",IF($AF136=Constants!$B$7,IF(ISNUMBER(AQ136),COUNTIFS($AQ$8:$AQ$507,"&lt;"&amp;$AQ136)+COUNTIFS($AQ$8:$AQ$507,$AQ136,$AS$8:$AS$507,"&lt;"&amp;$AS136)+1,Constants!$B$14),$AF136))</f>
        <v/>
      </c>
      <c r="AU136" s="67" t="str">
        <f aca="false">IF(ISBLANK($C136),"",IF($AF136=Constants!$B$7,IF(ISNUMBER(AQ136),AQ136-AT136,Constants!$B$14),$AF136))</f>
        <v/>
      </c>
      <c r="AV136" s="69"/>
      <c r="AW136" s="70" t="str">
        <f aca="false">IF(ISBLANK($C136),"",IF($AF136&lt;&gt;Constants!$B$7,"",AN136))</f>
        <v/>
      </c>
      <c r="AX136" s="85" t="str">
        <f aca="false">IF(ISBLANK($C136),"",IF($AF136&lt;&gt;Constants!$B$7,"",IF(AN136=1,AH136,AK136)))</f>
        <v/>
      </c>
      <c r="AY136" s="72" t="str">
        <f aca="false">IF(ISBLANK($C136),"",IF($AF136&lt;&gt;Constants!$B$7,"",IF(AN136=1,AI136,AL136)))</f>
        <v/>
      </c>
      <c r="AZ136" s="73" t="str">
        <f aca="false">IF(ISBLANK($C136),"",IF($AF136&lt;&gt;Constants!$B$7,$AF136,AP136))</f>
        <v/>
      </c>
      <c r="BA136" s="74" t="str">
        <f aca="false">IF(ISBLANK($C136),"",IF($AF136&lt;&gt;Constants!$B$7,$AF136,AG136))</f>
        <v/>
      </c>
      <c r="BB136" s="75" t="str">
        <f aca="false">IF(ISBLANK($C136),"",AU136)</f>
        <v/>
      </c>
      <c r="BC136" s="75" t="str">
        <f aca="false">IF(ISBLANK($C136),"",AT136)</f>
        <v/>
      </c>
      <c r="BD136" s="76" t="str">
        <f aca="false">IF(ISBLANK($C136),"",IFERROR(_xlfn.SWITCH(BC136,Constants!$B$4,COUNTA($C$8:$C$507)+2,Constants!$B$5,COUNTA($C$8:$C$507)+1,Constants!$B$6,COUNTA($C$8:$C$507)),BC136))</f>
        <v/>
      </c>
      <c r="BE136" s="5"/>
      <c r="BF136" s="77" t="n">
        <f aca="false">IF(OR(ISNUMBER(BC136),BC136=Constants!$B$4,BC136=Constants!$B$6,BC136=Constants!$B$5),1,0)</f>
        <v>0</v>
      </c>
      <c r="BG136" s="77" t="n">
        <v>129</v>
      </c>
      <c r="BH136" s="77" t="str">
        <f aca="false">IF(ISBLANK($C136),"",IF(ISNUMBER(BD136),BD136+ROW($B136)/1000,""))</f>
        <v/>
      </c>
      <c r="BI136" s="77" t="str">
        <f aca="false">IF(ISNUMBER(BH136),RANK(BH136,$BH$8:$BH$507,1),"")</f>
        <v/>
      </c>
      <c r="BJ136" s="77" t="str">
        <f aca="false">IF(ISBLANK($C136),"",$B136)</f>
        <v/>
      </c>
      <c r="BK136" s="77" t="str">
        <f aca="false">IF(ISBLANK($C136),"",$C136)</f>
        <v/>
      </c>
      <c r="BL136" s="77" t="str">
        <f aca="false">IF(ISBLANK($C136),"",$D136)</f>
        <v/>
      </c>
      <c r="BM136" s="78" t="str">
        <f aca="false">BA136</f>
        <v/>
      </c>
      <c r="BN136" s="79" t="str">
        <f aca="false">AZ136</f>
        <v/>
      </c>
      <c r="BO136" s="77" t="str">
        <f aca="false">IF(ISBLANK($C136),"",BC136)</f>
        <v/>
      </c>
      <c r="BP136" s="80" t="str">
        <f aca="false">IF($BG136&gt;$BF$7,"",VLOOKUP($BG136,$BI$8:$BO$507,7,FALSE()))</f>
        <v/>
      </c>
      <c r="BQ136" s="81" t="str">
        <f aca="false">IF($BG136&gt;$BF$7,"",VLOOKUP($BG136,$BI$8:$BO$507,2,FALSE()))</f>
        <v/>
      </c>
      <c r="BR136" s="81" t="str">
        <f aca="false">IF($BG136&gt;$BF$7,"",VLOOKUP($BG136,$BI$8:$BO$507,3,FALSE()))</f>
        <v/>
      </c>
      <c r="BS136" s="81" t="str">
        <f aca="false">IF($BG136&gt;$BF$7,"",VLOOKUP($BG136,$BI$8:$BO$507,4,FALSE()))</f>
        <v/>
      </c>
      <c r="BT136" s="81" t="str">
        <f aca="false">IF($BG136&gt;$BF$7,"",VLOOKUP($BG136,$BI$8:$BO$507,5,FALSE()))</f>
        <v/>
      </c>
      <c r="BU136" s="82" t="str">
        <f aca="false">IF($BG136&gt;$BF$7,"",VLOOKUP($BG136,$BI$8:$BO$507,6,FALSE()))</f>
        <v/>
      </c>
      <c r="BV136" s="54"/>
    </row>
    <row r="137" customFormat="false" ht="15.75" hidden="false" customHeight="false" outlineLevel="0" collapsed="false">
      <c r="A137" s="5"/>
      <c r="B137" s="128"/>
      <c r="C137" s="129"/>
      <c r="D137" s="114"/>
      <c r="E137" s="134"/>
      <c r="F137" s="139"/>
      <c r="G137" s="93"/>
      <c r="H137" s="140"/>
      <c r="I137" s="95"/>
      <c r="J137" s="95"/>
      <c r="K137" s="93"/>
      <c r="L137" s="141"/>
      <c r="M137" s="95"/>
      <c r="N137" s="95"/>
      <c r="O137" s="93"/>
      <c r="P137" s="134"/>
      <c r="Q137" s="98"/>
      <c r="R137" s="99" t="str">
        <f aca="false">IF(ISBLANK($C137),"",IF(E137=Constants!$B$2, TRUE(), IF(E137=Constants!$B$3, FALSE(), TRUE())))</f>
        <v/>
      </c>
      <c r="S137" s="99" t="str">
        <f aca="false">IF(ISBLANK($C137),"",IF(F137=Constants!$B$2, TRUE(), IF(F137=Constants!$B$3, FALSE(), TRUE())))</f>
        <v/>
      </c>
      <c r="T137" s="99" t="str">
        <f aca="false">IF(ISBLANK($C137),"",IF(G137=Constants!$B$16,Constants!$B$9,IF(G137=Constants!$B$17,Constants!$B$10,Constants!$B$8)))</f>
        <v/>
      </c>
      <c r="U137" s="99" t="str">
        <f aca="false">IF(ISBLANK($C137),"",IF(H137=Constants!$B$19,Constants!$B$19,Constants!$B$18))</f>
        <v/>
      </c>
      <c r="V137" s="99" t="str">
        <f aca="false">IF(ISBLANK($C137),"",IF(ISNUMBER(I137),IF(I137&gt;=0,I137,""),""))</f>
        <v/>
      </c>
      <c r="W137" s="99" t="str">
        <f aca="false">IF(ISBLANK($C137),"",IF(J137=Constants!$B$2, TRUE(), IF(J137=Constants!$B$3, FALSE(), TRUE())))</f>
        <v/>
      </c>
      <c r="X137" s="99" t="str">
        <f aca="false">IF(ISBLANK($C137),"",IF(K137=Constants!$B$2, TRUE(), IF(K137=Constants!$B$3, FALSE(), TRUE())))</f>
        <v/>
      </c>
      <c r="Y137" s="99" t="str">
        <f aca="false">IF(ISBLANK($C137),"",IF(L137=Constants!$B$19,Constants!$B$19,Constants!$B$18))</f>
        <v/>
      </c>
      <c r="Z137" s="99" t="str">
        <f aca="false">IF(ISBLANK($C137),"",IF(ISNUMBER(M137),IF(M137&gt;=0,M137,""),""))</f>
        <v/>
      </c>
      <c r="AA137" s="99" t="str">
        <f aca="false">IF(ISBLANK($C137),"",IF(N137=Constants!$B$2, TRUE(), IF(N137=Constants!$B$3, FALSE(), TRUE())))</f>
        <v/>
      </c>
      <c r="AB137" s="99" t="str">
        <f aca="false">IF(ISBLANK($C137),"",IF(O137=Constants!$B$2, TRUE(), IF(O137=Constants!$B$3, FALSE(), TRUE())))</f>
        <v/>
      </c>
      <c r="AC137" s="99" t="str">
        <f aca="false">IF(ISBLANK($C137),"",IF(P137=Constants!$B$2, TRUE(), IF(P137=Constants!$B$3, FALSE(), FALSE())))</f>
        <v/>
      </c>
      <c r="AD137" s="99" t="str">
        <f aca="false">IF(ISBLANK($C137),"",AND(V137&lt;&gt;"",IF(U137=Constants!$B$19,S137,R137)))</f>
        <v/>
      </c>
      <c r="AE137" s="99" t="str">
        <f aca="false">IF(ISBLANK($C137),"",AND(Z137&lt;&gt;"",IF(Y137=Constants!$B$19,S137,R137)))</f>
        <v/>
      </c>
      <c r="AF137" s="99" t="str">
        <f aca="false">IF(ISBLANK($C137),"",IF(AC137,Constants!$B$4,IF(COUNTA(E137:O137)=0,Constants!$B$5,IF(AND(NOT(AD137),NOT(AE137)),Constants!$B$6,Constants!$B$7))))</f>
        <v/>
      </c>
      <c r="AG137" s="99" t="str">
        <f aca="false">IF(ISBLANK($C137),"",IF($AF137&lt;&gt;Constants!$B$7,$AF137,Constants!$B$20))</f>
        <v/>
      </c>
      <c r="AH137" s="99" t="str">
        <f aca="false">IF($AF137=Constants!$B$7,IF(AD137,V137,Constants!$B$13),"")</f>
        <v/>
      </c>
      <c r="AI137" s="99" t="str">
        <f aca="false">IF($AF137=Constants!$B$7,IF(AD137,T137*IF(W137, 1, Constants!$B$11)*IF(X137, 1, Constants!$B$12),Constants!$B$13),"")</f>
        <v/>
      </c>
      <c r="AJ137" s="99" t="str">
        <f aca="false">IF($AF137=Constants!$B$7,AH137*AI137,"")</f>
        <v/>
      </c>
      <c r="AK137" s="99" t="str">
        <f aca="false">IF($AF137=Constants!$B$7,IF(AE137,Z137,Constants!$B$13),"")</f>
        <v/>
      </c>
      <c r="AL137" s="99" t="str">
        <f aca="false">IF($AF137=Constants!$B$7,IF(AE137,T137*IF(AA137, 1, Constants!$B$11)*IF(AB137, 1, Constants!$B$12),Constants!$B$13),"")</f>
        <v/>
      </c>
      <c r="AM137" s="99" t="str">
        <f aca="false">IF($AF137=Constants!$B$7,AK137*AL137,"")</f>
        <v/>
      </c>
      <c r="AN137" s="99" t="str">
        <f aca="false">IF($AF137=Constants!$B$7,IF(AM137&gt;AJ137,2,1),"")</f>
        <v/>
      </c>
      <c r="AO137" s="99" t="str">
        <f aca="false">IF($AF137=Constants!$B$7,IF(AN137=1,2,1),"")</f>
        <v/>
      </c>
      <c r="AP137" s="99" t="str">
        <f aca="false">IF(ISBLANK($C137),"",IF($AF137&lt;&gt;Constants!$B$7,$AF137,IF(AN137=1,AJ137,AM137)))</f>
        <v/>
      </c>
      <c r="AQ137" s="99" t="str">
        <f aca="false">IF(ISBLANK($C137),"",IF($AF137=Constants!$B$7,IF(ISNUMBER(AP137),RANK(AP137,$AP$8:$AP$507),Constants!$B$14),$AF137))</f>
        <v/>
      </c>
      <c r="AR137" s="99" t="str">
        <f aca="false">IF(ISBLANK($C137),"",IF($AF137=Constants!$B$7,IF(AO137=1,AJ137,AM137),""))</f>
        <v/>
      </c>
      <c r="AS137" s="99" t="str">
        <f aca="false">IF(ISBLANK($C137),"",IF($AF137=Constants!$B$7,RANK(AR137,$AR$8:$AR$507),$AF137))</f>
        <v/>
      </c>
      <c r="AT137" s="99" t="str">
        <f aca="false">IF(ISBLANK($C137),"",IF($AF137=Constants!$B$7,IF(ISNUMBER(AQ137),COUNTIFS($AQ$8:$AQ$507,"&lt;"&amp;$AQ137)+COUNTIFS($AQ$8:$AQ$507,$AQ137,$AS$8:$AS$507,"&lt;"&amp;$AS137)+1,Constants!$B$14),$AF137))</f>
        <v/>
      </c>
      <c r="AU137" s="99" t="str">
        <f aca="false">IF(ISBLANK($C137),"",IF($AF137=Constants!$B$7,IF(ISNUMBER(AQ137),AQ137-AT137,Constants!$B$14),$AF137))</f>
        <v/>
      </c>
      <c r="AV137" s="100"/>
      <c r="AW137" s="101" t="str">
        <f aca="false">IF(ISBLANK($C137),"",IF($AF137&lt;&gt;Constants!$B$7,"",AN137))</f>
        <v/>
      </c>
      <c r="AX137" s="102" t="str">
        <f aca="false">IF(ISBLANK($C137),"",IF($AF137&lt;&gt;Constants!$B$7,"",IF(AN137=1,AH137,AK137)))</f>
        <v/>
      </c>
      <c r="AY137" s="103" t="str">
        <f aca="false">IF(ISBLANK($C137),"",IF($AF137&lt;&gt;Constants!$B$7,"",IF(AN137=1,AI137,AL137)))</f>
        <v/>
      </c>
      <c r="AZ137" s="104" t="str">
        <f aca="false">IF(ISBLANK($C137),"",IF($AF137&lt;&gt;Constants!$B$7,$AF137,AP137))</f>
        <v/>
      </c>
      <c r="BA137" s="105" t="str">
        <f aca="false">IF(ISBLANK($C137),"",IF($AF137&lt;&gt;Constants!$B$7,$AF137,AG137))</f>
        <v/>
      </c>
      <c r="BB137" s="106" t="str">
        <f aca="false">IF(ISBLANK($C137),"",AU137)</f>
        <v/>
      </c>
      <c r="BC137" s="106" t="str">
        <f aca="false">IF(ISBLANK($C137),"",AT137)</f>
        <v/>
      </c>
      <c r="BD137" s="107" t="str">
        <f aca="false">IF(ISBLANK($C137),"",IFERROR(_xlfn.SWITCH(BC137,Constants!$B$4,COUNTA($C$8:$C$507)+2,Constants!$B$5,COUNTA($C$8:$C$507)+1,Constants!$B$6,COUNTA($C$8:$C$507)),BC137))</f>
        <v/>
      </c>
      <c r="BE137" s="5"/>
      <c r="BF137" s="108" t="n">
        <f aca="false">IF(OR(ISNUMBER(BC137),BC137=Constants!$B$4,BC137=Constants!$B$6,BC137=Constants!$B$5),1,0)</f>
        <v>0</v>
      </c>
      <c r="BG137" s="108" t="n">
        <v>130</v>
      </c>
      <c r="BH137" s="108" t="str">
        <f aca="false">IF(ISBLANK($C137),"",IF(ISNUMBER(BD137),BD137+ROW($B137)/1000,""))</f>
        <v/>
      </c>
      <c r="BI137" s="108" t="str">
        <f aca="false">IF(ISNUMBER(BH137),RANK(BH137,$BH$8:$BH$507,1),"")</f>
        <v/>
      </c>
      <c r="BJ137" s="108" t="str">
        <f aca="false">IF(ISBLANK($C137),"",$B137)</f>
        <v/>
      </c>
      <c r="BK137" s="108" t="str">
        <f aca="false">IF(ISBLANK($C137),"",$C137)</f>
        <v/>
      </c>
      <c r="BL137" s="108" t="str">
        <f aca="false">IF(ISBLANK($C137),"",$D137)</f>
        <v/>
      </c>
      <c r="BM137" s="109" t="str">
        <f aca="false">BA137</f>
        <v/>
      </c>
      <c r="BN137" s="110" t="str">
        <f aca="false">AZ137</f>
        <v/>
      </c>
      <c r="BO137" s="108" t="str">
        <f aca="false">IF(ISBLANK($C137),"",BC137)</f>
        <v/>
      </c>
      <c r="BP137" s="111" t="str">
        <f aca="false">IF($BG137&gt;$BF$7,"",VLOOKUP($BG137,$BI$8:$BO$507,7,FALSE()))</f>
        <v/>
      </c>
      <c r="BQ137" s="112" t="str">
        <f aca="false">IF($BG137&gt;$BF$7,"",VLOOKUP($BG137,$BI$8:$BO$507,2,FALSE()))</f>
        <v/>
      </c>
      <c r="BR137" s="112" t="str">
        <f aca="false">IF($BG137&gt;$BF$7,"",VLOOKUP($BG137,$BI$8:$BO$507,3,FALSE()))</f>
        <v/>
      </c>
      <c r="BS137" s="112" t="str">
        <f aca="false">IF($BG137&gt;$BF$7,"",VLOOKUP($BG137,$BI$8:$BO$507,4,FALSE()))</f>
        <v/>
      </c>
      <c r="BT137" s="112" t="str">
        <f aca="false">IF($BG137&gt;$BF$7,"",VLOOKUP($BG137,$BI$8:$BO$507,5,FALSE()))</f>
        <v/>
      </c>
      <c r="BU137" s="113" t="str">
        <f aca="false">IF($BG137&gt;$BF$7,"",VLOOKUP($BG137,$BI$8:$BO$507,6,FALSE()))</f>
        <v/>
      </c>
      <c r="BV137" s="54"/>
    </row>
    <row r="138" customFormat="false" ht="15.75" hidden="false" customHeight="false" outlineLevel="0" collapsed="false">
      <c r="A138" s="5"/>
      <c r="B138" s="128"/>
      <c r="C138" s="129"/>
      <c r="D138" s="114"/>
      <c r="E138" s="134"/>
      <c r="F138" s="139"/>
      <c r="G138" s="93"/>
      <c r="H138" s="140"/>
      <c r="I138" s="95"/>
      <c r="J138" s="95"/>
      <c r="K138" s="93"/>
      <c r="L138" s="141"/>
      <c r="M138" s="95"/>
      <c r="N138" s="95"/>
      <c r="O138" s="93"/>
      <c r="P138" s="134"/>
      <c r="Q138" s="98"/>
      <c r="R138" s="99" t="str">
        <f aca="false">IF(ISBLANK($C138),"",IF(E138=Constants!$B$2, TRUE(), IF(E138=Constants!$B$3, FALSE(), TRUE())))</f>
        <v/>
      </c>
      <c r="S138" s="99" t="str">
        <f aca="false">IF(ISBLANK($C138),"",IF(F138=Constants!$B$2, TRUE(), IF(F138=Constants!$B$3, FALSE(), TRUE())))</f>
        <v/>
      </c>
      <c r="T138" s="99" t="str">
        <f aca="false">IF(ISBLANK($C138),"",IF(G138=Constants!$B$16,Constants!$B$9,IF(G138=Constants!$B$17,Constants!$B$10,Constants!$B$8)))</f>
        <v/>
      </c>
      <c r="U138" s="99" t="str">
        <f aca="false">IF(ISBLANK($C138),"",IF(H138=Constants!$B$19,Constants!$B$19,Constants!$B$18))</f>
        <v/>
      </c>
      <c r="V138" s="99" t="str">
        <f aca="false">IF(ISBLANK($C138),"",IF(ISNUMBER(I138),IF(I138&gt;=0,I138,""),""))</f>
        <v/>
      </c>
      <c r="W138" s="99" t="str">
        <f aca="false">IF(ISBLANK($C138),"",IF(J138=Constants!$B$2, TRUE(), IF(J138=Constants!$B$3, FALSE(), TRUE())))</f>
        <v/>
      </c>
      <c r="X138" s="99" t="str">
        <f aca="false">IF(ISBLANK($C138),"",IF(K138=Constants!$B$2, TRUE(), IF(K138=Constants!$B$3, FALSE(), TRUE())))</f>
        <v/>
      </c>
      <c r="Y138" s="99" t="str">
        <f aca="false">IF(ISBLANK($C138),"",IF(L138=Constants!$B$19,Constants!$B$19,Constants!$B$18))</f>
        <v/>
      </c>
      <c r="Z138" s="99" t="str">
        <f aca="false">IF(ISBLANK($C138),"",IF(ISNUMBER(M138),IF(M138&gt;=0,M138,""),""))</f>
        <v/>
      </c>
      <c r="AA138" s="99" t="str">
        <f aca="false">IF(ISBLANK($C138),"",IF(N138=Constants!$B$2, TRUE(), IF(N138=Constants!$B$3, FALSE(), TRUE())))</f>
        <v/>
      </c>
      <c r="AB138" s="99" t="str">
        <f aca="false">IF(ISBLANK($C138),"",IF(O138=Constants!$B$2, TRUE(), IF(O138=Constants!$B$3, FALSE(), TRUE())))</f>
        <v/>
      </c>
      <c r="AC138" s="99" t="str">
        <f aca="false">IF(ISBLANK($C138),"",IF(P138=Constants!$B$2, TRUE(), IF(P138=Constants!$B$3, FALSE(), FALSE())))</f>
        <v/>
      </c>
      <c r="AD138" s="99" t="str">
        <f aca="false">IF(ISBLANK($C138),"",AND(V138&lt;&gt;"",IF(U138=Constants!$B$19,S138,R138)))</f>
        <v/>
      </c>
      <c r="AE138" s="99" t="str">
        <f aca="false">IF(ISBLANK($C138),"",AND(Z138&lt;&gt;"",IF(Y138=Constants!$B$19,S138,R138)))</f>
        <v/>
      </c>
      <c r="AF138" s="99" t="str">
        <f aca="false">IF(ISBLANK($C138),"",IF(AC138,Constants!$B$4,IF(COUNTA(E138:O138)=0,Constants!$B$5,IF(AND(NOT(AD138),NOT(AE138)),Constants!$B$6,Constants!$B$7))))</f>
        <v/>
      </c>
      <c r="AG138" s="99" t="str">
        <f aca="false">IF(ISBLANK($C138),"",IF($AF138&lt;&gt;Constants!$B$7,$AF138,Constants!$B$20))</f>
        <v/>
      </c>
      <c r="AH138" s="99" t="str">
        <f aca="false">IF($AF138=Constants!$B$7,IF(AD138,V138,Constants!$B$13),"")</f>
        <v/>
      </c>
      <c r="AI138" s="99" t="str">
        <f aca="false">IF($AF138=Constants!$B$7,IF(AD138,T138*IF(W138, 1, Constants!$B$11)*IF(X138, 1, Constants!$B$12),Constants!$B$13),"")</f>
        <v/>
      </c>
      <c r="AJ138" s="99" t="str">
        <f aca="false">IF($AF138=Constants!$B$7,AH138*AI138,"")</f>
        <v/>
      </c>
      <c r="AK138" s="99" t="str">
        <f aca="false">IF($AF138=Constants!$B$7,IF(AE138,Z138,Constants!$B$13),"")</f>
        <v/>
      </c>
      <c r="AL138" s="99" t="str">
        <f aca="false">IF($AF138=Constants!$B$7,IF(AE138,T138*IF(AA138, 1, Constants!$B$11)*IF(AB138, 1, Constants!$B$12),Constants!$B$13),"")</f>
        <v/>
      </c>
      <c r="AM138" s="99" t="str">
        <f aca="false">IF($AF138=Constants!$B$7,AK138*AL138,"")</f>
        <v/>
      </c>
      <c r="AN138" s="99" t="str">
        <f aca="false">IF($AF138=Constants!$B$7,IF(AM138&gt;AJ138,2,1),"")</f>
        <v/>
      </c>
      <c r="AO138" s="99" t="str">
        <f aca="false">IF($AF138=Constants!$B$7,IF(AN138=1,2,1),"")</f>
        <v/>
      </c>
      <c r="AP138" s="99" t="str">
        <f aca="false">IF(ISBLANK($C138),"",IF($AF138&lt;&gt;Constants!$B$7,$AF138,IF(AN138=1,AJ138,AM138)))</f>
        <v/>
      </c>
      <c r="AQ138" s="99" t="str">
        <f aca="false">IF(ISBLANK($C138),"",IF($AF138=Constants!$B$7,IF(ISNUMBER(AP138),RANK(AP138,$AP$8:$AP$507),Constants!$B$14),$AF138))</f>
        <v/>
      </c>
      <c r="AR138" s="99" t="str">
        <f aca="false">IF(ISBLANK($C138),"",IF($AF138=Constants!$B$7,IF(AO138=1,AJ138,AM138),""))</f>
        <v/>
      </c>
      <c r="AS138" s="99" t="str">
        <f aca="false">IF(ISBLANK($C138),"",IF($AF138=Constants!$B$7,RANK(AR138,$AR$8:$AR$507),$AF138))</f>
        <v/>
      </c>
      <c r="AT138" s="99" t="str">
        <f aca="false">IF(ISBLANK($C138),"",IF($AF138=Constants!$B$7,IF(ISNUMBER(AQ138),COUNTIFS($AQ$8:$AQ$507,"&lt;"&amp;$AQ138)+COUNTIFS($AQ$8:$AQ$507,$AQ138,$AS$8:$AS$507,"&lt;"&amp;$AS138)+1,Constants!$B$14),$AF138))</f>
        <v/>
      </c>
      <c r="AU138" s="99" t="str">
        <f aca="false">IF(ISBLANK($C138),"",IF($AF138=Constants!$B$7,IF(ISNUMBER(AQ138),AQ138-AT138,Constants!$B$14),$AF138))</f>
        <v/>
      </c>
      <c r="AV138" s="100"/>
      <c r="AW138" s="101" t="str">
        <f aca="false">IF(ISBLANK($C138),"",IF($AF138&lt;&gt;Constants!$B$7,"",AN138))</f>
        <v/>
      </c>
      <c r="AX138" s="102" t="str">
        <f aca="false">IF(ISBLANK($C138),"",IF($AF138&lt;&gt;Constants!$B$7,"",IF(AN138=1,AH138,AK138)))</f>
        <v/>
      </c>
      <c r="AY138" s="103" t="str">
        <f aca="false">IF(ISBLANK($C138),"",IF($AF138&lt;&gt;Constants!$B$7,"",IF(AN138=1,AI138,AL138)))</f>
        <v/>
      </c>
      <c r="AZ138" s="104" t="str">
        <f aca="false">IF(ISBLANK($C138),"",IF($AF138&lt;&gt;Constants!$B$7,$AF138,AP138))</f>
        <v/>
      </c>
      <c r="BA138" s="105" t="str">
        <f aca="false">IF(ISBLANK($C138),"",IF($AF138&lt;&gt;Constants!$B$7,$AF138,AG138))</f>
        <v/>
      </c>
      <c r="BB138" s="106" t="str">
        <f aca="false">IF(ISBLANK($C138),"",AU138)</f>
        <v/>
      </c>
      <c r="BC138" s="106" t="str">
        <f aca="false">IF(ISBLANK($C138),"",AT138)</f>
        <v/>
      </c>
      <c r="BD138" s="107" t="str">
        <f aca="false">IF(ISBLANK($C138),"",IFERROR(_xlfn.SWITCH(BC138,Constants!$B$4,COUNTA($C$8:$C$507)+2,Constants!$B$5,COUNTA($C$8:$C$507)+1,Constants!$B$6,COUNTA($C$8:$C$507)),BC138))</f>
        <v/>
      </c>
      <c r="BE138" s="5"/>
      <c r="BF138" s="108" t="n">
        <f aca="false">IF(OR(ISNUMBER(BC138),BC138=Constants!$B$4,BC138=Constants!$B$6,BC138=Constants!$B$5),1,0)</f>
        <v>0</v>
      </c>
      <c r="BG138" s="108" t="n">
        <v>131</v>
      </c>
      <c r="BH138" s="108" t="str">
        <f aca="false">IF(ISBLANK($C138),"",IF(ISNUMBER(BD138),BD138+ROW($B138)/1000,""))</f>
        <v/>
      </c>
      <c r="BI138" s="108" t="str">
        <f aca="false">IF(ISNUMBER(BH138),RANK(BH138,$BH$8:$BH$507,1),"")</f>
        <v/>
      </c>
      <c r="BJ138" s="108" t="str">
        <f aca="false">IF(ISBLANK($C138),"",$B138)</f>
        <v/>
      </c>
      <c r="BK138" s="108" t="str">
        <f aca="false">IF(ISBLANK($C138),"",$C138)</f>
        <v/>
      </c>
      <c r="BL138" s="108" t="str">
        <f aca="false">IF(ISBLANK($C138),"",$D138)</f>
        <v/>
      </c>
      <c r="BM138" s="109" t="str">
        <f aca="false">BA138</f>
        <v/>
      </c>
      <c r="BN138" s="110" t="str">
        <f aca="false">AZ138</f>
        <v/>
      </c>
      <c r="BO138" s="108" t="str">
        <f aca="false">IF(ISBLANK($C138),"",BC138)</f>
        <v/>
      </c>
      <c r="BP138" s="111" t="str">
        <f aca="false">IF($BG138&gt;$BF$7,"",VLOOKUP($BG138,$BI$8:$BO$507,7,FALSE()))</f>
        <v/>
      </c>
      <c r="BQ138" s="112" t="str">
        <f aca="false">IF($BG138&gt;$BF$7,"",VLOOKUP($BG138,$BI$8:$BO$507,2,FALSE()))</f>
        <v/>
      </c>
      <c r="BR138" s="112" t="str">
        <f aca="false">IF($BG138&gt;$BF$7,"",VLOOKUP($BG138,$BI$8:$BO$507,3,FALSE()))</f>
        <v/>
      </c>
      <c r="BS138" s="112" t="str">
        <f aca="false">IF($BG138&gt;$BF$7,"",VLOOKUP($BG138,$BI$8:$BO$507,4,FALSE()))</f>
        <v/>
      </c>
      <c r="BT138" s="112" t="str">
        <f aca="false">IF($BG138&gt;$BF$7,"",VLOOKUP($BG138,$BI$8:$BO$507,5,FALSE()))</f>
        <v/>
      </c>
      <c r="BU138" s="113" t="str">
        <f aca="false">IF($BG138&gt;$BF$7,"",VLOOKUP($BG138,$BI$8:$BO$507,6,FALSE()))</f>
        <v/>
      </c>
      <c r="BV138" s="54"/>
    </row>
    <row r="139" customFormat="false" ht="15.75" hidden="false" customHeight="false" outlineLevel="0" collapsed="false">
      <c r="A139" s="5"/>
      <c r="B139" s="128"/>
      <c r="C139" s="129"/>
      <c r="D139" s="114"/>
      <c r="E139" s="134"/>
      <c r="F139" s="139"/>
      <c r="G139" s="93"/>
      <c r="H139" s="140"/>
      <c r="I139" s="95"/>
      <c r="J139" s="95"/>
      <c r="K139" s="93"/>
      <c r="L139" s="141"/>
      <c r="M139" s="95"/>
      <c r="N139" s="95"/>
      <c r="O139" s="93"/>
      <c r="P139" s="134"/>
      <c r="Q139" s="98"/>
      <c r="R139" s="99" t="str">
        <f aca="false">IF(ISBLANK($C139),"",IF(E139=Constants!$B$2, TRUE(), IF(E139=Constants!$B$3, FALSE(), TRUE())))</f>
        <v/>
      </c>
      <c r="S139" s="99" t="str">
        <f aca="false">IF(ISBLANK($C139),"",IF(F139=Constants!$B$2, TRUE(), IF(F139=Constants!$B$3, FALSE(), TRUE())))</f>
        <v/>
      </c>
      <c r="T139" s="99" t="str">
        <f aca="false">IF(ISBLANK($C139),"",IF(G139=Constants!$B$16,Constants!$B$9,IF(G139=Constants!$B$17,Constants!$B$10,Constants!$B$8)))</f>
        <v/>
      </c>
      <c r="U139" s="99" t="str">
        <f aca="false">IF(ISBLANK($C139),"",IF(H139=Constants!$B$19,Constants!$B$19,Constants!$B$18))</f>
        <v/>
      </c>
      <c r="V139" s="99" t="str">
        <f aca="false">IF(ISBLANK($C139),"",IF(ISNUMBER(I139),IF(I139&gt;=0,I139,""),""))</f>
        <v/>
      </c>
      <c r="W139" s="99" t="str">
        <f aca="false">IF(ISBLANK($C139),"",IF(J139=Constants!$B$2, TRUE(), IF(J139=Constants!$B$3, FALSE(), TRUE())))</f>
        <v/>
      </c>
      <c r="X139" s="99" t="str">
        <f aca="false">IF(ISBLANK($C139),"",IF(K139=Constants!$B$2, TRUE(), IF(K139=Constants!$B$3, FALSE(), TRUE())))</f>
        <v/>
      </c>
      <c r="Y139" s="99" t="str">
        <f aca="false">IF(ISBLANK($C139),"",IF(L139=Constants!$B$19,Constants!$B$19,Constants!$B$18))</f>
        <v/>
      </c>
      <c r="Z139" s="99" t="str">
        <f aca="false">IF(ISBLANK($C139),"",IF(ISNUMBER(M139),IF(M139&gt;=0,M139,""),""))</f>
        <v/>
      </c>
      <c r="AA139" s="99" t="str">
        <f aca="false">IF(ISBLANK($C139),"",IF(N139=Constants!$B$2, TRUE(), IF(N139=Constants!$B$3, FALSE(), TRUE())))</f>
        <v/>
      </c>
      <c r="AB139" s="99" t="str">
        <f aca="false">IF(ISBLANK($C139),"",IF(O139=Constants!$B$2, TRUE(), IF(O139=Constants!$B$3, FALSE(), TRUE())))</f>
        <v/>
      </c>
      <c r="AC139" s="99" t="str">
        <f aca="false">IF(ISBLANK($C139),"",IF(P139=Constants!$B$2, TRUE(), IF(P139=Constants!$B$3, FALSE(), FALSE())))</f>
        <v/>
      </c>
      <c r="AD139" s="99" t="str">
        <f aca="false">IF(ISBLANK($C139),"",AND(V139&lt;&gt;"",IF(U139=Constants!$B$19,S139,R139)))</f>
        <v/>
      </c>
      <c r="AE139" s="99" t="str">
        <f aca="false">IF(ISBLANK($C139),"",AND(Z139&lt;&gt;"",IF(Y139=Constants!$B$19,S139,R139)))</f>
        <v/>
      </c>
      <c r="AF139" s="99" t="str">
        <f aca="false">IF(ISBLANK($C139),"",IF(AC139,Constants!$B$4,IF(COUNTA(E139:O139)=0,Constants!$B$5,IF(AND(NOT(AD139),NOT(AE139)),Constants!$B$6,Constants!$B$7))))</f>
        <v/>
      </c>
      <c r="AG139" s="99" t="str">
        <f aca="false">IF(ISBLANK($C139),"",IF($AF139&lt;&gt;Constants!$B$7,$AF139,Constants!$B$20))</f>
        <v/>
      </c>
      <c r="AH139" s="99" t="str">
        <f aca="false">IF($AF139=Constants!$B$7,IF(AD139,V139,Constants!$B$13),"")</f>
        <v/>
      </c>
      <c r="AI139" s="99" t="str">
        <f aca="false">IF($AF139=Constants!$B$7,IF(AD139,T139*IF(W139, 1, Constants!$B$11)*IF(X139, 1, Constants!$B$12),Constants!$B$13),"")</f>
        <v/>
      </c>
      <c r="AJ139" s="99" t="str">
        <f aca="false">IF($AF139=Constants!$B$7,AH139*AI139,"")</f>
        <v/>
      </c>
      <c r="AK139" s="99" t="str">
        <f aca="false">IF($AF139=Constants!$B$7,IF(AE139,Z139,Constants!$B$13),"")</f>
        <v/>
      </c>
      <c r="AL139" s="99" t="str">
        <f aca="false">IF($AF139=Constants!$B$7,IF(AE139,T139*IF(AA139, 1, Constants!$B$11)*IF(AB139, 1, Constants!$B$12),Constants!$B$13),"")</f>
        <v/>
      </c>
      <c r="AM139" s="99" t="str">
        <f aca="false">IF($AF139=Constants!$B$7,AK139*AL139,"")</f>
        <v/>
      </c>
      <c r="AN139" s="99" t="str">
        <f aca="false">IF($AF139=Constants!$B$7,IF(AM139&gt;AJ139,2,1),"")</f>
        <v/>
      </c>
      <c r="AO139" s="99" t="str">
        <f aca="false">IF($AF139=Constants!$B$7,IF(AN139=1,2,1),"")</f>
        <v/>
      </c>
      <c r="AP139" s="99" t="str">
        <f aca="false">IF(ISBLANK($C139),"",IF($AF139&lt;&gt;Constants!$B$7,$AF139,IF(AN139=1,AJ139,AM139)))</f>
        <v/>
      </c>
      <c r="AQ139" s="99" t="str">
        <f aca="false">IF(ISBLANK($C139),"",IF($AF139=Constants!$B$7,IF(ISNUMBER(AP139),RANK(AP139,$AP$8:$AP$507),Constants!$B$14),$AF139))</f>
        <v/>
      </c>
      <c r="AR139" s="99" t="str">
        <f aca="false">IF(ISBLANK($C139),"",IF($AF139=Constants!$B$7,IF(AO139=1,AJ139,AM139),""))</f>
        <v/>
      </c>
      <c r="AS139" s="99" t="str">
        <f aca="false">IF(ISBLANK($C139),"",IF($AF139=Constants!$B$7,RANK(AR139,$AR$8:$AR$507),$AF139))</f>
        <v/>
      </c>
      <c r="AT139" s="99" t="str">
        <f aca="false">IF(ISBLANK($C139),"",IF($AF139=Constants!$B$7,IF(ISNUMBER(AQ139),COUNTIFS($AQ$8:$AQ$507,"&lt;"&amp;$AQ139)+COUNTIFS($AQ$8:$AQ$507,$AQ139,$AS$8:$AS$507,"&lt;"&amp;$AS139)+1,Constants!$B$14),$AF139))</f>
        <v/>
      </c>
      <c r="AU139" s="99" t="str">
        <f aca="false">IF(ISBLANK($C139),"",IF($AF139=Constants!$B$7,IF(ISNUMBER(AQ139),AQ139-AT139,Constants!$B$14),$AF139))</f>
        <v/>
      </c>
      <c r="AV139" s="100"/>
      <c r="AW139" s="101" t="str">
        <f aca="false">IF(ISBLANK($C139),"",IF($AF139&lt;&gt;Constants!$B$7,"",AN139))</f>
        <v/>
      </c>
      <c r="AX139" s="102" t="str">
        <f aca="false">IF(ISBLANK($C139),"",IF($AF139&lt;&gt;Constants!$B$7,"",IF(AN139=1,AH139,AK139)))</f>
        <v/>
      </c>
      <c r="AY139" s="103" t="str">
        <f aca="false">IF(ISBLANK($C139),"",IF($AF139&lt;&gt;Constants!$B$7,"",IF(AN139=1,AI139,AL139)))</f>
        <v/>
      </c>
      <c r="AZ139" s="104" t="str">
        <f aca="false">IF(ISBLANK($C139),"",IF($AF139&lt;&gt;Constants!$B$7,$AF139,AP139))</f>
        <v/>
      </c>
      <c r="BA139" s="105" t="str">
        <f aca="false">IF(ISBLANK($C139),"",IF($AF139&lt;&gt;Constants!$B$7,$AF139,AG139))</f>
        <v/>
      </c>
      <c r="BB139" s="106" t="str">
        <f aca="false">IF(ISBLANK($C139),"",AU139)</f>
        <v/>
      </c>
      <c r="BC139" s="106" t="str">
        <f aca="false">IF(ISBLANK($C139),"",AT139)</f>
        <v/>
      </c>
      <c r="BD139" s="107" t="str">
        <f aca="false">IF(ISBLANK($C139),"",IFERROR(_xlfn.SWITCH(BC139,Constants!$B$4,COUNTA($C$8:$C$507)+2,Constants!$B$5,COUNTA($C$8:$C$507)+1,Constants!$B$6,COUNTA($C$8:$C$507)),BC139))</f>
        <v/>
      </c>
      <c r="BE139" s="5"/>
      <c r="BF139" s="108" t="n">
        <f aca="false">IF(OR(ISNUMBER(BC139),BC139=Constants!$B$4,BC139=Constants!$B$6,BC139=Constants!$B$5),1,0)</f>
        <v>0</v>
      </c>
      <c r="BG139" s="108" t="n">
        <v>132</v>
      </c>
      <c r="BH139" s="108" t="str">
        <f aca="false">IF(ISBLANK($C139),"",IF(ISNUMBER(BD139),BD139+ROW($B139)/1000,""))</f>
        <v/>
      </c>
      <c r="BI139" s="108" t="str">
        <f aca="false">IF(ISNUMBER(BH139),RANK(BH139,$BH$8:$BH$507,1),"")</f>
        <v/>
      </c>
      <c r="BJ139" s="108" t="str">
        <f aca="false">IF(ISBLANK($C139),"",$B139)</f>
        <v/>
      </c>
      <c r="BK139" s="108" t="str">
        <f aca="false">IF(ISBLANK($C139),"",$C139)</f>
        <v/>
      </c>
      <c r="BL139" s="108" t="str">
        <f aca="false">IF(ISBLANK($C139),"",$D139)</f>
        <v/>
      </c>
      <c r="BM139" s="109" t="str">
        <f aca="false">BA139</f>
        <v/>
      </c>
      <c r="BN139" s="110" t="str">
        <f aca="false">AZ139</f>
        <v/>
      </c>
      <c r="BO139" s="108" t="str">
        <f aca="false">IF(ISBLANK($C139),"",BC139)</f>
        <v/>
      </c>
      <c r="BP139" s="111" t="str">
        <f aca="false">IF($BG139&gt;$BF$7,"",VLOOKUP($BG139,$BI$8:$BO$507,7,FALSE()))</f>
        <v/>
      </c>
      <c r="BQ139" s="112" t="str">
        <f aca="false">IF($BG139&gt;$BF$7,"",VLOOKUP($BG139,$BI$8:$BO$507,2,FALSE()))</f>
        <v/>
      </c>
      <c r="BR139" s="112" t="str">
        <f aca="false">IF($BG139&gt;$BF$7,"",VLOOKUP($BG139,$BI$8:$BO$507,3,FALSE()))</f>
        <v/>
      </c>
      <c r="BS139" s="112" t="str">
        <f aca="false">IF($BG139&gt;$BF$7,"",VLOOKUP($BG139,$BI$8:$BO$507,4,FALSE()))</f>
        <v/>
      </c>
      <c r="BT139" s="112" t="str">
        <f aca="false">IF($BG139&gt;$BF$7,"",VLOOKUP($BG139,$BI$8:$BO$507,5,FALSE()))</f>
        <v/>
      </c>
      <c r="BU139" s="113" t="str">
        <f aca="false">IF($BG139&gt;$BF$7,"",VLOOKUP($BG139,$BI$8:$BO$507,6,FALSE()))</f>
        <v/>
      </c>
      <c r="BV139" s="54"/>
    </row>
    <row r="140" customFormat="false" ht="15.75" hidden="false" customHeight="false" outlineLevel="0" collapsed="false">
      <c r="A140" s="5"/>
      <c r="B140" s="135"/>
      <c r="C140" s="56"/>
      <c r="D140" s="57"/>
      <c r="E140" s="84"/>
      <c r="F140" s="136"/>
      <c r="G140" s="60"/>
      <c r="H140" s="137"/>
      <c r="I140" s="62"/>
      <c r="J140" s="62"/>
      <c r="K140" s="60"/>
      <c r="L140" s="138"/>
      <c r="M140" s="62"/>
      <c r="N140" s="62"/>
      <c r="O140" s="60"/>
      <c r="P140" s="84"/>
      <c r="Q140" s="65"/>
      <c r="R140" s="67" t="str">
        <f aca="false">IF(ISBLANK($C140),"",IF(E140=Constants!$B$2, TRUE(), IF(E140=Constants!$B$3, FALSE(), TRUE())))</f>
        <v/>
      </c>
      <c r="S140" s="67" t="str">
        <f aca="false">IF(ISBLANK($C140),"",IF(F140=Constants!$B$2, TRUE(), IF(F140=Constants!$B$3, FALSE(), TRUE())))</f>
        <v/>
      </c>
      <c r="T140" s="67" t="str">
        <f aca="false">IF(ISBLANK($C140),"",IF(G140=Constants!$B$16,Constants!$B$9,IF(G140=Constants!$B$17,Constants!$B$10,Constants!$B$8)))</f>
        <v/>
      </c>
      <c r="U140" s="67" t="str">
        <f aca="false">IF(ISBLANK($C140),"",IF(H140=Constants!$B$19,Constants!$B$19,Constants!$B$18))</f>
        <v/>
      </c>
      <c r="V140" s="67" t="str">
        <f aca="false">IF(ISBLANK($C140),"",IF(ISNUMBER(I140),IF(I140&gt;=0,I140,""),""))</f>
        <v/>
      </c>
      <c r="W140" s="67" t="str">
        <f aca="false">IF(ISBLANK($C140),"",IF(J140=Constants!$B$2, TRUE(), IF(J140=Constants!$B$3, FALSE(), TRUE())))</f>
        <v/>
      </c>
      <c r="X140" s="67" t="str">
        <f aca="false">IF(ISBLANK($C140),"",IF(K140=Constants!$B$2, TRUE(), IF(K140=Constants!$B$3, FALSE(), TRUE())))</f>
        <v/>
      </c>
      <c r="Y140" s="67" t="str">
        <f aca="false">IF(ISBLANK($C140),"",IF(L140=Constants!$B$19,Constants!$B$19,Constants!$B$18))</f>
        <v/>
      </c>
      <c r="Z140" s="67" t="str">
        <f aca="false">IF(ISBLANK($C140),"",IF(ISNUMBER(M140),IF(M140&gt;=0,M140,""),""))</f>
        <v/>
      </c>
      <c r="AA140" s="67" t="str">
        <f aca="false">IF(ISBLANK($C140),"",IF(N140=Constants!$B$2, TRUE(), IF(N140=Constants!$B$3, FALSE(), TRUE())))</f>
        <v/>
      </c>
      <c r="AB140" s="67" t="str">
        <f aca="false">IF(ISBLANK($C140),"",IF(O140=Constants!$B$2, TRUE(), IF(O140=Constants!$B$3, FALSE(), TRUE())))</f>
        <v/>
      </c>
      <c r="AC140" s="67" t="str">
        <f aca="false">IF(ISBLANK($C140),"",IF(P140=Constants!$B$2, TRUE(), IF(P140=Constants!$B$3, FALSE(), FALSE())))</f>
        <v/>
      </c>
      <c r="AD140" s="67" t="str">
        <f aca="false">IF(ISBLANK($C140),"",AND(V140&lt;&gt;"",IF(U140=Constants!$B$19,S140,R140)))</f>
        <v/>
      </c>
      <c r="AE140" s="67" t="str">
        <f aca="false">IF(ISBLANK($C140),"",AND(Z140&lt;&gt;"",IF(Y140=Constants!$B$19,S140,R140)))</f>
        <v/>
      </c>
      <c r="AF140" s="67" t="str">
        <f aca="false">IF(ISBLANK($C140),"",IF(AC140,Constants!$B$4,IF(COUNTA(E140:O140)=0,Constants!$B$5,IF(AND(NOT(AD140),NOT(AE140)),Constants!$B$6,Constants!$B$7))))</f>
        <v/>
      </c>
      <c r="AG140" s="67" t="str">
        <f aca="false">IF(ISBLANK($C140),"",IF($AF140&lt;&gt;Constants!$B$7,$AF140,Constants!$B$20))</f>
        <v/>
      </c>
      <c r="AH140" s="67" t="str">
        <f aca="false">IF($AF140=Constants!$B$7,IF(AD140,V140,Constants!$B$13),"")</f>
        <v/>
      </c>
      <c r="AI140" s="67" t="str">
        <f aca="false">IF($AF140=Constants!$B$7,IF(AD140,T140*IF(W140, 1, Constants!$B$11)*IF(X140, 1, Constants!$B$12),Constants!$B$13),"")</f>
        <v/>
      </c>
      <c r="AJ140" s="67" t="str">
        <f aca="false">IF($AF140=Constants!$B$7,AH140*AI140,"")</f>
        <v/>
      </c>
      <c r="AK140" s="67" t="str">
        <f aca="false">IF($AF140=Constants!$B$7,IF(AE140,Z140,Constants!$B$13),"")</f>
        <v/>
      </c>
      <c r="AL140" s="67" t="str">
        <f aca="false">IF($AF140=Constants!$B$7,IF(AE140,T140*IF(AA140, 1, Constants!$B$11)*IF(AB140, 1, Constants!$B$12),Constants!$B$13),"")</f>
        <v/>
      </c>
      <c r="AM140" s="67" t="str">
        <f aca="false">IF($AF140=Constants!$B$7,AK140*AL140,"")</f>
        <v/>
      </c>
      <c r="AN140" s="67" t="str">
        <f aca="false">IF($AF140=Constants!$B$7,IF(AM140&gt;AJ140,2,1),"")</f>
        <v/>
      </c>
      <c r="AO140" s="67" t="str">
        <f aca="false">IF($AF140=Constants!$B$7,IF(AN140=1,2,1),"")</f>
        <v/>
      </c>
      <c r="AP140" s="67" t="str">
        <f aca="false">IF(ISBLANK($C140),"",IF($AF140&lt;&gt;Constants!$B$7,$AF140,IF(AN140=1,AJ140,AM140)))</f>
        <v/>
      </c>
      <c r="AQ140" s="67" t="str">
        <f aca="false">IF(ISBLANK($C140),"",IF($AF140=Constants!$B$7,IF(ISNUMBER(AP140),RANK(AP140,$AP$8:$AP$507),Constants!$B$14),$AF140))</f>
        <v/>
      </c>
      <c r="AR140" s="67" t="str">
        <f aca="false">IF(ISBLANK($C140),"",IF($AF140=Constants!$B$7,IF(AO140=1,AJ140,AM140),""))</f>
        <v/>
      </c>
      <c r="AS140" s="67" t="str">
        <f aca="false">IF(ISBLANK($C140),"",IF($AF140=Constants!$B$7,RANK(AR140,$AR$8:$AR$507),$AF140))</f>
        <v/>
      </c>
      <c r="AT140" s="67" t="str">
        <f aca="false">IF(ISBLANK($C140),"",IF($AF140=Constants!$B$7,IF(ISNUMBER(AQ140),COUNTIFS($AQ$8:$AQ$507,"&lt;"&amp;$AQ140)+COUNTIFS($AQ$8:$AQ$507,$AQ140,$AS$8:$AS$507,"&lt;"&amp;$AS140)+1,Constants!$B$14),$AF140))</f>
        <v/>
      </c>
      <c r="AU140" s="67" t="str">
        <f aca="false">IF(ISBLANK($C140),"",IF($AF140=Constants!$B$7,IF(ISNUMBER(AQ140),AQ140-AT140,Constants!$B$14),$AF140))</f>
        <v/>
      </c>
      <c r="AV140" s="69"/>
      <c r="AW140" s="70" t="str">
        <f aca="false">IF(ISBLANK($C140),"",IF($AF140&lt;&gt;Constants!$B$7,"",AN140))</f>
        <v/>
      </c>
      <c r="AX140" s="85" t="str">
        <f aca="false">IF(ISBLANK($C140),"",IF($AF140&lt;&gt;Constants!$B$7,"",IF(AN140=1,AH140,AK140)))</f>
        <v/>
      </c>
      <c r="AY140" s="72" t="str">
        <f aca="false">IF(ISBLANK($C140),"",IF($AF140&lt;&gt;Constants!$B$7,"",IF(AN140=1,AI140,AL140)))</f>
        <v/>
      </c>
      <c r="AZ140" s="73" t="str">
        <f aca="false">IF(ISBLANK($C140),"",IF($AF140&lt;&gt;Constants!$B$7,$AF140,AP140))</f>
        <v/>
      </c>
      <c r="BA140" s="74" t="str">
        <f aca="false">IF(ISBLANK($C140),"",IF($AF140&lt;&gt;Constants!$B$7,$AF140,AG140))</f>
        <v/>
      </c>
      <c r="BB140" s="75" t="str">
        <f aca="false">IF(ISBLANK($C140),"",AU140)</f>
        <v/>
      </c>
      <c r="BC140" s="75" t="str">
        <f aca="false">IF(ISBLANK($C140),"",AT140)</f>
        <v/>
      </c>
      <c r="BD140" s="76" t="str">
        <f aca="false">IF(ISBLANK($C140),"",IFERROR(_xlfn.SWITCH(BC140,Constants!$B$4,COUNTA($C$8:$C$507)+2,Constants!$B$5,COUNTA($C$8:$C$507)+1,Constants!$B$6,COUNTA($C$8:$C$507)),BC140))</f>
        <v/>
      </c>
      <c r="BE140" s="5"/>
      <c r="BF140" s="77" t="n">
        <f aca="false">IF(OR(ISNUMBER(BC140),BC140=Constants!$B$4,BC140=Constants!$B$6,BC140=Constants!$B$5),1,0)</f>
        <v>0</v>
      </c>
      <c r="BG140" s="77" t="n">
        <v>133</v>
      </c>
      <c r="BH140" s="77" t="str">
        <f aca="false">IF(ISBLANK($C140),"",IF(ISNUMBER(BD140),BD140+ROW($B140)/1000,""))</f>
        <v/>
      </c>
      <c r="BI140" s="77" t="str">
        <f aca="false">IF(ISNUMBER(BH140),RANK(BH140,$BH$8:$BH$507,1),"")</f>
        <v/>
      </c>
      <c r="BJ140" s="77" t="str">
        <f aca="false">IF(ISBLANK($C140),"",$B140)</f>
        <v/>
      </c>
      <c r="BK140" s="77" t="str">
        <f aca="false">IF(ISBLANK($C140),"",$C140)</f>
        <v/>
      </c>
      <c r="BL140" s="77" t="str">
        <f aca="false">IF(ISBLANK($C140),"",$D140)</f>
        <v/>
      </c>
      <c r="BM140" s="78" t="str">
        <f aca="false">BA140</f>
        <v/>
      </c>
      <c r="BN140" s="79" t="str">
        <f aca="false">AZ140</f>
        <v/>
      </c>
      <c r="BO140" s="77" t="str">
        <f aca="false">IF(ISBLANK($C140),"",BC140)</f>
        <v/>
      </c>
      <c r="BP140" s="80" t="str">
        <f aca="false">IF($BG140&gt;$BF$7,"",VLOOKUP($BG140,$BI$8:$BO$507,7,FALSE()))</f>
        <v/>
      </c>
      <c r="BQ140" s="81" t="str">
        <f aca="false">IF($BG140&gt;$BF$7,"",VLOOKUP($BG140,$BI$8:$BO$507,2,FALSE()))</f>
        <v/>
      </c>
      <c r="BR140" s="81" t="str">
        <f aca="false">IF($BG140&gt;$BF$7,"",VLOOKUP($BG140,$BI$8:$BO$507,3,FALSE()))</f>
        <v/>
      </c>
      <c r="BS140" s="81" t="str">
        <f aca="false">IF($BG140&gt;$BF$7,"",VLOOKUP($BG140,$BI$8:$BO$507,4,FALSE()))</f>
        <v/>
      </c>
      <c r="BT140" s="81" t="str">
        <f aca="false">IF($BG140&gt;$BF$7,"",VLOOKUP($BG140,$BI$8:$BO$507,5,FALSE()))</f>
        <v/>
      </c>
      <c r="BU140" s="82" t="str">
        <f aca="false">IF($BG140&gt;$BF$7,"",VLOOKUP($BG140,$BI$8:$BO$507,6,FALSE()))</f>
        <v/>
      </c>
      <c r="BV140" s="54"/>
    </row>
    <row r="141" customFormat="false" ht="15.75" hidden="false" customHeight="false" outlineLevel="0" collapsed="false">
      <c r="A141" s="5"/>
      <c r="B141" s="135"/>
      <c r="C141" s="56"/>
      <c r="D141" s="57"/>
      <c r="E141" s="84"/>
      <c r="F141" s="136"/>
      <c r="G141" s="60"/>
      <c r="H141" s="137"/>
      <c r="I141" s="62"/>
      <c r="J141" s="62"/>
      <c r="K141" s="60"/>
      <c r="L141" s="138"/>
      <c r="M141" s="62"/>
      <c r="N141" s="62"/>
      <c r="O141" s="60"/>
      <c r="P141" s="84"/>
      <c r="Q141" s="65"/>
      <c r="R141" s="67" t="str">
        <f aca="false">IF(ISBLANK($C141),"",IF(E141=Constants!$B$2, TRUE(), IF(E141=Constants!$B$3, FALSE(), TRUE())))</f>
        <v/>
      </c>
      <c r="S141" s="67" t="str">
        <f aca="false">IF(ISBLANK($C141),"",IF(F141=Constants!$B$2, TRUE(), IF(F141=Constants!$B$3, FALSE(), TRUE())))</f>
        <v/>
      </c>
      <c r="T141" s="67" t="str">
        <f aca="false">IF(ISBLANK($C141),"",IF(G141=Constants!$B$16,Constants!$B$9,IF(G141=Constants!$B$17,Constants!$B$10,Constants!$B$8)))</f>
        <v/>
      </c>
      <c r="U141" s="67" t="str">
        <f aca="false">IF(ISBLANK($C141),"",IF(H141=Constants!$B$19,Constants!$B$19,Constants!$B$18))</f>
        <v/>
      </c>
      <c r="V141" s="67" t="str">
        <f aca="false">IF(ISBLANK($C141),"",IF(ISNUMBER(I141),IF(I141&gt;=0,I141,""),""))</f>
        <v/>
      </c>
      <c r="W141" s="67" t="str">
        <f aca="false">IF(ISBLANK($C141),"",IF(J141=Constants!$B$2, TRUE(), IF(J141=Constants!$B$3, FALSE(), TRUE())))</f>
        <v/>
      </c>
      <c r="X141" s="67" t="str">
        <f aca="false">IF(ISBLANK($C141),"",IF(K141=Constants!$B$2, TRUE(), IF(K141=Constants!$B$3, FALSE(), TRUE())))</f>
        <v/>
      </c>
      <c r="Y141" s="67" t="str">
        <f aca="false">IF(ISBLANK($C141),"",IF(L141=Constants!$B$19,Constants!$B$19,Constants!$B$18))</f>
        <v/>
      </c>
      <c r="Z141" s="67" t="str">
        <f aca="false">IF(ISBLANK($C141),"",IF(ISNUMBER(M141),IF(M141&gt;=0,M141,""),""))</f>
        <v/>
      </c>
      <c r="AA141" s="67" t="str">
        <f aca="false">IF(ISBLANK($C141),"",IF(N141=Constants!$B$2, TRUE(), IF(N141=Constants!$B$3, FALSE(), TRUE())))</f>
        <v/>
      </c>
      <c r="AB141" s="67" t="str">
        <f aca="false">IF(ISBLANK($C141),"",IF(O141=Constants!$B$2, TRUE(), IF(O141=Constants!$B$3, FALSE(), TRUE())))</f>
        <v/>
      </c>
      <c r="AC141" s="67" t="str">
        <f aca="false">IF(ISBLANK($C141),"",IF(P141=Constants!$B$2, TRUE(), IF(P141=Constants!$B$3, FALSE(), FALSE())))</f>
        <v/>
      </c>
      <c r="AD141" s="67" t="str">
        <f aca="false">IF(ISBLANK($C141),"",AND(V141&lt;&gt;"",IF(U141=Constants!$B$19,S141,R141)))</f>
        <v/>
      </c>
      <c r="AE141" s="67" t="str">
        <f aca="false">IF(ISBLANK($C141),"",AND(Z141&lt;&gt;"",IF(Y141=Constants!$B$19,S141,R141)))</f>
        <v/>
      </c>
      <c r="AF141" s="67" t="str">
        <f aca="false">IF(ISBLANK($C141),"",IF(AC141,Constants!$B$4,IF(COUNTA(E141:O141)=0,Constants!$B$5,IF(AND(NOT(AD141),NOT(AE141)),Constants!$B$6,Constants!$B$7))))</f>
        <v/>
      </c>
      <c r="AG141" s="67" t="str">
        <f aca="false">IF(ISBLANK($C141),"",IF($AF141&lt;&gt;Constants!$B$7,$AF141,Constants!$B$20))</f>
        <v/>
      </c>
      <c r="AH141" s="67" t="str">
        <f aca="false">IF($AF141=Constants!$B$7,IF(AD141,V141,Constants!$B$13),"")</f>
        <v/>
      </c>
      <c r="AI141" s="67" t="str">
        <f aca="false">IF($AF141=Constants!$B$7,IF(AD141,T141*IF(W141, 1, Constants!$B$11)*IF(X141, 1, Constants!$B$12),Constants!$B$13),"")</f>
        <v/>
      </c>
      <c r="AJ141" s="67" t="str">
        <f aca="false">IF($AF141=Constants!$B$7,AH141*AI141,"")</f>
        <v/>
      </c>
      <c r="AK141" s="67" t="str">
        <f aca="false">IF($AF141=Constants!$B$7,IF(AE141,Z141,Constants!$B$13),"")</f>
        <v/>
      </c>
      <c r="AL141" s="67" t="str">
        <f aca="false">IF($AF141=Constants!$B$7,IF(AE141,T141*IF(AA141, 1, Constants!$B$11)*IF(AB141, 1, Constants!$B$12),Constants!$B$13),"")</f>
        <v/>
      </c>
      <c r="AM141" s="67" t="str">
        <f aca="false">IF($AF141=Constants!$B$7,AK141*AL141,"")</f>
        <v/>
      </c>
      <c r="AN141" s="67" t="str">
        <f aca="false">IF($AF141=Constants!$B$7,IF(AM141&gt;AJ141,2,1),"")</f>
        <v/>
      </c>
      <c r="AO141" s="67" t="str">
        <f aca="false">IF($AF141=Constants!$B$7,IF(AN141=1,2,1),"")</f>
        <v/>
      </c>
      <c r="AP141" s="67" t="str">
        <f aca="false">IF(ISBLANK($C141),"",IF($AF141&lt;&gt;Constants!$B$7,$AF141,IF(AN141=1,AJ141,AM141)))</f>
        <v/>
      </c>
      <c r="AQ141" s="67" t="str">
        <f aca="false">IF(ISBLANK($C141),"",IF($AF141=Constants!$B$7,IF(ISNUMBER(AP141),RANK(AP141,$AP$8:$AP$507),Constants!$B$14),$AF141))</f>
        <v/>
      </c>
      <c r="AR141" s="67" t="str">
        <f aca="false">IF(ISBLANK($C141),"",IF($AF141=Constants!$B$7,IF(AO141=1,AJ141,AM141),""))</f>
        <v/>
      </c>
      <c r="AS141" s="67" t="str">
        <f aca="false">IF(ISBLANK($C141),"",IF($AF141=Constants!$B$7,RANK(AR141,$AR$8:$AR$507),$AF141))</f>
        <v/>
      </c>
      <c r="AT141" s="67" t="str">
        <f aca="false">IF(ISBLANK($C141),"",IF($AF141=Constants!$B$7,IF(ISNUMBER(AQ141),COUNTIFS($AQ$8:$AQ$507,"&lt;"&amp;$AQ141)+COUNTIFS($AQ$8:$AQ$507,$AQ141,$AS$8:$AS$507,"&lt;"&amp;$AS141)+1,Constants!$B$14),$AF141))</f>
        <v/>
      </c>
      <c r="AU141" s="67" t="str">
        <f aca="false">IF(ISBLANK($C141),"",IF($AF141=Constants!$B$7,IF(ISNUMBER(AQ141),AQ141-AT141,Constants!$B$14),$AF141))</f>
        <v/>
      </c>
      <c r="AV141" s="69"/>
      <c r="AW141" s="70" t="str">
        <f aca="false">IF(ISBLANK($C141),"",IF($AF141&lt;&gt;Constants!$B$7,"",AN141))</f>
        <v/>
      </c>
      <c r="AX141" s="85" t="str">
        <f aca="false">IF(ISBLANK($C141),"",IF($AF141&lt;&gt;Constants!$B$7,"",IF(AN141=1,AH141,AK141)))</f>
        <v/>
      </c>
      <c r="AY141" s="72" t="str">
        <f aca="false">IF(ISBLANK($C141),"",IF($AF141&lt;&gt;Constants!$B$7,"",IF(AN141=1,AI141,AL141)))</f>
        <v/>
      </c>
      <c r="AZ141" s="73" t="str">
        <f aca="false">IF(ISBLANK($C141),"",IF($AF141&lt;&gt;Constants!$B$7,$AF141,AP141))</f>
        <v/>
      </c>
      <c r="BA141" s="74" t="str">
        <f aca="false">IF(ISBLANK($C141),"",IF($AF141&lt;&gt;Constants!$B$7,$AF141,AG141))</f>
        <v/>
      </c>
      <c r="BB141" s="75" t="str">
        <f aca="false">IF(ISBLANK($C141),"",AU141)</f>
        <v/>
      </c>
      <c r="BC141" s="75" t="str">
        <f aca="false">IF(ISBLANK($C141),"",AT141)</f>
        <v/>
      </c>
      <c r="BD141" s="76" t="str">
        <f aca="false">IF(ISBLANK($C141),"",IFERROR(_xlfn.SWITCH(BC141,Constants!$B$4,COUNTA($C$8:$C$507)+2,Constants!$B$5,COUNTA($C$8:$C$507)+1,Constants!$B$6,COUNTA($C$8:$C$507)),BC141))</f>
        <v/>
      </c>
      <c r="BE141" s="5"/>
      <c r="BF141" s="77" t="n">
        <f aca="false">IF(OR(ISNUMBER(BC141),BC141=Constants!$B$4,BC141=Constants!$B$6,BC141=Constants!$B$5),1,0)</f>
        <v>0</v>
      </c>
      <c r="BG141" s="77" t="n">
        <v>134</v>
      </c>
      <c r="BH141" s="77" t="str">
        <f aca="false">IF(ISBLANK($C141),"",IF(ISNUMBER(BD141),BD141+ROW($B141)/1000,""))</f>
        <v/>
      </c>
      <c r="BI141" s="77" t="str">
        <f aca="false">IF(ISNUMBER(BH141),RANK(BH141,$BH$8:$BH$507,1),"")</f>
        <v/>
      </c>
      <c r="BJ141" s="77" t="str">
        <f aca="false">IF(ISBLANK($C141),"",$B141)</f>
        <v/>
      </c>
      <c r="BK141" s="77" t="str">
        <f aca="false">IF(ISBLANK($C141),"",$C141)</f>
        <v/>
      </c>
      <c r="BL141" s="77" t="str">
        <f aca="false">IF(ISBLANK($C141),"",$D141)</f>
        <v/>
      </c>
      <c r="BM141" s="78" t="str">
        <f aca="false">BA141</f>
        <v/>
      </c>
      <c r="BN141" s="79" t="str">
        <f aca="false">AZ141</f>
        <v/>
      </c>
      <c r="BO141" s="77" t="str">
        <f aca="false">IF(ISBLANK($C141),"",BC141)</f>
        <v/>
      </c>
      <c r="BP141" s="80" t="str">
        <f aca="false">IF($BG141&gt;$BF$7,"",VLOOKUP($BG141,$BI$8:$BO$507,7,FALSE()))</f>
        <v/>
      </c>
      <c r="BQ141" s="81" t="str">
        <f aca="false">IF($BG141&gt;$BF$7,"",VLOOKUP($BG141,$BI$8:$BO$507,2,FALSE()))</f>
        <v/>
      </c>
      <c r="BR141" s="81" t="str">
        <f aca="false">IF($BG141&gt;$BF$7,"",VLOOKUP($BG141,$BI$8:$BO$507,3,FALSE()))</f>
        <v/>
      </c>
      <c r="BS141" s="81" t="str">
        <f aca="false">IF($BG141&gt;$BF$7,"",VLOOKUP($BG141,$BI$8:$BO$507,4,FALSE()))</f>
        <v/>
      </c>
      <c r="BT141" s="81" t="str">
        <f aca="false">IF($BG141&gt;$BF$7,"",VLOOKUP($BG141,$BI$8:$BO$507,5,FALSE()))</f>
        <v/>
      </c>
      <c r="BU141" s="82" t="str">
        <f aca="false">IF($BG141&gt;$BF$7,"",VLOOKUP($BG141,$BI$8:$BO$507,6,FALSE()))</f>
        <v/>
      </c>
      <c r="BV141" s="54"/>
    </row>
    <row r="142" customFormat="false" ht="15.75" hidden="false" customHeight="false" outlineLevel="0" collapsed="false">
      <c r="A142" s="5"/>
      <c r="B142" s="135"/>
      <c r="C142" s="56"/>
      <c r="D142" s="57"/>
      <c r="E142" s="84"/>
      <c r="F142" s="136"/>
      <c r="G142" s="60"/>
      <c r="H142" s="137"/>
      <c r="I142" s="62"/>
      <c r="J142" s="62"/>
      <c r="K142" s="60"/>
      <c r="L142" s="138"/>
      <c r="M142" s="62"/>
      <c r="N142" s="62"/>
      <c r="O142" s="60"/>
      <c r="P142" s="84"/>
      <c r="Q142" s="65"/>
      <c r="R142" s="67" t="str">
        <f aca="false">IF(ISBLANK($C142),"",IF(E142=Constants!$B$2, TRUE(), IF(E142=Constants!$B$3, FALSE(), TRUE())))</f>
        <v/>
      </c>
      <c r="S142" s="67" t="str">
        <f aca="false">IF(ISBLANK($C142),"",IF(F142=Constants!$B$2, TRUE(), IF(F142=Constants!$B$3, FALSE(), TRUE())))</f>
        <v/>
      </c>
      <c r="T142" s="67" t="str">
        <f aca="false">IF(ISBLANK($C142),"",IF(G142=Constants!$B$16,Constants!$B$9,IF(G142=Constants!$B$17,Constants!$B$10,Constants!$B$8)))</f>
        <v/>
      </c>
      <c r="U142" s="67" t="str">
        <f aca="false">IF(ISBLANK($C142),"",IF(H142=Constants!$B$19,Constants!$B$19,Constants!$B$18))</f>
        <v/>
      </c>
      <c r="V142" s="67" t="str">
        <f aca="false">IF(ISBLANK($C142),"",IF(ISNUMBER(I142),IF(I142&gt;=0,I142,""),""))</f>
        <v/>
      </c>
      <c r="W142" s="67" t="str">
        <f aca="false">IF(ISBLANK($C142),"",IF(J142=Constants!$B$2, TRUE(), IF(J142=Constants!$B$3, FALSE(), TRUE())))</f>
        <v/>
      </c>
      <c r="X142" s="67" t="str">
        <f aca="false">IF(ISBLANK($C142),"",IF(K142=Constants!$B$2, TRUE(), IF(K142=Constants!$B$3, FALSE(), TRUE())))</f>
        <v/>
      </c>
      <c r="Y142" s="67" t="str">
        <f aca="false">IF(ISBLANK($C142),"",IF(L142=Constants!$B$19,Constants!$B$19,Constants!$B$18))</f>
        <v/>
      </c>
      <c r="Z142" s="67" t="str">
        <f aca="false">IF(ISBLANK($C142),"",IF(ISNUMBER(M142),IF(M142&gt;=0,M142,""),""))</f>
        <v/>
      </c>
      <c r="AA142" s="67" t="str">
        <f aca="false">IF(ISBLANK($C142),"",IF(N142=Constants!$B$2, TRUE(), IF(N142=Constants!$B$3, FALSE(), TRUE())))</f>
        <v/>
      </c>
      <c r="AB142" s="67" t="str">
        <f aca="false">IF(ISBLANK($C142),"",IF(O142=Constants!$B$2, TRUE(), IF(O142=Constants!$B$3, FALSE(), TRUE())))</f>
        <v/>
      </c>
      <c r="AC142" s="67" t="str">
        <f aca="false">IF(ISBLANK($C142),"",IF(P142=Constants!$B$2, TRUE(), IF(P142=Constants!$B$3, FALSE(), FALSE())))</f>
        <v/>
      </c>
      <c r="AD142" s="67" t="str">
        <f aca="false">IF(ISBLANK($C142),"",AND(V142&lt;&gt;"",IF(U142=Constants!$B$19,S142,R142)))</f>
        <v/>
      </c>
      <c r="AE142" s="67" t="str">
        <f aca="false">IF(ISBLANK($C142),"",AND(Z142&lt;&gt;"",IF(Y142=Constants!$B$19,S142,R142)))</f>
        <v/>
      </c>
      <c r="AF142" s="67" t="str">
        <f aca="false">IF(ISBLANK($C142),"",IF(AC142,Constants!$B$4,IF(COUNTA(E142:O142)=0,Constants!$B$5,IF(AND(NOT(AD142),NOT(AE142)),Constants!$B$6,Constants!$B$7))))</f>
        <v/>
      </c>
      <c r="AG142" s="67" t="str">
        <f aca="false">IF(ISBLANK($C142),"",IF($AF142&lt;&gt;Constants!$B$7,$AF142,Constants!$B$20))</f>
        <v/>
      </c>
      <c r="AH142" s="67" t="str">
        <f aca="false">IF($AF142=Constants!$B$7,IF(AD142,V142,Constants!$B$13),"")</f>
        <v/>
      </c>
      <c r="AI142" s="67" t="str">
        <f aca="false">IF($AF142=Constants!$B$7,IF(AD142,T142*IF(W142, 1, Constants!$B$11)*IF(X142, 1, Constants!$B$12),Constants!$B$13),"")</f>
        <v/>
      </c>
      <c r="AJ142" s="67" t="str">
        <f aca="false">IF($AF142=Constants!$B$7,AH142*AI142,"")</f>
        <v/>
      </c>
      <c r="AK142" s="67" t="str">
        <f aca="false">IF($AF142=Constants!$B$7,IF(AE142,Z142,Constants!$B$13),"")</f>
        <v/>
      </c>
      <c r="AL142" s="67" t="str">
        <f aca="false">IF($AF142=Constants!$B$7,IF(AE142,T142*IF(AA142, 1, Constants!$B$11)*IF(AB142, 1, Constants!$B$12),Constants!$B$13),"")</f>
        <v/>
      </c>
      <c r="AM142" s="67" t="str">
        <f aca="false">IF($AF142=Constants!$B$7,AK142*AL142,"")</f>
        <v/>
      </c>
      <c r="AN142" s="67" t="str">
        <f aca="false">IF($AF142=Constants!$B$7,IF(AM142&gt;AJ142,2,1),"")</f>
        <v/>
      </c>
      <c r="AO142" s="67" t="str">
        <f aca="false">IF($AF142=Constants!$B$7,IF(AN142=1,2,1),"")</f>
        <v/>
      </c>
      <c r="AP142" s="67" t="str">
        <f aca="false">IF(ISBLANK($C142),"",IF($AF142&lt;&gt;Constants!$B$7,$AF142,IF(AN142=1,AJ142,AM142)))</f>
        <v/>
      </c>
      <c r="AQ142" s="67" t="str">
        <f aca="false">IF(ISBLANK($C142),"",IF($AF142=Constants!$B$7,IF(ISNUMBER(AP142),RANK(AP142,$AP$8:$AP$507),Constants!$B$14),$AF142))</f>
        <v/>
      </c>
      <c r="AR142" s="67" t="str">
        <f aca="false">IF(ISBLANK($C142),"",IF($AF142=Constants!$B$7,IF(AO142=1,AJ142,AM142),""))</f>
        <v/>
      </c>
      <c r="AS142" s="67" t="str">
        <f aca="false">IF(ISBLANK($C142),"",IF($AF142=Constants!$B$7,RANK(AR142,$AR$8:$AR$507),$AF142))</f>
        <v/>
      </c>
      <c r="AT142" s="67" t="str">
        <f aca="false">IF(ISBLANK($C142),"",IF($AF142=Constants!$B$7,IF(ISNUMBER(AQ142),COUNTIFS($AQ$8:$AQ$507,"&lt;"&amp;$AQ142)+COUNTIFS($AQ$8:$AQ$507,$AQ142,$AS$8:$AS$507,"&lt;"&amp;$AS142)+1,Constants!$B$14),$AF142))</f>
        <v/>
      </c>
      <c r="AU142" s="67" t="str">
        <f aca="false">IF(ISBLANK($C142),"",IF($AF142=Constants!$B$7,IF(ISNUMBER(AQ142),AQ142-AT142,Constants!$B$14),$AF142))</f>
        <v/>
      </c>
      <c r="AV142" s="69"/>
      <c r="AW142" s="70" t="str">
        <f aca="false">IF(ISBLANK($C142),"",IF($AF142&lt;&gt;Constants!$B$7,"",AN142))</f>
        <v/>
      </c>
      <c r="AX142" s="85" t="str">
        <f aca="false">IF(ISBLANK($C142),"",IF($AF142&lt;&gt;Constants!$B$7,"",IF(AN142=1,AH142,AK142)))</f>
        <v/>
      </c>
      <c r="AY142" s="72" t="str">
        <f aca="false">IF(ISBLANK($C142),"",IF($AF142&lt;&gt;Constants!$B$7,"",IF(AN142=1,AI142,AL142)))</f>
        <v/>
      </c>
      <c r="AZ142" s="73" t="str">
        <f aca="false">IF(ISBLANK($C142),"",IF($AF142&lt;&gt;Constants!$B$7,$AF142,AP142))</f>
        <v/>
      </c>
      <c r="BA142" s="74" t="str">
        <f aca="false">IF(ISBLANK($C142),"",IF($AF142&lt;&gt;Constants!$B$7,$AF142,AG142))</f>
        <v/>
      </c>
      <c r="BB142" s="75" t="str">
        <f aca="false">IF(ISBLANK($C142),"",AU142)</f>
        <v/>
      </c>
      <c r="BC142" s="75" t="str">
        <f aca="false">IF(ISBLANK($C142),"",AT142)</f>
        <v/>
      </c>
      <c r="BD142" s="76" t="str">
        <f aca="false">IF(ISBLANK($C142),"",IFERROR(_xlfn.SWITCH(BC142,Constants!$B$4,COUNTA($C$8:$C$507)+2,Constants!$B$5,COUNTA($C$8:$C$507)+1,Constants!$B$6,COUNTA($C$8:$C$507)),BC142))</f>
        <v/>
      </c>
      <c r="BE142" s="5"/>
      <c r="BF142" s="77" t="n">
        <f aca="false">IF(OR(ISNUMBER(BC142),BC142=Constants!$B$4,BC142=Constants!$B$6,BC142=Constants!$B$5),1,0)</f>
        <v>0</v>
      </c>
      <c r="BG142" s="77" t="n">
        <v>135</v>
      </c>
      <c r="BH142" s="77" t="str">
        <f aca="false">IF(ISBLANK($C142),"",IF(ISNUMBER(BD142),BD142+ROW($B142)/1000,""))</f>
        <v/>
      </c>
      <c r="BI142" s="77" t="str">
        <f aca="false">IF(ISNUMBER(BH142),RANK(BH142,$BH$8:$BH$507,1),"")</f>
        <v/>
      </c>
      <c r="BJ142" s="77" t="str">
        <f aca="false">IF(ISBLANK($C142),"",$B142)</f>
        <v/>
      </c>
      <c r="BK142" s="77" t="str">
        <f aca="false">IF(ISBLANK($C142),"",$C142)</f>
        <v/>
      </c>
      <c r="BL142" s="77" t="str">
        <f aca="false">IF(ISBLANK($C142),"",$D142)</f>
        <v/>
      </c>
      <c r="BM142" s="78" t="str">
        <f aca="false">BA142</f>
        <v/>
      </c>
      <c r="BN142" s="79" t="str">
        <f aca="false">AZ142</f>
        <v/>
      </c>
      <c r="BO142" s="77" t="str">
        <f aca="false">IF(ISBLANK($C142),"",BC142)</f>
        <v/>
      </c>
      <c r="BP142" s="80" t="str">
        <f aca="false">IF($BG142&gt;$BF$7,"",VLOOKUP($BG142,$BI$8:$BO$507,7,FALSE()))</f>
        <v/>
      </c>
      <c r="BQ142" s="81" t="str">
        <f aca="false">IF($BG142&gt;$BF$7,"",VLOOKUP($BG142,$BI$8:$BO$507,2,FALSE()))</f>
        <v/>
      </c>
      <c r="BR142" s="81" t="str">
        <f aca="false">IF($BG142&gt;$BF$7,"",VLOOKUP($BG142,$BI$8:$BO$507,3,FALSE()))</f>
        <v/>
      </c>
      <c r="BS142" s="81" t="str">
        <f aca="false">IF($BG142&gt;$BF$7,"",VLOOKUP($BG142,$BI$8:$BO$507,4,FALSE()))</f>
        <v/>
      </c>
      <c r="BT142" s="81" t="str">
        <f aca="false">IF($BG142&gt;$BF$7,"",VLOOKUP($BG142,$BI$8:$BO$507,5,FALSE()))</f>
        <v/>
      </c>
      <c r="BU142" s="82" t="str">
        <f aca="false">IF($BG142&gt;$BF$7,"",VLOOKUP($BG142,$BI$8:$BO$507,6,FALSE()))</f>
        <v/>
      </c>
      <c r="BV142" s="54"/>
    </row>
    <row r="143" customFormat="false" ht="15.75" hidden="false" customHeight="false" outlineLevel="0" collapsed="false">
      <c r="A143" s="5"/>
      <c r="B143" s="128"/>
      <c r="C143" s="129"/>
      <c r="D143" s="114"/>
      <c r="E143" s="134"/>
      <c r="F143" s="139"/>
      <c r="G143" s="93"/>
      <c r="H143" s="140"/>
      <c r="I143" s="95"/>
      <c r="J143" s="95"/>
      <c r="K143" s="93"/>
      <c r="L143" s="141"/>
      <c r="M143" s="95"/>
      <c r="N143" s="95"/>
      <c r="O143" s="93"/>
      <c r="P143" s="134"/>
      <c r="Q143" s="98"/>
      <c r="R143" s="99" t="str">
        <f aca="false">IF(ISBLANK($C143),"",IF(E143=Constants!$B$2, TRUE(), IF(E143=Constants!$B$3, FALSE(), TRUE())))</f>
        <v/>
      </c>
      <c r="S143" s="99" t="str">
        <f aca="false">IF(ISBLANK($C143),"",IF(F143=Constants!$B$2, TRUE(), IF(F143=Constants!$B$3, FALSE(), TRUE())))</f>
        <v/>
      </c>
      <c r="T143" s="99" t="str">
        <f aca="false">IF(ISBLANK($C143),"",IF(G143=Constants!$B$16,Constants!$B$9,IF(G143=Constants!$B$17,Constants!$B$10,Constants!$B$8)))</f>
        <v/>
      </c>
      <c r="U143" s="99" t="str">
        <f aca="false">IF(ISBLANK($C143),"",IF(H143=Constants!$B$19,Constants!$B$19,Constants!$B$18))</f>
        <v/>
      </c>
      <c r="V143" s="99" t="str">
        <f aca="false">IF(ISBLANK($C143),"",IF(ISNUMBER(I143),IF(I143&gt;=0,I143,""),""))</f>
        <v/>
      </c>
      <c r="W143" s="99" t="str">
        <f aca="false">IF(ISBLANK($C143),"",IF(J143=Constants!$B$2, TRUE(), IF(J143=Constants!$B$3, FALSE(), TRUE())))</f>
        <v/>
      </c>
      <c r="X143" s="99" t="str">
        <f aca="false">IF(ISBLANK($C143),"",IF(K143=Constants!$B$2, TRUE(), IF(K143=Constants!$B$3, FALSE(), TRUE())))</f>
        <v/>
      </c>
      <c r="Y143" s="99" t="str">
        <f aca="false">IF(ISBLANK($C143),"",IF(L143=Constants!$B$19,Constants!$B$19,Constants!$B$18))</f>
        <v/>
      </c>
      <c r="Z143" s="99" t="str">
        <f aca="false">IF(ISBLANK($C143),"",IF(ISNUMBER(M143),IF(M143&gt;=0,M143,""),""))</f>
        <v/>
      </c>
      <c r="AA143" s="99" t="str">
        <f aca="false">IF(ISBLANK($C143),"",IF(N143=Constants!$B$2, TRUE(), IF(N143=Constants!$B$3, FALSE(), TRUE())))</f>
        <v/>
      </c>
      <c r="AB143" s="99" t="str">
        <f aca="false">IF(ISBLANK($C143),"",IF(O143=Constants!$B$2, TRUE(), IF(O143=Constants!$B$3, FALSE(), TRUE())))</f>
        <v/>
      </c>
      <c r="AC143" s="99" t="str">
        <f aca="false">IF(ISBLANK($C143),"",IF(P143=Constants!$B$2, TRUE(), IF(P143=Constants!$B$3, FALSE(), FALSE())))</f>
        <v/>
      </c>
      <c r="AD143" s="99" t="str">
        <f aca="false">IF(ISBLANK($C143),"",AND(V143&lt;&gt;"",IF(U143=Constants!$B$19,S143,R143)))</f>
        <v/>
      </c>
      <c r="AE143" s="99" t="str">
        <f aca="false">IF(ISBLANK($C143),"",AND(Z143&lt;&gt;"",IF(Y143=Constants!$B$19,S143,R143)))</f>
        <v/>
      </c>
      <c r="AF143" s="99" t="str">
        <f aca="false">IF(ISBLANK($C143),"",IF(AC143,Constants!$B$4,IF(COUNTA(E143:O143)=0,Constants!$B$5,IF(AND(NOT(AD143),NOT(AE143)),Constants!$B$6,Constants!$B$7))))</f>
        <v/>
      </c>
      <c r="AG143" s="99" t="str">
        <f aca="false">IF(ISBLANK($C143),"",IF($AF143&lt;&gt;Constants!$B$7,$AF143,Constants!$B$20))</f>
        <v/>
      </c>
      <c r="AH143" s="99" t="str">
        <f aca="false">IF($AF143=Constants!$B$7,IF(AD143,V143,Constants!$B$13),"")</f>
        <v/>
      </c>
      <c r="AI143" s="99" t="str">
        <f aca="false">IF($AF143=Constants!$B$7,IF(AD143,T143*IF(W143, 1, Constants!$B$11)*IF(X143, 1, Constants!$B$12),Constants!$B$13),"")</f>
        <v/>
      </c>
      <c r="AJ143" s="99" t="str">
        <f aca="false">IF($AF143=Constants!$B$7,AH143*AI143,"")</f>
        <v/>
      </c>
      <c r="AK143" s="99" t="str">
        <f aca="false">IF($AF143=Constants!$B$7,IF(AE143,Z143,Constants!$B$13),"")</f>
        <v/>
      </c>
      <c r="AL143" s="99" t="str">
        <f aca="false">IF($AF143=Constants!$B$7,IF(AE143,T143*IF(AA143, 1, Constants!$B$11)*IF(AB143, 1, Constants!$B$12),Constants!$B$13),"")</f>
        <v/>
      </c>
      <c r="AM143" s="99" t="str">
        <f aca="false">IF($AF143=Constants!$B$7,AK143*AL143,"")</f>
        <v/>
      </c>
      <c r="AN143" s="99" t="str">
        <f aca="false">IF($AF143=Constants!$B$7,IF(AM143&gt;AJ143,2,1),"")</f>
        <v/>
      </c>
      <c r="AO143" s="99" t="str">
        <f aca="false">IF($AF143=Constants!$B$7,IF(AN143=1,2,1),"")</f>
        <v/>
      </c>
      <c r="AP143" s="99" t="str">
        <f aca="false">IF(ISBLANK($C143),"",IF($AF143&lt;&gt;Constants!$B$7,$AF143,IF(AN143=1,AJ143,AM143)))</f>
        <v/>
      </c>
      <c r="AQ143" s="99" t="str">
        <f aca="false">IF(ISBLANK($C143),"",IF($AF143=Constants!$B$7,IF(ISNUMBER(AP143),RANK(AP143,$AP$8:$AP$507),Constants!$B$14),$AF143))</f>
        <v/>
      </c>
      <c r="AR143" s="99" t="str">
        <f aca="false">IF(ISBLANK($C143),"",IF($AF143=Constants!$B$7,IF(AO143=1,AJ143,AM143),""))</f>
        <v/>
      </c>
      <c r="AS143" s="99" t="str">
        <f aca="false">IF(ISBLANK($C143),"",IF($AF143=Constants!$B$7,RANK(AR143,$AR$8:$AR$507),$AF143))</f>
        <v/>
      </c>
      <c r="AT143" s="99" t="str">
        <f aca="false">IF(ISBLANK($C143),"",IF($AF143=Constants!$B$7,IF(ISNUMBER(AQ143),COUNTIFS($AQ$8:$AQ$507,"&lt;"&amp;$AQ143)+COUNTIFS($AQ$8:$AQ$507,$AQ143,$AS$8:$AS$507,"&lt;"&amp;$AS143)+1,Constants!$B$14),$AF143))</f>
        <v/>
      </c>
      <c r="AU143" s="99" t="str">
        <f aca="false">IF(ISBLANK($C143),"",IF($AF143=Constants!$B$7,IF(ISNUMBER(AQ143),AQ143-AT143,Constants!$B$14),$AF143))</f>
        <v/>
      </c>
      <c r="AV143" s="100"/>
      <c r="AW143" s="101" t="str">
        <f aca="false">IF(ISBLANK($C143),"",IF($AF143&lt;&gt;Constants!$B$7,"",AN143))</f>
        <v/>
      </c>
      <c r="AX143" s="102" t="str">
        <f aca="false">IF(ISBLANK($C143),"",IF($AF143&lt;&gt;Constants!$B$7,"",IF(AN143=1,AH143,AK143)))</f>
        <v/>
      </c>
      <c r="AY143" s="103" t="str">
        <f aca="false">IF(ISBLANK($C143),"",IF($AF143&lt;&gt;Constants!$B$7,"",IF(AN143=1,AI143,AL143)))</f>
        <v/>
      </c>
      <c r="AZ143" s="104" t="str">
        <f aca="false">IF(ISBLANK($C143),"",IF($AF143&lt;&gt;Constants!$B$7,$AF143,AP143))</f>
        <v/>
      </c>
      <c r="BA143" s="105" t="str">
        <f aca="false">IF(ISBLANK($C143),"",IF($AF143&lt;&gt;Constants!$B$7,$AF143,AG143))</f>
        <v/>
      </c>
      <c r="BB143" s="106" t="str">
        <f aca="false">IF(ISBLANK($C143),"",AU143)</f>
        <v/>
      </c>
      <c r="BC143" s="106" t="str">
        <f aca="false">IF(ISBLANK($C143),"",AT143)</f>
        <v/>
      </c>
      <c r="BD143" s="107" t="str">
        <f aca="false">IF(ISBLANK($C143),"",IFERROR(_xlfn.SWITCH(BC143,Constants!$B$4,COUNTA($C$8:$C$507)+2,Constants!$B$5,COUNTA($C$8:$C$507)+1,Constants!$B$6,COUNTA($C$8:$C$507)),BC143))</f>
        <v/>
      </c>
      <c r="BE143" s="5"/>
      <c r="BF143" s="108" t="n">
        <f aca="false">IF(OR(ISNUMBER(BC143),BC143=Constants!$B$4,BC143=Constants!$B$6,BC143=Constants!$B$5),1,0)</f>
        <v>0</v>
      </c>
      <c r="BG143" s="108" t="n">
        <v>136</v>
      </c>
      <c r="BH143" s="108" t="str">
        <f aca="false">IF(ISBLANK($C143),"",IF(ISNUMBER(BD143),BD143+ROW($B143)/1000,""))</f>
        <v/>
      </c>
      <c r="BI143" s="108" t="str">
        <f aca="false">IF(ISNUMBER(BH143),RANK(BH143,$BH$8:$BH$507,1),"")</f>
        <v/>
      </c>
      <c r="BJ143" s="108" t="str">
        <f aca="false">IF(ISBLANK($C143),"",$B143)</f>
        <v/>
      </c>
      <c r="BK143" s="108" t="str">
        <f aca="false">IF(ISBLANK($C143),"",$C143)</f>
        <v/>
      </c>
      <c r="BL143" s="108" t="str">
        <f aca="false">IF(ISBLANK($C143),"",$D143)</f>
        <v/>
      </c>
      <c r="BM143" s="109" t="str">
        <f aca="false">BA143</f>
        <v/>
      </c>
      <c r="BN143" s="110" t="str">
        <f aca="false">AZ143</f>
        <v/>
      </c>
      <c r="BO143" s="108" t="str">
        <f aca="false">IF(ISBLANK($C143),"",BC143)</f>
        <v/>
      </c>
      <c r="BP143" s="111" t="str">
        <f aca="false">IF($BG143&gt;$BF$7,"",VLOOKUP($BG143,$BI$8:$BO$507,7,FALSE()))</f>
        <v/>
      </c>
      <c r="BQ143" s="112" t="str">
        <f aca="false">IF($BG143&gt;$BF$7,"",VLOOKUP($BG143,$BI$8:$BO$507,2,FALSE()))</f>
        <v/>
      </c>
      <c r="BR143" s="112" t="str">
        <f aca="false">IF($BG143&gt;$BF$7,"",VLOOKUP($BG143,$BI$8:$BO$507,3,FALSE()))</f>
        <v/>
      </c>
      <c r="BS143" s="112" t="str">
        <f aca="false">IF($BG143&gt;$BF$7,"",VLOOKUP($BG143,$BI$8:$BO$507,4,FALSE()))</f>
        <v/>
      </c>
      <c r="BT143" s="112" t="str">
        <f aca="false">IF($BG143&gt;$BF$7,"",VLOOKUP($BG143,$BI$8:$BO$507,5,FALSE()))</f>
        <v/>
      </c>
      <c r="BU143" s="113" t="str">
        <f aca="false">IF($BG143&gt;$BF$7,"",VLOOKUP($BG143,$BI$8:$BO$507,6,FALSE()))</f>
        <v/>
      </c>
      <c r="BV143" s="54"/>
    </row>
    <row r="144" customFormat="false" ht="15.75" hidden="false" customHeight="false" outlineLevel="0" collapsed="false">
      <c r="A144" s="5"/>
      <c r="B144" s="128"/>
      <c r="C144" s="129"/>
      <c r="D144" s="114"/>
      <c r="E144" s="134"/>
      <c r="F144" s="139"/>
      <c r="G144" s="93"/>
      <c r="H144" s="140"/>
      <c r="I144" s="95"/>
      <c r="J144" s="95"/>
      <c r="K144" s="93"/>
      <c r="L144" s="141"/>
      <c r="M144" s="95"/>
      <c r="N144" s="95"/>
      <c r="O144" s="93"/>
      <c r="P144" s="134"/>
      <c r="Q144" s="98"/>
      <c r="R144" s="99" t="str">
        <f aca="false">IF(ISBLANK($C144),"",IF(E144=Constants!$B$2, TRUE(), IF(E144=Constants!$B$3, FALSE(), TRUE())))</f>
        <v/>
      </c>
      <c r="S144" s="99" t="str">
        <f aca="false">IF(ISBLANK($C144),"",IF(F144=Constants!$B$2, TRUE(), IF(F144=Constants!$B$3, FALSE(), TRUE())))</f>
        <v/>
      </c>
      <c r="T144" s="99" t="str">
        <f aca="false">IF(ISBLANK($C144),"",IF(G144=Constants!$B$16,Constants!$B$9,IF(G144=Constants!$B$17,Constants!$B$10,Constants!$B$8)))</f>
        <v/>
      </c>
      <c r="U144" s="99" t="str">
        <f aca="false">IF(ISBLANK($C144),"",IF(H144=Constants!$B$19,Constants!$B$19,Constants!$B$18))</f>
        <v/>
      </c>
      <c r="V144" s="99" t="str">
        <f aca="false">IF(ISBLANK($C144),"",IF(ISNUMBER(I144),IF(I144&gt;=0,I144,""),""))</f>
        <v/>
      </c>
      <c r="W144" s="99" t="str">
        <f aca="false">IF(ISBLANK($C144),"",IF(J144=Constants!$B$2, TRUE(), IF(J144=Constants!$B$3, FALSE(), TRUE())))</f>
        <v/>
      </c>
      <c r="X144" s="99" t="str">
        <f aca="false">IF(ISBLANK($C144),"",IF(K144=Constants!$B$2, TRUE(), IF(K144=Constants!$B$3, FALSE(), TRUE())))</f>
        <v/>
      </c>
      <c r="Y144" s="99" t="str">
        <f aca="false">IF(ISBLANK($C144),"",IF(L144=Constants!$B$19,Constants!$B$19,Constants!$B$18))</f>
        <v/>
      </c>
      <c r="Z144" s="99" t="str">
        <f aca="false">IF(ISBLANK($C144),"",IF(ISNUMBER(M144),IF(M144&gt;=0,M144,""),""))</f>
        <v/>
      </c>
      <c r="AA144" s="99" t="str">
        <f aca="false">IF(ISBLANK($C144),"",IF(N144=Constants!$B$2, TRUE(), IF(N144=Constants!$B$3, FALSE(), TRUE())))</f>
        <v/>
      </c>
      <c r="AB144" s="99" t="str">
        <f aca="false">IF(ISBLANK($C144),"",IF(O144=Constants!$B$2, TRUE(), IF(O144=Constants!$B$3, FALSE(), TRUE())))</f>
        <v/>
      </c>
      <c r="AC144" s="99" t="str">
        <f aca="false">IF(ISBLANK($C144),"",IF(P144=Constants!$B$2, TRUE(), IF(P144=Constants!$B$3, FALSE(), FALSE())))</f>
        <v/>
      </c>
      <c r="AD144" s="99" t="str">
        <f aca="false">IF(ISBLANK($C144),"",AND(V144&lt;&gt;"",IF(U144=Constants!$B$19,S144,R144)))</f>
        <v/>
      </c>
      <c r="AE144" s="99" t="str">
        <f aca="false">IF(ISBLANK($C144),"",AND(Z144&lt;&gt;"",IF(Y144=Constants!$B$19,S144,R144)))</f>
        <v/>
      </c>
      <c r="AF144" s="99" t="str">
        <f aca="false">IF(ISBLANK($C144),"",IF(AC144,Constants!$B$4,IF(COUNTA(E144:O144)=0,Constants!$B$5,IF(AND(NOT(AD144),NOT(AE144)),Constants!$B$6,Constants!$B$7))))</f>
        <v/>
      </c>
      <c r="AG144" s="99" t="str">
        <f aca="false">IF(ISBLANK($C144),"",IF($AF144&lt;&gt;Constants!$B$7,$AF144,Constants!$B$20))</f>
        <v/>
      </c>
      <c r="AH144" s="99" t="str">
        <f aca="false">IF($AF144=Constants!$B$7,IF(AD144,V144,Constants!$B$13),"")</f>
        <v/>
      </c>
      <c r="AI144" s="99" t="str">
        <f aca="false">IF($AF144=Constants!$B$7,IF(AD144,T144*IF(W144, 1, Constants!$B$11)*IF(X144, 1, Constants!$B$12),Constants!$B$13),"")</f>
        <v/>
      </c>
      <c r="AJ144" s="99" t="str">
        <f aca="false">IF($AF144=Constants!$B$7,AH144*AI144,"")</f>
        <v/>
      </c>
      <c r="AK144" s="99" t="str">
        <f aca="false">IF($AF144=Constants!$B$7,IF(AE144,Z144,Constants!$B$13),"")</f>
        <v/>
      </c>
      <c r="AL144" s="99" t="str">
        <f aca="false">IF($AF144=Constants!$B$7,IF(AE144,T144*IF(AA144, 1, Constants!$B$11)*IF(AB144, 1, Constants!$B$12),Constants!$B$13),"")</f>
        <v/>
      </c>
      <c r="AM144" s="99" t="str">
        <f aca="false">IF($AF144=Constants!$B$7,AK144*AL144,"")</f>
        <v/>
      </c>
      <c r="AN144" s="99" t="str">
        <f aca="false">IF($AF144=Constants!$B$7,IF(AM144&gt;AJ144,2,1),"")</f>
        <v/>
      </c>
      <c r="AO144" s="99" t="str">
        <f aca="false">IF($AF144=Constants!$B$7,IF(AN144=1,2,1),"")</f>
        <v/>
      </c>
      <c r="AP144" s="99" t="str">
        <f aca="false">IF(ISBLANK($C144),"",IF($AF144&lt;&gt;Constants!$B$7,$AF144,IF(AN144=1,AJ144,AM144)))</f>
        <v/>
      </c>
      <c r="AQ144" s="99" t="str">
        <f aca="false">IF(ISBLANK($C144),"",IF($AF144=Constants!$B$7,IF(ISNUMBER(AP144),RANK(AP144,$AP$8:$AP$507),Constants!$B$14),$AF144))</f>
        <v/>
      </c>
      <c r="AR144" s="99" t="str">
        <f aca="false">IF(ISBLANK($C144),"",IF($AF144=Constants!$B$7,IF(AO144=1,AJ144,AM144),""))</f>
        <v/>
      </c>
      <c r="AS144" s="99" t="str">
        <f aca="false">IF(ISBLANK($C144),"",IF($AF144=Constants!$B$7,RANK(AR144,$AR$8:$AR$507),$AF144))</f>
        <v/>
      </c>
      <c r="AT144" s="99" t="str">
        <f aca="false">IF(ISBLANK($C144),"",IF($AF144=Constants!$B$7,IF(ISNUMBER(AQ144),COUNTIFS($AQ$8:$AQ$507,"&lt;"&amp;$AQ144)+COUNTIFS($AQ$8:$AQ$507,$AQ144,$AS$8:$AS$507,"&lt;"&amp;$AS144)+1,Constants!$B$14),$AF144))</f>
        <v/>
      </c>
      <c r="AU144" s="99" t="str">
        <f aca="false">IF(ISBLANK($C144),"",IF($AF144=Constants!$B$7,IF(ISNUMBER(AQ144),AQ144-AT144,Constants!$B$14),$AF144))</f>
        <v/>
      </c>
      <c r="AV144" s="100"/>
      <c r="AW144" s="101" t="str">
        <f aca="false">IF(ISBLANK($C144),"",IF($AF144&lt;&gt;Constants!$B$7,"",AN144))</f>
        <v/>
      </c>
      <c r="AX144" s="102" t="str">
        <f aca="false">IF(ISBLANK($C144),"",IF($AF144&lt;&gt;Constants!$B$7,"",IF(AN144=1,AH144,AK144)))</f>
        <v/>
      </c>
      <c r="AY144" s="103" t="str">
        <f aca="false">IF(ISBLANK($C144),"",IF($AF144&lt;&gt;Constants!$B$7,"",IF(AN144=1,AI144,AL144)))</f>
        <v/>
      </c>
      <c r="AZ144" s="104" t="str">
        <f aca="false">IF(ISBLANK($C144),"",IF($AF144&lt;&gt;Constants!$B$7,$AF144,AP144))</f>
        <v/>
      </c>
      <c r="BA144" s="105" t="str">
        <f aca="false">IF(ISBLANK($C144),"",IF($AF144&lt;&gt;Constants!$B$7,$AF144,AG144))</f>
        <v/>
      </c>
      <c r="BB144" s="106" t="str">
        <f aca="false">IF(ISBLANK($C144),"",AU144)</f>
        <v/>
      </c>
      <c r="BC144" s="106" t="str">
        <f aca="false">IF(ISBLANK($C144),"",AT144)</f>
        <v/>
      </c>
      <c r="BD144" s="107" t="str">
        <f aca="false">IF(ISBLANK($C144),"",IFERROR(_xlfn.SWITCH(BC144,Constants!$B$4,COUNTA($C$8:$C$507)+2,Constants!$B$5,COUNTA($C$8:$C$507)+1,Constants!$B$6,COUNTA($C$8:$C$507)),BC144))</f>
        <v/>
      </c>
      <c r="BE144" s="5"/>
      <c r="BF144" s="108" t="n">
        <f aca="false">IF(OR(ISNUMBER(BC144),BC144=Constants!$B$4,BC144=Constants!$B$6,BC144=Constants!$B$5),1,0)</f>
        <v>0</v>
      </c>
      <c r="BG144" s="108" t="n">
        <v>137</v>
      </c>
      <c r="BH144" s="108" t="str">
        <f aca="false">IF(ISBLANK($C144),"",IF(ISNUMBER(BD144),BD144+ROW($B144)/1000,""))</f>
        <v/>
      </c>
      <c r="BI144" s="108" t="str">
        <f aca="false">IF(ISNUMBER(BH144),RANK(BH144,$BH$8:$BH$507,1),"")</f>
        <v/>
      </c>
      <c r="BJ144" s="108" t="str">
        <f aca="false">IF(ISBLANK($C144),"",$B144)</f>
        <v/>
      </c>
      <c r="BK144" s="108" t="str">
        <f aca="false">IF(ISBLANK($C144),"",$C144)</f>
        <v/>
      </c>
      <c r="BL144" s="108" t="str">
        <f aca="false">IF(ISBLANK($C144),"",$D144)</f>
        <v/>
      </c>
      <c r="BM144" s="109" t="str">
        <f aca="false">BA144</f>
        <v/>
      </c>
      <c r="BN144" s="110" t="str">
        <f aca="false">AZ144</f>
        <v/>
      </c>
      <c r="BO144" s="108" t="str">
        <f aca="false">IF(ISBLANK($C144),"",BC144)</f>
        <v/>
      </c>
      <c r="BP144" s="111" t="str">
        <f aca="false">IF($BG144&gt;$BF$7,"",VLOOKUP($BG144,$BI$8:$BO$507,7,FALSE()))</f>
        <v/>
      </c>
      <c r="BQ144" s="112" t="str">
        <f aca="false">IF($BG144&gt;$BF$7,"",VLOOKUP($BG144,$BI$8:$BO$507,2,FALSE()))</f>
        <v/>
      </c>
      <c r="BR144" s="112" t="str">
        <f aca="false">IF($BG144&gt;$BF$7,"",VLOOKUP($BG144,$BI$8:$BO$507,3,FALSE()))</f>
        <v/>
      </c>
      <c r="BS144" s="112" t="str">
        <f aca="false">IF($BG144&gt;$BF$7,"",VLOOKUP($BG144,$BI$8:$BO$507,4,FALSE()))</f>
        <v/>
      </c>
      <c r="BT144" s="112" t="str">
        <f aca="false">IF($BG144&gt;$BF$7,"",VLOOKUP($BG144,$BI$8:$BO$507,5,FALSE()))</f>
        <v/>
      </c>
      <c r="BU144" s="113" t="str">
        <f aca="false">IF($BG144&gt;$BF$7,"",VLOOKUP($BG144,$BI$8:$BO$507,6,FALSE()))</f>
        <v/>
      </c>
      <c r="BV144" s="54"/>
    </row>
    <row r="145" customFormat="false" ht="15.75" hidden="false" customHeight="false" outlineLevel="0" collapsed="false">
      <c r="A145" s="5"/>
      <c r="B145" s="128"/>
      <c r="C145" s="129"/>
      <c r="D145" s="114"/>
      <c r="E145" s="134"/>
      <c r="F145" s="139"/>
      <c r="G145" s="93"/>
      <c r="H145" s="140"/>
      <c r="I145" s="95"/>
      <c r="J145" s="95"/>
      <c r="K145" s="93"/>
      <c r="L145" s="141"/>
      <c r="M145" s="95"/>
      <c r="N145" s="95"/>
      <c r="O145" s="93"/>
      <c r="P145" s="134"/>
      <c r="Q145" s="98"/>
      <c r="R145" s="99" t="str">
        <f aca="false">IF(ISBLANK($C145),"",IF(E145=Constants!$B$2, TRUE(), IF(E145=Constants!$B$3, FALSE(), TRUE())))</f>
        <v/>
      </c>
      <c r="S145" s="99" t="str">
        <f aca="false">IF(ISBLANK($C145),"",IF(F145=Constants!$B$2, TRUE(), IF(F145=Constants!$B$3, FALSE(), TRUE())))</f>
        <v/>
      </c>
      <c r="T145" s="99" t="str">
        <f aca="false">IF(ISBLANK($C145),"",IF(G145=Constants!$B$16,Constants!$B$9,IF(G145=Constants!$B$17,Constants!$B$10,Constants!$B$8)))</f>
        <v/>
      </c>
      <c r="U145" s="99" t="str">
        <f aca="false">IF(ISBLANK($C145),"",IF(H145=Constants!$B$19,Constants!$B$19,Constants!$B$18))</f>
        <v/>
      </c>
      <c r="V145" s="99" t="str">
        <f aca="false">IF(ISBLANK($C145),"",IF(ISNUMBER(I145),IF(I145&gt;=0,I145,""),""))</f>
        <v/>
      </c>
      <c r="W145" s="99" t="str">
        <f aca="false">IF(ISBLANK($C145),"",IF(J145=Constants!$B$2, TRUE(), IF(J145=Constants!$B$3, FALSE(), TRUE())))</f>
        <v/>
      </c>
      <c r="X145" s="99" t="str">
        <f aca="false">IF(ISBLANK($C145),"",IF(K145=Constants!$B$2, TRUE(), IF(K145=Constants!$B$3, FALSE(), TRUE())))</f>
        <v/>
      </c>
      <c r="Y145" s="99" t="str">
        <f aca="false">IF(ISBLANK($C145),"",IF(L145=Constants!$B$19,Constants!$B$19,Constants!$B$18))</f>
        <v/>
      </c>
      <c r="Z145" s="99" t="str">
        <f aca="false">IF(ISBLANK($C145),"",IF(ISNUMBER(M145),IF(M145&gt;=0,M145,""),""))</f>
        <v/>
      </c>
      <c r="AA145" s="99" t="str">
        <f aca="false">IF(ISBLANK($C145),"",IF(N145=Constants!$B$2, TRUE(), IF(N145=Constants!$B$3, FALSE(), TRUE())))</f>
        <v/>
      </c>
      <c r="AB145" s="99" t="str">
        <f aca="false">IF(ISBLANK($C145),"",IF(O145=Constants!$B$2, TRUE(), IF(O145=Constants!$B$3, FALSE(), TRUE())))</f>
        <v/>
      </c>
      <c r="AC145" s="99" t="str">
        <f aca="false">IF(ISBLANK($C145),"",IF(P145=Constants!$B$2, TRUE(), IF(P145=Constants!$B$3, FALSE(), FALSE())))</f>
        <v/>
      </c>
      <c r="AD145" s="99" t="str">
        <f aca="false">IF(ISBLANK($C145),"",AND(V145&lt;&gt;"",IF(U145=Constants!$B$19,S145,R145)))</f>
        <v/>
      </c>
      <c r="AE145" s="99" t="str">
        <f aca="false">IF(ISBLANK($C145),"",AND(Z145&lt;&gt;"",IF(Y145=Constants!$B$19,S145,R145)))</f>
        <v/>
      </c>
      <c r="AF145" s="99" t="str">
        <f aca="false">IF(ISBLANK($C145),"",IF(AC145,Constants!$B$4,IF(COUNTA(E145:O145)=0,Constants!$B$5,IF(AND(NOT(AD145),NOT(AE145)),Constants!$B$6,Constants!$B$7))))</f>
        <v/>
      </c>
      <c r="AG145" s="99" t="str">
        <f aca="false">IF(ISBLANK($C145),"",IF($AF145&lt;&gt;Constants!$B$7,$AF145,Constants!$B$20))</f>
        <v/>
      </c>
      <c r="AH145" s="99" t="str">
        <f aca="false">IF($AF145=Constants!$B$7,IF(AD145,V145,Constants!$B$13),"")</f>
        <v/>
      </c>
      <c r="AI145" s="99" t="str">
        <f aca="false">IF($AF145=Constants!$B$7,IF(AD145,T145*IF(W145, 1, Constants!$B$11)*IF(X145, 1, Constants!$B$12),Constants!$B$13),"")</f>
        <v/>
      </c>
      <c r="AJ145" s="99" t="str">
        <f aca="false">IF($AF145=Constants!$B$7,AH145*AI145,"")</f>
        <v/>
      </c>
      <c r="AK145" s="99" t="str">
        <f aca="false">IF($AF145=Constants!$B$7,IF(AE145,Z145,Constants!$B$13),"")</f>
        <v/>
      </c>
      <c r="AL145" s="99" t="str">
        <f aca="false">IF($AF145=Constants!$B$7,IF(AE145,T145*IF(AA145, 1, Constants!$B$11)*IF(AB145, 1, Constants!$B$12),Constants!$B$13),"")</f>
        <v/>
      </c>
      <c r="AM145" s="99" t="str">
        <f aca="false">IF($AF145=Constants!$B$7,AK145*AL145,"")</f>
        <v/>
      </c>
      <c r="AN145" s="99" t="str">
        <f aca="false">IF($AF145=Constants!$B$7,IF(AM145&gt;AJ145,2,1),"")</f>
        <v/>
      </c>
      <c r="AO145" s="99" t="str">
        <f aca="false">IF($AF145=Constants!$B$7,IF(AN145=1,2,1),"")</f>
        <v/>
      </c>
      <c r="AP145" s="99" t="str">
        <f aca="false">IF(ISBLANK($C145),"",IF($AF145&lt;&gt;Constants!$B$7,$AF145,IF(AN145=1,AJ145,AM145)))</f>
        <v/>
      </c>
      <c r="AQ145" s="99" t="str">
        <f aca="false">IF(ISBLANK($C145),"",IF($AF145=Constants!$B$7,IF(ISNUMBER(AP145),RANK(AP145,$AP$8:$AP$507),Constants!$B$14),$AF145))</f>
        <v/>
      </c>
      <c r="AR145" s="99" t="str">
        <f aca="false">IF(ISBLANK($C145),"",IF($AF145=Constants!$B$7,IF(AO145=1,AJ145,AM145),""))</f>
        <v/>
      </c>
      <c r="AS145" s="99" t="str">
        <f aca="false">IF(ISBLANK($C145),"",IF($AF145=Constants!$B$7,RANK(AR145,$AR$8:$AR$507),$AF145))</f>
        <v/>
      </c>
      <c r="AT145" s="99" t="str">
        <f aca="false">IF(ISBLANK($C145),"",IF($AF145=Constants!$B$7,IF(ISNUMBER(AQ145),COUNTIFS($AQ$8:$AQ$507,"&lt;"&amp;$AQ145)+COUNTIFS($AQ$8:$AQ$507,$AQ145,$AS$8:$AS$507,"&lt;"&amp;$AS145)+1,Constants!$B$14),$AF145))</f>
        <v/>
      </c>
      <c r="AU145" s="99" t="str">
        <f aca="false">IF(ISBLANK($C145),"",IF($AF145=Constants!$B$7,IF(ISNUMBER(AQ145),AQ145-AT145,Constants!$B$14),$AF145))</f>
        <v/>
      </c>
      <c r="AV145" s="100"/>
      <c r="AW145" s="101" t="str">
        <f aca="false">IF(ISBLANK($C145),"",IF($AF145&lt;&gt;Constants!$B$7,"",AN145))</f>
        <v/>
      </c>
      <c r="AX145" s="102" t="str">
        <f aca="false">IF(ISBLANK($C145),"",IF($AF145&lt;&gt;Constants!$B$7,"",IF(AN145=1,AH145,AK145)))</f>
        <v/>
      </c>
      <c r="AY145" s="103" t="str">
        <f aca="false">IF(ISBLANK($C145),"",IF($AF145&lt;&gt;Constants!$B$7,"",IF(AN145=1,AI145,AL145)))</f>
        <v/>
      </c>
      <c r="AZ145" s="104" t="str">
        <f aca="false">IF(ISBLANK($C145),"",IF($AF145&lt;&gt;Constants!$B$7,$AF145,AP145))</f>
        <v/>
      </c>
      <c r="BA145" s="105" t="str">
        <f aca="false">IF(ISBLANK($C145),"",IF($AF145&lt;&gt;Constants!$B$7,$AF145,AG145))</f>
        <v/>
      </c>
      <c r="BB145" s="106" t="str">
        <f aca="false">IF(ISBLANK($C145),"",AU145)</f>
        <v/>
      </c>
      <c r="BC145" s="106" t="str">
        <f aca="false">IF(ISBLANK($C145),"",AT145)</f>
        <v/>
      </c>
      <c r="BD145" s="107" t="str">
        <f aca="false">IF(ISBLANK($C145),"",IFERROR(_xlfn.SWITCH(BC145,Constants!$B$4,COUNTA($C$8:$C$507)+2,Constants!$B$5,COUNTA($C$8:$C$507)+1,Constants!$B$6,COUNTA($C$8:$C$507)),BC145))</f>
        <v/>
      </c>
      <c r="BE145" s="5"/>
      <c r="BF145" s="108" t="n">
        <f aca="false">IF(OR(ISNUMBER(BC145),BC145=Constants!$B$4,BC145=Constants!$B$6,BC145=Constants!$B$5),1,0)</f>
        <v>0</v>
      </c>
      <c r="BG145" s="108" t="n">
        <v>138</v>
      </c>
      <c r="BH145" s="108" t="str">
        <f aca="false">IF(ISBLANK($C145),"",IF(ISNUMBER(BD145),BD145+ROW($B145)/1000,""))</f>
        <v/>
      </c>
      <c r="BI145" s="108" t="str">
        <f aca="false">IF(ISNUMBER(BH145),RANK(BH145,$BH$8:$BH$507,1),"")</f>
        <v/>
      </c>
      <c r="BJ145" s="108" t="str">
        <f aca="false">IF(ISBLANK($C145),"",$B145)</f>
        <v/>
      </c>
      <c r="BK145" s="108" t="str">
        <f aca="false">IF(ISBLANK($C145),"",$C145)</f>
        <v/>
      </c>
      <c r="BL145" s="108" t="str">
        <f aca="false">IF(ISBLANK($C145),"",$D145)</f>
        <v/>
      </c>
      <c r="BM145" s="109" t="str">
        <f aca="false">BA145</f>
        <v/>
      </c>
      <c r="BN145" s="110" t="str">
        <f aca="false">AZ145</f>
        <v/>
      </c>
      <c r="BO145" s="108" t="str">
        <f aca="false">IF(ISBLANK($C145),"",BC145)</f>
        <v/>
      </c>
      <c r="BP145" s="111" t="str">
        <f aca="false">IF($BG145&gt;$BF$7,"",VLOOKUP($BG145,$BI$8:$BO$507,7,FALSE()))</f>
        <v/>
      </c>
      <c r="BQ145" s="112" t="str">
        <f aca="false">IF($BG145&gt;$BF$7,"",VLOOKUP($BG145,$BI$8:$BO$507,2,FALSE()))</f>
        <v/>
      </c>
      <c r="BR145" s="112" t="str">
        <f aca="false">IF($BG145&gt;$BF$7,"",VLOOKUP($BG145,$BI$8:$BO$507,3,FALSE()))</f>
        <v/>
      </c>
      <c r="BS145" s="112" t="str">
        <f aca="false">IF($BG145&gt;$BF$7,"",VLOOKUP($BG145,$BI$8:$BO$507,4,FALSE()))</f>
        <v/>
      </c>
      <c r="BT145" s="112" t="str">
        <f aca="false">IF($BG145&gt;$BF$7,"",VLOOKUP($BG145,$BI$8:$BO$507,5,FALSE()))</f>
        <v/>
      </c>
      <c r="BU145" s="113" t="str">
        <f aca="false">IF($BG145&gt;$BF$7,"",VLOOKUP($BG145,$BI$8:$BO$507,6,FALSE()))</f>
        <v/>
      </c>
      <c r="BV145" s="54"/>
    </row>
    <row r="146" customFormat="false" ht="15.75" hidden="false" customHeight="false" outlineLevel="0" collapsed="false">
      <c r="A146" s="5"/>
      <c r="B146" s="135"/>
      <c r="C146" s="56"/>
      <c r="D146" s="57"/>
      <c r="E146" s="84"/>
      <c r="F146" s="136"/>
      <c r="G146" s="60"/>
      <c r="H146" s="137"/>
      <c r="I146" s="62"/>
      <c r="J146" s="62"/>
      <c r="K146" s="60"/>
      <c r="L146" s="138"/>
      <c r="M146" s="62"/>
      <c r="N146" s="62"/>
      <c r="O146" s="60"/>
      <c r="P146" s="84"/>
      <c r="Q146" s="65"/>
      <c r="R146" s="67" t="str">
        <f aca="false">IF(ISBLANK($C146),"",IF(E146=Constants!$B$2, TRUE(), IF(E146=Constants!$B$3, FALSE(), TRUE())))</f>
        <v/>
      </c>
      <c r="S146" s="67" t="str">
        <f aca="false">IF(ISBLANK($C146),"",IF(F146=Constants!$B$2, TRUE(), IF(F146=Constants!$B$3, FALSE(), TRUE())))</f>
        <v/>
      </c>
      <c r="T146" s="67" t="str">
        <f aca="false">IF(ISBLANK($C146),"",IF(G146=Constants!$B$16,Constants!$B$9,IF(G146=Constants!$B$17,Constants!$B$10,Constants!$B$8)))</f>
        <v/>
      </c>
      <c r="U146" s="67" t="str">
        <f aca="false">IF(ISBLANK($C146),"",IF(H146=Constants!$B$19,Constants!$B$19,Constants!$B$18))</f>
        <v/>
      </c>
      <c r="V146" s="67" t="str">
        <f aca="false">IF(ISBLANK($C146),"",IF(ISNUMBER(I146),IF(I146&gt;=0,I146,""),""))</f>
        <v/>
      </c>
      <c r="W146" s="67" t="str">
        <f aca="false">IF(ISBLANK($C146),"",IF(J146=Constants!$B$2, TRUE(), IF(J146=Constants!$B$3, FALSE(), TRUE())))</f>
        <v/>
      </c>
      <c r="X146" s="67" t="str">
        <f aca="false">IF(ISBLANK($C146),"",IF(K146=Constants!$B$2, TRUE(), IF(K146=Constants!$B$3, FALSE(), TRUE())))</f>
        <v/>
      </c>
      <c r="Y146" s="67" t="str">
        <f aca="false">IF(ISBLANK($C146),"",IF(L146=Constants!$B$19,Constants!$B$19,Constants!$B$18))</f>
        <v/>
      </c>
      <c r="Z146" s="67" t="str">
        <f aca="false">IF(ISBLANK($C146),"",IF(ISNUMBER(M146),IF(M146&gt;=0,M146,""),""))</f>
        <v/>
      </c>
      <c r="AA146" s="67" t="str">
        <f aca="false">IF(ISBLANK($C146),"",IF(N146=Constants!$B$2, TRUE(), IF(N146=Constants!$B$3, FALSE(), TRUE())))</f>
        <v/>
      </c>
      <c r="AB146" s="67" t="str">
        <f aca="false">IF(ISBLANK($C146),"",IF(O146=Constants!$B$2, TRUE(), IF(O146=Constants!$B$3, FALSE(), TRUE())))</f>
        <v/>
      </c>
      <c r="AC146" s="67" t="str">
        <f aca="false">IF(ISBLANK($C146),"",IF(P146=Constants!$B$2, TRUE(), IF(P146=Constants!$B$3, FALSE(), FALSE())))</f>
        <v/>
      </c>
      <c r="AD146" s="67" t="str">
        <f aca="false">IF(ISBLANK($C146),"",AND(V146&lt;&gt;"",IF(U146=Constants!$B$19,S146,R146)))</f>
        <v/>
      </c>
      <c r="AE146" s="67" t="str">
        <f aca="false">IF(ISBLANK($C146),"",AND(Z146&lt;&gt;"",IF(Y146=Constants!$B$19,S146,R146)))</f>
        <v/>
      </c>
      <c r="AF146" s="67" t="str">
        <f aca="false">IF(ISBLANK($C146),"",IF(AC146,Constants!$B$4,IF(COUNTA(E146:O146)=0,Constants!$B$5,IF(AND(NOT(AD146),NOT(AE146)),Constants!$B$6,Constants!$B$7))))</f>
        <v/>
      </c>
      <c r="AG146" s="67" t="str">
        <f aca="false">IF(ISBLANK($C146),"",IF($AF146&lt;&gt;Constants!$B$7,$AF146,Constants!$B$20))</f>
        <v/>
      </c>
      <c r="AH146" s="67" t="str">
        <f aca="false">IF($AF146=Constants!$B$7,IF(AD146,V146,Constants!$B$13),"")</f>
        <v/>
      </c>
      <c r="AI146" s="67" t="str">
        <f aca="false">IF($AF146=Constants!$B$7,IF(AD146,T146*IF(W146, 1, Constants!$B$11)*IF(X146, 1, Constants!$B$12),Constants!$B$13),"")</f>
        <v/>
      </c>
      <c r="AJ146" s="67" t="str">
        <f aca="false">IF($AF146=Constants!$B$7,AH146*AI146,"")</f>
        <v/>
      </c>
      <c r="AK146" s="67" t="str">
        <f aca="false">IF($AF146=Constants!$B$7,IF(AE146,Z146,Constants!$B$13),"")</f>
        <v/>
      </c>
      <c r="AL146" s="67" t="str">
        <f aca="false">IF($AF146=Constants!$B$7,IF(AE146,T146*IF(AA146, 1, Constants!$B$11)*IF(AB146, 1, Constants!$B$12),Constants!$B$13),"")</f>
        <v/>
      </c>
      <c r="AM146" s="67" t="str">
        <f aca="false">IF($AF146=Constants!$B$7,AK146*AL146,"")</f>
        <v/>
      </c>
      <c r="AN146" s="67" t="str">
        <f aca="false">IF($AF146=Constants!$B$7,IF(AM146&gt;AJ146,2,1),"")</f>
        <v/>
      </c>
      <c r="AO146" s="67" t="str">
        <f aca="false">IF($AF146=Constants!$B$7,IF(AN146=1,2,1),"")</f>
        <v/>
      </c>
      <c r="AP146" s="67" t="str">
        <f aca="false">IF(ISBLANK($C146),"",IF($AF146&lt;&gt;Constants!$B$7,$AF146,IF(AN146=1,AJ146,AM146)))</f>
        <v/>
      </c>
      <c r="AQ146" s="67" t="str">
        <f aca="false">IF(ISBLANK($C146),"",IF($AF146=Constants!$B$7,IF(ISNUMBER(AP146),RANK(AP146,$AP$8:$AP$507),Constants!$B$14),$AF146))</f>
        <v/>
      </c>
      <c r="AR146" s="67" t="str">
        <f aca="false">IF(ISBLANK($C146),"",IF($AF146=Constants!$B$7,IF(AO146=1,AJ146,AM146),""))</f>
        <v/>
      </c>
      <c r="AS146" s="67" t="str">
        <f aca="false">IF(ISBLANK($C146),"",IF($AF146=Constants!$B$7,RANK(AR146,$AR$8:$AR$507),$AF146))</f>
        <v/>
      </c>
      <c r="AT146" s="67" t="str">
        <f aca="false">IF(ISBLANK($C146),"",IF($AF146=Constants!$B$7,IF(ISNUMBER(AQ146),COUNTIFS($AQ$8:$AQ$507,"&lt;"&amp;$AQ146)+COUNTIFS($AQ$8:$AQ$507,$AQ146,$AS$8:$AS$507,"&lt;"&amp;$AS146)+1,Constants!$B$14),$AF146))</f>
        <v/>
      </c>
      <c r="AU146" s="67" t="str">
        <f aca="false">IF(ISBLANK($C146),"",IF($AF146=Constants!$B$7,IF(ISNUMBER(AQ146),AQ146-AT146,Constants!$B$14),$AF146))</f>
        <v/>
      </c>
      <c r="AV146" s="69"/>
      <c r="AW146" s="70" t="str">
        <f aca="false">IF(ISBLANK($C146),"",IF($AF146&lt;&gt;Constants!$B$7,"",AN146))</f>
        <v/>
      </c>
      <c r="AX146" s="85" t="str">
        <f aca="false">IF(ISBLANK($C146),"",IF($AF146&lt;&gt;Constants!$B$7,"",IF(AN146=1,AH146,AK146)))</f>
        <v/>
      </c>
      <c r="AY146" s="72" t="str">
        <f aca="false">IF(ISBLANK($C146),"",IF($AF146&lt;&gt;Constants!$B$7,"",IF(AN146=1,AI146,AL146)))</f>
        <v/>
      </c>
      <c r="AZ146" s="73" t="str">
        <f aca="false">IF(ISBLANK($C146),"",IF($AF146&lt;&gt;Constants!$B$7,$AF146,AP146))</f>
        <v/>
      </c>
      <c r="BA146" s="74" t="str">
        <f aca="false">IF(ISBLANK($C146),"",IF($AF146&lt;&gt;Constants!$B$7,$AF146,AG146))</f>
        <v/>
      </c>
      <c r="BB146" s="75" t="str">
        <f aca="false">IF(ISBLANK($C146),"",AU146)</f>
        <v/>
      </c>
      <c r="BC146" s="75" t="str">
        <f aca="false">IF(ISBLANK($C146),"",AT146)</f>
        <v/>
      </c>
      <c r="BD146" s="76" t="str">
        <f aca="false">IF(ISBLANK($C146),"",IFERROR(_xlfn.SWITCH(BC146,Constants!$B$4,COUNTA($C$8:$C$507)+2,Constants!$B$5,COUNTA($C$8:$C$507)+1,Constants!$B$6,COUNTA($C$8:$C$507)),BC146))</f>
        <v/>
      </c>
      <c r="BE146" s="5"/>
      <c r="BF146" s="77" t="n">
        <f aca="false">IF(OR(ISNUMBER(BC146),BC146=Constants!$B$4,BC146=Constants!$B$6,BC146=Constants!$B$5),1,0)</f>
        <v>0</v>
      </c>
      <c r="BG146" s="77" t="n">
        <v>139</v>
      </c>
      <c r="BH146" s="77" t="str">
        <f aca="false">IF(ISBLANK($C146),"",IF(ISNUMBER(BD146),BD146+ROW($B146)/1000,""))</f>
        <v/>
      </c>
      <c r="BI146" s="77" t="str">
        <f aca="false">IF(ISNUMBER(BH146),RANK(BH146,$BH$8:$BH$507,1),"")</f>
        <v/>
      </c>
      <c r="BJ146" s="77" t="str">
        <f aca="false">IF(ISBLANK($C146),"",$B146)</f>
        <v/>
      </c>
      <c r="BK146" s="77" t="str">
        <f aca="false">IF(ISBLANK($C146),"",$C146)</f>
        <v/>
      </c>
      <c r="BL146" s="77" t="str">
        <f aca="false">IF(ISBLANK($C146),"",$D146)</f>
        <v/>
      </c>
      <c r="BM146" s="78" t="str">
        <f aca="false">BA146</f>
        <v/>
      </c>
      <c r="BN146" s="79" t="str">
        <f aca="false">AZ146</f>
        <v/>
      </c>
      <c r="BO146" s="77" t="str">
        <f aca="false">IF(ISBLANK($C146),"",BC146)</f>
        <v/>
      </c>
      <c r="BP146" s="80" t="str">
        <f aca="false">IF($BG146&gt;$BF$7,"",VLOOKUP($BG146,$BI$8:$BO$507,7,FALSE()))</f>
        <v/>
      </c>
      <c r="BQ146" s="81" t="str">
        <f aca="false">IF($BG146&gt;$BF$7,"",VLOOKUP($BG146,$BI$8:$BO$507,2,FALSE()))</f>
        <v/>
      </c>
      <c r="BR146" s="81" t="str">
        <f aca="false">IF($BG146&gt;$BF$7,"",VLOOKUP($BG146,$BI$8:$BO$507,3,FALSE()))</f>
        <v/>
      </c>
      <c r="BS146" s="81" t="str">
        <f aca="false">IF($BG146&gt;$BF$7,"",VLOOKUP($BG146,$BI$8:$BO$507,4,FALSE()))</f>
        <v/>
      </c>
      <c r="BT146" s="81" t="str">
        <f aca="false">IF($BG146&gt;$BF$7,"",VLOOKUP($BG146,$BI$8:$BO$507,5,FALSE()))</f>
        <v/>
      </c>
      <c r="BU146" s="82" t="str">
        <f aca="false">IF($BG146&gt;$BF$7,"",VLOOKUP($BG146,$BI$8:$BO$507,6,FALSE()))</f>
        <v/>
      </c>
      <c r="BV146" s="54"/>
    </row>
    <row r="147" customFormat="false" ht="15.75" hidden="false" customHeight="false" outlineLevel="0" collapsed="false">
      <c r="A147" s="5"/>
      <c r="B147" s="135"/>
      <c r="C147" s="56"/>
      <c r="D147" s="57"/>
      <c r="E147" s="84"/>
      <c r="F147" s="136"/>
      <c r="G147" s="60"/>
      <c r="H147" s="137"/>
      <c r="I147" s="62"/>
      <c r="J147" s="62"/>
      <c r="K147" s="60"/>
      <c r="L147" s="138"/>
      <c r="M147" s="62"/>
      <c r="N147" s="62"/>
      <c r="O147" s="60"/>
      <c r="P147" s="84"/>
      <c r="Q147" s="65"/>
      <c r="R147" s="67" t="str">
        <f aca="false">IF(ISBLANK($C147),"",IF(E147=Constants!$B$2, TRUE(), IF(E147=Constants!$B$3, FALSE(), TRUE())))</f>
        <v/>
      </c>
      <c r="S147" s="67" t="str">
        <f aca="false">IF(ISBLANK($C147),"",IF(F147=Constants!$B$2, TRUE(), IF(F147=Constants!$B$3, FALSE(), TRUE())))</f>
        <v/>
      </c>
      <c r="T147" s="67" t="str">
        <f aca="false">IF(ISBLANK($C147),"",IF(G147=Constants!$B$16,Constants!$B$9,IF(G147=Constants!$B$17,Constants!$B$10,Constants!$B$8)))</f>
        <v/>
      </c>
      <c r="U147" s="67" t="str">
        <f aca="false">IF(ISBLANK($C147),"",IF(H147=Constants!$B$19,Constants!$B$19,Constants!$B$18))</f>
        <v/>
      </c>
      <c r="V147" s="67" t="str">
        <f aca="false">IF(ISBLANK($C147),"",IF(ISNUMBER(I147),IF(I147&gt;=0,I147,""),""))</f>
        <v/>
      </c>
      <c r="W147" s="67" t="str">
        <f aca="false">IF(ISBLANK($C147),"",IF(J147=Constants!$B$2, TRUE(), IF(J147=Constants!$B$3, FALSE(), TRUE())))</f>
        <v/>
      </c>
      <c r="X147" s="67" t="str">
        <f aca="false">IF(ISBLANK($C147),"",IF(K147=Constants!$B$2, TRUE(), IF(K147=Constants!$B$3, FALSE(), TRUE())))</f>
        <v/>
      </c>
      <c r="Y147" s="67" t="str">
        <f aca="false">IF(ISBLANK($C147),"",IF(L147=Constants!$B$19,Constants!$B$19,Constants!$B$18))</f>
        <v/>
      </c>
      <c r="Z147" s="67" t="str">
        <f aca="false">IF(ISBLANK($C147),"",IF(ISNUMBER(M147),IF(M147&gt;=0,M147,""),""))</f>
        <v/>
      </c>
      <c r="AA147" s="67" t="str">
        <f aca="false">IF(ISBLANK($C147),"",IF(N147=Constants!$B$2, TRUE(), IF(N147=Constants!$B$3, FALSE(), TRUE())))</f>
        <v/>
      </c>
      <c r="AB147" s="67" t="str">
        <f aca="false">IF(ISBLANK($C147),"",IF(O147=Constants!$B$2, TRUE(), IF(O147=Constants!$B$3, FALSE(), TRUE())))</f>
        <v/>
      </c>
      <c r="AC147" s="67" t="str">
        <f aca="false">IF(ISBLANK($C147),"",IF(P147=Constants!$B$2, TRUE(), IF(P147=Constants!$B$3, FALSE(), FALSE())))</f>
        <v/>
      </c>
      <c r="AD147" s="67" t="str">
        <f aca="false">IF(ISBLANK($C147),"",AND(V147&lt;&gt;"",IF(U147=Constants!$B$19,S147,R147)))</f>
        <v/>
      </c>
      <c r="AE147" s="67" t="str">
        <f aca="false">IF(ISBLANK($C147),"",AND(Z147&lt;&gt;"",IF(Y147=Constants!$B$19,S147,R147)))</f>
        <v/>
      </c>
      <c r="AF147" s="67" t="str">
        <f aca="false">IF(ISBLANK($C147),"",IF(AC147,Constants!$B$4,IF(COUNTA(E147:O147)=0,Constants!$B$5,IF(AND(NOT(AD147),NOT(AE147)),Constants!$B$6,Constants!$B$7))))</f>
        <v/>
      </c>
      <c r="AG147" s="67" t="str">
        <f aca="false">IF(ISBLANK($C147),"",IF($AF147&lt;&gt;Constants!$B$7,$AF147,Constants!$B$20))</f>
        <v/>
      </c>
      <c r="AH147" s="67" t="str">
        <f aca="false">IF($AF147=Constants!$B$7,IF(AD147,V147,Constants!$B$13),"")</f>
        <v/>
      </c>
      <c r="AI147" s="67" t="str">
        <f aca="false">IF($AF147=Constants!$B$7,IF(AD147,T147*IF(W147, 1, Constants!$B$11)*IF(X147, 1, Constants!$B$12),Constants!$B$13),"")</f>
        <v/>
      </c>
      <c r="AJ147" s="67" t="str">
        <f aca="false">IF($AF147=Constants!$B$7,AH147*AI147,"")</f>
        <v/>
      </c>
      <c r="AK147" s="67" t="str">
        <f aca="false">IF($AF147=Constants!$B$7,IF(AE147,Z147,Constants!$B$13),"")</f>
        <v/>
      </c>
      <c r="AL147" s="67" t="str">
        <f aca="false">IF($AF147=Constants!$B$7,IF(AE147,T147*IF(AA147, 1, Constants!$B$11)*IF(AB147, 1, Constants!$B$12),Constants!$B$13),"")</f>
        <v/>
      </c>
      <c r="AM147" s="67" t="str">
        <f aca="false">IF($AF147=Constants!$B$7,AK147*AL147,"")</f>
        <v/>
      </c>
      <c r="AN147" s="67" t="str">
        <f aca="false">IF($AF147=Constants!$B$7,IF(AM147&gt;AJ147,2,1),"")</f>
        <v/>
      </c>
      <c r="AO147" s="67" t="str">
        <f aca="false">IF($AF147=Constants!$B$7,IF(AN147=1,2,1),"")</f>
        <v/>
      </c>
      <c r="AP147" s="67" t="str">
        <f aca="false">IF(ISBLANK($C147),"",IF($AF147&lt;&gt;Constants!$B$7,$AF147,IF(AN147=1,AJ147,AM147)))</f>
        <v/>
      </c>
      <c r="AQ147" s="67" t="str">
        <f aca="false">IF(ISBLANK($C147),"",IF($AF147=Constants!$B$7,IF(ISNUMBER(AP147),RANK(AP147,$AP$8:$AP$507),Constants!$B$14),$AF147))</f>
        <v/>
      </c>
      <c r="AR147" s="67" t="str">
        <f aca="false">IF(ISBLANK($C147),"",IF($AF147=Constants!$B$7,IF(AO147=1,AJ147,AM147),""))</f>
        <v/>
      </c>
      <c r="AS147" s="67" t="str">
        <f aca="false">IF(ISBLANK($C147),"",IF($AF147=Constants!$B$7,RANK(AR147,$AR$8:$AR$507),$AF147))</f>
        <v/>
      </c>
      <c r="AT147" s="67" t="str">
        <f aca="false">IF(ISBLANK($C147),"",IF($AF147=Constants!$B$7,IF(ISNUMBER(AQ147),COUNTIFS($AQ$8:$AQ$507,"&lt;"&amp;$AQ147)+COUNTIFS($AQ$8:$AQ$507,$AQ147,$AS$8:$AS$507,"&lt;"&amp;$AS147)+1,Constants!$B$14),$AF147))</f>
        <v/>
      </c>
      <c r="AU147" s="67" t="str">
        <f aca="false">IF(ISBLANK($C147),"",IF($AF147=Constants!$B$7,IF(ISNUMBER(AQ147),AQ147-AT147,Constants!$B$14),$AF147))</f>
        <v/>
      </c>
      <c r="AV147" s="69"/>
      <c r="AW147" s="70" t="str">
        <f aca="false">IF(ISBLANK($C147),"",IF($AF147&lt;&gt;Constants!$B$7,"",AN147))</f>
        <v/>
      </c>
      <c r="AX147" s="85" t="str">
        <f aca="false">IF(ISBLANK($C147),"",IF($AF147&lt;&gt;Constants!$B$7,"",IF(AN147=1,AH147,AK147)))</f>
        <v/>
      </c>
      <c r="AY147" s="72" t="str">
        <f aca="false">IF(ISBLANK($C147),"",IF($AF147&lt;&gt;Constants!$B$7,"",IF(AN147=1,AI147,AL147)))</f>
        <v/>
      </c>
      <c r="AZ147" s="73" t="str">
        <f aca="false">IF(ISBLANK($C147),"",IF($AF147&lt;&gt;Constants!$B$7,$AF147,AP147))</f>
        <v/>
      </c>
      <c r="BA147" s="74" t="str">
        <f aca="false">IF(ISBLANK($C147),"",IF($AF147&lt;&gt;Constants!$B$7,$AF147,AG147))</f>
        <v/>
      </c>
      <c r="BB147" s="75" t="str">
        <f aca="false">IF(ISBLANK($C147),"",AU147)</f>
        <v/>
      </c>
      <c r="BC147" s="75" t="str">
        <f aca="false">IF(ISBLANK($C147),"",AT147)</f>
        <v/>
      </c>
      <c r="BD147" s="76" t="str">
        <f aca="false">IF(ISBLANK($C147),"",IFERROR(_xlfn.SWITCH(BC147,Constants!$B$4,COUNTA($C$8:$C$507)+2,Constants!$B$5,COUNTA($C$8:$C$507)+1,Constants!$B$6,COUNTA($C$8:$C$507)),BC147))</f>
        <v/>
      </c>
      <c r="BE147" s="5"/>
      <c r="BF147" s="77" t="n">
        <f aca="false">IF(OR(ISNUMBER(BC147),BC147=Constants!$B$4,BC147=Constants!$B$6,BC147=Constants!$B$5),1,0)</f>
        <v>0</v>
      </c>
      <c r="BG147" s="77" t="n">
        <v>140</v>
      </c>
      <c r="BH147" s="77" t="str">
        <f aca="false">IF(ISBLANK($C147),"",IF(ISNUMBER(BD147),BD147+ROW($B147)/1000,""))</f>
        <v/>
      </c>
      <c r="BI147" s="77" t="str">
        <f aca="false">IF(ISNUMBER(BH147),RANK(BH147,$BH$8:$BH$507,1),"")</f>
        <v/>
      </c>
      <c r="BJ147" s="77" t="str">
        <f aca="false">IF(ISBLANK($C147),"",$B147)</f>
        <v/>
      </c>
      <c r="BK147" s="77" t="str">
        <f aca="false">IF(ISBLANK($C147),"",$C147)</f>
        <v/>
      </c>
      <c r="BL147" s="77" t="str">
        <f aca="false">IF(ISBLANK($C147),"",$D147)</f>
        <v/>
      </c>
      <c r="BM147" s="78" t="str">
        <f aca="false">BA147</f>
        <v/>
      </c>
      <c r="BN147" s="79" t="str">
        <f aca="false">AZ147</f>
        <v/>
      </c>
      <c r="BO147" s="77" t="str">
        <f aca="false">IF(ISBLANK($C147),"",BC147)</f>
        <v/>
      </c>
      <c r="BP147" s="80" t="str">
        <f aca="false">IF($BG147&gt;$BF$7,"",VLOOKUP($BG147,$BI$8:$BO$507,7,FALSE()))</f>
        <v/>
      </c>
      <c r="BQ147" s="81" t="str">
        <f aca="false">IF($BG147&gt;$BF$7,"",VLOOKUP($BG147,$BI$8:$BO$507,2,FALSE()))</f>
        <v/>
      </c>
      <c r="BR147" s="81" t="str">
        <f aca="false">IF($BG147&gt;$BF$7,"",VLOOKUP($BG147,$BI$8:$BO$507,3,FALSE()))</f>
        <v/>
      </c>
      <c r="BS147" s="81" t="str">
        <f aca="false">IF($BG147&gt;$BF$7,"",VLOOKUP($BG147,$BI$8:$BO$507,4,FALSE()))</f>
        <v/>
      </c>
      <c r="BT147" s="81" t="str">
        <f aca="false">IF($BG147&gt;$BF$7,"",VLOOKUP($BG147,$BI$8:$BO$507,5,FALSE()))</f>
        <v/>
      </c>
      <c r="BU147" s="82" t="str">
        <f aca="false">IF($BG147&gt;$BF$7,"",VLOOKUP($BG147,$BI$8:$BO$507,6,FALSE()))</f>
        <v/>
      </c>
      <c r="BV147" s="54"/>
    </row>
    <row r="148" customFormat="false" ht="15.75" hidden="false" customHeight="false" outlineLevel="0" collapsed="false">
      <c r="A148" s="5"/>
      <c r="B148" s="135"/>
      <c r="C148" s="56"/>
      <c r="D148" s="57"/>
      <c r="E148" s="84"/>
      <c r="F148" s="136"/>
      <c r="G148" s="60"/>
      <c r="H148" s="137"/>
      <c r="I148" s="62"/>
      <c r="J148" s="62"/>
      <c r="K148" s="60"/>
      <c r="L148" s="138"/>
      <c r="M148" s="62"/>
      <c r="N148" s="62"/>
      <c r="O148" s="60"/>
      <c r="P148" s="84"/>
      <c r="Q148" s="65"/>
      <c r="R148" s="67" t="str">
        <f aca="false">IF(ISBLANK($C148),"",IF(E148=Constants!$B$2, TRUE(), IF(E148=Constants!$B$3, FALSE(), TRUE())))</f>
        <v/>
      </c>
      <c r="S148" s="67" t="str">
        <f aca="false">IF(ISBLANK($C148),"",IF(F148=Constants!$B$2, TRUE(), IF(F148=Constants!$B$3, FALSE(), TRUE())))</f>
        <v/>
      </c>
      <c r="T148" s="67" t="str">
        <f aca="false">IF(ISBLANK($C148),"",IF(G148=Constants!$B$16,Constants!$B$9,IF(G148=Constants!$B$17,Constants!$B$10,Constants!$B$8)))</f>
        <v/>
      </c>
      <c r="U148" s="67" t="str">
        <f aca="false">IF(ISBLANK($C148),"",IF(H148=Constants!$B$19,Constants!$B$19,Constants!$B$18))</f>
        <v/>
      </c>
      <c r="V148" s="67" t="str">
        <f aca="false">IF(ISBLANK($C148),"",IF(ISNUMBER(I148),IF(I148&gt;=0,I148,""),""))</f>
        <v/>
      </c>
      <c r="W148" s="67" t="str">
        <f aca="false">IF(ISBLANK($C148),"",IF(J148=Constants!$B$2, TRUE(), IF(J148=Constants!$B$3, FALSE(), TRUE())))</f>
        <v/>
      </c>
      <c r="X148" s="67" t="str">
        <f aca="false">IF(ISBLANK($C148),"",IF(K148=Constants!$B$2, TRUE(), IF(K148=Constants!$B$3, FALSE(), TRUE())))</f>
        <v/>
      </c>
      <c r="Y148" s="67" t="str">
        <f aca="false">IF(ISBLANK($C148),"",IF(L148=Constants!$B$19,Constants!$B$19,Constants!$B$18))</f>
        <v/>
      </c>
      <c r="Z148" s="67" t="str">
        <f aca="false">IF(ISBLANK($C148),"",IF(ISNUMBER(M148),IF(M148&gt;=0,M148,""),""))</f>
        <v/>
      </c>
      <c r="AA148" s="67" t="str">
        <f aca="false">IF(ISBLANK($C148),"",IF(N148=Constants!$B$2, TRUE(), IF(N148=Constants!$B$3, FALSE(), TRUE())))</f>
        <v/>
      </c>
      <c r="AB148" s="67" t="str">
        <f aca="false">IF(ISBLANK($C148),"",IF(O148=Constants!$B$2, TRUE(), IF(O148=Constants!$B$3, FALSE(), TRUE())))</f>
        <v/>
      </c>
      <c r="AC148" s="67" t="str">
        <f aca="false">IF(ISBLANK($C148),"",IF(P148=Constants!$B$2, TRUE(), IF(P148=Constants!$B$3, FALSE(), FALSE())))</f>
        <v/>
      </c>
      <c r="AD148" s="67" t="str">
        <f aca="false">IF(ISBLANK($C148),"",AND(V148&lt;&gt;"",IF(U148=Constants!$B$19,S148,R148)))</f>
        <v/>
      </c>
      <c r="AE148" s="67" t="str">
        <f aca="false">IF(ISBLANK($C148),"",AND(Z148&lt;&gt;"",IF(Y148=Constants!$B$19,S148,R148)))</f>
        <v/>
      </c>
      <c r="AF148" s="67" t="str">
        <f aca="false">IF(ISBLANK($C148),"",IF(AC148,Constants!$B$4,IF(COUNTA(E148:O148)=0,Constants!$B$5,IF(AND(NOT(AD148),NOT(AE148)),Constants!$B$6,Constants!$B$7))))</f>
        <v/>
      </c>
      <c r="AG148" s="67" t="str">
        <f aca="false">IF(ISBLANK($C148),"",IF($AF148&lt;&gt;Constants!$B$7,$AF148,Constants!$B$20))</f>
        <v/>
      </c>
      <c r="AH148" s="67" t="str">
        <f aca="false">IF($AF148=Constants!$B$7,IF(AD148,V148,Constants!$B$13),"")</f>
        <v/>
      </c>
      <c r="AI148" s="67" t="str">
        <f aca="false">IF($AF148=Constants!$B$7,IF(AD148,T148*IF(W148, 1, Constants!$B$11)*IF(X148, 1, Constants!$B$12),Constants!$B$13),"")</f>
        <v/>
      </c>
      <c r="AJ148" s="67" t="str">
        <f aca="false">IF($AF148=Constants!$B$7,AH148*AI148,"")</f>
        <v/>
      </c>
      <c r="AK148" s="67" t="str">
        <f aca="false">IF($AF148=Constants!$B$7,IF(AE148,Z148,Constants!$B$13),"")</f>
        <v/>
      </c>
      <c r="AL148" s="67" t="str">
        <f aca="false">IF($AF148=Constants!$B$7,IF(AE148,T148*IF(AA148, 1, Constants!$B$11)*IF(AB148, 1, Constants!$B$12),Constants!$B$13),"")</f>
        <v/>
      </c>
      <c r="AM148" s="67" t="str">
        <f aca="false">IF($AF148=Constants!$B$7,AK148*AL148,"")</f>
        <v/>
      </c>
      <c r="AN148" s="67" t="str">
        <f aca="false">IF($AF148=Constants!$B$7,IF(AM148&gt;AJ148,2,1),"")</f>
        <v/>
      </c>
      <c r="AO148" s="67" t="str">
        <f aca="false">IF($AF148=Constants!$B$7,IF(AN148=1,2,1),"")</f>
        <v/>
      </c>
      <c r="AP148" s="67" t="str">
        <f aca="false">IF(ISBLANK($C148),"",IF($AF148&lt;&gt;Constants!$B$7,$AF148,IF(AN148=1,AJ148,AM148)))</f>
        <v/>
      </c>
      <c r="AQ148" s="67" t="str">
        <f aca="false">IF(ISBLANK($C148),"",IF($AF148=Constants!$B$7,IF(ISNUMBER(AP148),RANK(AP148,$AP$8:$AP$507),Constants!$B$14),$AF148))</f>
        <v/>
      </c>
      <c r="AR148" s="67" t="str">
        <f aca="false">IF(ISBLANK($C148),"",IF($AF148=Constants!$B$7,IF(AO148=1,AJ148,AM148),""))</f>
        <v/>
      </c>
      <c r="AS148" s="67" t="str">
        <f aca="false">IF(ISBLANK($C148),"",IF($AF148=Constants!$B$7,RANK(AR148,$AR$8:$AR$507),$AF148))</f>
        <v/>
      </c>
      <c r="AT148" s="67" t="str">
        <f aca="false">IF(ISBLANK($C148),"",IF($AF148=Constants!$B$7,IF(ISNUMBER(AQ148),COUNTIFS($AQ$8:$AQ$507,"&lt;"&amp;$AQ148)+COUNTIFS($AQ$8:$AQ$507,$AQ148,$AS$8:$AS$507,"&lt;"&amp;$AS148)+1,Constants!$B$14),$AF148))</f>
        <v/>
      </c>
      <c r="AU148" s="67" t="str">
        <f aca="false">IF(ISBLANK($C148),"",IF($AF148=Constants!$B$7,IF(ISNUMBER(AQ148),AQ148-AT148,Constants!$B$14),$AF148))</f>
        <v/>
      </c>
      <c r="AV148" s="69"/>
      <c r="AW148" s="70" t="str">
        <f aca="false">IF(ISBLANK($C148),"",IF($AF148&lt;&gt;Constants!$B$7,"",AN148))</f>
        <v/>
      </c>
      <c r="AX148" s="85" t="str">
        <f aca="false">IF(ISBLANK($C148),"",IF($AF148&lt;&gt;Constants!$B$7,"",IF(AN148=1,AH148,AK148)))</f>
        <v/>
      </c>
      <c r="AY148" s="72" t="str">
        <f aca="false">IF(ISBLANK($C148),"",IF($AF148&lt;&gt;Constants!$B$7,"",IF(AN148=1,AI148,AL148)))</f>
        <v/>
      </c>
      <c r="AZ148" s="73" t="str">
        <f aca="false">IF(ISBLANK($C148),"",IF($AF148&lt;&gt;Constants!$B$7,$AF148,AP148))</f>
        <v/>
      </c>
      <c r="BA148" s="74" t="str">
        <f aca="false">IF(ISBLANK($C148),"",IF($AF148&lt;&gt;Constants!$B$7,$AF148,AG148))</f>
        <v/>
      </c>
      <c r="BB148" s="75" t="str">
        <f aca="false">IF(ISBLANK($C148),"",AU148)</f>
        <v/>
      </c>
      <c r="BC148" s="75" t="str">
        <f aca="false">IF(ISBLANK($C148),"",AT148)</f>
        <v/>
      </c>
      <c r="BD148" s="76" t="str">
        <f aca="false">IF(ISBLANK($C148),"",IFERROR(_xlfn.SWITCH(BC148,Constants!$B$4,COUNTA($C$8:$C$507)+2,Constants!$B$5,COUNTA($C$8:$C$507)+1,Constants!$B$6,COUNTA($C$8:$C$507)),BC148))</f>
        <v/>
      </c>
      <c r="BE148" s="5"/>
      <c r="BF148" s="77" t="n">
        <f aca="false">IF(OR(ISNUMBER(BC148),BC148=Constants!$B$4,BC148=Constants!$B$6,BC148=Constants!$B$5),1,0)</f>
        <v>0</v>
      </c>
      <c r="BG148" s="77" t="n">
        <v>141</v>
      </c>
      <c r="BH148" s="77" t="str">
        <f aca="false">IF(ISBLANK($C148),"",IF(ISNUMBER(BD148),BD148+ROW($B148)/1000,""))</f>
        <v/>
      </c>
      <c r="BI148" s="77" t="str">
        <f aca="false">IF(ISNUMBER(BH148),RANK(BH148,$BH$8:$BH$507,1),"")</f>
        <v/>
      </c>
      <c r="BJ148" s="77" t="str">
        <f aca="false">IF(ISBLANK($C148),"",$B148)</f>
        <v/>
      </c>
      <c r="BK148" s="77" t="str">
        <f aca="false">IF(ISBLANK($C148),"",$C148)</f>
        <v/>
      </c>
      <c r="BL148" s="77" t="str">
        <f aca="false">IF(ISBLANK($C148),"",$D148)</f>
        <v/>
      </c>
      <c r="BM148" s="78" t="str">
        <f aca="false">BA148</f>
        <v/>
      </c>
      <c r="BN148" s="79" t="str">
        <f aca="false">AZ148</f>
        <v/>
      </c>
      <c r="BO148" s="77" t="str">
        <f aca="false">IF(ISBLANK($C148),"",BC148)</f>
        <v/>
      </c>
      <c r="BP148" s="80" t="str">
        <f aca="false">IF($BG148&gt;$BF$7,"",VLOOKUP($BG148,$BI$8:$BO$507,7,FALSE()))</f>
        <v/>
      </c>
      <c r="BQ148" s="81" t="str">
        <f aca="false">IF($BG148&gt;$BF$7,"",VLOOKUP($BG148,$BI$8:$BO$507,2,FALSE()))</f>
        <v/>
      </c>
      <c r="BR148" s="81" t="str">
        <f aca="false">IF($BG148&gt;$BF$7,"",VLOOKUP($BG148,$BI$8:$BO$507,3,FALSE()))</f>
        <v/>
      </c>
      <c r="BS148" s="81" t="str">
        <f aca="false">IF($BG148&gt;$BF$7,"",VLOOKUP($BG148,$BI$8:$BO$507,4,FALSE()))</f>
        <v/>
      </c>
      <c r="BT148" s="81" t="str">
        <f aca="false">IF($BG148&gt;$BF$7,"",VLOOKUP($BG148,$BI$8:$BO$507,5,FALSE()))</f>
        <v/>
      </c>
      <c r="BU148" s="82" t="str">
        <f aca="false">IF($BG148&gt;$BF$7,"",VLOOKUP($BG148,$BI$8:$BO$507,6,FALSE()))</f>
        <v/>
      </c>
      <c r="BV148" s="54"/>
    </row>
    <row r="149" customFormat="false" ht="15.75" hidden="false" customHeight="false" outlineLevel="0" collapsed="false">
      <c r="A149" s="5"/>
      <c r="B149" s="128"/>
      <c r="C149" s="129"/>
      <c r="D149" s="114"/>
      <c r="E149" s="134"/>
      <c r="F149" s="139"/>
      <c r="G149" s="93"/>
      <c r="H149" s="140"/>
      <c r="I149" s="95"/>
      <c r="J149" s="95"/>
      <c r="K149" s="93"/>
      <c r="L149" s="141"/>
      <c r="M149" s="95"/>
      <c r="N149" s="95"/>
      <c r="O149" s="93"/>
      <c r="P149" s="134"/>
      <c r="Q149" s="98"/>
      <c r="R149" s="99" t="str">
        <f aca="false">IF(ISBLANK($C149),"",IF(E149=Constants!$B$2, TRUE(), IF(E149=Constants!$B$3, FALSE(), TRUE())))</f>
        <v/>
      </c>
      <c r="S149" s="99" t="str">
        <f aca="false">IF(ISBLANK($C149),"",IF(F149=Constants!$B$2, TRUE(), IF(F149=Constants!$B$3, FALSE(), TRUE())))</f>
        <v/>
      </c>
      <c r="T149" s="99" t="str">
        <f aca="false">IF(ISBLANK($C149),"",IF(G149=Constants!$B$16,Constants!$B$9,IF(G149=Constants!$B$17,Constants!$B$10,Constants!$B$8)))</f>
        <v/>
      </c>
      <c r="U149" s="99" t="str">
        <f aca="false">IF(ISBLANK($C149),"",IF(H149=Constants!$B$19,Constants!$B$19,Constants!$B$18))</f>
        <v/>
      </c>
      <c r="V149" s="99" t="str">
        <f aca="false">IF(ISBLANK($C149),"",IF(ISNUMBER(I149),IF(I149&gt;=0,I149,""),""))</f>
        <v/>
      </c>
      <c r="W149" s="99" t="str">
        <f aca="false">IF(ISBLANK($C149),"",IF(J149=Constants!$B$2, TRUE(), IF(J149=Constants!$B$3, FALSE(), TRUE())))</f>
        <v/>
      </c>
      <c r="X149" s="99" t="str">
        <f aca="false">IF(ISBLANK($C149),"",IF(K149=Constants!$B$2, TRUE(), IF(K149=Constants!$B$3, FALSE(), TRUE())))</f>
        <v/>
      </c>
      <c r="Y149" s="99" t="str">
        <f aca="false">IF(ISBLANK($C149),"",IF(L149=Constants!$B$19,Constants!$B$19,Constants!$B$18))</f>
        <v/>
      </c>
      <c r="Z149" s="99" t="str">
        <f aca="false">IF(ISBLANK($C149),"",IF(ISNUMBER(M149),IF(M149&gt;=0,M149,""),""))</f>
        <v/>
      </c>
      <c r="AA149" s="99" t="str">
        <f aca="false">IF(ISBLANK($C149),"",IF(N149=Constants!$B$2, TRUE(), IF(N149=Constants!$B$3, FALSE(), TRUE())))</f>
        <v/>
      </c>
      <c r="AB149" s="99" t="str">
        <f aca="false">IF(ISBLANK($C149),"",IF(O149=Constants!$B$2, TRUE(), IF(O149=Constants!$B$3, FALSE(), TRUE())))</f>
        <v/>
      </c>
      <c r="AC149" s="99" t="str">
        <f aca="false">IF(ISBLANK($C149),"",IF(P149=Constants!$B$2, TRUE(), IF(P149=Constants!$B$3, FALSE(), FALSE())))</f>
        <v/>
      </c>
      <c r="AD149" s="99" t="str">
        <f aca="false">IF(ISBLANK($C149),"",AND(V149&lt;&gt;"",IF(U149=Constants!$B$19,S149,R149)))</f>
        <v/>
      </c>
      <c r="AE149" s="99" t="str">
        <f aca="false">IF(ISBLANK($C149),"",AND(Z149&lt;&gt;"",IF(Y149=Constants!$B$19,S149,R149)))</f>
        <v/>
      </c>
      <c r="AF149" s="99" t="str">
        <f aca="false">IF(ISBLANK($C149),"",IF(AC149,Constants!$B$4,IF(COUNTA(E149:O149)=0,Constants!$B$5,IF(AND(NOT(AD149),NOT(AE149)),Constants!$B$6,Constants!$B$7))))</f>
        <v/>
      </c>
      <c r="AG149" s="99" t="str">
        <f aca="false">IF(ISBLANK($C149),"",IF($AF149&lt;&gt;Constants!$B$7,$AF149,Constants!$B$20))</f>
        <v/>
      </c>
      <c r="AH149" s="99" t="str">
        <f aca="false">IF($AF149=Constants!$B$7,IF(AD149,V149,Constants!$B$13),"")</f>
        <v/>
      </c>
      <c r="AI149" s="99" t="str">
        <f aca="false">IF($AF149=Constants!$B$7,IF(AD149,T149*IF(W149, 1, Constants!$B$11)*IF(X149, 1, Constants!$B$12),Constants!$B$13),"")</f>
        <v/>
      </c>
      <c r="AJ149" s="99" t="str">
        <f aca="false">IF($AF149=Constants!$B$7,AH149*AI149,"")</f>
        <v/>
      </c>
      <c r="AK149" s="99" t="str">
        <f aca="false">IF($AF149=Constants!$B$7,IF(AE149,Z149,Constants!$B$13),"")</f>
        <v/>
      </c>
      <c r="AL149" s="99" t="str">
        <f aca="false">IF($AF149=Constants!$B$7,IF(AE149,T149*IF(AA149, 1, Constants!$B$11)*IF(AB149, 1, Constants!$B$12),Constants!$B$13),"")</f>
        <v/>
      </c>
      <c r="AM149" s="99" t="str">
        <f aca="false">IF($AF149=Constants!$B$7,AK149*AL149,"")</f>
        <v/>
      </c>
      <c r="AN149" s="99" t="str">
        <f aca="false">IF($AF149=Constants!$B$7,IF(AM149&gt;AJ149,2,1),"")</f>
        <v/>
      </c>
      <c r="AO149" s="99" t="str">
        <f aca="false">IF($AF149=Constants!$B$7,IF(AN149=1,2,1),"")</f>
        <v/>
      </c>
      <c r="AP149" s="99" t="str">
        <f aca="false">IF(ISBLANK($C149),"",IF($AF149&lt;&gt;Constants!$B$7,$AF149,IF(AN149=1,AJ149,AM149)))</f>
        <v/>
      </c>
      <c r="AQ149" s="99" t="str">
        <f aca="false">IF(ISBLANK($C149),"",IF($AF149=Constants!$B$7,IF(ISNUMBER(AP149),RANK(AP149,$AP$8:$AP$507),Constants!$B$14),$AF149))</f>
        <v/>
      </c>
      <c r="AR149" s="99" t="str">
        <f aca="false">IF(ISBLANK($C149),"",IF($AF149=Constants!$B$7,IF(AO149=1,AJ149,AM149),""))</f>
        <v/>
      </c>
      <c r="AS149" s="99" t="str">
        <f aca="false">IF(ISBLANK($C149),"",IF($AF149=Constants!$B$7,RANK(AR149,$AR$8:$AR$507),$AF149))</f>
        <v/>
      </c>
      <c r="AT149" s="99" t="str">
        <f aca="false">IF(ISBLANK($C149),"",IF($AF149=Constants!$B$7,IF(ISNUMBER(AQ149),COUNTIFS($AQ$8:$AQ$507,"&lt;"&amp;$AQ149)+COUNTIFS($AQ$8:$AQ$507,$AQ149,$AS$8:$AS$507,"&lt;"&amp;$AS149)+1,Constants!$B$14),$AF149))</f>
        <v/>
      </c>
      <c r="AU149" s="99" t="str">
        <f aca="false">IF(ISBLANK($C149),"",IF($AF149=Constants!$B$7,IF(ISNUMBER(AQ149),AQ149-AT149,Constants!$B$14),$AF149))</f>
        <v/>
      </c>
      <c r="AV149" s="100"/>
      <c r="AW149" s="101" t="str">
        <f aca="false">IF(ISBLANK($C149),"",IF($AF149&lt;&gt;Constants!$B$7,"",AN149))</f>
        <v/>
      </c>
      <c r="AX149" s="102" t="str">
        <f aca="false">IF(ISBLANK($C149),"",IF($AF149&lt;&gt;Constants!$B$7,"",IF(AN149=1,AH149,AK149)))</f>
        <v/>
      </c>
      <c r="AY149" s="103" t="str">
        <f aca="false">IF(ISBLANK($C149),"",IF($AF149&lt;&gt;Constants!$B$7,"",IF(AN149=1,AI149,AL149)))</f>
        <v/>
      </c>
      <c r="AZ149" s="104" t="str">
        <f aca="false">IF(ISBLANK($C149),"",IF($AF149&lt;&gt;Constants!$B$7,$AF149,AP149))</f>
        <v/>
      </c>
      <c r="BA149" s="105" t="str">
        <f aca="false">IF(ISBLANK($C149),"",IF($AF149&lt;&gt;Constants!$B$7,$AF149,AG149))</f>
        <v/>
      </c>
      <c r="BB149" s="106" t="str">
        <f aca="false">IF(ISBLANK($C149),"",AU149)</f>
        <v/>
      </c>
      <c r="BC149" s="106" t="str">
        <f aca="false">IF(ISBLANK($C149),"",AT149)</f>
        <v/>
      </c>
      <c r="BD149" s="107" t="str">
        <f aca="false">IF(ISBLANK($C149),"",IFERROR(_xlfn.SWITCH(BC149,Constants!$B$4,COUNTA($C$8:$C$507)+2,Constants!$B$5,COUNTA($C$8:$C$507)+1,Constants!$B$6,COUNTA($C$8:$C$507)),BC149))</f>
        <v/>
      </c>
      <c r="BE149" s="5"/>
      <c r="BF149" s="108" t="n">
        <f aca="false">IF(OR(ISNUMBER(BC149),BC149=Constants!$B$4,BC149=Constants!$B$6,BC149=Constants!$B$5),1,0)</f>
        <v>0</v>
      </c>
      <c r="BG149" s="108" t="n">
        <v>142</v>
      </c>
      <c r="BH149" s="108" t="str">
        <f aca="false">IF(ISBLANK($C149),"",IF(ISNUMBER(BD149),BD149+ROW($B149)/1000,""))</f>
        <v/>
      </c>
      <c r="BI149" s="108" t="str">
        <f aca="false">IF(ISNUMBER(BH149),RANK(BH149,$BH$8:$BH$507,1),"")</f>
        <v/>
      </c>
      <c r="BJ149" s="108" t="str">
        <f aca="false">IF(ISBLANK($C149),"",$B149)</f>
        <v/>
      </c>
      <c r="BK149" s="108" t="str">
        <f aca="false">IF(ISBLANK($C149),"",$C149)</f>
        <v/>
      </c>
      <c r="BL149" s="108" t="str">
        <f aca="false">IF(ISBLANK($C149),"",$D149)</f>
        <v/>
      </c>
      <c r="BM149" s="109" t="str">
        <f aca="false">BA149</f>
        <v/>
      </c>
      <c r="BN149" s="110" t="str">
        <f aca="false">AZ149</f>
        <v/>
      </c>
      <c r="BO149" s="108" t="str">
        <f aca="false">IF(ISBLANK($C149),"",BC149)</f>
        <v/>
      </c>
      <c r="BP149" s="111" t="str">
        <f aca="false">IF($BG149&gt;$BF$7,"",VLOOKUP($BG149,$BI$8:$BO$507,7,FALSE()))</f>
        <v/>
      </c>
      <c r="BQ149" s="112" t="str">
        <f aca="false">IF($BG149&gt;$BF$7,"",VLOOKUP($BG149,$BI$8:$BO$507,2,FALSE()))</f>
        <v/>
      </c>
      <c r="BR149" s="112" t="str">
        <f aca="false">IF($BG149&gt;$BF$7,"",VLOOKUP($BG149,$BI$8:$BO$507,3,FALSE()))</f>
        <v/>
      </c>
      <c r="BS149" s="112" t="str">
        <f aca="false">IF($BG149&gt;$BF$7,"",VLOOKUP($BG149,$BI$8:$BO$507,4,FALSE()))</f>
        <v/>
      </c>
      <c r="BT149" s="112" t="str">
        <f aca="false">IF($BG149&gt;$BF$7,"",VLOOKUP($BG149,$BI$8:$BO$507,5,FALSE()))</f>
        <v/>
      </c>
      <c r="BU149" s="113" t="str">
        <f aca="false">IF($BG149&gt;$BF$7,"",VLOOKUP($BG149,$BI$8:$BO$507,6,FALSE()))</f>
        <v/>
      </c>
      <c r="BV149" s="54"/>
    </row>
    <row r="150" customFormat="false" ht="15.75" hidden="false" customHeight="false" outlineLevel="0" collapsed="false">
      <c r="A150" s="5"/>
      <c r="B150" s="128"/>
      <c r="C150" s="129"/>
      <c r="D150" s="114"/>
      <c r="E150" s="134"/>
      <c r="F150" s="139"/>
      <c r="G150" s="93"/>
      <c r="H150" s="140"/>
      <c r="I150" s="95"/>
      <c r="J150" s="95"/>
      <c r="K150" s="93"/>
      <c r="L150" s="141"/>
      <c r="M150" s="95"/>
      <c r="N150" s="95"/>
      <c r="O150" s="93"/>
      <c r="P150" s="134"/>
      <c r="Q150" s="98"/>
      <c r="R150" s="99" t="str">
        <f aca="false">IF(ISBLANK($C150),"",IF(E150=Constants!$B$2, TRUE(), IF(E150=Constants!$B$3, FALSE(), TRUE())))</f>
        <v/>
      </c>
      <c r="S150" s="99" t="str">
        <f aca="false">IF(ISBLANK($C150),"",IF(F150=Constants!$B$2, TRUE(), IF(F150=Constants!$B$3, FALSE(), TRUE())))</f>
        <v/>
      </c>
      <c r="T150" s="99" t="str">
        <f aca="false">IF(ISBLANK($C150),"",IF(G150=Constants!$B$16,Constants!$B$9,IF(G150=Constants!$B$17,Constants!$B$10,Constants!$B$8)))</f>
        <v/>
      </c>
      <c r="U150" s="99" t="str">
        <f aca="false">IF(ISBLANK($C150),"",IF(H150=Constants!$B$19,Constants!$B$19,Constants!$B$18))</f>
        <v/>
      </c>
      <c r="V150" s="99" t="str">
        <f aca="false">IF(ISBLANK($C150),"",IF(ISNUMBER(I150),IF(I150&gt;=0,I150,""),""))</f>
        <v/>
      </c>
      <c r="W150" s="99" t="str">
        <f aca="false">IF(ISBLANK($C150),"",IF(J150=Constants!$B$2, TRUE(), IF(J150=Constants!$B$3, FALSE(), TRUE())))</f>
        <v/>
      </c>
      <c r="X150" s="99" t="str">
        <f aca="false">IF(ISBLANK($C150),"",IF(K150=Constants!$B$2, TRUE(), IF(K150=Constants!$B$3, FALSE(), TRUE())))</f>
        <v/>
      </c>
      <c r="Y150" s="99" t="str">
        <f aca="false">IF(ISBLANK($C150),"",IF(L150=Constants!$B$19,Constants!$B$19,Constants!$B$18))</f>
        <v/>
      </c>
      <c r="Z150" s="99" t="str">
        <f aca="false">IF(ISBLANK($C150),"",IF(ISNUMBER(M150),IF(M150&gt;=0,M150,""),""))</f>
        <v/>
      </c>
      <c r="AA150" s="99" t="str">
        <f aca="false">IF(ISBLANK($C150),"",IF(N150=Constants!$B$2, TRUE(), IF(N150=Constants!$B$3, FALSE(), TRUE())))</f>
        <v/>
      </c>
      <c r="AB150" s="99" t="str">
        <f aca="false">IF(ISBLANK($C150),"",IF(O150=Constants!$B$2, TRUE(), IF(O150=Constants!$B$3, FALSE(), TRUE())))</f>
        <v/>
      </c>
      <c r="AC150" s="99" t="str">
        <f aca="false">IF(ISBLANK($C150),"",IF(P150=Constants!$B$2, TRUE(), IF(P150=Constants!$B$3, FALSE(), FALSE())))</f>
        <v/>
      </c>
      <c r="AD150" s="99" t="str">
        <f aca="false">IF(ISBLANK($C150),"",AND(V150&lt;&gt;"",IF(U150=Constants!$B$19,S150,R150)))</f>
        <v/>
      </c>
      <c r="AE150" s="99" t="str">
        <f aca="false">IF(ISBLANK($C150),"",AND(Z150&lt;&gt;"",IF(Y150=Constants!$B$19,S150,R150)))</f>
        <v/>
      </c>
      <c r="AF150" s="99" t="str">
        <f aca="false">IF(ISBLANK($C150),"",IF(AC150,Constants!$B$4,IF(COUNTA(E150:O150)=0,Constants!$B$5,IF(AND(NOT(AD150),NOT(AE150)),Constants!$B$6,Constants!$B$7))))</f>
        <v/>
      </c>
      <c r="AG150" s="99" t="str">
        <f aca="false">IF(ISBLANK($C150),"",IF($AF150&lt;&gt;Constants!$B$7,$AF150,Constants!$B$20))</f>
        <v/>
      </c>
      <c r="AH150" s="99" t="str">
        <f aca="false">IF($AF150=Constants!$B$7,IF(AD150,V150,Constants!$B$13),"")</f>
        <v/>
      </c>
      <c r="AI150" s="99" t="str">
        <f aca="false">IF($AF150=Constants!$B$7,IF(AD150,T150*IF(W150, 1, Constants!$B$11)*IF(X150, 1, Constants!$B$12),Constants!$B$13),"")</f>
        <v/>
      </c>
      <c r="AJ150" s="99" t="str">
        <f aca="false">IF($AF150=Constants!$B$7,AH150*AI150,"")</f>
        <v/>
      </c>
      <c r="AK150" s="99" t="str">
        <f aca="false">IF($AF150=Constants!$B$7,IF(AE150,Z150,Constants!$B$13),"")</f>
        <v/>
      </c>
      <c r="AL150" s="99" t="str">
        <f aca="false">IF($AF150=Constants!$B$7,IF(AE150,T150*IF(AA150, 1, Constants!$B$11)*IF(AB150, 1, Constants!$B$12),Constants!$B$13),"")</f>
        <v/>
      </c>
      <c r="AM150" s="99" t="str">
        <f aca="false">IF($AF150=Constants!$B$7,AK150*AL150,"")</f>
        <v/>
      </c>
      <c r="AN150" s="99" t="str">
        <f aca="false">IF($AF150=Constants!$B$7,IF(AM150&gt;AJ150,2,1),"")</f>
        <v/>
      </c>
      <c r="AO150" s="99" t="str">
        <f aca="false">IF($AF150=Constants!$B$7,IF(AN150=1,2,1),"")</f>
        <v/>
      </c>
      <c r="AP150" s="99" t="str">
        <f aca="false">IF(ISBLANK($C150),"",IF($AF150&lt;&gt;Constants!$B$7,$AF150,IF(AN150=1,AJ150,AM150)))</f>
        <v/>
      </c>
      <c r="AQ150" s="99" t="str">
        <f aca="false">IF(ISBLANK($C150),"",IF($AF150=Constants!$B$7,IF(ISNUMBER(AP150),RANK(AP150,$AP$8:$AP$507),Constants!$B$14),$AF150))</f>
        <v/>
      </c>
      <c r="AR150" s="99" t="str">
        <f aca="false">IF(ISBLANK($C150),"",IF($AF150=Constants!$B$7,IF(AO150=1,AJ150,AM150),""))</f>
        <v/>
      </c>
      <c r="AS150" s="99" t="str">
        <f aca="false">IF(ISBLANK($C150),"",IF($AF150=Constants!$B$7,RANK(AR150,$AR$8:$AR$507),$AF150))</f>
        <v/>
      </c>
      <c r="AT150" s="99" t="str">
        <f aca="false">IF(ISBLANK($C150),"",IF($AF150=Constants!$B$7,IF(ISNUMBER(AQ150),COUNTIFS($AQ$8:$AQ$507,"&lt;"&amp;$AQ150)+COUNTIFS($AQ$8:$AQ$507,$AQ150,$AS$8:$AS$507,"&lt;"&amp;$AS150)+1,Constants!$B$14),$AF150))</f>
        <v/>
      </c>
      <c r="AU150" s="99" t="str">
        <f aca="false">IF(ISBLANK($C150),"",IF($AF150=Constants!$B$7,IF(ISNUMBER(AQ150),AQ150-AT150,Constants!$B$14),$AF150))</f>
        <v/>
      </c>
      <c r="AV150" s="100"/>
      <c r="AW150" s="101" t="str">
        <f aca="false">IF(ISBLANK($C150),"",IF($AF150&lt;&gt;Constants!$B$7,"",AN150))</f>
        <v/>
      </c>
      <c r="AX150" s="102" t="str">
        <f aca="false">IF(ISBLANK($C150),"",IF($AF150&lt;&gt;Constants!$B$7,"",IF(AN150=1,AH150,AK150)))</f>
        <v/>
      </c>
      <c r="AY150" s="103" t="str">
        <f aca="false">IF(ISBLANK($C150),"",IF($AF150&lt;&gt;Constants!$B$7,"",IF(AN150=1,AI150,AL150)))</f>
        <v/>
      </c>
      <c r="AZ150" s="104" t="str">
        <f aca="false">IF(ISBLANK($C150),"",IF($AF150&lt;&gt;Constants!$B$7,$AF150,AP150))</f>
        <v/>
      </c>
      <c r="BA150" s="105" t="str">
        <f aca="false">IF(ISBLANK($C150),"",IF($AF150&lt;&gt;Constants!$B$7,$AF150,AG150))</f>
        <v/>
      </c>
      <c r="BB150" s="106" t="str">
        <f aca="false">IF(ISBLANK($C150),"",AU150)</f>
        <v/>
      </c>
      <c r="BC150" s="106" t="str">
        <f aca="false">IF(ISBLANK($C150),"",AT150)</f>
        <v/>
      </c>
      <c r="BD150" s="107" t="str">
        <f aca="false">IF(ISBLANK($C150),"",IFERROR(_xlfn.SWITCH(BC150,Constants!$B$4,COUNTA($C$8:$C$507)+2,Constants!$B$5,COUNTA($C$8:$C$507)+1,Constants!$B$6,COUNTA($C$8:$C$507)),BC150))</f>
        <v/>
      </c>
      <c r="BE150" s="5"/>
      <c r="BF150" s="108" t="n">
        <f aca="false">IF(OR(ISNUMBER(BC150),BC150=Constants!$B$4,BC150=Constants!$B$6,BC150=Constants!$B$5),1,0)</f>
        <v>0</v>
      </c>
      <c r="BG150" s="108" t="n">
        <v>143</v>
      </c>
      <c r="BH150" s="108" t="str">
        <f aca="false">IF(ISBLANK($C150),"",IF(ISNUMBER(BD150),BD150+ROW($B150)/1000,""))</f>
        <v/>
      </c>
      <c r="BI150" s="108" t="str">
        <f aca="false">IF(ISNUMBER(BH150),RANK(BH150,$BH$8:$BH$507,1),"")</f>
        <v/>
      </c>
      <c r="BJ150" s="108" t="str">
        <f aca="false">IF(ISBLANK($C150),"",$B150)</f>
        <v/>
      </c>
      <c r="BK150" s="108" t="str">
        <f aca="false">IF(ISBLANK($C150),"",$C150)</f>
        <v/>
      </c>
      <c r="BL150" s="108" t="str">
        <f aca="false">IF(ISBLANK($C150),"",$D150)</f>
        <v/>
      </c>
      <c r="BM150" s="109" t="str">
        <f aca="false">BA150</f>
        <v/>
      </c>
      <c r="BN150" s="110" t="str">
        <f aca="false">AZ150</f>
        <v/>
      </c>
      <c r="BO150" s="108" t="str">
        <f aca="false">IF(ISBLANK($C150),"",BC150)</f>
        <v/>
      </c>
      <c r="BP150" s="111" t="str">
        <f aca="false">IF($BG150&gt;$BF$7,"",VLOOKUP($BG150,$BI$8:$BO$507,7,FALSE()))</f>
        <v/>
      </c>
      <c r="BQ150" s="112" t="str">
        <f aca="false">IF($BG150&gt;$BF$7,"",VLOOKUP($BG150,$BI$8:$BO$507,2,FALSE()))</f>
        <v/>
      </c>
      <c r="BR150" s="112" t="str">
        <f aca="false">IF($BG150&gt;$BF$7,"",VLOOKUP($BG150,$BI$8:$BO$507,3,FALSE()))</f>
        <v/>
      </c>
      <c r="BS150" s="112" t="str">
        <f aca="false">IF($BG150&gt;$BF$7,"",VLOOKUP($BG150,$BI$8:$BO$507,4,FALSE()))</f>
        <v/>
      </c>
      <c r="BT150" s="112" t="str">
        <f aca="false">IF($BG150&gt;$BF$7,"",VLOOKUP($BG150,$BI$8:$BO$507,5,FALSE()))</f>
        <v/>
      </c>
      <c r="BU150" s="113" t="str">
        <f aca="false">IF($BG150&gt;$BF$7,"",VLOOKUP($BG150,$BI$8:$BO$507,6,FALSE()))</f>
        <v/>
      </c>
      <c r="BV150" s="54"/>
    </row>
    <row r="151" customFormat="false" ht="15.75" hidden="false" customHeight="false" outlineLevel="0" collapsed="false">
      <c r="A151" s="5"/>
      <c r="B151" s="128"/>
      <c r="C151" s="129"/>
      <c r="D151" s="114"/>
      <c r="E151" s="134"/>
      <c r="F151" s="139"/>
      <c r="G151" s="93"/>
      <c r="H151" s="140"/>
      <c r="I151" s="95"/>
      <c r="J151" s="95"/>
      <c r="K151" s="93"/>
      <c r="L151" s="141"/>
      <c r="M151" s="95"/>
      <c r="N151" s="95"/>
      <c r="O151" s="93"/>
      <c r="P151" s="134"/>
      <c r="Q151" s="98"/>
      <c r="R151" s="99" t="str">
        <f aca="false">IF(ISBLANK($C151),"",IF(E151=Constants!$B$2, TRUE(), IF(E151=Constants!$B$3, FALSE(), TRUE())))</f>
        <v/>
      </c>
      <c r="S151" s="99" t="str">
        <f aca="false">IF(ISBLANK($C151),"",IF(F151=Constants!$B$2, TRUE(), IF(F151=Constants!$B$3, FALSE(), TRUE())))</f>
        <v/>
      </c>
      <c r="T151" s="99" t="str">
        <f aca="false">IF(ISBLANK($C151),"",IF(G151=Constants!$B$16,Constants!$B$9,IF(G151=Constants!$B$17,Constants!$B$10,Constants!$B$8)))</f>
        <v/>
      </c>
      <c r="U151" s="99" t="str">
        <f aca="false">IF(ISBLANK($C151),"",IF(H151=Constants!$B$19,Constants!$B$19,Constants!$B$18))</f>
        <v/>
      </c>
      <c r="V151" s="99" t="str">
        <f aca="false">IF(ISBLANK($C151),"",IF(ISNUMBER(I151),IF(I151&gt;=0,I151,""),""))</f>
        <v/>
      </c>
      <c r="W151" s="99" t="str">
        <f aca="false">IF(ISBLANK($C151),"",IF(J151=Constants!$B$2, TRUE(), IF(J151=Constants!$B$3, FALSE(), TRUE())))</f>
        <v/>
      </c>
      <c r="X151" s="99" t="str">
        <f aca="false">IF(ISBLANK($C151),"",IF(K151=Constants!$B$2, TRUE(), IF(K151=Constants!$B$3, FALSE(), TRUE())))</f>
        <v/>
      </c>
      <c r="Y151" s="99" t="str">
        <f aca="false">IF(ISBLANK($C151),"",IF(L151=Constants!$B$19,Constants!$B$19,Constants!$B$18))</f>
        <v/>
      </c>
      <c r="Z151" s="99" t="str">
        <f aca="false">IF(ISBLANK($C151),"",IF(ISNUMBER(M151),IF(M151&gt;=0,M151,""),""))</f>
        <v/>
      </c>
      <c r="AA151" s="99" t="str">
        <f aca="false">IF(ISBLANK($C151),"",IF(N151=Constants!$B$2, TRUE(), IF(N151=Constants!$B$3, FALSE(), TRUE())))</f>
        <v/>
      </c>
      <c r="AB151" s="99" t="str">
        <f aca="false">IF(ISBLANK($C151),"",IF(O151=Constants!$B$2, TRUE(), IF(O151=Constants!$B$3, FALSE(), TRUE())))</f>
        <v/>
      </c>
      <c r="AC151" s="99" t="str">
        <f aca="false">IF(ISBLANK($C151),"",IF(P151=Constants!$B$2, TRUE(), IF(P151=Constants!$B$3, FALSE(), FALSE())))</f>
        <v/>
      </c>
      <c r="AD151" s="99" t="str">
        <f aca="false">IF(ISBLANK($C151),"",AND(V151&lt;&gt;"",IF(U151=Constants!$B$19,S151,R151)))</f>
        <v/>
      </c>
      <c r="AE151" s="99" t="str">
        <f aca="false">IF(ISBLANK($C151),"",AND(Z151&lt;&gt;"",IF(Y151=Constants!$B$19,S151,R151)))</f>
        <v/>
      </c>
      <c r="AF151" s="99" t="str">
        <f aca="false">IF(ISBLANK($C151),"",IF(AC151,Constants!$B$4,IF(COUNTA(E151:O151)=0,Constants!$B$5,IF(AND(NOT(AD151),NOT(AE151)),Constants!$B$6,Constants!$B$7))))</f>
        <v/>
      </c>
      <c r="AG151" s="99" t="str">
        <f aca="false">IF(ISBLANK($C151),"",IF($AF151&lt;&gt;Constants!$B$7,$AF151,Constants!$B$20))</f>
        <v/>
      </c>
      <c r="AH151" s="99" t="str">
        <f aca="false">IF($AF151=Constants!$B$7,IF(AD151,V151,Constants!$B$13),"")</f>
        <v/>
      </c>
      <c r="AI151" s="99" t="str">
        <f aca="false">IF($AF151=Constants!$B$7,IF(AD151,T151*IF(W151, 1, Constants!$B$11)*IF(X151, 1, Constants!$B$12),Constants!$B$13),"")</f>
        <v/>
      </c>
      <c r="AJ151" s="99" t="str">
        <f aca="false">IF($AF151=Constants!$B$7,AH151*AI151,"")</f>
        <v/>
      </c>
      <c r="AK151" s="99" t="str">
        <f aca="false">IF($AF151=Constants!$B$7,IF(AE151,Z151,Constants!$B$13),"")</f>
        <v/>
      </c>
      <c r="AL151" s="99" t="str">
        <f aca="false">IF($AF151=Constants!$B$7,IF(AE151,T151*IF(AA151, 1, Constants!$B$11)*IF(AB151, 1, Constants!$B$12),Constants!$B$13),"")</f>
        <v/>
      </c>
      <c r="AM151" s="99" t="str">
        <f aca="false">IF($AF151=Constants!$B$7,AK151*AL151,"")</f>
        <v/>
      </c>
      <c r="AN151" s="99" t="str">
        <f aca="false">IF($AF151=Constants!$B$7,IF(AM151&gt;AJ151,2,1),"")</f>
        <v/>
      </c>
      <c r="AO151" s="99" t="str">
        <f aca="false">IF($AF151=Constants!$B$7,IF(AN151=1,2,1),"")</f>
        <v/>
      </c>
      <c r="AP151" s="99" t="str">
        <f aca="false">IF(ISBLANK($C151),"",IF($AF151&lt;&gt;Constants!$B$7,$AF151,IF(AN151=1,AJ151,AM151)))</f>
        <v/>
      </c>
      <c r="AQ151" s="99" t="str">
        <f aca="false">IF(ISBLANK($C151),"",IF($AF151=Constants!$B$7,IF(ISNUMBER(AP151),RANK(AP151,$AP$8:$AP$507),Constants!$B$14),$AF151))</f>
        <v/>
      </c>
      <c r="AR151" s="99" t="str">
        <f aca="false">IF(ISBLANK($C151),"",IF($AF151=Constants!$B$7,IF(AO151=1,AJ151,AM151),""))</f>
        <v/>
      </c>
      <c r="AS151" s="99" t="str">
        <f aca="false">IF(ISBLANK($C151),"",IF($AF151=Constants!$B$7,RANK(AR151,$AR$8:$AR$507),$AF151))</f>
        <v/>
      </c>
      <c r="AT151" s="99" t="str">
        <f aca="false">IF(ISBLANK($C151),"",IF($AF151=Constants!$B$7,IF(ISNUMBER(AQ151),COUNTIFS($AQ$8:$AQ$507,"&lt;"&amp;$AQ151)+COUNTIFS($AQ$8:$AQ$507,$AQ151,$AS$8:$AS$507,"&lt;"&amp;$AS151)+1,Constants!$B$14),$AF151))</f>
        <v/>
      </c>
      <c r="AU151" s="99" t="str">
        <f aca="false">IF(ISBLANK($C151),"",IF($AF151=Constants!$B$7,IF(ISNUMBER(AQ151),AQ151-AT151,Constants!$B$14),$AF151))</f>
        <v/>
      </c>
      <c r="AV151" s="100"/>
      <c r="AW151" s="101" t="str">
        <f aca="false">IF(ISBLANK($C151),"",IF($AF151&lt;&gt;Constants!$B$7,"",AN151))</f>
        <v/>
      </c>
      <c r="AX151" s="102" t="str">
        <f aca="false">IF(ISBLANK($C151),"",IF($AF151&lt;&gt;Constants!$B$7,"",IF(AN151=1,AH151,AK151)))</f>
        <v/>
      </c>
      <c r="AY151" s="103" t="str">
        <f aca="false">IF(ISBLANK($C151),"",IF($AF151&lt;&gt;Constants!$B$7,"",IF(AN151=1,AI151,AL151)))</f>
        <v/>
      </c>
      <c r="AZ151" s="104" t="str">
        <f aca="false">IF(ISBLANK($C151),"",IF($AF151&lt;&gt;Constants!$B$7,$AF151,AP151))</f>
        <v/>
      </c>
      <c r="BA151" s="105" t="str">
        <f aca="false">IF(ISBLANK($C151),"",IF($AF151&lt;&gt;Constants!$B$7,$AF151,AG151))</f>
        <v/>
      </c>
      <c r="BB151" s="106" t="str">
        <f aca="false">IF(ISBLANK($C151),"",AU151)</f>
        <v/>
      </c>
      <c r="BC151" s="106" t="str">
        <f aca="false">IF(ISBLANK($C151),"",AT151)</f>
        <v/>
      </c>
      <c r="BD151" s="107" t="str">
        <f aca="false">IF(ISBLANK($C151),"",IFERROR(_xlfn.SWITCH(BC151,Constants!$B$4,COUNTA($C$8:$C$507)+2,Constants!$B$5,COUNTA($C$8:$C$507)+1,Constants!$B$6,COUNTA($C$8:$C$507)),BC151))</f>
        <v/>
      </c>
      <c r="BE151" s="5"/>
      <c r="BF151" s="108" t="n">
        <f aca="false">IF(OR(ISNUMBER(BC151),BC151=Constants!$B$4,BC151=Constants!$B$6,BC151=Constants!$B$5),1,0)</f>
        <v>0</v>
      </c>
      <c r="BG151" s="108" t="n">
        <v>144</v>
      </c>
      <c r="BH151" s="108" t="str">
        <f aca="false">IF(ISBLANK($C151),"",IF(ISNUMBER(BD151),BD151+ROW($B151)/1000,""))</f>
        <v/>
      </c>
      <c r="BI151" s="108" t="str">
        <f aca="false">IF(ISNUMBER(BH151),RANK(BH151,$BH$8:$BH$507,1),"")</f>
        <v/>
      </c>
      <c r="BJ151" s="108" t="str">
        <f aca="false">IF(ISBLANK($C151),"",$B151)</f>
        <v/>
      </c>
      <c r="BK151" s="108" t="str">
        <f aca="false">IF(ISBLANK($C151),"",$C151)</f>
        <v/>
      </c>
      <c r="BL151" s="108" t="str">
        <f aca="false">IF(ISBLANK($C151),"",$D151)</f>
        <v/>
      </c>
      <c r="BM151" s="109" t="str">
        <f aca="false">BA151</f>
        <v/>
      </c>
      <c r="BN151" s="110" t="str">
        <f aca="false">AZ151</f>
        <v/>
      </c>
      <c r="BO151" s="108" t="str">
        <f aca="false">IF(ISBLANK($C151),"",BC151)</f>
        <v/>
      </c>
      <c r="BP151" s="111" t="str">
        <f aca="false">IF($BG151&gt;$BF$7,"",VLOOKUP($BG151,$BI$8:$BO$507,7,FALSE()))</f>
        <v/>
      </c>
      <c r="BQ151" s="112" t="str">
        <f aca="false">IF($BG151&gt;$BF$7,"",VLOOKUP($BG151,$BI$8:$BO$507,2,FALSE()))</f>
        <v/>
      </c>
      <c r="BR151" s="112" t="str">
        <f aca="false">IF($BG151&gt;$BF$7,"",VLOOKUP($BG151,$BI$8:$BO$507,3,FALSE()))</f>
        <v/>
      </c>
      <c r="BS151" s="112" t="str">
        <f aca="false">IF($BG151&gt;$BF$7,"",VLOOKUP($BG151,$BI$8:$BO$507,4,FALSE()))</f>
        <v/>
      </c>
      <c r="BT151" s="112" t="str">
        <f aca="false">IF($BG151&gt;$BF$7,"",VLOOKUP($BG151,$BI$8:$BO$507,5,FALSE()))</f>
        <v/>
      </c>
      <c r="BU151" s="113" t="str">
        <f aca="false">IF($BG151&gt;$BF$7,"",VLOOKUP($BG151,$BI$8:$BO$507,6,FALSE()))</f>
        <v/>
      </c>
      <c r="BV151" s="54"/>
    </row>
    <row r="152" customFormat="false" ht="15.75" hidden="false" customHeight="false" outlineLevel="0" collapsed="false">
      <c r="A152" s="5"/>
      <c r="B152" s="135"/>
      <c r="C152" s="56"/>
      <c r="D152" s="57"/>
      <c r="E152" s="84"/>
      <c r="F152" s="136"/>
      <c r="G152" s="60"/>
      <c r="H152" s="137"/>
      <c r="I152" s="62"/>
      <c r="J152" s="62"/>
      <c r="K152" s="60"/>
      <c r="L152" s="138"/>
      <c r="M152" s="62"/>
      <c r="N152" s="62"/>
      <c r="O152" s="60"/>
      <c r="P152" s="84"/>
      <c r="Q152" s="65"/>
      <c r="R152" s="67" t="str">
        <f aca="false">IF(ISBLANK($C152),"",IF(E152=Constants!$B$2, TRUE(), IF(E152=Constants!$B$3, FALSE(), TRUE())))</f>
        <v/>
      </c>
      <c r="S152" s="67" t="str">
        <f aca="false">IF(ISBLANK($C152),"",IF(F152=Constants!$B$2, TRUE(), IF(F152=Constants!$B$3, FALSE(), TRUE())))</f>
        <v/>
      </c>
      <c r="T152" s="67" t="str">
        <f aca="false">IF(ISBLANK($C152),"",IF(G152=Constants!$B$16,Constants!$B$9,IF(G152=Constants!$B$17,Constants!$B$10,Constants!$B$8)))</f>
        <v/>
      </c>
      <c r="U152" s="67" t="str">
        <f aca="false">IF(ISBLANK($C152),"",IF(H152=Constants!$B$19,Constants!$B$19,Constants!$B$18))</f>
        <v/>
      </c>
      <c r="V152" s="67" t="str">
        <f aca="false">IF(ISBLANK($C152),"",IF(ISNUMBER(I152),IF(I152&gt;=0,I152,""),""))</f>
        <v/>
      </c>
      <c r="W152" s="67" t="str">
        <f aca="false">IF(ISBLANK($C152),"",IF(J152=Constants!$B$2, TRUE(), IF(J152=Constants!$B$3, FALSE(), TRUE())))</f>
        <v/>
      </c>
      <c r="X152" s="67" t="str">
        <f aca="false">IF(ISBLANK($C152),"",IF(K152=Constants!$B$2, TRUE(), IF(K152=Constants!$B$3, FALSE(), TRUE())))</f>
        <v/>
      </c>
      <c r="Y152" s="67" t="str">
        <f aca="false">IF(ISBLANK($C152),"",IF(L152=Constants!$B$19,Constants!$B$19,Constants!$B$18))</f>
        <v/>
      </c>
      <c r="Z152" s="67" t="str">
        <f aca="false">IF(ISBLANK($C152),"",IF(ISNUMBER(M152),IF(M152&gt;=0,M152,""),""))</f>
        <v/>
      </c>
      <c r="AA152" s="67" t="str">
        <f aca="false">IF(ISBLANK($C152),"",IF(N152=Constants!$B$2, TRUE(), IF(N152=Constants!$B$3, FALSE(), TRUE())))</f>
        <v/>
      </c>
      <c r="AB152" s="67" t="str">
        <f aca="false">IF(ISBLANK($C152),"",IF(O152=Constants!$B$2, TRUE(), IF(O152=Constants!$B$3, FALSE(), TRUE())))</f>
        <v/>
      </c>
      <c r="AC152" s="67" t="str">
        <f aca="false">IF(ISBLANK($C152),"",IF(P152=Constants!$B$2, TRUE(), IF(P152=Constants!$B$3, FALSE(), FALSE())))</f>
        <v/>
      </c>
      <c r="AD152" s="67" t="str">
        <f aca="false">IF(ISBLANK($C152),"",AND(V152&lt;&gt;"",IF(U152=Constants!$B$19,S152,R152)))</f>
        <v/>
      </c>
      <c r="AE152" s="67" t="str">
        <f aca="false">IF(ISBLANK($C152),"",AND(Z152&lt;&gt;"",IF(Y152=Constants!$B$19,S152,R152)))</f>
        <v/>
      </c>
      <c r="AF152" s="67" t="str">
        <f aca="false">IF(ISBLANK($C152),"",IF(AC152,Constants!$B$4,IF(COUNTA(E152:O152)=0,Constants!$B$5,IF(AND(NOT(AD152),NOT(AE152)),Constants!$B$6,Constants!$B$7))))</f>
        <v/>
      </c>
      <c r="AG152" s="67" t="str">
        <f aca="false">IF(ISBLANK($C152),"",IF($AF152&lt;&gt;Constants!$B$7,$AF152,Constants!$B$20))</f>
        <v/>
      </c>
      <c r="AH152" s="67" t="str">
        <f aca="false">IF($AF152=Constants!$B$7,IF(AD152,V152,Constants!$B$13),"")</f>
        <v/>
      </c>
      <c r="AI152" s="67" t="str">
        <f aca="false">IF($AF152=Constants!$B$7,IF(AD152,T152*IF(W152, 1, Constants!$B$11)*IF(X152, 1, Constants!$B$12),Constants!$B$13),"")</f>
        <v/>
      </c>
      <c r="AJ152" s="67" t="str">
        <f aca="false">IF($AF152=Constants!$B$7,AH152*AI152,"")</f>
        <v/>
      </c>
      <c r="AK152" s="67" t="str">
        <f aca="false">IF($AF152=Constants!$B$7,IF(AE152,Z152,Constants!$B$13),"")</f>
        <v/>
      </c>
      <c r="AL152" s="67" t="str">
        <f aca="false">IF($AF152=Constants!$B$7,IF(AE152,T152*IF(AA152, 1, Constants!$B$11)*IF(AB152, 1, Constants!$B$12),Constants!$B$13),"")</f>
        <v/>
      </c>
      <c r="AM152" s="67" t="str">
        <f aca="false">IF($AF152=Constants!$B$7,AK152*AL152,"")</f>
        <v/>
      </c>
      <c r="AN152" s="67" t="str">
        <f aca="false">IF($AF152=Constants!$B$7,IF(AM152&gt;AJ152,2,1),"")</f>
        <v/>
      </c>
      <c r="AO152" s="67" t="str">
        <f aca="false">IF($AF152=Constants!$B$7,IF(AN152=1,2,1),"")</f>
        <v/>
      </c>
      <c r="AP152" s="67" t="str">
        <f aca="false">IF(ISBLANK($C152),"",IF($AF152&lt;&gt;Constants!$B$7,$AF152,IF(AN152=1,AJ152,AM152)))</f>
        <v/>
      </c>
      <c r="AQ152" s="67" t="str">
        <f aca="false">IF(ISBLANK($C152),"",IF($AF152=Constants!$B$7,IF(ISNUMBER(AP152),RANK(AP152,$AP$8:$AP$507),Constants!$B$14),$AF152))</f>
        <v/>
      </c>
      <c r="AR152" s="67" t="str">
        <f aca="false">IF(ISBLANK($C152),"",IF($AF152=Constants!$B$7,IF(AO152=1,AJ152,AM152),""))</f>
        <v/>
      </c>
      <c r="AS152" s="67" t="str">
        <f aca="false">IF(ISBLANK($C152),"",IF($AF152=Constants!$B$7,RANK(AR152,$AR$8:$AR$507),$AF152))</f>
        <v/>
      </c>
      <c r="AT152" s="67" t="str">
        <f aca="false">IF(ISBLANK($C152),"",IF($AF152=Constants!$B$7,IF(ISNUMBER(AQ152),COUNTIFS($AQ$8:$AQ$507,"&lt;"&amp;$AQ152)+COUNTIFS($AQ$8:$AQ$507,$AQ152,$AS$8:$AS$507,"&lt;"&amp;$AS152)+1,Constants!$B$14),$AF152))</f>
        <v/>
      </c>
      <c r="AU152" s="67" t="str">
        <f aca="false">IF(ISBLANK($C152),"",IF($AF152=Constants!$B$7,IF(ISNUMBER(AQ152),AQ152-AT152,Constants!$B$14),$AF152))</f>
        <v/>
      </c>
      <c r="AV152" s="69"/>
      <c r="AW152" s="70" t="str">
        <f aca="false">IF(ISBLANK($C152),"",IF($AF152&lt;&gt;Constants!$B$7,"",AN152))</f>
        <v/>
      </c>
      <c r="AX152" s="85" t="str">
        <f aca="false">IF(ISBLANK($C152),"",IF($AF152&lt;&gt;Constants!$B$7,"",IF(AN152=1,AH152,AK152)))</f>
        <v/>
      </c>
      <c r="AY152" s="72" t="str">
        <f aca="false">IF(ISBLANK($C152),"",IF($AF152&lt;&gt;Constants!$B$7,"",IF(AN152=1,AI152,AL152)))</f>
        <v/>
      </c>
      <c r="AZ152" s="73" t="str">
        <f aca="false">IF(ISBLANK($C152),"",IF($AF152&lt;&gt;Constants!$B$7,$AF152,AP152))</f>
        <v/>
      </c>
      <c r="BA152" s="74" t="str">
        <f aca="false">IF(ISBLANK($C152),"",IF($AF152&lt;&gt;Constants!$B$7,$AF152,AG152))</f>
        <v/>
      </c>
      <c r="BB152" s="75" t="str">
        <f aca="false">IF(ISBLANK($C152),"",AU152)</f>
        <v/>
      </c>
      <c r="BC152" s="75" t="str">
        <f aca="false">IF(ISBLANK($C152),"",AT152)</f>
        <v/>
      </c>
      <c r="BD152" s="76" t="str">
        <f aca="false">IF(ISBLANK($C152),"",IFERROR(_xlfn.SWITCH(BC152,Constants!$B$4,COUNTA($C$8:$C$507)+2,Constants!$B$5,COUNTA($C$8:$C$507)+1,Constants!$B$6,COUNTA($C$8:$C$507)),BC152))</f>
        <v/>
      </c>
      <c r="BE152" s="5"/>
      <c r="BF152" s="77" t="n">
        <f aca="false">IF(OR(ISNUMBER(BC152),BC152=Constants!$B$4,BC152=Constants!$B$6,BC152=Constants!$B$5),1,0)</f>
        <v>0</v>
      </c>
      <c r="BG152" s="77" t="n">
        <v>145</v>
      </c>
      <c r="BH152" s="77" t="str">
        <f aca="false">IF(ISBLANK($C152),"",IF(ISNUMBER(BD152),BD152+ROW($B152)/1000,""))</f>
        <v/>
      </c>
      <c r="BI152" s="77" t="str">
        <f aca="false">IF(ISNUMBER(BH152),RANK(BH152,$BH$8:$BH$507,1),"")</f>
        <v/>
      </c>
      <c r="BJ152" s="77" t="str">
        <f aca="false">IF(ISBLANK($C152),"",$B152)</f>
        <v/>
      </c>
      <c r="BK152" s="77" t="str">
        <f aca="false">IF(ISBLANK($C152),"",$C152)</f>
        <v/>
      </c>
      <c r="BL152" s="77" t="str">
        <f aca="false">IF(ISBLANK($C152),"",$D152)</f>
        <v/>
      </c>
      <c r="BM152" s="78" t="str">
        <f aca="false">BA152</f>
        <v/>
      </c>
      <c r="BN152" s="79" t="str">
        <f aca="false">AZ152</f>
        <v/>
      </c>
      <c r="BO152" s="77" t="str">
        <f aca="false">IF(ISBLANK($C152),"",BC152)</f>
        <v/>
      </c>
      <c r="BP152" s="80" t="str">
        <f aca="false">IF($BG152&gt;$BF$7,"",VLOOKUP($BG152,$BI$8:$BO$507,7,FALSE()))</f>
        <v/>
      </c>
      <c r="BQ152" s="81" t="str">
        <f aca="false">IF($BG152&gt;$BF$7,"",VLOOKUP($BG152,$BI$8:$BO$507,2,FALSE()))</f>
        <v/>
      </c>
      <c r="BR152" s="81" t="str">
        <f aca="false">IF($BG152&gt;$BF$7,"",VLOOKUP($BG152,$BI$8:$BO$507,3,FALSE()))</f>
        <v/>
      </c>
      <c r="BS152" s="81" t="str">
        <f aca="false">IF($BG152&gt;$BF$7,"",VLOOKUP($BG152,$BI$8:$BO$507,4,FALSE()))</f>
        <v/>
      </c>
      <c r="BT152" s="81" t="str">
        <f aca="false">IF($BG152&gt;$BF$7,"",VLOOKUP($BG152,$BI$8:$BO$507,5,FALSE()))</f>
        <v/>
      </c>
      <c r="BU152" s="82" t="str">
        <f aca="false">IF($BG152&gt;$BF$7,"",VLOOKUP($BG152,$BI$8:$BO$507,6,FALSE()))</f>
        <v/>
      </c>
      <c r="BV152" s="54"/>
    </row>
    <row r="153" customFormat="false" ht="15.75" hidden="false" customHeight="false" outlineLevel="0" collapsed="false">
      <c r="A153" s="5"/>
      <c r="B153" s="135"/>
      <c r="C153" s="56"/>
      <c r="D153" s="57"/>
      <c r="E153" s="84"/>
      <c r="F153" s="136"/>
      <c r="G153" s="60"/>
      <c r="H153" s="137"/>
      <c r="I153" s="62"/>
      <c r="J153" s="62"/>
      <c r="K153" s="60"/>
      <c r="L153" s="138"/>
      <c r="M153" s="62"/>
      <c r="N153" s="62"/>
      <c r="O153" s="60"/>
      <c r="P153" s="84"/>
      <c r="Q153" s="65"/>
      <c r="R153" s="67" t="str">
        <f aca="false">IF(ISBLANK($C153),"",IF(E153=Constants!$B$2, TRUE(), IF(E153=Constants!$B$3, FALSE(), TRUE())))</f>
        <v/>
      </c>
      <c r="S153" s="67" t="str">
        <f aca="false">IF(ISBLANK($C153),"",IF(F153=Constants!$B$2, TRUE(), IF(F153=Constants!$B$3, FALSE(), TRUE())))</f>
        <v/>
      </c>
      <c r="T153" s="67" t="str">
        <f aca="false">IF(ISBLANK($C153),"",IF(G153=Constants!$B$16,Constants!$B$9,IF(G153=Constants!$B$17,Constants!$B$10,Constants!$B$8)))</f>
        <v/>
      </c>
      <c r="U153" s="67" t="str">
        <f aca="false">IF(ISBLANK($C153),"",IF(H153=Constants!$B$19,Constants!$B$19,Constants!$B$18))</f>
        <v/>
      </c>
      <c r="V153" s="67" t="str">
        <f aca="false">IF(ISBLANK($C153),"",IF(ISNUMBER(I153),IF(I153&gt;=0,I153,""),""))</f>
        <v/>
      </c>
      <c r="W153" s="67" t="str">
        <f aca="false">IF(ISBLANK($C153),"",IF(J153=Constants!$B$2, TRUE(), IF(J153=Constants!$B$3, FALSE(), TRUE())))</f>
        <v/>
      </c>
      <c r="X153" s="67" t="str">
        <f aca="false">IF(ISBLANK($C153),"",IF(K153=Constants!$B$2, TRUE(), IF(K153=Constants!$B$3, FALSE(), TRUE())))</f>
        <v/>
      </c>
      <c r="Y153" s="67" t="str">
        <f aca="false">IF(ISBLANK($C153),"",IF(L153=Constants!$B$19,Constants!$B$19,Constants!$B$18))</f>
        <v/>
      </c>
      <c r="Z153" s="67" t="str">
        <f aca="false">IF(ISBLANK($C153),"",IF(ISNUMBER(M153),IF(M153&gt;=0,M153,""),""))</f>
        <v/>
      </c>
      <c r="AA153" s="67" t="str">
        <f aca="false">IF(ISBLANK($C153),"",IF(N153=Constants!$B$2, TRUE(), IF(N153=Constants!$B$3, FALSE(), TRUE())))</f>
        <v/>
      </c>
      <c r="AB153" s="67" t="str">
        <f aca="false">IF(ISBLANK($C153),"",IF(O153=Constants!$B$2, TRUE(), IF(O153=Constants!$B$3, FALSE(), TRUE())))</f>
        <v/>
      </c>
      <c r="AC153" s="67" t="str">
        <f aca="false">IF(ISBLANK($C153),"",IF(P153=Constants!$B$2, TRUE(), IF(P153=Constants!$B$3, FALSE(), FALSE())))</f>
        <v/>
      </c>
      <c r="AD153" s="67" t="str">
        <f aca="false">IF(ISBLANK($C153),"",AND(V153&lt;&gt;"",IF(U153=Constants!$B$19,S153,R153)))</f>
        <v/>
      </c>
      <c r="AE153" s="67" t="str">
        <f aca="false">IF(ISBLANK($C153),"",AND(Z153&lt;&gt;"",IF(Y153=Constants!$B$19,S153,R153)))</f>
        <v/>
      </c>
      <c r="AF153" s="67" t="str">
        <f aca="false">IF(ISBLANK($C153),"",IF(AC153,Constants!$B$4,IF(COUNTA(E153:O153)=0,Constants!$B$5,IF(AND(NOT(AD153),NOT(AE153)),Constants!$B$6,Constants!$B$7))))</f>
        <v/>
      </c>
      <c r="AG153" s="67" t="str">
        <f aca="false">IF(ISBLANK($C153),"",IF($AF153&lt;&gt;Constants!$B$7,$AF153,Constants!$B$20))</f>
        <v/>
      </c>
      <c r="AH153" s="67" t="str">
        <f aca="false">IF($AF153=Constants!$B$7,IF(AD153,V153,Constants!$B$13),"")</f>
        <v/>
      </c>
      <c r="AI153" s="67" t="str">
        <f aca="false">IF($AF153=Constants!$B$7,IF(AD153,T153*IF(W153, 1, Constants!$B$11)*IF(X153, 1, Constants!$B$12),Constants!$B$13),"")</f>
        <v/>
      </c>
      <c r="AJ153" s="67" t="str">
        <f aca="false">IF($AF153=Constants!$B$7,AH153*AI153,"")</f>
        <v/>
      </c>
      <c r="AK153" s="67" t="str">
        <f aca="false">IF($AF153=Constants!$B$7,IF(AE153,Z153,Constants!$B$13),"")</f>
        <v/>
      </c>
      <c r="AL153" s="67" t="str">
        <f aca="false">IF($AF153=Constants!$B$7,IF(AE153,T153*IF(AA153, 1, Constants!$B$11)*IF(AB153, 1, Constants!$B$12),Constants!$B$13),"")</f>
        <v/>
      </c>
      <c r="AM153" s="67" t="str">
        <f aca="false">IF($AF153=Constants!$B$7,AK153*AL153,"")</f>
        <v/>
      </c>
      <c r="AN153" s="67" t="str">
        <f aca="false">IF($AF153=Constants!$B$7,IF(AM153&gt;AJ153,2,1),"")</f>
        <v/>
      </c>
      <c r="AO153" s="67" t="str">
        <f aca="false">IF($AF153=Constants!$B$7,IF(AN153=1,2,1),"")</f>
        <v/>
      </c>
      <c r="AP153" s="67" t="str">
        <f aca="false">IF(ISBLANK($C153),"",IF($AF153&lt;&gt;Constants!$B$7,$AF153,IF(AN153=1,AJ153,AM153)))</f>
        <v/>
      </c>
      <c r="AQ153" s="67" t="str">
        <f aca="false">IF(ISBLANK($C153),"",IF($AF153=Constants!$B$7,IF(ISNUMBER(AP153),RANK(AP153,$AP$8:$AP$507),Constants!$B$14),$AF153))</f>
        <v/>
      </c>
      <c r="AR153" s="67" t="str">
        <f aca="false">IF(ISBLANK($C153),"",IF($AF153=Constants!$B$7,IF(AO153=1,AJ153,AM153),""))</f>
        <v/>
      </c>
      <c r="AS153" s="67" t="str">
        <f aca="false">IF(ISBLANK($C153),"",IF($AF153=Constants!$B$7,RANK(AR153,$AR$8:$AR$507),$AF153))</f>
        <v/>
      </c>
      <c r="AT153" s="67" t="str">
        <f aca="false">IF(ISBLANK($C153),"",IF($AF153=Constants!$B$7,IF(ISNUMBER(AQ153),COUNTIFS($AQ$8:$AQ$507,"&lt;"&amp;$AQ153)+COUNTIFS($AQ$8:$AQ$507,$AQ153,$AS$8:$AS$507,"&lt;"&amp;$AS153)+1,Constants!$B$14),$AF153))</f>
        <v/>
      </c>
      <c r="AU153" s="67" t="str">
        <f aca="false">IF(ISBLANK($C153),"",IF($AF153=Constants!$B$7,IF(ISNUMBER(AQ153),AQ153-AT153,Constants!$B$14),$AF153))</f>
        <v/>
      </c>
      <c r="AV153" s="69"/>
      <c r="AW153" s="70" t="str">
        <f aca="false">IF(ISBLANK($C153),"",IF($AF153&lt;&gt;Constants!$B$7,"",AN153))</f>
        <v/>
      </c>
      <c r="AX153" s="85" t="str">
        <f aca="false">IF(ISBLANK($C153),"",IF($AF153&lt;&gt;Constants!$B$7,"",IF(AN153=1,AH153,AK153)))</f>
        <v/>
      </c>
      <c r="AY153" s="72" t="str">
        <f aca="false">IF(ISBLANK($C153),"",IF($AF153&lt;&gt;Constants!$B$7,"",IF(AN153=1,AI153,AL153)))</f>
        <v/>
      </c>
      <c r="AZ153" s="73" t="str">
        <f aca="false">IF(ISBLANK($C153),"",IF($AF153&lt;&gt;Constants!$B$7,$AF153,AP153))</f>
        <v/>
      </c>
      <c r="BA153" s="74" t="str">
        <f aca="false">IF(ISBLANK($C153),"",IF($AF153&lt;&gt;Constants!$B$7,$AF153,AG153))</f>
        <v/>
      </c>
      <c r="BB153" s="75" t="str">
        <f aca="false">IF(ISBLANK($C153),"",AU153)</f>
        <v/>
      </c>
      <c r="BC153" s="75" t="str">
        <f aca="false">IF(ISBLANK($C153),"",AT153)</f>
        <v/>
      </c>
      <c r="BD153" s="76" t="str">
        <f aca="false">IF(ISBLANK($C153),"",IFERROR(_xlfn.SWITCH(BC153,Constants!$B$4,COUNTA($C$8:$C$507)+2,Constants!$B$5,COUNTA($C$8:$C$507)+1,Constants!$B$6,COUNTA($C$8:$C$507)),BC153))</f>
        <v/>
      </c>
      <c r="BE153" s="5"/>
      <c r="BF153" s="77" t="n">
        <f aca="false">IF(OR(ISNUMBER(BC153),BC153=Constants!$B$4,BC153=Constants!$B$6,BC153=Constants!$B$5),1,0)</f>
        <v>0</v>
      </c>
      <c r="BG153" s="77" t="n">
        <v>146</v>
      </c>
      <c r="BH153" s="77" t="str">
        <f aca="false">IF(ISBLANK($C153),"",IF(ISNUMBER(BD153),BD153+ROW($B153)/1000,""))</f>
        <v/>
      </c>
      <c r="BI153" s="77" t="str">
        <f aca="false">IF(ISNUMBER(BH153),RANK(BH153,$BH$8:$BH$507,1),"")</f>
        <v/>
      </c>
      <c r="BJ153" s="77" t="str">
        <f aca="false">IF(ISBLANK($C153),"",$B153)</f>
        <v/>
      </c>
      <c r="BK153" s="77" t="str">
        <f aca="false">IF(ISBLANK($C153),"",$C153)</f>
        <v/>
      </c>
      <c r="BL153" s="77" t="str">
        <f aca="false">IF(ISBLANK($C153),"",$D153)</f>
        <v/>
      </c>
      <c r="BM153" s="78" t="str">
        <f aca="false">BA153</f>
        <v/>
      </c>
      <c r="BN153" s="79" t="str">
        <f aca="false">AZ153</f>
        <v/>
      </c>
      <c r="BO153" s="77" t="str">
        <f aca="false">IF(ISBLANK($C153),"",BC153)</f>
        <v/>
      </c>
      <c r="BP153" s="80" t="str">
        <f aca="false">IF($BG153&gt;$BF$7,"",VLOOKUP($BG153,$BI$8:$BO$507,7,FALSE()))</f>
        <v/>
      </c>
      <c r="BQ153" s="81" t="str">
        <f aca="false">IF($BG153&gt;$BF$7,"",VLOOKUP($BG153,$BI$8:$BO$507,2,FALSE()))</f>
        <v/>
      </c>
      <c r="BR153" s="81" t="str">
        <f aca="false">IF($BG153&gt;$BF$7,"",VLOOKUP($BG153,$BI$8:$BO$507,3,FALSE()))</f>
        <v/>
      </c>
      <c r="BS153" s="81" t="str">
        <f aca="false">IF($BG153&gt;$BF$7,"",VLOOKUP($BG153,$BI$8:$BO$507,4,FALSE()))</f>
        <v/>
      </c>
      <c r="BT153" s="81" t="str">
        <f aca="false">IF($BG153&gt;$BF$7,"",VLOOKUP($BG153,$BI$8:$BO$507,5,FALSE()))</f>
        <v/>
      </c>
      <c r="BU153" s="82" t="str">
        <f aca="false">IF($BG153&gt;$BF$7,"",VLOOKUP($BG153,$BI$8:$BO$507,6,FALSE()))</f>
        <v/>
      </c>
      <c r="BV153" s="54"/>
    </row>
    <row r="154" customFormat="false" ht="15.75" hidden="false" customHeight="false" outlineLevel="0" collapsed="false">
      <c r="A154" s="5"/>
      <c r="B154" s="135"/>
      <c r="C154" s="56"/>
      <c r="D154" s="57"/>
      <c r="E154" s="84"/>
      <c r="F154" s="136"/>
      <c r="G154" s="60"/>
      <c r="H154" s="137"/>
      <c r="I154" s="62"/>
      <c r="J154" s="62"/>
      <c r="K154" s="60"/>
      <c r="L154" s="138"/>
      <c r="M154" s="62"/>
      <c r="N154" s="62"/>
      <c r="O154" s="60"/>
      <c r="P154" s="84"/>
      <c r="Q154" s="65"/>
      <c r="R154" s="67" t="str">
        <f aca="false">IF(ISBLANK($C154),"",IF(E154=Constants!$B$2, TRUE(), IF(E154=Constants!$B$3, FALSE(), TRUE())))</f>
        <v/>
      </c>
      <c r="S154" s="67" t="str">
        <f aca="false">IF(ISBLANK($C154),"",IF(F154=Constants!$B$2, TRUE(), IF(F154=Constants!$B$3, FALSE(), TRUE())))</f>
        <v/>
      </c>
      <c r="T154" s="67" t="str">
        <f aca="false">IF(ISBLANK($C154),"",IF(G154=Constants!$B$16,Constants!$B$9,IF(G154=Constants!$B$17,Constants!$B$10,Constants!$B$8)))</f>
        <v/>
      </c>
      <c r="U154" s="67" t="str">
        <f aca="false">IF(ISBLANK($C154),"",IF(H154=Constants!$B$19,Constants!$B$19,Constants!$B$18))</f>
        <v/>
      </c>
      <c r="V154" s="67" t="str">
        <f aca="false">IF(ISBLANK($C154),"",IF(ISNUMBER(I154),IF(I154&gt;=0,I154,""),""))</f>
        <v/>
      </c>
      <c r="W154" s="67" t="str">
        <f aca="false">IF(ISBLANK($C154),"",IF(J154=Constants!$B$2, TRUE(), IF(J154=Constants!$B$3, FALSE(), TRUE())))</f>
        <v/>
      </c>
      <c r="X154" s="67" t="str">
        <f aca="false">IF(ISBLANK($C154),"",IF(K154=Constants!$B$2, TRUE(), IF(K154=Constants!$B$3, FALSE(), TRUE())))</f>
        <v/>
      </c>
      <c r="Y154" s="67" t="str">
        <f aca="false">IF(ISBLANK($C154),"",IF(L154=Constants!$B$19,Constants!$B$19,Constants!$B$18))</f>
        <v/>
      </c>
      <c r="Z154" s="67" t="str">
        <f aca="false">IF(ISBLANK($C154),"",IF(ISNUMBER(M154),IF(M154&gt;=0,M154,""),""))</f>
        <v/>
      </c>
      <c r="AA154" s="67" t="str">
        <f aca="false">IF(ISBLANK($C154),"",IF(N154=Constants!$B$2, TRUE(), IF(N154=Constants!$B$3, FALSE(), TRUE())))</f>
        <v/>
      </c>
      <c r="AB154" s="67" t="str">
        <f aca="false">IF(ISBLANK($C154),"",IF(O154=Constants!$B$2, TRUE(), IF(O154=Constants!$B$3, FALSE(), TRUE())))</f>
        <v/>
      </c>
      <c r="AC154" s="67" t="str">
        <f aca="false">IF(ISBLANK($C154),"",IF(P154=Constants!$B$2, TRUE(), IF(P154=Constants!$B$3, FALSE(), FALSE())))</f>
        <v/>
      </c>
      <c r="AD154" s="67" t="str">
        <f aca="false">IF(ISBLANK($C154),"",AND(V154&lt;&gt;"",IF(U154=Constants!$B$19,S154,R154)))</f>
        <v/>
      </c>
      <c r="AE154" s="67" t="str">
        <f aca="false">IF(ISBLANK($C154),"",AND(Z154&lt;&gt;"",IF(Y154=Constants!$B$19,S154,R154)))</f>
        <v/>
      </c>
      <c r="AF154" s="67" t="str">
        <f aca="false">IF(ISBLANK($C154),"",IF(AC154,Constants!$B$4,IF(COUNTA(E154:O154)=0,Constants!$B$5,IF(AND(NOT(AD154),NOT(AE154)),Constants!$B$6,Constants!$B$7))))</f>
        <v/>
      </c>
      <c r="AG154" s="67" t="str">
        <f aca="false">IF(ISBLANK($C154),"",IF($AF154&lt;&gt;Constants!$B$7,$AF154,Constants!$B$20))</f>
        <v/>
      </c>
      <c r="AH154" s="67" t="str">
        <f aca="false">IF($AF154=Constants!$B$7,IF(AD154,V154,Constants!$B$13),"")</f>
        <v/>
      </c>
      <c r="AI154" s="67" t="str">
        <f aca="false">IF($AF154=Constants!$B$7,IF(AD154,T154*IF(W154, 1, Constants!$B$11)*IF(X154, 1, Constants!$B$12),Constants!$B$13),"")</f>
        <v/>
      </c>
      <c r="AJ154" s="67" t="str">
        <f aca="false">IF($AF154=Constants!$B$7,AH154*AI154,"")</f>
        <v/>
      </c>
      <c r="AK154" s="67" t="str">
        <f aca="false">IF($AF154=Constants!$B$7,IF(AE154,Z154,Constants!$B$13),"")</f>
        <v/>
      </c>
      <c r="AL154" s="67" t="str">
        <f aca="false">IF($AF154=Constants!$B$7,IF(AE154,T154*IF(AA154, 1, Constants!$B$11)*IF(AB154, 1, Constants!$B$12),Constants!$B$13),"")</f>
        <v/>
      </c>
      <c r="AM154" s="67" t="str">
        <f aca="false">IF($AF154=Constants!$B$7,AK154*AL154,"")</f>
        <v/>
      </c>
      <c r="AN154" s="67" t="str">
        <f aca="false">IF($AF154=Constants!$B$7,IF(AM154&gt;AJ154,2,1),"")</f>
        <v/>
      </c>
      <c r="AO154" s="67" t="str">
        <f aca="false">IF($AF154=Constants!$B$7,IF(AN154=1,2,1),"")</f>
        <v/>
      </c>
      <c r="AP154" s="67" t="str">
        <f aca="false">IF(ISBLANK($C154),"",IF($AF154&lt;&gt;Constants!$B$7,$AF154,IF(AN154=1,AJ154,AM154)))</f>
        <v/>
      </c>
      <c r="AQ154" s="67" t="str">
        <f aca="false">IF(ISBLANK($C154),"",IF($AF154=Constants!$B$7,IF(ISNUMBER(AP154),RANK(AP154,$AP$8:$AP$507),Constants!$B$14),$AF154))</f>
        <v/>
      </c>
      <c r="AR154" s="67" t="str">
        <f aca="false">IF(ISBLANK($C154),"",IF($AF154=Constants!$B$7,IF(AO154=1,AJ154,AM154),""))</f>
        <v/>
      </c>
      <c r="AS154" s="67" t="str">
        <f aca="false">IF(ISBLANK($C154),"",IF($AF154=Constants!$B$7,RANK(AR154,$AR$8:$AR$507),$AF154))</f>
        <v/>
      </c>
      <c r="AT154" s="67" t="str">
        <f aca="false">IF(ISBLANK($C154),"",IF($AF154=Constants!$B$7,IF(ISNUMBER(AQ154),COUNTIFS($AQ$8:$AQ$507,"&lt;"&amp;$AQ154)+COUNTIFS($AQ$8:$AQ$507,$AQ154,$AS$8:$AS$507,"&lt;"&amp;$AS154)+1,Constants!$B$14),$AF154))</f>
        <v/>
      </c>
      <c r="AU154" s="67" t="str">
        <f aca="false">IF(ISBLANK($C154),"",IF($AF154=Constants!$B$7,IF(ISNUMBER(AQ154),AQ154-AT154,Constants!$B$14),$AF154))</f>
        <v/>
      </c>
      <c r="AV154" s="69"/>
      <c r="AW154" s="70" t="str">
        <f aca="false">IF(ISBLANK($C154),"",IF($AF154&lt;&gt;Constants!$B$7,"",AN154))</f>
        <v/>
      </c>
      <c r="AX154" s="85" t="str">
        <f aca="false">IF(ISBLANK($C154),"",IF($AF154&lt;&gt;Constants!$B$7,"",IF(AN154=1,AH154,AK154)))</f>
        <v/>
      </c>
      <c r="AY154" s="72" t="str">
        <f aca="false">IF(ISBLANK($C154),"",IF($AF154&lt;&gt;Constants!$B$7,"",IF(AN154=1,AI154,AL154)))</f>
        <v/>
      </c>
      <c r="AZ154" s="73" t="str">
        <f aca="false">IF(ISBLANK($C154),"",IF($AF154&lt;&gt;Constants!$B$7,$AF154,AP154))</f>
        <v/>
      </c>
      <c r="BA154" s="74" t="str">
        <f aca="false">IF(ISBLANK($C154),"",IF($AF154&lt;&gt;Constants!$B$7,$AF154,AG154))</f>
        <v/>
      </c>
      <c r="BB154" s="75" t="str">
        <f aca="false">IF(ISBLANK($C154),"",AU154)</f>
        <v/>
      </c>
      <c r="BC154" s="75" t="str">
        <f aca="false">IF(ISBLANK($C154),"",AT154)</f>
        <v/>
      </c>
      <c r="BD154" s="76" t="str">
        <f aca="false">IF(ISBLANK($C154),"",IFERROR(_xlfn.SWITCH(BC154,Constants!$B$4,COUNTA($C$8:$C$507)+2,Constants!$B$5,COUNTA($C$8:$C$507)+1,Constants!$B$6,COUNTA($C$8:$C$507)),BC154))</f>
        <v/>
      </c>
      <c r="BE154" s="5"/>
      <c r="BF154" s="77" t="n">
        <f aca="false">IF(OR(ISNUMBER(BC154),BC154=Constants!$B$4,BC154=Constants!$B$6,BC154=Constants!$B$5),1,0)</f>
        <v>0</v>
      </c>
      <c r="BG154" s="77" t="n">
        <v>147</v>
      </c>
      <c r="BH154" s="77" t="str">
        <f aca="false">IF(ISBLANK($C154),"",IF(ISNUMBER(BD154),BD154+ROW($B154)/1000,""))</f>
        <v/>
      </c>
      <c r="BI154" s="77" t="str">
        <f aca="false">IF(ISNUMBER(BH154),RANK(BH154,$BH$8:$BH$507,1),"")</f>
        <v/>
      </c>
      <c r="BJ154" s="77" t="str">
        <f aca="false">IF(ISBLANK($C154),"",$B154)</f>
        <v/>
      </c>
      <c r="BK154" s="77" t="str">
        <f aca="false">IF(ISBLANK($C154),"",$C154)</f>
        <v/>
      </c>
      <c r="BL154" s="77" t="str">
        <f aca="false">IF(ISBLANK($C154),"",$D154)</f>
        <v/>
      </c>
      <c r="BM154" s="78" t="str">
        <f aca="false">BA154</f>
        <v/>
      </c>
      <c r="BN154" s="79" t="str">
        <f aca="false">AZ154</f>
        <v/>
      </c>
      <c r="BO154" s="77" t="str">
        <f aca="false">IF(ISBLANK($C154),"",BC154)</f>
        <v/>
      </c>
      <c r="BP154" s="80" t="str">
        <f aca="false">IF($BG154&gt;$BF$7,"",VLOOKUP($BG154,$BI$8:$BO$507,7,FALSE()))</f>
        <v/>
      </c>
      <c r="BQ154" s="81" t="str">
        <f aca="false">IF($BG154&gt;$BF$7,"",VLOOKUP($BG154,$BI$8:$BO$507,2,FALSE()))</f>
        <v/>
      </c>
      <c r="BR154" s="81" t="str">
        <f aca="false">IF($BG154&gt;$BF$7,"",VLOOKUP($BG154,$BI$8:$BO$507,3,FALSE()))</f>
        <v/>
      </c>
      <c r="BS154" s="81" t="str">
        <f aca="false">IF($BG154&gt;$BF$7,"",VLOOKUP($BG154,$BI$8:$BO$507,4,FALSE()))</f>
        <v/>
      </c>
      <c r="BT154" s="81" t="str">
        <f aca="false">IF($BG154&gt;$BF$7,"",VLOOKUP($BG154,$BI$8:$BO$507,5,FALSE()))</f>
        <v/>
      </c>
      <c r="BU154" s="82" t="str">
        <f aca="false">IF($BG154&gt;$BF$7,"",VLOOKUP($BG154,$BI$8:$BO$507,6,FALSE()))</f>
        <v/>
      </c>
      <c r="BV154" s="54"/>
    </row>
    <row r="155" customFormat="false" ht="15.75" hidden="false" customHeight="false" outlineLevel="0" collapsed="false">
      <c r="A155" s="5"/>
      <c r="B155" s="128"/>
      <c r="C155" s="129"/>
      <c r="D155" s="114"/>
      <c r="E155" s="134"/>
      <c r="F155" s="139"/>
      <c r="G155" s="93"/>
      <c r="H155" s="140"/>
      <c r="I155" s="95"/>
      <c r="J155" s="95"/>
      <c r="K155" s="93"/>
      <c r="L155" s="141"/>
      <c r="M155" s="95"/>
      <c r="N155" s="95"/>
      <c r="O155" s="93"/>
      <c r="P155" s="134"/>
      <c r="Q155" s="98"/>
      <c r="R155" s="99" t="str">
        <f aca="false">IF(ISBLANK($C155),"",IF(E155=Constants!$B$2, TRUE(), IF(E155=Constants!$B$3, FALSE(), TRUE())))</f>
        <v/>
      </c>
      <c r="S155" s="99" t="str">
        <f aca="false">IF(ISBLANK($C155),"",IF(F155=Constants!$B$2, TRUE(), IF(F155=Constants!$B$3, FALSE(), TRUE())))</f>
        <v/>
      </c>
      <c r="T155" s="99" t="str">
        <f aca="false">IF(ISBLANK($C155),"",IF(G155=Constants!$B$16,Constants!$B$9,IF(G155=Constants!$B$17,Constants!$B$10,Constants!$B$8)))</f>
        <v/>
      </c>
      <c r="U155" s="99" t="str">
        <f aca="false">IF(ISBLANK($C155),"",IF(H155=Constants!$B$19,Constants!$B$19,Constants!$B$18))</f>
        <v/>
      </c>
      <c r="V155" s="99" t="str">
        <f aca="false">IF(ISBLANK($C155),"",IF(ISNUMBER(I155),IF(I155&gt;=0,I155,""),""))</f>
        <v/>
      </c>
      <c r="W155" s="99" t="str">
        <f aca="false">IF(ISBLANK($C155),"",IF(J155=Constants!$B$2, TRUE(), IF(J155=Constants!$B$3, FALSE(), TRUE())))</f>
        <v/>
      </c>
      <c r="X155" s="99" t="str">
        <f aca="false">IF(ISBLANK($C155),"",IF(K155=Constants!$B$2, TRUE(), IF(K155=Constants!$B$3, FALSE(), TRUE())))</f>
        <v/>
      </c>
      <c r="Y155" s="99" t="str">
        <f aca="false">IF(ISBLANK($C155),"",IF(L155=Constants!$B$19,Constants!$B$19,Constants!$B$18))</f>
        <v/>
      </c>
      <c r="Z155" s="99" t="str">
        <f aca="false">IF(ISBLANK($C155),"",IF(ISNUMBER(M155),IF(M155&gt;=0,M155,""),""))</f>
        <v/>
      </c>
      <c r="AA155" s="99" t="str">
        <f aca="false">IF(ISBLANK($C155),"",IF(N155=Constants!$B$2, TRUE(), IF(N155=Constants!$B$3, FALSE(), TRUE())))</f>
        <v/>
      </c>
      <c r="AB155" s="99" t="str">
        <f aca="false">IF(ISBLANK($C155),"",IF(O155=Constants!$B$2, TRUE(), IF(O155=Constants!$B$3, FALSE(), TRUE())))</f>
        <v/>
      </c>
      <c r="AC155" s="99" t="str">
        <f aca="false">IF(ISBLANK($C155),"",IF(P155=Constants!$B$2, TRUE(), IF(P155=Constants!$B$3, FALSE(), FALSE())))</f>
        <v/>
      </c>
      <c r="AD155" s="99" t="str">
        <f aca="false">IF(ISBLANK($C155),"",AND(V155&lt;&gt;"",IF(U155=Constants!$B$19,S155,R155)))</f>
        <v/>
      </c>
      <c r="AE155" s="99" t="str">
        <f aca="false">IF(ISBLANK($C155),"",AND(Z155&lt;&gt;"",IF(Y155=Constants!$B$19,S155,R155)))</f>
        <v/>
      </c>
      <c r="AF155" s="99" t="str">
        <f aca="false">IF(ISBLANK($C155),"",IF(AC155,Constants!$B$4,IF(COUNTA(E155:O155)=0,Constants!$B$5,IF(AND(NOT(AD155),NOT(AE155)),Constants!$B$6,Constants!$B$7))))</f>
        <v/>
      </c>
      <c r="AG155" s="99" t="str">
        <f aca="false">IF(ISBLANK($C155),"",IF($AF155&lt;&gt;Constants!$B$7,$AF155,Constants!$B$20))</f>
        <v/>
      </c>
      <c r="AH155" s="99" t="str">
        <f aca="false">IF($AF155=Constants!$B$7,IF(AD155,V155,Constants!$B$13),"")</f>
        <v/>
      </c>
      <c r="AI155" s="99" t="str">
        <f aca="false">IF($AF155=Constants!$B$7,IF(AD155,T155*IF(W155, 1, Constants!$B$11)*IF(X155, 1, Constants!$B$12),Constants!$B$13),"")</f>
        <v/>
      </c>
      <c r="AJ155" s="99" t="str">
        <f aca="false">IF($AF155=Constants!$B$7,AH155*AI155,"")</f>
        <v/>
      </c>
      <c r="AK155" s="99" t="str">
        <f aca="false">IF($AF155=Constants!$B$7,IF(AE155,Z155,Constants!$B$13),"")</f>
        <v/>
      </c>
      <c r="AL155" s="99" t="str">
        <f aca="false">IF($AF155=Constants!$B$7,IF(AE155,T155*IF(AA155, 1, Constants!$B$11)*IF(AB155, 1, Constants!$B$12),Constants!$B$13),"")</f>
        <v/>
      </c>
      <c r="AM155" s="99" t="str">
        <f aca="false">IF($AF155=Constants!$B$7,AK155*AL155,"")</f>
        <v/>
      </c>
      <c r="AN155" s="99" t="str">
        <f aca="false">IF($AF155=Constants!$B$7,IF(AM155&gt;AJ155,2,1),"")</f>
        <v/>
      </c>
      <c r="AO155" s="99" t="str">
        <f aca="false">IF($AF155=Constants!$B$7,IF(AN155=1,2,1),"")</f>
        <v/>
      </c>
      <c r="AP155" s="99" t="str">
        <f aca="false">IF(ISBLANK($C155),"",IF($AF155&lt;&gt;Constants!$B$7,$AF155,IF(AN155=1,AJ155,AM155)))</f>
        <v/>
      </c>
      <c r="AQ155" s="99" t="str">
        <f aca="false">IF(ISBLANK($C155),"",IF($AF155=Constants!$B$7,IF(ISNUMBER(AP155),RANK(AP155,$AP$8:$AP$507),Constants!$B$14),$AF155))</f>
        <v/>
      </c>
      <c r="AR155" s="99" t="str">
        <f aca="false">IF(ISBLANK($C155),"",IF($AF155=Constants!$B$7,IF(AO155=1,AJ155,AM155),""))</f>
        <v/>
      </c>
      <c r="AS155" s="99" t="str">
        <f aca="false">IF(ISBLANK($C155),"",IF($AF155=Constants!$B$7,RANK(AR155,$AR$8:$AR$507),$AF155))</f>
        <v/>
      </c>
      <c r="AT155" s="99" t="str">
        <f aca="false">IF(ISBLANK($C155),"",IF($AF155=Constants!$B$7,IF(ISNUMBER(AQ155),COUNTIFS($AQ$8:$AQ$507,"&lt;"&amp;$AQ155)+COUNTIFS($AQ$8:$AQ$507,$AQ155,$AS$8:$AS$507,"&lt;"&amp;$AS155)+1,Constants!$B$14),$AF155))</f>
        <v/>
      </c>
      <c r="AU155" s="99" t="str">
        <f aca="false">IF(ISBLANK($C155),"",IF($AF155=Constants!$B$7,IF(ISNUMBER(AQ155),AQ155-AT155,Constants!$B$14),$AF155))</f>
        <v/>
      </c>
      <c r="AV155" s="100"/>
      <c r="AW155" s="101" t="str">
        <f aca="false">IF(ISBLANK($C155),"",IF($AF155&lt;&gt;Constants!$B$7,"",AN155))</f>
        <v/>
      </c>
      <c r="AX155" s="102" t="str">
        <f aca="false">IF(ISBLANK($C155),"",IF($AF155&lt;&gt;Constants!$B$7,"",IF(AN155=1,AH155,AK155)))</f>
        <v/>
      </c>
      <c r="AY155" s="103" t="str">
        <f aca="false">IF(ISBLANK($C155),"",IF($AF155&lt;&gt;Constants!$B$7,"",IF(AN155=1,AI155,AL155)))</f>
        <v/>
      </c>
      <c r="AZ155" s="104" t="str">
        <f aca="false">IF(ISBLANK($C155),"",IF($AF155&lt;&gt;Constants!$B$7,$AF155,AP155))</f>
        <v/>
      </c>
      <c r="BA155" s="105" t="str">
        <f aca="false">IF(ISBLANK($C155),"",IF($AF155&lt;&gt;Constants!$B$7,$AF155,AG155))</f>
        <v/>
      </c>
      <c r="BB155" s="106" t="str">
        <f aca="false">IF(ISBLANK($C155),"",AU155)</f>
        <v/>
      </c>
      <c r="BC155" s="106" t="str">
        <f aca="false">IF(ISBLANK($C155),"",AT155)</f>
        <v/>
      </c>
      <c r="BD155" s="107" t="str">
        <f aca="false">IF(ISBLANK($C155),"",IFERROR(_xlfn.SWITCH(BC155,Constants!$B$4,COUNTA($C$8:$C$507)+2,Constants!$B$5,COUNTA($C$8:$C$507)+1,Constants!$B$6,COUNTA($C$8:$C$507)),BC155))</f>
        <v/>
      </c>
      <c r="BE155" s="5"/>
      <c r="BF155" s="108" t="n">
        <f aca="false">IF(OR(ISNUMBER(BC155),BC155=Constants!$B$4,BC155=Constants!$B$6,BC155=Constants!$B$5),1,0)</f>
        <v>0</v>
      </c>
      <c r="BG155" s="108" t="n">
        <v>148</v>
      </c>
      <c r="BH155" s="108" t="str">
        <f aca="false">IF(ISBLANK($C155),"",IF(ISNUMBER(BD155),BD155+ROW($B155)/1000,""))</f>
        <v/>
      </c>
      <c r="BI155" s="108" t="str">
        <f aca="false">IF(ISNUMBER(BH155),RANK(BH155,$BH$8:$BH$507,1),"")</f>
        <v/>
      </c>
      <c r="BJ155" s="108" t="str">
        <f aca="false">IF(ISBLANK($C155),"",$B155)</f>
        <v/>
      </c>
      <c r="BK155" s="108" t="str">
        <f aca="false">IF(ISBLANK($C155),"",$C155)</f>
        <v/>
      </c>
      <c r="BL155" s="108" t="str">
        <f aca="false">IF(ISBLANK($C155),"",$D155)</f>
        <v/>
      </c>
      <c r="BM155" s="109" t="str">
        <f aca="false">BA155</f>
        <v/>
      </c>
      <c r="BN155" s="110" t="str">
        <f aca="false">AZ155</f>
        <v/>
      </c>
      <c r="BO155" s="108" t="str">
        <f aca="false">IF(ISBLANK($C155),"",BC155)</f>
        <v/>
      </c>
      <c r="BP155" s="111" t="str">
        <f aca="false">IF($BG155&gt;$BF$7,"",VLOOKUP($BG155,$BI$8:$BO$507,7,FALSE()))</f>
        <v/>
      </c>
      <c r="BQ155" s="112" t="str">
        <f aca="false">IF($BG155&gt;$BF$7,"",VLOOKUP($BG155,$BI$8:$BO$507,2,FALSE()))</f>
        <v/>
      </c>
      <c r="BR155" s="112" t="str">
        <f aca="false">IF($BG155&gt;$BF$7,"",VLOOKUP($BG155,$BI$8:$BO$507,3,FALSE()))</f>
        <v/>
      </c>
      <c r="BS155" s="112" t="str">
        <f aca="false">IF($BG155&gt;$BF$7,"",VLOOKUP($BG155,$BI$8:$BO$507,4,FALSE()))</f>
        <v/>
      </c>
      <c r="BT155" s="112" t="str">
        <f aca="false">IF($BG155&gt;$BF$7,"",VLOOKUP($BG155,$BI$8:$BO$507,5,FALSE()))</f>
        <v/>
      </c>
      <c r="BU155" s="113" t="str">
        <f aca="false">IF($BG155&gt;$BF$7,"",VLOOKUP($BG155,$BI$8:$BO$507,6,FALSE()))</f>
        <v/>
      </c>
      <c r="BV155" s="54"/>
    </row>
    <row r="156" customFormat="false" ht="15.75" hidden="false" customHeight="false" outlineLevel="0" collapsed="false">
      <c r="A156" s="5"/>
      <c r="B156" s="128"/>
      <c r="C156" s="129"/>
      <c r="D156" s="114"/>
      <c r="E156" s="134"/>
      <c r="F156" s="139"/>
      <c r="G156" s="93"/>
      <c r="H156" s="140"/>
      <c r="I156" s="95"/>
      <c r="J156" s="95"/>
      <c r="K156" s="93"/>
      <c r="L156" s="141"/>
      <c r="M156" s="95"/>
      <c r="N156" s="95"/>
      <c r="O156" s="93"/>
      <c r="P156" s="134"/>
      <c r="Q156" s="98"/>
      <c r="R156" s="99" t="str">
        <f aca="false">IF(ISBLANK($C156),"",IF(E156=Constants!$B$2, TRUE(), IF(E156=Constants!$B$3, FALSE(), TRUE())))</f>
        <v/>
      </c>
      <c r="S156" s="99" t="str">
        <f aca="false">IF(ISBLANK($C156),"",IF(F156=Constants!$B$2, TRUE(), IF(F156=Constants!$B$3, FALSE(), TRUE())))</f>
        <v/>
      </c>
      <c r="T156" s="99" t="str">
        <f aca="false">IF(ISBLANK($C156),"",IF(G156=Constants!$B$16,Constants!$B$9,IF(G156=Constants!$B$17,Constants!$B$10,Constants!$B$8)))</f>
        <v/>
      </c>
      <c r="U156" s="99" t="str">
        <f aca="false">IF(ISBLANK($C156),"",IF(H156=Constants!$B$19,Constants!$B$19,Constants!$B$18))</f>
        <v/>
      </c>
      <c r="V156" s="99" t="str">
        <f aca="false">IF(ISBLANK($C156),"",IF(ISNUMBER(I156),IF(I156&gt;=0,I156,""),""))</f>
        <v/>
      </c>
      <c r="W156" s="99" t="str">
        <f aca="false">IF(ISBLANK($C156),"",IF(J156=Constants!$B$2, TRUE(), IF(J156=Constants!$B$3, FALSE(), TRUE())))</f>
        <v/>
      </c>
      <c r="X156" s="99" t="str">
        <f aca="false">IF(ISBLANK($C156),"",IF(K156=Constants!$B$2, TRUE(), IF(K156=Constants!$B$3, FALSE(), TRUE())))</f>
        <v/>
      </c>
      <c r="Y156" s="99" t="str">
        <f aca="false">IF(ISBLANK($C156),"",IF(L156=Constants!$B$19,Constants!$B$19,Constants!$B$18))</f>
        <v/>
      </c>
      <c r="Z156" s="99" t="str">
        <f aca="false">IF(ISBLANK($C156),"",IF(ISNUMBER(M156),IF(M156&gt;=0,M156,""),""))</f>
        <v/>
      </c>
      <c r="AA156" s="99" t="str">
        <f aca="false">IF(ISBLANK($C156),"",IF(N156=Constants!$B$2, TRUE(), IF(N156=Constants!$B$3, FALSE(), TRUE())))</f>
        <v/>
      </c>
      <c r="AB156" s="99" t="str">
        <f aca="false">IF(ISBLANK($C156),"",IF(O156=Constants!$B$2, TRUE(), IF(O156=Constants!$B$3, FALSE(), TRUE())))</f>
        <v/>
      </c>
      <c r="AC156" s="99" t="str">
        <f aca="false">IF(ISBLANK($C156),"",IF(P156=Constants!$B$2, TRUE(), IF(P156=Constants!$B$3, FALSE(), FALSE())))</f>
        <v/>
      </c>
      <c r="AD156" s="99" t="str">
        <f aca="false">IF(ISBLANK($C156),"",AND(V156&lt;&gt;"",IF(U156=Constants!$B$19,S156,R156)))</f>
        <v/>
      </c>
      <c r="AE156" s="99" t="str">
        <f aca="false">IF(ISBLANK($C156),"",AND(Z156&lt;&gt;"",IF(Y156=Constants!$B$19,S156,R156)))</f>
        <v/>
      </c>
      <c r="AF156" s="99" t="str">
        <f aca="false">IF(ISBLANK($C156),"",IF(AC156,Constants!$B$4,IF(COUNTA(E156:O156)=0,Constants!$B$5,IF(AND(NOT(AD156),NOT(AE156)),Constants!$B$6,Constants!$B$7))))</f>
        <v/>
      </c>
      <c r="AG156" s="99" t="str">
        <f aca="false">IF(ISBLANK($C156),"",IF($AF156&lt;&gt;Constants!$B$7,$AF156,Constants!$B$20))</f>
        <v/>
      </c>
      <c r="AH156" s="99" t="str">
        <f aca="false">IF($AF156=Constants!$B$7,IF(AD156,V156,Constants!$B$13),"")</f>
        <v/>
      </c>
      <c r="AI156" s="99" t="str">
        <f aca="false">IF($AF156=Constants!$B$7,IF(AD156,T156*IF(W156, 1, Constants!$B$11)*IF(X156, 1, Constants!$B$12),Constants!$B$13),"")</f>
        <v/>
      </c>
      <c r="AJ156" s="99" t="str">
        <f aca="false">IF($AF156=Constants!$B$7,AH156*AI156,"")</f>
        <v/>
      </c>
      <c r="AK156" s="99" t="str">
        <f aca="false">IF($AF156=Constants!$B$7,IF(AE156,Z156,Constants!$B$13),"")</f>
        <v/>
      </c>
      <c r="AL156" s="99" t="str">
        <f aca="false">IF($AF156=Constants!$B$7,IF(AE156,T156*IF(AA156, 1, Constants!$B$11)*IF(AB156, 1, Constants!$B$12),Constants!$B$13),"")</f>
        <v/>
      </c>
      <c r="AM156" s="99" t="str">
        <f aca="false">IF($AF156=Constants!$B$7,AK156*AL156,"")</f>
        <v/>
      </c>
      <c r="AN156" s="99" t="str">
        <f aca="false">IF($AF156=Constants!$B$7,IF(AM156&gt;AJ156,2,1),"")</f>
        <v/>
      </c>
      <c r="AO156" s="99" t="str">
        <f aca="false">IF($AF156=Constants!$B$7,IF(AN156=1,2,1),"")</f>
        <v/>
      </c>
      <c r="AP156" s="99" t="str">
        <f aca="false">IF(ISBLANK($C156),"",IF($AF156&lt;&gt;Constants!$B$7,$AF156,IF(AN156=1,AJ156,AM156)))</f>
        <v/>
      </c>
      <c r="AQ156" s="99" t="str">
        <f aca="false">IF(ISBLANK($C156),"",IF($AF156=Constants!$B$7,IF(ISNUMBER(AP156),RANK(AP156,$AP$8:$AP$507),Constants!$B$14),$AF156))</f>
        <v/>
      </c>
      <c r="AR156" s="99" t="str">
        <f aca="false">IF(ISBLANK($C156),"",IF($AF156=Constants!$B$7,IF(AO156=1,AJ156,AM156),""))</f>
        <v/>
      </c>
      <c r="AS156" s="99" t="str">
        <f aca="false">IF(ISBLANK($C156),"",IF($AF156=Constants!$B$7,RANK(AR156,$AR$8:$AR$507),$AF156))</f>
        <v/>
      </c>
      <c r="AT156" s="99" t="str">
        <f aca="false">IF(ISBLANK($C156),"",IF($AF156=Constants!$B$7,IF(ISNUMBER(AQ156),COUNTIFS($AQ$8:$AQ$507,"&lt;"&amp;$AQ156)+COUNTIFS($AQ$8:$AQ$507,$AQ156,$AS$8:$AS$507,"&lt;"&amp;$AS156)+1,Constants!$B$14),$AF156))</f>
        <v/>
      </c>
      <c r="AU156" s="99" t="str">
        <f aca="false">IF(ISBLANK($C156),"",IF($AF156=Constants!$B$7,IF(ISNUMBER(AQ156),AQ156-AT156,Constants!$B$14),$AF156))</f>
        <v/>
      </c>
      <c r="AV156" s="100"/>
      <c r="AW156" s="101" t="str">
        <f aca="false">IF(ISBLANK($C156),"",IF($AF156&lt;&gt;Constants!$B$7,"",AN156))</f>
        <v/>
      </c>
      <c r="AX156" s="102" t="str">
        <f aca="false">IF(ISBLANK($C156),"",IF($AF156&lt;&gt;Constants!$B$7,"",IF(AN156=1,AH156,AK156)))</f>
        <v/>
      </c>
      <c r="AY156" s="103" t="str">
        <f aca="false">IF(ISBLANK($C156),"",IF($AF156&lt;&gt;Constants!$B$7,"",IF(AN156=1,AI156,AL156)))</f>
        <v/>
      </c>
      <c r="AZ156" s="104" t="str">
        <f aca="false">IF(ISBLANK($C156),"",IF($AF156&lt;&gt;Constants!$B$7,$AF156,AP156))</f>
        <v/>
      </c>
      <c r="BA156" s="105" t="str">
        <f aca="false">IF(ISBLANK($C156),"",IF($AF156&lt;&gt;Constants!$B$7,$AF156,AG156))</f>
        <v/>
      </c>
      <c r="BB156" s="106" t="str">
        <f aca="false">IF(ISBLANK($C156),"",AU156)</f>
        <v/>
      </c>
      <c r="BC156" s="106" t="str">
        <f aca="false">IF(ISBLANK($C156),"",AT156)</f>
        <v/>
      </c>
      <c r="BD156" s="107" t="str">
        <f aca="false">IF(ISBLANK($C156),"",IFERROR(_xlfn.SWITCH(BC156,Constants!$B$4,COUNTA($C$8:$C$507)+2,Constants!$B$5,COUNTA($C$8:$C$507)+1,Constants!$B$6,COUNTA($C$8:$C$507)),BC156))</f>
        <v/>
      </c>
      <c r="BE156" s="5"/>
      <c r="BF156" s="108" t="n">
        <f aca="false">IF(OR(ISNUMBER(BC156),BC156=Constants!$B$4,BC156=Constants!$B$6,BC156=Constants!$B$5),1,0)</f>
        <v>0</v>
      </c>
      <c r="BG156" s="108" t="n">
        <v>149</v>
      </c>
      <c r="BH156" s="108" t="str">
        <f aca="false">IF(ISBLANK($C156),"",IF(ISNUMBER(BD156),BD156+ROW($B156)/1000,""))</f>
        <v/>
      </c>
      <c r="BI156" s="108" t="str">
        <f aca="false">IF(ISNUMBER(BH156),RANK(BH156,$BH$8:$BH$507,1),"")</f>
        <v/>
      </c>
      <c r="BJ156" s="108" t="str">
        <f aca="false">IF(ISBLANK($C156),"",$B156)</f>
        <v/>
      </c>
      <c r="BK156" s="108" t="str">
        <f aca="false">IF(ISBLANK($C156),"",$C156)</f>
        <v/>
      </c>
      <c r="BL156" s="108" t="str">
        <f aca="false">IF(ISBLANK($C156),"",$D156)</f>
        <v/>
      </c>
      <c r="BM156" s="109" t="str">
        <f aca="false">BA156</f>
        <v/>
      </c>
      <c r="BN156" s="110" t="str">
        <f aca="false">AZ156</f>
        <v/>
      </c>
      <c r="BO156" s="108" t="str">
        <f aca="false">IF(ISBLANK($C156),"",BC156)</f>
        <v/>
      </c>
      <c r="BP156" s="111" t="str">
        <f aca="false">IF($BG156&gt;$BF$7,"",VLOOKUP($BG156,$BI$8:$BO$507,7,FALSE()))</f>
        <v/>
      </c>
      <c r="BQ156" s="112" t="str">
        <f aca="false">IF($BG156&gt;$BF$7,"",VLOOKUP($BG156,$BI$8:$BO$507,2,FALSE()))</f>
        <v/>
      </c>
      <c r="BR156" s="112" t="str">
        <f aca="false">IF($BG156&gt;$BF$7,"",VLOOKUP($BG156,$BI$8:$BO$507,3,FALSE()))</f>
        <v/>
      </c>
      <c r="BS156" s="112" t="str">
        <f aca="false">IF($BG156&gt;$BF$7,"",VLOOKUP($BG156,$BI$8:$BO$507,4,FALSE()))</f>
        <v/>
      </c>
      <c r="BT156" s="112" t="str">
        <f aca="false">IF($BG156&gt;$BF$7,"",VLOOKUP($BG156,$BI$8:$BO$507,5,FALSE()))</f>
        <v/>
      </c>
      <c r="BU156" s="113" t="str">
        <f aca="false">IF($BG156&gt;$BF$7,"",VLOOKUP($BG156,$BI$8:$BO$507,6,FALSE()))</f>
        <v/>
      </c>
      <c r="BV156" s="54"/>
    </row>
    <row r="157" customFormat="false" ht="15.75" hidden="false" customHeight="false" outlineLevel="0" collapsed="false">
      <c r="A157" s="5"/>
      <c r="B157" s="128"/>
      <c r="C157" s="129"/>
      <c r="D157" s="114"/>
      <c r="E157" s="134"/>
      <c r="F157" s="139"/>
      <c r="G157" s="93"/>
      <c r="H157" s="140"/>
      <c r="I157" s="95"/>
      <c r="J157" s="95"/>
      <c r="K157" s="93"/>
      <c r="L157" s="141"/>
      <c r="M157" s="95"/>
      <c r="N157" s="95"/>
      <c r="O157" s="93"/>
      <c r="P157" s="134"/>
      <c r="Q157" s="98"/>
      <c r="R157" s="99" t="str">
        <f aca="false">IF(ISBLANK($C157),"",IF(E157=Constants!$B$2, TRUE(), IF(E157=Constants!$B$3, FALSE(), TRUE())))</f>
        <v/>
      </c>
      <c r="S157" s="99" t="str">
        <f aca="false">IF(ISBLANK($C157),"",IF(F157=Constants!$B$2, TRUE(), IF(F157=Constants!$B$3, FALSE(), TRUE())))</f>
        <v/>
      </c>
      <c r="T157" s="99" t="str">
        <f aca="false">IF(ISBLANK($C157),"",IF(G157=Constants!$B$16,Constants!$B$9,IF(G157=Constants!$B$17,Constants!$B$10,Constants!$B$8)))</f>
        <v/>
      </c>
      <c r="U157" s="99" t="str">
        <f aca="false">IF(ISBLANK($C157),"",IF(H157=Constants!$B$19,Constants!$B$19,Constants!$B$18))</f>
        <v/>
      </c>
      <c r="V157" s="99" t="str">
        <f aca="false">IF(ISBLANK($C157),"",IF(ISNUMBER(I157),IF(I157&gt;=0,I157,""),""))</f>
        <v/>
      </c>
      <c r="W157" s="99" t="str">
        <f aca="false">IF(ISBLANK($C157),"",IF(J157=Constants!$B$2, TRUE(), IF(J157=Constants!$B$3, FALSE(), TRUE())))</f>
        <v/>
      </c>
      <c r="X157" s="99" t="str">
        <f aca="false">IF(ISBLANK($C157),"",IF(K157=Constants!$B$2, TRUE(), IF(K157=Constants!$B$3, FALSE(), TRUE())))</f>
        <v/>
      </c>
      <c r="Y157" s="99" t="str">
        <f aca="false">IF(ISBLANK($C157),"",IF(L157=Constants!$B$19,Constants!$B$19,Constants!$B$18))</f>
        <v/>
      </c>
      <c r="Z157" s="99" t="str">
        <f aca="false">IF(ISBLANK($C157),"",IF(ISNUMBER(M157),IF(M157&gt;=0,M157,""),""))</f>
        <v/>
      </c>
      <c r="AA157" s="99" t="str">
        <f aca="false">IF(ISBLANK($C157),"",IF(N157=Constants!$B$2, TRUE(), IF(N157=Constants!$B$3, FALSE(), TRUE())))</f>
        <v/>
      </c>
      <c r="AB157" s="99" t="str">
        <f aca="false">IF(ISBLANK($C157),"",IF(O157=Constants!$B$2, TRUE(), IF(O157=Constants!$B$3, FALSE(), TRUE())))</f>
        <v/>
      </c>
      <c r="AC157" s="99" t="str">
        <f aca="false">IF(ISBLANK($C157),"",IF(P157=Constants!$B$2, TRUE(), IF(P157=Constants!$B$3, FALSE(), FALSE())))</f>
        <v/>
      </c>
      <c r="AD157" s="99" t="str">
        <f aca="false">IF(ISBLANK($C157),"",AND(V157&lt;&gt;"",IF(U157=Constants!$B$19,S157,R157)))</f>
        <v/>
      </c>
      <c r="AE157" s="99" t="str">
        <f aca="false">IF(ISBLANK($C157),"",AND(Z157&lt;&gt;"",IF(Y157=Constants!$B$19,S157,R157)))</f>
        <v/>
      </c>
      <c r="AF157" s="99" t="str">
        <f aca="false">IF(ISBLANK($C157),"",IF(AC157,Constants!$B$4,IF(COUNTA(E157:O157)=0,Constants!$B$5,IF(AND(NOT(AD157),NOT(AE157)),Constants!$B$6,Constants!$B$7))))</f>
        <v/>
      </c>
      <c r="AG157" s="99" t="str">
        <f aca="false">IF(ISBLANK($C157),"",IF($AF157&lt;&gt;Constants!$B$7,$AF157,Constants!$B$20))</f>
        <v/>
      </c>
      <c r="AH157" s="99" t="str">
        <f aca="false">IF($AF157=Constants!$B$7,IF(AD157,V157,Constants!$B$13),"")</f>
        <v/>
      </c>
      <c r="AI157" s="99" t="str">
        <f aca="false">IF($AF157=Constants!$B$7,IF(AD157,T157*IF(W157, 1, Constants!$B$11)*IF(X157, 1, Constants!$B$12),Constants!$B$13),"")</f>
        <v/>
      </c>
      <c r="AJ157" s="99" t="str">
        <f aca="false">IF($AF157=Constants!$B$7,AH157*AI157,"")</f>
        <v/>
      </c>
      <c r="AK157" s="99" t="str">
        <f aca="false">IF($AF157=Constants!$B$7,IF(AE157,Z157,Constants!$B$13),"")</f>
        <v/>
      </c>
      <c r="AL157" s="99" t="str">
        <f aca="false">IF($AF157=Constants!$B$7,IF(AE157,T157*IF(AA157, 1, Constants!$B$11)*IF(AB157, 1, Constants!$B$12),Constants!$B$13),"")</f>
        <v/>
      </c>
      <c r="AM157" s="99" t="str">
        <f aca="false">IF($AF157=Constants!$B$7,AK157*AL157,"")</f>
        <v/>
      </c>
      <c r="AN157" s="99" t="str">
        <f aca="false">IF($AF157=Constants!$B$7,IF(AM157&gt;AJ157,2,1),"")</f>
        <v/>
      </c>
      <c r="AO157" s="99" t="str">
        <f aca="false">IF($AF157=Constants!$B$7,IF(AN157=1,2,1),"")</f>
        <v/>
      </c>
      <c r="AP157" s="99" t="str">
        <f aca="false">IF(ISBLANK($C157),"",IF($AF157&lt;&gt;Constants!$B$7,$AF157,IF(AN157=1,AJ157,AM157)))</f>
        <v/>
      </c>
      <c r="AQ157" s="99" t="str">
        <f aca="false">IF(ISBLANK($C157),"",IF($AF157=Constants!$B$7,IF(ISNUMBER(AP157),RANK(AP157,$AP$8:$AP$507),Constants!$B$14),$AF157))</f>
        <v/>
      </c>
      <c r="AR157" s="99" t="str">
        <f aca="false">IF(ISBLANK($C157),"",IF($AF157=Constants!$B$7,IF(AO157=1,AJ157,AM157),""))</f>
        <v/>
      </c>
      <c r="AS157" s="99" t="str">
        <f aca="false">IF(ISBLANK($C157),"",IF($AF157=Constants!$B$7,RANK(AR157,$AR$8:$AR$507),$AF157))</f>
        <v/>
      </c>
      <c r="AT157" s="99" t="str">
        <f aca="false">IF(ISBLANK($C157),"",IF($AF157=Constants!$B$7,IF(ISNUMBER(AQ157),COUNTIFS($AQ$8:$AQ$507,"&lt;"&amp;$AQ157)+COUNTIFS($AQ$8:$AQ$507,$AQ157,$AS$8:$AS$507,"&lt;"&amp;$AS157)+1,Constants!$B$14),$AF157))</f>
        <v/>
      </c>
      <c r="AU157" s="99" t="str">
        <f aca="false">IF(ISBLANK($C157),"",IF($AF157=Constants!$B$7,IF(ISNUMBER(AQ157),AQ157-AT157,Constants!$B$14),$AF157))</f>
        <v/>
      </c>
      <c r="AV157" s="100"/>
      <c r="AW157" s="101" t="str">
        <f aca="false">IF(ISBLANK($C157),"",IF($AF157&lt;&gt;Constants!$B$7,"",AN157))</f>
        <v/>
      </c>
      <c r="AX157" s="102" t="str">
        <f aca="false">IF(ISBLANK($C157),"",IF($AF157&lt;&gt;Constants!$B$7,"",IF(AN157=1,AH157,AK157)))</f>
        <v/>
      </c>
      <c r="AY157" s="103" t="str">
        <f aca="false">IF(ISBLANK($C157),"",IF($AF157&lt;&gt;Constants!$B$7,"",IF(AN157=1,AI157,AL157)))</f>
        <v/>
      </c>
      <c r="AZ157" s="104" t="str">
        <f aca="false">IF(ISBLANK($C157),"",IF($AF157&lt;&gt;Constants!$B$7,$AF157,AP157))</f>
        <v/>
      </c>
      <c r="BA157" s="105" t="str">
        <f aca="false">IF(ISBLANK($C157),"",IF($AF157&lt;&gt;Constants!$B$7,$AF157,AG157))</f>
        <v/>
      </c>
      <c r="BB157" s="106" t="str">
        <f aca="false">IF(ISBLANK($C157),"",AU157)</f>
        <v/>
      </c>
      <c r="BC157" s="106" t="str">
        <f aca="false">IF(ISBLANK($C157),"",AT157)</f>
        <v/>
      </c>
      <c r="BD157" s="107" t="str">
        <f aca="false">IF(ISBLANK($C157),"",IFERROR(_xlfn.SWITCH(BC157,Constants!$B$4,COUNTA($C$8:$C$507)+2,Constants!$B$5,COUNTA($C$8:$C$507)+1,Constants!$B$6,COUNTA($C$8:$C$507)),BC157))</f>
        <v/>
      </c>
      <c r="BE157" s="5"/>
      <c r="BF157" s="108" t="n">
        <f aca="false">IF(OR(ISNUMBER(BC157),BC157=Constants!$B$4,BC157=Constants!$B$6,BC157=Constants!$B$5),1,0)</f>
        <v>0</v>
      </c>
      <c r="BG157" s="108" t="n">
        <v>150</v>
      </c>
      <c r="BH157" s="108" t="str">
        <f aca="false">IF(ISBLANK($C157),"",IF(ISNUMBER(BD157),BD157+ROW($B157)/1000,""))</f>
        <v/>
      </c>
      <c r="BI157" s="108" t="str">
        <f aca="false">IF(ISNUMBER(BH157),RANK(BH157,$BH$8:$BH$507,1),"")</f>
        <v/>
      </c>
      <c r="BJ157" s="108" t="str">
        <f aca="false">IF(ISBLANK($C157),"",$B157)</f>
        <v/>
      </c>
      <c r="BK157" s="108" t="str">
        <f aca="false">IF(ISBLANK($C157),"",$C157)</f>
        <v/>
      </c>
      <c r="BL157" s="108" t="str">
        <f aca="false">IF(ISBLANK($C157),"",$D157)</f>
        <v/>
      </c>
      <c r="BM157" s="109" t="str">
        <f aca="false">BA157</f>
        <v/>
      </c>
      <c r="BN157" s="110" t="str">
        <f aca="false">AZ157</f>
        <v/>
      </c>
      <c r="BO157" s="108" t="str">
        <f aca="false">IF(ISBLANK($C157),"",BC157)</f>
        <v/>
      </c>
      <c r="BP157" s="111" t="str">
        <f aca="false">IF($BG157&gt;$BF$7,"",VLOOKUP($BG157,$BI$8:$BO$507,7,FALSE()))</f>
        <v/>
      </c>
      <c r="BQ157" s="112" t="str">
        <f aca="false">IF($BG157&gt;$BF$7,"",VLOOKUP($BG157,$BI$8:$BO$507,2,FALSE()))</f>
        <v/>
      </c>
      <c r="BR157" s="112" t="str">
        <f aca="false">IF($BG157&gt;$BF$7,"",VLOOKUP($BG157,$BI$8:$BO$507,3,FALSE()))</f>
        <v/>
      </c>
      <c r="BS157" s="112" t="str">
        <f aca="false">IF($BG157&gt;$BF$7,"",VLOOKUP($BG157,$BI$8:$BO$507,4,FALSE()))</f>
        <v/>
      </c>
      <c r="BT157" s="112" t="str">
        <f aca="false">IF($BG157&gt;$BF$7,"",VLOOKUP($BG157,$BI$8:$BO$507,5,FALSE()))</f>
        <v/>
      </c>
      <c r="BU157" s="113" t="str">
        <f aca="false">IF($BG157&gt;$BF$7,"",VLOOKUP($BG157,$BI$8:$BO$507,6,FALSE()))</f>
        <v/>
      </c>
      <c r="BV157" s="54"/>
    </row>
    <row r="158" customFormat="false" ht="15.75" hidden="false" customHeight="false" outlineLevel="0" collapsed="false">
      <c r="A158" s="5"/>
      <c r="B158" s="135"/>
      <c r="C158" s="56"/>
      <c r="D158" s="57"/>
      <c r="E158" s="84"/>
      <c r="F158" s="136"/>
      <c r="G158" s="60"/>
      <c r="H158" s="137"/>
      <c r="I158" s="62"/>
      <c r="J158" s="62"/>
      <c r="K158" s="60"/>
      <c r="L158" s="138"/>
      <c r="M158" s="62"/>
      <c r="N158" s="62"/>
      <c r="O158" s="60"/>
      <c r="P158" s="84"/>
      <c r="Q158" s="65"/>
      <c r="R158" s="67" t="str">
        <f aca="false">IF(ISBLANK($C158),"",IF(E158=Constants!$B$2, TRUE(), IF(E158=Constants!$B$3, FALSE(), TRUE())))</f>
        <v/>
      </c>
      <c r="S158" s="67" t="str">
        <f aca="false">IF(ISBLANK($C158),"",IF(F158=Constants!$B$2, TRUE(), IF(F158=Constants!$B$3, FALSE(), TRUE())))</f>
        <v/>
      </c>
      <c r="T158" s="67" t="str">
        <f aca="false">IF(ISBLANK($C158),"",IF(G158=Constants!$B$16,Constants!$B$9,IF(G158=Constants!$B$17,Constants!$B$10,Constants!$B$8)))</f>
        <v/>
      </c>
      <c r="U158" s="67" t="str">
        <f aca="false">IF(ISBLANK($C158),"",IF(H158=Constants!$B$19,Constants!$B$19,Constants!$B$18))</f>
        <v/>
      </c>
      <c r="V158" s="67" t="str">
        <f aca="false">IF(ISBLANK($C158),"",IF(ISNUMBER(I158),IF(I158&gt;=0,I158,""),""))</f>
        <v/>
      </c>
      <c r="W158" s="67" t="str">
        <f aca="false">IF(ISBLANK($C158),"",IF(J158=Constants!$B$2, TRUE(), IF(J158=Constants!$B$3, FALSE(), TRUE())))</f>
        <v/>
      </c>
      <c r="X158" s="67" t="str">
        <f aca="false">IF(ISBLANK($C158),"",IF(K158=Constants!$B$2, TRUE(), IF(K158=Constants!$B$3, FALSE(), TRUE())))</f>
        <v/>
      </c>
      <c r="Y158" s="67" t="str">
        <f aca="false">IF(ISBLANK($C158),"",IF(L158=Constants!$B$19,Constants!$B$19,Constants!$B$18))</f>
        <v/>
      </c>
      <c r="Z158" s="67" t="str">
        <f aca="false">IF(ISBLANK($C158),"",IF(ISNUMBER(M158),IF(M158&gt;=0,M158,""),""))</f>
        <v/>
      </c>
      <c r="AA158" s="67" t="str">
        <f aca="false">IF(ISBLANK($C158),"",IF(N158=Constants!$B$2, TRUE(), IF(N158=Constants!$B$3, FALSE(), TRUE())))</f>
        <v/>
      </c>
      <c r="AB158" s="67" t="str">
        <f aca="false">IF(ISBLANK($C158),"",IF(O158=Constants!$B$2, TRUE(), IF(O158=Constants!$B$3, FALSE(), TRUE())))</f>
        <v/>
      </c>
      <c r="AC158" s="67" t="str">
        <f aca="false">IF(ISBLANK($C158),"",IF(P158=Constants!$B$2, TRUE(), IF(P158=Constants!$B$3, FALSE(), FALSE())))</f>
        <v/>
      </c>
      <c r="AD158" s="67" t="str">
        <f aca="false">IF(ISBLANK($C158),"",AND(V158&lt;&gt;"",IF(U158=Constants!$B$19,S158,R158)))</f>
        <v/>
      </c>
      <c r="AE158" s="67" t="str">
        <f aca="false">IF(ISBLANK($C158),"",AND(Z158&lt;&gt;"",IF(Y158=Constants!$B$19,S158,R158)))</f>
        <v/>
      </c>
      <c r="AF158" s="67" t="str">
        <f aca="false">IF(ISBLANK($C158),"",IF(AC158,Constants!$B$4,IF(COUNTA(E158:O158)=0,Constants!$B$5,IF(AND(NOT(AD158),NOT(AE158)),Constants!$B$6,Constants!$B$7))))</f>
        <v/>
      </c>
      <c r="AG158" s="67" t="str">
        <f aca="false">IF(ISBLANK($C158),"",IF($AF158&lt;&gt;Constants!$B$7,$AF158,Constants!$B$20))</f>
        <v/>
      </c>
      <c r="AH158" s="67" t="str">
        <f aca="false">IF($AF158=Constants!$B$7,IF(AD158,V158,Constants!$B$13),"")</f>
        <v/>
      </c>
      <c r="AI158" s="67" t="str">
        <f aca="false">IF($AF158=Constants!$B$7,IF(AD158,T158*IF(W158, 1, Constants!$B$11)*IF(X158, 1, Constants!$B$12),Constants!$B$13),"")</f>
        <v/>
      </c>
      <c r="AJ158" s="67" t="str">
        <f aca="false">IF($AF158=Constants!$B$7,AH158*AI158,"")</f>
        <v/>
      </c>
      <c r="AK158" s="67" t="str">
        <f aca="false">IF($AF158=Constants!$B$7,IF(AE158,Z158,Constants!$B$13),"")</f>
        <v/>
      </c>
      <c r="AL158" s="67" t="str">
        <f aca="false">IF($AF158=Constants!$B$7,IF(AE158,T158*IF(AA158, 1, Constants!$B$11)*IF(AB158, 1, Constants!$B$12),Constants!$B$13),"")</f>
        <v/>
      </c>
      <c r="AM158" s="67" t="str">
        <f aca="false">IF($AF158=Constants!$B$7,AK158*AL158,"")</f>
        <v/>
      </c>
      <c r="AN158" s="67" t="str">
        <f aca="false">IF($AF158=Constants!$B$7,IF(AM158&gt;AJ158,2,1),"")</f>
        <v/>
      </c>
      <c r="AO158" s="67" t="str">
        <f aca="false">IF($AF158=Constants!$B$7,IF(AN158=1,2,1),"")</f>
        <v/>
      </c>
      <c r="AP158" s="67" t="str">
        <f aca="false">IF(ISBLANK($C158),"",IF($AF158&lt;&gt;Constants!$B$7,$AF158,IF(AN158=1,AJ158,AM158)))</f>
        <v/>
      </c>
      <c r="AQ158" s="67" t="str">
        <f aca="false">IF(ISBLANK($C158),"",IF($AF158=Constants!$B$7,IF(ISNUMBER(AP158),RANK(AP158,$AP$8:$AP$507),Constants!$B$14),$AF158))</f>
        <v/>
      </c>
      <c r="AR158" s="67" t="str">
        <f aca="false">IF(ISBLANK($C158),"",IF($AF158=Constants!$B$7,IF(AO158=1,AJ158,AM158),""))</f>
        <v/>
      </c>
      <c r="AS158" s="67" t="str">
        <f aca="false">IF(ISBLANK($C158),"",IF($AF158=Constants!$B$7,RANK(AR158,$AR$8:$AR$507),$AF158))</f>
        <v/>
      </c>
      <c r="AT158" s="67" t="str">
        <f aca="false">IF(ISBLANK($C158),"",IF($AF158=Constants!$B$7,IF(ISNUMBER(AQ158),COUNTIFS($AQ$8:$AQ$507,"&lt;"&amp;$AQ158)+COUNTIFS($AQ$8:$AQ$507,$AQ158,$AS$8:$AS$507,"&lt;"&amp;$AS158)+1,Constants!$B$14),$AF158))</f>
        <v/>
      </c>
      <c r="AU158" s="67" t="str">
        <f aca="false">IF(ISBLANK($C158),"",IF($AF158=Constants!$B$7,IF(ISNUMBER(AQ158),AQ158-AT158,Constants!$B$14),$AF158))</f>
        <v/>
      </c>
      <c r="AV158" s="69"/>
      <c r="AW158" s="70" t="str">
        <f aca="false">IF(ISBLANK($C158),"",IF($AF158&lt;&gt;Constants!$B$7,"",AN158))</f>
        <v/>
      </c>
      <c r="AX158" s="85" t="str">
        <f aca="false">IF(ISBLANK($C158),"",IF($AF158&lt;&gt;Constants!$B$7,"",IF(AN158=1,AH158,AK158)))</f>
        <v/>
      </c>
      <c r="AY158" s="72" t="str">
        <f aca="false">IF(ISBLANK($C158),"",IF($AF158&lt;&gt;Constants!$B$7,"",IF(AN158=1,AI158,AL158)))</f>
        <v/>
      </c>
      <c r="AZ158" s="73" t="str">
        <f aca="false">IF(ISBLANK($C158),"",IF($AF158&lt;&gt;Constants!$B$7,$AF158,AP158))</f>
        <v/>
      </c>
      <c r="BA158" s="74" t="str">
        <f aca="false">IF(ISBLANK($C158),"",IF($AF158&lt;&gt;Constants!$B$7,$AF158,AG158))</f>
        <v/>
      </c>
      <c r="BB158" s="75" t="str">
        <f aca="false">IF(ISBLANK($C158),"",AU158)</f>
        <v/>
      </c>
      <c r="BC158" s="75" t="str">
        <f aca="false">IF(ISBLANK($C158),"",AT158)</f>
        <v/>
      </c>
      <c r="BD158" s="76" t="str">
        <f aca="false">IF(ISBLANK($C158),"",IFERROR(_xlfn.SWITCH(BC158,Constants!$B$4,COUNTA($C$8:$C$507)+2,Constants!$B$5,COUNTA($C$8:$C$507)+1,Constants!$B$6,COUNTA($C$8:$C$507)),BC158))</f>
        <v/>
      </c>
      <c r="BE158" s="5"/>
      <c r="BF158" s="77" t="n">
        <f aca="false">IF(OR(ISNUMBER(BC158),BC158=Constants!$B$4,BC158=Constants!$B$6,BC158=Constants!$B$5),1,0)</f>
        <v>0</v>
      </c>
      <c r="BG158" s="77" t="n">
        <v>151</v>
      </c>
      <c r="BH158" s="77" t="str">
        <f aca="false">IF(ISBLANK($C158),"",IF(ISNUMBER(BD158),BD158+ROW($B158)/1000,""))</f>
        <v/>
      </c>
      <c r="BI158" s="77" t="str">
        <f aca="false">IF(ISNUMBER(BH158),RANK(BH158,$BH$8:$BH$507,1),"")</f>
        <v/>
      </c>
      <c r="BJ158" s="77" t="str">
        <f aca="false">IF(ISBLANK($C158),"",$B158)</f>
        <v/>
      </c>
      <c r="BK158" s="77" t="str">
        <f aca="false">IF(ISBLANK($C158),"",$C158)</f>
        <v/>
      </c>
      <c r="BL158" s="77" t="str">
        <f aca="false">IF(ISBLANK($C158),"",$D158)</f>
        <v/>
      </c>
      <c r="BM158" s="78" t="str">
        <f aca="false">BA158</f>
        <v/>
      </c>
      <c r="BN158" s="79" t="str">
        <f aca="false">AZ158</f>
        <v/>
      </c>
      <c r="BO158" s="77" t="str">
        <f aca="false">IF(ISBLANK($C158),"",BC158)</f>
        <v/>
      </c>
      <c r="BP158" s="80" t="str">
        <f aca="false">IF($BG158&gt;$BF$7,"",VLOOKUP($BG158,$BI$8:$BO$507,7,FALSE()))</f>
        <v/>
      </c>
      <c r="BQ158" s="81" t="str">
        <f aca="false">IF($BG158&gt;$BF$7,"",VLOOKUP($BG158,$BI$8:$BO$507,2,FALSE()))</f>
        <v/>
      </c>
      <c r="BR158" s="81" t="str">
        <f aca="false">IF($BG158&gt;$BF$7,"",VLOOKUP($BG158,$BI$8:$BO$507,3,FALSE()))</f>
        <v/>
      </c>
      <c r="BS158" s="81" t="str">
        <f aca="false">IF($BG158&gt;$BF$7,"",VLOOKUP($BG158,$BI$8:$BO$507,4,FALSE()))</f>
        <v/>
      </c>
      <c r="BT158" s="81" t="str">
        <f aca="false">IF($BG158&gt;$BF$7,"",VLOOKUP($BG158,$BI$8:$BO$507,5,FALSE()))</f>
        <v/>
      </c>
      <c r="BU158" s="82" t="str">
        <f aca="false">IF($BG158&gt;$BF$7,"",VLOOKUP($BG158,$BI$8:$BO$507,6,FALSE()))</f>
        <v/>
      </c>
      <c r="BV158" s="54"/>
    </row>
    <row r="159" customFormat="false" ht="15.75" hidden="false" customHeight="false" outlineLevel="0" collapsed="false">
      <c r="A159" s="5"/>
      <c r="B159" s="135"/>
      <c r="C159" s="56"/>
      <c r="D159" s="57"/>
      <c r="E159" s="84"/>
      <c r="F159" s="136"/>
      <c r="G159" s="60"/>
      <c r="H159" s="137"/>
      <c r="I159" s="62"/>
      <c r="J159" s="62"/>
      <c r="K159" s="60"/>
      <c r="L159" s="138"/>
      <c r="M159" s="62"/>
      <c r="N159" s="62"/>
      <c r="O159" s="60"/>
      <c r="P159" s="84"/>
      <c r="Q159" s="65"/>
      <c r="R159" s="67" t="str">
        <f aca="false">IF(ISBLANK($C159),"",IF(E159=Constants!$B$2, TRUE(), IF(E159=Constants!$B$3, FALSE(), TRUE())))</f>
        <v/>
      </c>
      <c r="S159" s="67" t="str">
        <f aca="false">IF(ISBLANK($C159),"",IF(F159=Constants!$B$2, TRUE(), IF(F159=Constants!$B$3, FALSE(), TRUE())))</f>
        <v/>
      </c>
      <c r="T159" s="67" t="str">
        <f aca="false">IF(ISBLANK($C159),"",IF(G159=Constants!$B$16,Constants!$B$9,IF(G159=Constants!$B$17,Constants!$B$10,Constants!$B$8)))</f>
        <v/>
      </c>
      <c r="U159" s="67" t="str">
        <f aca="false">IF(ISBLANK($C159),"",IF(H159=Constants!$B$19,Constants!$B$19,Constants!$B$18))</f>
        <v/>
      </c>
      <c r="V159" s="67" t="str">
        <f aca="false">IF(ISBLANK($C159),"",IF(ISNUMBER(I159),IF(I159&gt;=0,I159,""),""))</f>
        <v/>
      </c>
      <c r="W159" s="67" t="str">
        <f aca="false">IF(ISBLANK($C159),"",IF(J159=Constants!$B$2, TRUE(), IF(J159=Constants!$B$3, FALSE(), TRUE())))</f>
        <v/>
      </c>
      <c r="X159" s="67" t="str">
        <f aca="false">IF(ISBLANK($C159),"",IF(K159=Constants!$B$2, TRUE(), IF(K159=Constants!$B$3, FALSE(), TRUE())))</f>
        <v/>
      </c>
      <c r="Y159" s="67" t="str">
        <f aca="false">IF(ISBLANK($C159),"",IF(L159=Constants!$B$19,Constants!$B$19,Constants!$B$18))</f>
        <v/>
      </c>
      <c r="Z159" s="67" t="str">
        <f aca="false">IF(ISBLANK($C159),"",IF(ISNUMBER(M159),IF(M159&gt;=0,M159,""),""))</f>
        <v/>
      </c>
      <c r="AA159" s="67" t="str">
        <f aca="false">IF(ISBLANK($C159),"",IF(N159=Constants!$B$2, TRUE(), IF(N159=Constants!$B$3, FALSE(), TRUE())))</f>
        <v/>
      </c>
      <c r="AB159" s="67" t="str">
        <f aca="false">IF(ISBLANK($C159),"",IF(O159=Constants!$B$2, TRUE(), IF(O159=Constants!$B$3, FALSE(), TRUE())))</f>
        <v/>
      </c>
      <c r="AC159" s="67" t="str">
        <f aca="false">IF(ISBLANK($C159),"",IF(P159=Constants!$B$2, TRUE(), IF(P159=Constants!$B$3, FALSE(), FALSE())))</f>
        <v/>
      </c>
      <c r="AD159" s="67" t="str">
        <f aca="false">IF(ISBLANK($C159),"",AND(V159&lt;&gt;"",IF(U159=Constants!$B$19,S159,R159)))</f>
        <v/>
      </c>
      <c r="AE159" s="67" t="str">
        <f aca="false">IF(ISBLANK($C159),"",AND(Z159&lt;&gt;"",IF(Y159=Constants!$B$19,S159,R159)))</f>
        <v/>
      </c>
      <c r="AF159" s="67" t="str">
        <f aca="false">IF(ISBLANK($C159),"",IF(AC159,Constants!$B$4,IF(COUNTA(E159:O159)=0,Constants!$B$5,IF(AND(NOT(AD159),NOT(AE159)),Constants!$B$6,Constants!$B$7))))</f>
        <v/>
      </c>
      <c r="AG159" s="67" t="str">
        <f aca="false">IF(ISBLANK($C159),"",IF($AF159&lt;&gt;Constants!$B$7,$AF159,Constants!$B$20))</f>
        <v/>
      </c>
      <c r="AH159" s="67" t="str">
        <f aca="false">IF($AF159=Constants!$B$7,IF(AD159,V159,Constants!$B$13),"")</f>
        <v/>
      </c>
      <c r="AI159" s="67" t="str">
        <f aca="false">IF($AF159=Constants!$B$7,IF(AD159,T159*IF(W159, 1, Constants!$B$11)*IF(X159, 1, Constants!$B$12),Constants!$B$13),"")</f>
        <v/>
      </c>
      <c r="AJ159" s="67" t="str">
        <f aca="false">IF($AF159=Constants!$B$7,AH159*AI159,"")</f>
        <v/>
      </c>
      <c r="AK159" s="67" t="str">
        <f aca="false">IF($AF159=Constants!$B$7,IF(AE159,Z159,Constants!$B$13),"")</f>
        <v/>
      </c>
      <c r="AL159" s="67" t="str">
        <f aca="false">IF($AF159=Constants!$B$7,IF(AE159,T159*IF(AA159, 1, Constants!$B$11)*IF(AB159, 1, Constants!$B$12),Constants!$B$13),"")</f>
        <v/>
      </c>
      <c r="AM159" s="67" t="str">
        <f aca="false">IF($AF159=Constants!$B$7,AK159*AL159,"")</f>
        <v/>
      </c>
      <c r="AN159" s="67" t="str">
        <f aca="false">IF($AF159=Constants!$B$7,IF(AM159&gt;AJ159,2,1),"")</f>
        <v/>
      </c>
      <c r="AO159" s="67" t="str">
        <f aca="false">IF($AF159=Constants!$B$7,IF(AN159=1,2,1),"")</f>
        <v/>
      </c>
      <c r="AP159" s="67" t="str">
        <f aca="false">IF(ISBLANK($C159),"",IF($AF159&lt;&gt;Constants!$B$7,$AF159,IF(AN159=1,AJ159,AM159)))</f>
        <v/>
      </c>
      <c r="AQ159" s="67" t="str">
        <f aca="false">IF(ISBLANK($C159),"",IF($AF159=Constants!$B$7,IF(ISNUMBER(AP159),RANK(AP159,$AP$8:$AP$507),Constants!$B$14),$AF159))</f>
        <v/>
      </c>
      <c r="AR159" s="67" t="str">
        <f aca="false">IF(ISBLANK($C159),"",IF($AF159=Constants!$B$7,IF(AO159=1,AJ159,AM159),""))</f>
        <v/>
      </c>
      <c r="AS159" s="67" t="str">
        <f aca="false">IF(ISBLANK($C159),"",IF($AF159=Constants!$B$7,RANK(AR159,$AR$8:$AR$507),$AF159))</f>
        <v/>
      </c>
      <c r="AT159" s="67" t="str">
        <f aca="false">IF(ISBLANK($C159),"",IF($AF159=Constants!$B$7,IF(ISNUMBER(AQ159),COUNTIFS($AQ$8:$AQ$507,"&lt;"&amp;$AQ159)+COUNTIFS($AQ$8:$AQ$507,$AQ159,$AS$8:$AS$507,"&lt;"&amp;$AS159)+1,Constants!$B$14),$AF159))</f>
        <v/>
      </c>
      <c r="AU159" s="67" t="str">
        <f aca="false">IF(ISBLANK($C159),"",IF($AF159=Constants!$B$7,IF(ISNUMBER(AQ159),AQ159-AT159,Constants!$B$14),$AF159))</f>
        <v/>
      </c>
      <c r="AV159" s="69"/>
      <c r="AW159" s="70" t="str">
        <f aca="false">IF(ISBLANK($C159),"",IF($AF159&lt;&gt;Constants!$B$7,"",AN159))</f>
        <v/>
      </c>
      <c r="AX159" s="85" t="str">
        <f aca="false">IF(ISBLANK($C159),"",IF($AF159&lt;&gt;Constants!$B$7,"",IF(AN159=1,AH159,AK159)))</f>
        <v/>
      </c>
      <c r="AY159" s="72" t="str">
        <f aca="false">IF(ISBLANK($C159),"",IF($AF159&lt;&gt;Constants!$B$7,"",IF(AN159=1,AI159,AL159)))</f>
        <v/>
      </c>
      <c r="AZ159" s="73" t="str">
        <f aca="false">IF(ISBLANK($C159),"",IF($AF159&lt;&gt;Constants!$B$7,$AF159,AP159))</f>
        <v/>
      </c>
      <c r="BA159" s="74" t="str">
        <f aca="false">IF(ISBLANK($C159),"",IF($AF159&lt;&gt;Constants!$B$7,$AF159,AG159))</f>
        <v/>
      </c>
      <c r="BB159" s="75" t="str">
        <f aca="false">IF(ISBLANK($C159),"",AU159)</f>
        <v/>
      </c>
      <c r="BC159" s="75" t="str">
        <f aca="false">IF(ISBLANK($C159),"",AT159)</f>
        <v/>
      </c>
      <c r="BD159" s="76" t="str">
        <f aca="false">IF(ISBLANK($C159),"",IFERROR(_xlfn.SWITCH(BC159,Constants!$B$4,COUNTA($C$8:$C$507)+2,Constants!$B$5,COUNTA($C$8:$C$507)+1,Constants!$B$6,COUNTA($C$8:$C$507)),BC159))</f>
        <v/>
      </c>
      <c r="BE159" s="5"/>
      <c r="BF159" s="77" t="n">
        <f aca="false">IF(OR(ISNUMBER(BC159),BC159=Constants!$B$4,BC159=Constants!$B$6,BC159=Constants!$B$5),1,0)</f>
        <v>0</v>
      </c>
      <c r="BG159" s="77" t="n">
        <v>152</v>
      </c>
      <c r="BH159" s="77" t="str">
        <f aca="false">IF(ISBLANK($C159),"",IF(ISNUMBER(BD159),BD159+ROW($B159)/1000,""))</f>
        <v/>
      </c>
      <c r="BI159" s="77" t="str">
        <f aca="false">IF(ISNUMBER(BH159),RANK(BH159,$BH$8:$BH$507,1),"")</f>
        <v/>
      </c>
      <c r="BJ159" s="77" t="str">
        <f aca="false">IF(ISBLANK($C159),"",$B159)</f>
        <v/>
      </c>
      <c r="BK159" s="77" t="str">
        <f aca="false">IF(ISBLANK($C159),"",$C159)</f>
        <v/>
      </c>
      <c r="BL159" s="77" t="str">
        <f aca="false">IF(ISBLANK($C159),"",$D159)</f>
        <v/>
      </c>
      <c r="BM159" s="78" t="str">
        <f aca="false">BA159</f>
        <v/>
      </c>
      <c r="BN159" s="79" t="str">
        <f aca="false">AZ159</f>
        <v/>
      </c>
      <c r="BO159" s="77" t="str">
        <f aca="false">IF(ISBLANK($C159),"",BC159)</f>
        <v/>
      </c>
      <c r="BP159" s="80" t="str">
        <f aca="false">IF($BG159&gt;$BF$7,"",VLOOKUP($BG159,$BI$8:$BO$507,7,FALSE()))</f>
        <v/>
      </c>
      <c r="BQ159" s="81" t="str">
        <f aca="false">IF($BG159&gt;$BF$7,"",VLOOKUP($BG159,$BI$8:$BO$507,2,FALSE()))</f>
        <v/>
      </c>
      <c r="BR159" s="81" t="str">
        <f aca="false">IF($BG159&gt;$BF$7,"",VLOOKUP($BG159,$BI$8:$BO$507,3,FALSE()))</f>
        <v/>
      </c>
      <c r="BS159" s="81" t="str">
        <f aca="false">IF($BG159&gt;$BF$7,"",VLOOKUP($BG159,$BI$8:$BO$507,4,FALSE()))</f>
        <v/>
      </c>
      <c r="BT159" s="81" t="str">
        <f aca="false">IF($BG159&gt;$BF$7,"",VLOOKUP($BG159,$BI$8:$BO$507,5,FALSE()))</f>
        <v/>
      </c>
      <c r="BU159" s="82" t="str">
        <f aca="false">IF($BG159&gt;$BF$7,"",VLOOKUP($BG159,$BI$8:$BO$507,6,FALSE()))</f>
        <v/>
      </c>
      <c r="BV159" s="54"/>
    </row>
    <row r="160" customFormat="false" ht="15.75" hidden="false" customHeight="false" outlineLevel="0" collapsed="false">
      <c r="A160" s="5"/>
      <c r="B160" s="135"/>
      <c r="C160" s="56"/>
      <c r="D160" s="57"/>
      <c r="E160" s="84"/>
      <c r="F160" s="136"/>
      <c r="G160" s="60"/>
      <c r="H160" s="137"/>
      <c r="I160" s="62"/>
      <c r="J160" s="62"/>
      <c r="K160" s="60"/>
      <c r="L160" s="138"/>
      <c r="M160" s="62"/>
      <c r="N160" s="62"/>
      <c r="O160" s="60"/>
      <c r="P160" s="84"/>
      <c r="Q160" s="65"/>
      <c r="R160" s="67" t="str">
        <f aca="false">IF(ISBLANK($C160),"",IF(E160=Constants!$B$2, TRUE(), IF(E160=Constants!$B$3, FALSE(), TRUE())))</f>
        <v/>
      </c>
      <c r="S160" s="67" t="str">
        <f aca="false">IF(ISBLANK($C160),"",IF(F160=Constants!$B$2, TRUE(), IF(F160=Constants!$B$3, FALSE(), TRUE())))</f>
        <v/>
      </c>
      <c r="T160" s="67" t="str">
        <f aca="false">IF(ISBLANK($C160),"",IF(G160=Constants!$B$16,Constants!$B$9,IF(G160=Constants!$B$17,Constants!$B$10,Constants!$B$8)))</f>
        <v/>
      </c>
      <c r="U160" s="67" t="str">
        <f aca="false">IF(ISBLANK($C160),"",IF(H160=Constants!$B$19,Constants!$B$19,Constants!$B$18))</f>
        <v/>
      </c>
      <c r="V160" s="67" t="str">
        <f aca="false">IF(ISBLANK($C160),"",IF(ISNUMBER(I160),IF(I160&gt;=0,I160,""),""))</f>
        <v/>
      </c>
      <c r="W160" s="67" t="str">
        <f aca="false">IF(ISBLANK($C160),"",IF(J160=Constants!$B$2, TRUE(), IF(J160=Constants!$B$3, FALSE(), TRUE())))</f>
        <v/>
      </c>
      <c r="X160" s="67" t="str">
        <f aca="false">IF(ISBLANK($C160),"",IF(K160=Constants!$B$2, TRUE(), IF(K160=Constants!$B$3, FALSE(), TRUE())))</f>
        <v/>
      </c>
      <c r="Y160" s="67" t="str">
        <f aca="false">IF(ISBLANK($C160),"",IF(L160=Constants!$B$19,Constants!$B$19,Constants!$B$18))</f>
        <v/>
      </c>
      <c r="Z160" s="67" t="str">
        <f aca="false">IF(ISBLANK($C160),"",IF(ISNUMBER(M160),IF(M160&gt;=0,M160,""),""))</f>
        <v/>
      </c>
      <c r="AA160" s="67" t="str">
        <f aca="false">IF(ISBLANK($C160),"",IF(N160=Constants!$B$2, TRUE(), IF(N160=Constants!$B$3, FALSE(), TRUE())))</f>
        <v/>
      </c>
      <c r="AB160" s="67" t="str">
        <f aca="false">IF(ISBLANK($C160),"",IF(O160=Constants!$B$2, TRUE(), IF(O160=Constants!$B$3, FALSE(), TRUE())))</f>
        <v/>
      </c>
      <c r="AC160" s="67" t="str">
        <f aca="false">IF(ISBLANK($C160),"",IF(P160=Constants!$B$2, TRUE(), IF(P160=Constants!$B$3, FALSE(), FALSE())))</f>
        <v/>
      </c>
      <c r="AD160" s="67" t="str">
        <f aca="false">IF(ISBLANK($C160),"",AND(V160&lt;&gt;"",IF(U160=Constants!$B$19,S160,R160)))</f>
        <v/>
      </c>
      <c r="AE160" s="67" t="str">
        <f aca="false">IF(ISBLANK($C160),"",AND(Z160&lt;&gt;"",IF(Y160=Constants!$B$19,S160,R160)))</f>
        <v/>
      </c>
      <c r="AF160" s="67" t="str">
        <f aca="false">IF(ISBLANK($C160),"",IF(AC160,Constants!$B$4,IF(COUNTA(E160:O160)=0,Constants!$B$5,IF(AND(NOT(AD160),NOT(AE160)),Constants!$B$6,Constants!$B$7))))</f>
        <v/>
      </c>
      <c r="AG160" s="67" t="str">
        <f aca="false">IF(ISBLANK($C160),"",IF($AF160&lt;&gt;Constants!$B$7,$AF160,Constants!$B$20))</f>
        <v/>
      </c>
      <c r="AH160" s="67" t="str">
        <f aca="false">IF($AF160=Constants!$B$7,IF(AD160,V160,Constants!$B$13),"")</f>
        <v/>
      </c>
      <c r="AI160" s="67" t="str">
        <f aca="false">IF($AF160=Constants!$B$7,IF(AD160,T160*IF(W160, 1, Constants!$B$11)*IF(X160, 1, Constants!$B$12),Constants!$B$13),"")</f>
        <v/>
      </c>
      <c r="AJ160" s="67" t="str">
        <f aca="false">IF($AF160=Constants!$B$7,AH160*AI160,"")</f>
        <v/>
      </c>
      <c r="AK160" s="67" t="str">
        <f aca="false">IF($AF160=Constants!$B$7,IF(AE160,Z160,Constants!$B$13),"")</f>
        <v/>
      </c>
      <c r="AL160" s="67" t="str">
        <f aca="false">IF($AF160=Constants!$B$7,IF(AE160,T160*IF(AA160, 1, Constants!$B$11)*IF(AB160, 1, Constants!$B$12),Constants!$B$13),"")</f>
        <v/>
      </c>
      <c r="AM160" s="67" t="str">
        <f aca="false">IF($AF160=Constants!$B$7,AK160*AL160,"")</f>
        <v/>
      </c>
      <c r="AN160" s="67" t="str">
        <f aca="false">IF($AF160=Constants!$B$7,IF(AM160&gt;AJ160,2,1),"")</f>
        <v/>
      </c>
      <c r="AO160" s="67" t="str">
        <f aca="false">IF($AF160=Constants!$B$7,IF(AN160=1,2,1),"")</f>
        <v/>
      </c>
      <c r="AP160" s="67" t="str">
        <f aca="false">IF(ISBLANK($C160),"",IF($AF160&lt;&gt;Constants!$B$7,$AF160,IF(AN160=1,AJ160,AM160)))</f>
        <v/>
      </c>
      <c r="AQ160" s="67" t="str">
        <f aca="false">IF(ISBLANK($C160),"",IF($AF160=Constants!$B$7,IF(ISNUMBER(AP160),RANK(AP160,$AP$8:$AP$507),Constants!$B$14),$AF160))</f>
        <v/>
      </c>
      <c r="AR160" s="67" t="str">
        <f aca="false">IF(ISBLANK($C160),"",IF($AF160=Constants!$B$7,IF(AO160=1,AJ160,AM160),""))</f>
        <v/>
      </c>
      <c r="AS160" s="67" t="str">
        <f aca="false">IF(ISBLANK($C160),"",IF($AF160=Constants!$B$7,RANK(AR160,$AR$8:$AR$507),$AF160))</f>
        <v/>
      </c>
      <c r="AT160" s="67" t="str">
        <f aca="false">IF(ISBLANK($C160),"",IF($AF160=Constants!$B$7,IF(ISNUMBER(AQ160),COUNTIFS($AQ$8:$AQ$507,"&lt;"&amp;$AQ160)+COUNTIFS($AQ$8:$AQ$507,$AQ160,$AS$8:$AS$507,"&lt;"&amp;$AS160)+1,Constants!$B$14),$AF160))</f>
        <v/>
      </c>
      <c r="AU160" s="67" t="str">
        <f aca="false">IF(ISBLANK($C160),"",IF($AF160=Constants!$B$7,IF(ISNUMBER(AQ160),AQ160-AT160,Constants!$B$14),$AF160))</f>
        <v/>
      </c>
      <c r="AV160" s="69"/>
      <c r="AW160" s="70" t="str">
        <f aca="false">IF(ISBLANK($C160),"",IF($AF160&lt;&gt;Constants!$B$7,"",AN160))</f>
        <v/>
      </c>
      <c r="AX160" s="85" t="str">
        <f aca="false">IF(ISBLANK($C160),"",IF($AF160&lt;&gt;Constants!$B$7,"",IF(AN160=1,AH160,AK160)))</f>
        <v/>
      </c>
      <c r="AY160" s="72" t="str">
        <f aca="false">IF(ISBLANK($C160),"",IF($AF160&lt;&gt;Constants!$B$7,"",IF(AN160=1,AI160,AL160)))</f>
        <v/>
      </c>
      <c r="AZ160" s="73" t="str">
        <f aca="false">IF(ISBLANK($C160),"",IF($AF160&lt;&gt;Constants!$B$7,$AF160,AP160))</f>
        <v/>
      </c>
      <c r="BA160" s="74" t="str">
        <f aca="false">IF(ISBLANK($C160),"",IF($AF160&lt;&gt;Constants!$B$7,$AF160,AG160))</f>
        <v/>
      </c>
      <c r="BB160" s="75" t="str">
        <f aca="false">IF(ISBLANK($C160),"",AU160)</f>
        <v/>
      </c>
      <c r="BC160" s="75" t="str">
        <f aca="false">IF(ISBLANK($C160),"",AT160)</f>
        <v/>
      </c>
      <c r="BD160" s="76" t="str">
        <f aca="false">IF(ISBLANK($C160),"",IFERROR(_xlfn.SWITCH(BC160,Constants!$B$4,COUNTA($C$8:$C$507)+2,Constants!$B$5,COUNTA($C$8:$C$507)+1,Constants!$B$6,COUNTA($C$8:$C$507)),BC160))</f>
        <v/>
      </c>
      <c r="BE160" s="5"/>
      <c r="BF160" s="77" t="n">
        <f aca="false">IF(OR(ISNUMBER(BC160),BC160=Constants!$B$4,BC160=Constants!$B$6,BC160=Constants!$B$5),1,0)</f>
        <v>0</v>
      </c>
      <c r="BG160" s="77" t="n">
        <v>153</v>
      </c>
      <c r="BH160" s="77" t="str">
        <f aca="false">IF(ISBLANK($C160),"",IF(ISNUMBER(BD160),BD160+ROW($B160)/1000,""))</f>
        <v/>
      </c>
      <c r="BI160" s="77" t="str">
        <f aca="false">IF(ISNUMBER(BH160),RANK(BH160,$BH$8:$BH$507,1),"")</f>
        <v/>
      </c>
      <c r="BJ160" s="77" t="str">
        <f aca="false">IF(ISBLANK($C160),"",$B160)</f>
        <v/>
      </c>
      <c r="BK160" s="77" t="str">
        <f aca="false">IF(ISBLANK($C160),"",$C160)</f>
        <v/>
      </c>
      <c r="BL160" s="77" t="str">
        <f aca="false">IF(ISBLANK($C160),"",$D160)</f>
        <v/>
      </c>
      <c r="BM160" s="78" t="str">
        <f aca="false">BA160</f>
        <v/>
      </c>
      <c r="BN160" s="79" t="str">
        <f aca="false">AZ160</f>
        <v/>
      </c>
      <c r="BO160" s="77" t="str">
        <f aca="false">IF(ISBLANK($C160),"",BC160)</f>
        <v/>
      </c>
      <c r="BP160" s="80" t="str">
        <f aca="false">IF($BG160&gt;$BF$7,"",VLOOKUP($BG160,$BI$8:$BO$507,7,FALSE()))</f>
        <v/>
      </c>
      <c r="BQ160" s="81" t="str">
        <f aca="false">IF($BG160&gt;$BF$7,"",VLOOKUP($BG160,$BI$8:$BO$507,2,FALSE()))</f>
        <v/>
      </c>
      <c r="BR160" s="81" t="str">
        <f aca="false">IF($BG160&gt;$BF$7,"",VLOOKUP($BG160,$BI$8:$BO$507,3,FALSE()))</f>
        <v/>
      </c>
      <c r="BS160" s="81" t="str">
        <f aca="false">IF($BG160&gt;$BF$7,"",VLOOKUP($BG160,$BI$8:$BO$507,4,FALSE()))</f>
        <v/>
      </c>
      <c r="BT160" s="81" t="str">
        <f aca="false">IF($BG160&gt;$BF$7,"",VLOOKUP($BG160,$BI$8:$BO$507,5,FALSE()))</f>
        <v/>
      </c>
      <c r="BU160" s="82" t="str">
        <f aca="false">IF($BG160&gt;$BF$7,"",VLOOKUP($BG160,$BI$8:$BO$507,6,FALSE()))</f>
        <v/>
      </c>
      <c r="BV160" s="54"/>
    </row>
    <row r="161" customFormat="false" ht="15.75" hidden="false" customHeight="false" outlineLevel="0" collapsed="false">
      <c r="A161" s="5"/>
      <c r="B161" s="128"/>
      <c r="C161" s="129"/>
      <c r="D161" s="114"/>
      <c r="E161" s="134"/>
      <c r="F161" s="139"/>
      <c r="G161" s="93"/>
      <c r="H161" s="140"/>
      <c r="I161" s="95"/>
      <c r="J161" s="95"/>
      <c r="K161" s="93"/>
      <c r="L161" s="141"/>
      <c r="M161" s="95"/>
      <c r="N161" s="95"/>
      <c r="O161" s="93"/>
      <c r="P161" s="134"/>
      <c r="Q161" s="98"/>
      <c r="R161" s="99" t="str">
        <f aca="false">IF(ISBLANK($C161),"",IF(E161=Constants!$B$2, TRUE(), IF(E161=Constants!$B$3, FALSE(), TRUE())))</f>
        <v/>
      </c>
      <c r="S161" s="99" t="str">
        <f aca="false">IF(ISBLANK($C161),"",IF(F161=Constants!$B$2, TRUE(), IF(F161=Constants!$B$3, FALSE(), TRUE())))</f>
        <v/>
      </c>
      <c r="T161" s="99" t="str">
        <f aca="false">IF(ISBLANK($C161),"",IF(G161=Constants!$B$16,Constants!$B$9,IF(G161=Constants!$B$17,Constants!$B$10,Constants!$B$8)))</f>
        <v/>
      </c>
      <c r="U161" s="99" t="str">
        <f aca="false">IF(ISBLANK($C161),"",IF(H161=Constants!$B$19,Constants!$B$19,Constants!$B$18))</f>
        <v/>
      </c>
      <c r="V161" s="99" t="str">
        <f aca="false">IF(ISBLANK($C161),"",IF(ISNUMBER(I161),IF(I161&gt;=0,I161,""),""))</f>
        <v/>
      </c>
      <c r="W161" s="99" t="str">
        <f aca="false">IF(ISBLANK($C161),"",IF(J161=Constants!$B$2, TRUE(), IF(J161=Constants!$B$3, FALSE(), TRUE())))</f>
        <v/>
      </c>
      <c r="X161" s="99" t="str">
        <f aca="false">IF(ISBLANK($C161),"",IF(K161=Constants!$B$2, TRUE(), IF(K161=Constants!$B$3, FALSE(), TRUE())))</f>
        <v/>
      </c>
      <c r="Y161" s="99" t="str">
        <f aca="false">IF(ISBLANK($C161),"",IF(L161=Constants!$B$19,Constants!$B$19,Constants!$B$18))</f>
        <v/>
      </c>
      <c r="Z161" s="99" t="str">
        <f aca="false">IF(ISBLANK($C161),"",IF(ISNUMBER(M161),IF(M161&gt;=0,M161,""),""))</f>
        <v/>
      </c>
      <c r="AA161" s="99" t="str">
        <f aca="false">IF(ISBLANK($C161),"",IF(N161=Constants!$B$2, TRUE(), IF(N161=Constants!$B$3, FALSE(), TRUE())))</f>
        <v/>
      </c>
      <c r="AB161" s="99" t="str">
        <f aca="false">IF(ISBLANK($C161),"",IF(O161=Constants!$B$2, TRUE(), IF(O161=Constants!$B$3, FALSE(), TRUE())))</f>
        <v/>
      </c>
      <c r="AC161" s="99" t="str">
        <f aca="false">IF(ISBLANK($C161),"",IF(P161=Constants!$B$2, TRUE(), IF(P161=Constants!$B$3, FALSE(), FALSE())))</f>
        <v/>
      </c>
      <c r="AD161" s="99" t="str">
        <f aca="false">IF(ISBLANK($C161),"",AND(V161&lt;&gt;"",IF(U161=Constants!$B$19,S161,R161)))</f>
        <v/>
      </c>
      <c r="AE161" s="99" t="str">
        <f aca="false">IF(ISBLANK($C161),"",AND(Z161&lt;&gt;"",IF(Y161=Constants!$B$19,S161,R161)))</f>
        <v/>
      </c>
      <c r="AF161" s="99" t="str">
        <f aca="false">IF(ISBLANK($C161),"",IF(AC161,Constants!$B$4,IF(COUNTA(E161:O161)=0,Constants!$B$5,IF(AND(NOT(AD161),NOT(AE161)),Constants!$B$6,Constants!$B$7))))</f>
        <v/>
      </c>
      <c r="AG161" s="99" t="str">
        <f aca="false">IF(ISBLANK($C161),"",IF($AF161&lt;&gt;Constants!$B$7,$AF161,Constants!$B$20))</f>
        <v/>
      </c>
      <c r="AH161" s="99" t="str">
        <f aca="false">IF($AF161=Constants!$B$7,IF(AD161,V161,Constants!$B$13),"")</f>
        <v/>
      </c>
      <c r="AI161" s="99" t="str">
        <f aca="false">IF($AF161=Constants!$B$7,IF(AD161,T161*IF(W161, 1, Constants!$B$11)*IF(X161, 1, Constants!$B$12),Constants!$B$13),"")</f>
        <v/>
      </c>
      <c r="AJ161" s="99" t="str">
        <f aca="false">IF($AF161=Constants!$B$7,AH161*AI161,"")</f>
        <v/>
      </c>
      <c r="AK161" s="99" t="str">
        <f aca="false">IF($AF161=Constants!$B$7,IF(AE161,Z161,Constants!$B$13),"")</f>
        <v/>
      </c>
      <c r="AL161" s="99" t="str">
        <f aca="false">IF($AF161=Constants!$B$7,IF(AE161,T161*IF(AA161, 1, Constants!$B$11)*IF(AB161, 1, Constants!$B$12),Constants!$B$13),"")</f>
        <v/>
      </c>
      <c r="AM161" s="99" t="str">
        <f aca="false">IF($AF161=Constants!$B$7,AK161*AL161,"")</f>
        <v/>
      </c>
      <c r="AN161" s="99" t="str">
        <f aca="false">IF($AF161=Constants!$B$7,IF(AM161&gt;AJ161,2,1),"")</f>
        <v/>
      </c>
      <c r="AO161" s="99" t="str">
        <f aca="false">IF($AF161=Constants!$B$7,IF(AN161=1,2,1),"")</f>
        <v/>
      </c>
      <c r="AP161" s="99" t="str">
        <f aca="false">IF(ISBLANK($C161),"",IF($AF161&lt;&gt;Constants!$B$7,$AF161,IF(AN161=1,AJ161,AM161)))</f>
        <v/>
      </c>
      <c r="AQ161" s="99" t="str">
        <f aca="false">IF(ISBLANK($C161),"",IF($AF161=Constants!$B$7,IF(ISNUMBER(AP161),RANK(AP161,$AP$8:$AP$507),Constants!$B$14),$AF161))</f>
        <v/>
      </c>
      <c r="AR161" s="99" t="str">
        <f aca="false">IF(ISBLANK($C161),"",IF($AF161=Constants!$B$7,IF(AO161=1,AJ161,AM161),""))</f>
        <v/>
      </c>
      <c r="AS161" s="99" t="str">
        <f aca="false">IF(ISBLANK($C161),"",IF($AF161=Constants!$B$7,RANK(AR161,$AR$8:$AR$507),$AF161))</f>
        <v/>
      </c>
      <c r="AT161" s="99" t="str">
        <f aca="false">IF(ISBLANK($C161),"",IF($AF161=Constants!$B$7,IF(ISNUMBER(AQ161),COUNTIFS($AQ$8:$AQ$507,"&lt;"&amp;$AQ161)+COUNTIFS($AQ$8:$AQ$507,$AQ161,$AS$8:$AS$507,"&lt;"&amp;$AS161)+1,Constants!$B$14),$AF161))</f>
        <v/>
      </c>
      <c r="AU161" s="99" t="str">
        <f aca="false">IF(ISBLANK($C161),"",IF($AF161=Constants!$B$7,IF(ISNUMBER(AQ161),AQ161-AT161,Constants!$B$14),$AF161))</f>
        <v/>
      </c>
      <c r="AV161" s="100"/>
      <c r="AW161" s="101" t="str">
        <f aca="false">IF(ISBLANK($C161),"",IF($AF161&lt;&gt;Constants!$B$7,"",AN161))</f>
        <v/>
      </c>
      <c r="AX161" s="102" t="str">
        <f aca="false">IF(ISBLANK($C161),"",IF($AF161&lt;&gt;Constants!$B$7,"",IF(AN161=1,AH161,AK161)))</f>
        <v/>
      </c>
      <c r="AY161" s="103" t="str">
        <f aca="false">IF(ISBLANK($C161),"",IF($AF161&lt;&gt;Constants!$B$7,"",IF(AN161=1,AI161,AL161)))</f>
        <v/>
      </c>
      <c r="AZ161" s="104" t="str">
        <f aca="false">IF(ISBLANK($C161),"",IF($AF161&lt;&gt;Constants!$B$7,$AF161,AP161))</f>
        <v/>
      </c>
      <c r="BA161" s="105" t="str">
        <f aca="false">IF(ISBLANK($C161),"",IF($AF161&lt;&gt;Constants!$B$7,$AF161,AG161))</f>
        <v/>
      </c>
      <c r="BB161" s="106" t="str">
        <f aca="false">IF(ISBLANK($C161),"",AU161)</f>
        <v/>
      </c>
      <c r="BC161" s="106" t="str">
        <f aca="false">IF(ISBLANK($C161),"",AT161)</f>
        <v/>
      </c>
      <c r="BD161" s="107" t="str">
        <f aca="false">IF(ISBLANK($C161),"",IFERROR(_xlfn.SWITCH(BC161,Constants!$B$4,COUNTA($C$8:$C$507)+2,Constants!$B$5,COUNTA($C$8:$C$507)+1,Constants!$B$6,COUNTA($C$8:$C$507)),BC161))</f>
        <v/>
      </c>
      <c r="BE161" s="5"/>
      <c r="BF161" s="108" t="n">
        <f aca="false">IF(OR(ISNUMBER(BC161),BC161=Constants!$B$4,BC161=Constants!$B$6,BC161=Constants!$B$5),1,0)</f>
        <v>0</v>
      </c>
      <c r="BG161" s="108" t="n">
        <v>154</v>
      </c>
      <c r="BH161" s="108" t="str">
        <f aca="false">IF(ISBLANK($C161),"",IF(ISNUMBER(BD161),BD161+ROW($B161)/1000,""))</f>
        <v/>
      </c>
      <c r="BI161" s="108" t="str">
        <f aca="false">IF(ISNUMBER(BH161),RANK(BH161,$BH$8:$BH$507,1),"")</f>
        <v/>
      </c>
      <c r="BJ161" s="108" t="str">
        <f aca="false">IF(ISBLANK($C161),"",$B161)</f>
        <v/>
      </c>
      <c r="BK161" s="108" t="str">
        <f aca="false">IF(ISBLANK($C161),"",$C161)</f>
        <v/>
      </c>
      <c r="BL161" s="108" t="str">
        <f aca="false">IF(ISBLANK($C161),"",$D161)</f>
        <v/>
      </c>
      <c r="BM161" s="109" t="str">
        <f aca="false">BA161</f>
        <v/>
      </c>
      <c r="BN161" s="110" t="str">
        <f aca="false">AZ161</f>
        <v/>
      </c>
      <c r="BO161" s="108" t="str">
        <f aca="false">IF(ISBLANK($C161),"",BC161)</f>
        <v/>
      </c>
      <c r="BP161" s="111" t="str">
        <f aca="false">IF($BG161&gt;$BF$7,"",VLOOKUP($BG161,$BI$8:$BO$507,7,FALSE()))</f>
        <v/>
      </c>
      <c r="BQ161" s="112" t="str">
        <f aca="false">IF($BG161&gt;$BF$7,"",VLOOKUP($BG161,$BI$8:$BO$507,2,FALSE()))</f>
        <v/>
      </c>
      <c r="BR161" s="112" t="str">
        <f aca="false">IF($BG161&gt;$BF$7,"",VLOOKUP($BG161,$BI$8:$BO$507,3,FALSE()))</f>
        <v/>
      </c>
      <c r="BS161" s="112" t="str">
        <f aca="false">IF($BG161&gt;$BF$7,"",VLOOKUP($BG161,$BI$8:$BO$507,4,FALSE()))</f>
        <v/>
      </c>
      <c r="BT161" s="112" t="str">
        <f aca="false">IF($BG161&gt;$BF$7,"",VLOOKUP($BG161,$BI$8:$BO$507,5,FALSE()))</f>
        <v/>
      </c>
      <c r="BU161" s="113" t="str">
        <f aca="false">IF($BG161&gt;$BF$7,"",VLOOKUP($BG161,$BI$8:$BO$507,6,FALSE()))</f>
        <v/>
      </c>
      <c r="BV161" s="54"/>
    </row>
    <row r="162" customFormat="false" ht="15.75" hidden="false" customHeight="false" outlineLevel="0" collapsed="false">
      <c r="A162" s="5"/>
      <c r="B162" s="128"/>
      <c r="C162" s="129"/>
      <c r="D162" s="114"/>
      <c r="E162" s="134"/>
      <c r="F162" s="139"/>
      <c r="G162" s="93"/>
      <c r="H162" s="140"/>
      <c r="I162" s="95"/>
      <c r="J162" s="95"/>
      <c r="K162" s="93"/>
      <c r="L162" s="141"/>
      <c r="M162" s="95"/>
      <c r="N162" s="95"/>
      <c r="O162" s="93"/>
      <c r="P162" s="134"/>
      <c r="Q162" s="98"/>
      <c r="R162" s="99" t="str">
        <f aca="false">IF(ISBLANK($C162),"",IF(E162=Constants!$B$2, TRUE(), IF(E162=Constants!$B$3, FALSE(), TRUE())))</f>
        <v/>
      </c>
      <c r="S162" s="99" t="str">
        <f aca="false">IF(ISBLANK($C162),"",IF(F162=Constants!$B$2, TRUE(), IF(F162=Constants!$B$3, FALSE(), TRUE())))</f>
        <v/>
      </c>
      <c r="T162" s="99" t="str">
        <f aca="false">IF(ISBLANK($C162),"",IF(G162=Constants!$B$16,Constants!$B$9,IF(G162=Constants!$B$17,Constants!$B$10,Constants!$B$8)))</f>
        <v/>
      </c>
      <c r="U162" s="99" t="str">
        <f aca="false">IF(ISBLANK($C162),"",IF(H162=Constants!$B$19,Constants!$B$19,Constants!$B$18))</f>
        <v/>
      </c>
      <c r="V162" s="99" t="str">
        <f aca="false">IF(ISBLANK($C162),"",IF(ISNUMBER(I162),IF(I162&gt;=0,I162,""),""))</f>
        <v/>
      </c>
      <c r="W162" s="99" t="str">
        <f aca="false">IF(ISBLANK($C162),"",IF(J162=Constants!$B$2, TRUE(), IF(J162=Constants!$B$3, FALSE(), TRUE())))</f>
        <v/>
      </c>
      <c r="X162" s="99" t="str">
        <f aca="false">IF(ISBLANK($C162),"",IF(K162=Constants!$B$2, TRUE(), IF(K162=Constants!$B$3, FALSE(), TRUE())))</f>
        <v/>
      </c>
      <c r="Y162" s="99" t="str">
        <f aca="false">IF(ISBLANK($C162),"",IF(L162=Constants!$B$19,Constants!$B$19,Constants!$B$18))</f>
        <v/>
      </c>
      <c r="Z162" s="99" t="str">
        <f aca="false">IF(ISBLANK($C162),"",IF(ISNUMBER(M162),IF(M162&gt;=0,M162,""),""))</f>
        <v/>
      </c>
      <c r="AA162" s="99" t="str">
        <f aca="false">IF(ISBLANK($C162),"",IF(N162=Constants!$B$2, TRUE(), IF(N162=Constants!$B$3, FALSE(), TRUE())))</f>
        <v/>
      </c>
      <c r="AB162" s="99" t="str">
        <f aca="false">IF(ISBLANK($C162),"",IF(O162=Constants!$B$2, TRUE(), IF(O162=Constants!$B$3, FALSE(), TRUE())))</f>
        <v/>
      </c>
      <c r="AC162" s="99" t="str">
        <f aca="false">IF(ISBLANK($C162),"",IF(P162=Constants!$B$2, TRUE(), IF(P162=Constants!$B$3, FALSE(), FALSE())))</f>
        <v/>
      </c>
      <c r="AD162" s="99" t="str">
        <f aca="false">IF(ISBLANK($C162),"",AND(V162&lt;&gt;"",IF(U162=Constants!$B$19,S162,R162)))</f>
        <v/>
      </c>
      <c r="AE162" s="99" t="str">
        <f aca="false">IF(ISBLANK($C162),"",AND(Z162&lt;&gt;"",IF(Y162=Constants!$B$19,S162,R162)))</f>
        <v/>
      </c>
      <c r="AF162" s="99" t="str">
        <f aca="false">IF(ISBLANK($C162),"",IF(AC162,Constants!$B$4,IF(COUNTA(E162:O162)=0,Constants!$B$5,IF(AND(NOT(AD162),NOT(AE162)),Constants!$B$6,Constants!$B$7))))</f>
        <v/>
      </c>
      <c r="AG162" s="99" t="str">
        <f aca="false">IF(ISBLANK($C162),"",IF($AF162&lt;&gt;Constants!$B$7,$AF162,Constants!$B$20))</f>
        <v/>
      </c>
      <c r="AH162" s="99" t="str">
        <f aca="false">IF($AF162=Constants!$B$7,IF(AD162,V162,Constants!$B$13),"")</f>
        <v/>
      </c>
      <c r="AI162" s="99" t="str">
        <f aca="false">IF($AF162=Constants!$B$7,IF(AD162,T162*IF(W162, 1, Constants!$B$11)*IF(X162, 1, Constants!$B$12),Constants!$B$13),"")</f>
        <v/>
      </c>
      <c r="AJ162" s="99" t="str">
        <f aca="false">IF($AF162=Constants!$B$7,AH162*AI162,"")</f>
        <v/>
      </c>
      <c r="AK162" s="99" t="str">
        <f aca="false">IF($AF162=Constants!$B$7,IF(AE162,Z162,Constants!$B$13),"")</f>
        <v/>
      </c>
      <c r="AL162" s="99" t="str">
        <f aca="false">IF($AF162=Constants!$B$7,IF(AE162,T162*IF(AA162, 1, Constants!$B$11)*IF(AB162, 1, Constants!$B$12),Constants!$B$13),"")</f>
        <v/>
      </c>
      <c r="AM162" s="99" t="str">
        <f aca="false">IF($AF162=Constants!$B$7,AK162*AL162,"")</f>
        <v/>
      </c>
      <c r="AN162" s="99" t="str">
        <f aca="false">IF($AF162=Constants!$B$7,IF(AM162&gt;AJ162,2,1),"")</f>
        <v/>
      </c>
      <c r="AO162" s="99" t="str">
        <f aca="false">IF($AF162=Constants!$B$7,IF(AN162=1,2,1),"")</f>
        <v/>
      </c>
      <c r="AP162" s="99" t="str">
        <f aca="false">IF(ISBLANK($C162),"",IF($AF162&lt;&gt;Constants!$B$7,$AF162,IF(AN162=1,AJ162,AM162)))</f>
        <v/>
      </c>
      <c r="AQ162" s="99" t="str">
        <f aca="false">IF(ISBLANK($C162),"",IF($AF162=Constants!$B$7,IF(ISNUMBER(AP162),RANK(AP162,$AP$8:$AP$507),Constants!$B$14),$AF162))</f>
        <v/>
      </c>
      <c r="AR162" s="99" t="str">
        <f aca="false">IF(ISBLANK($C162),"",IF($AF162=Constants!$B$7,IF(AO162=1,AJ162,AM162),""))</f>
        <v/>
      </c>
      <c r="AS162" s="99" t="str">
        <f aca="false">IF(ISBLANK($C162),"",IF($AF162=Constants!$B$7,RANK(AR162,$AR$8:$AR$507),$AF162))</f>
        <v/>
      </c>
      <c r="AT162" s="99" t="str">
        <f aca="false">IF(ISBLANK($C162),"",IF($AF162=Constants!$B$7,IF(ISNUMBER(AQ162),COUNTIFS($AQ$8:$AQ$507,"&lt;"&amp;$AQ162)+COUNTIFS($AQ$8:$AQ$507,$AQ162,$AS$8:$AS$507,"&lt;"&amp;$AS162)+1,Constants!$B$14),$AF162))</f>
        <v/>
      </c>
      <c r="AU162" s="99" t="str">
        <f aca="false">IF(ISBLANK($C162),"",IF($AF162=Constants!$B$7,IF(ISNUMBER(AQ162),AQ162-AT162,Constants!$B$14),$AF162))</f>
        <v/>
      </c>
      <c r="AV162" s="100"/>
      <c r="AW162" s="101" t="str">
        <f aca="false">IF(ISBLANK($C162),"",IF($AF162&lt;&gt;Constants!$B$7,"",AN162))</f>
        <v/>
      </c>
      <c r="AX162" s="102" t="str">
        <f aca="false">IF(ISBLANK($C162),"",IF($AF162&lt;&gt;Constants!$B$7,"",IF(AN162=1,AH162,AK162)))</f>
        <v/>
      </c>
      <c r="AY162" s="103" t="str">
        <f aca="false">IF(ISBLANK($C162),"",IF($AF162&lt;&gt;Constants!$B$7,"",IF(AN162=1,AI162,AL162)))</f>
        <v/>
      </c>
      <c r="AZ162" s="104" t="str">
        <f aca="false">IF(ISBLANK($C162),"",IF($AF162&lt;&gt;Constants!$B$7,$AF162,AP162))</f>
        <v/>
      </c>
      <c r="BA162" s="105" t="str">
        <f aca="false">IF(ISBLANK($C162),"",IF($AF162&lt;&gt;Constants!$B$7,$AF162,AG162))</f>
        <v/>
      </c>
      <c r="BB162" s="106" t="str">
        <f aca="false">IF(ISBLANK($C162),"",AU162)</f>
        <v/>
      </c>
      <c r="BC162" s="106" t="str">
        <f aca="false">IF(ISBLANK($C162),"",AT162)</f>
        <v/>
      </c>
      <c r="BD162" s="107" t="str">
        <f aca="false">IF(ISBLANK($C162),"",IFERROR(_xlfn.SWITCH(BC162,Constants!$B$4,COUNTA($C$8:$C$507)+2,Constants!$B$5,COUNTA($C$8:$C$507)+1,Constants!$B$6,COUNTA($C$8:$C$507)),BC162))</f>
        <v/>
      </c>
      <c r="BE162" s="5"/>
      <c r="BF162" s="108" t="n">
        <f aca="false">IF(OR(ISNUMBER(BC162),BC162=Constants!$B$4,BC162=Constants!$B$6,BC162=Constants!$B$5),1,0)</f>
        <v>0</v>
      </c>
      <c r="BG162" s="108" t="n">
        <v>155</v>
      </c>
      <c r="BH162" s="108" t="str">
        <f aca="false">IF(ISBLANK($C162),"",IF(ISNUMBER(BD162),BD162+ROW($B162)/1000,""))</f>
        <v/>
      </c>
      <c r="BI162" s="108" t="str">
        <f aca="false">IF(ISNUMBER(BH162),RANK(BH162,$BH$8:$BH$507,1),"")</f>
        <v/>
      </c>
      <c r="BJ162" s="108" t="str">
        <f aca="false">IF(ISBLANK($C162),"",$B162)</f>
        <v/>
      </c>
      <c r="BK162" s="108" t="str">
        <f aca="false">IF(ISBLANK($C162),"",$C162)</f>
        <v/>
      </c>
      <c r="BL162" s="108" t="str">
        <f aca="false">IF(ISBLANK($C162),"",$D162)</f>
        <v/>
      </c>
      <c r="BM162" s="109" t="str">
        <f aca="false">BA162</f>
        <v/>
      </c>
      <c r="BN162" s="110" t="str">
        <f aca="false">AZ162</f>
        <v/>
      </c>
      <c r="BO162" s="108" t="str">
        <f aca="false">IF(ISBLANK($C162),"",BC162)</f>
        <v/>
      </c>
      <c r="BP162" s="111" t="str">
        <f aca="false">IF($BG162&gt;$BF$7,"",VLOOKUP($BG162,$BI$8:$BO$507,7,FALSE()))</f>
        <v/>
      </c>
      <c r="BQ162" s="112" t="str">
        <f aca="false">IF($BG162&gt;$BF$7,"",VLOOKUP($BG162,$BI$8:$BO$507,2,FALSE()))</f>
        <v/>
      </c>
      <c r="BR162" s="112" t="str">
        <f aca="false">IF($BG162&gt;$BF$7,"",VLOOKUP($BG162,$BI$8:$BO$507,3,FALSE()))</f>
        <v/>
      </c>
      <c r="BS162" s="112" t="str">
        <f aca="false">IF($BG162&gt;$BF$7,"",VLOOKUP($BG162,$BI$8:$BO$507,4,FALSE()))</f>
        <v/>
      </c>
      <c r="BT162" s="112" t="str">
        <f aca="false">IF($BG162&gt;$BF$7,"",VLOOKUP($BG162,$BI$8:$BO$507,5,FALSE()))</f>
        <v/>
      </c>
      <c r="BU162" s="113" t="str">
        <f aca="false">IF($BG162&gt;$BF$7,"",VLOOKUP($BG162,$BI$8:$BO$507,6,FALSE()))</f>
        <v/>
      </c>
      <c r="BV162" s="54"/>
    </row>
    <row r="163" customFormat="false" ht="15.75" hidden="false" customHeight="false" outlineLevel="0" collapsed="false">
      <c r="A163" s="5"/>
      <c r="B163" s="128"/>
      <c r="C163" s="129"/>
      <c r="D163" s="114"/>
      <c r="E163" s="134"/>
      <c r="F163" s="139"/>
      <c r="G163" s="93"/>
      <c r="H163" s="140"/>
      <c r="I163" s="95"/>
      <c r="J163" s="95"/>
      <c r="K163" s="93"/>
      <c r="L163" s="141"/>
      <c r="M163" s="95"/>
      <c r="N163" s="95"/>
      <c r="O163" s="93"/>
      <c r="P163" s="134"/>
      <c r="Q163" s="98"/>
      <c r="R163" s="99" t="str">
        <f aca="false">IF(ISBLANK($C163),"",IF(E163=Constants!$B$2, TRUE(), IF(E163=Constants!$B$3, FALSE(), TRUE())))</f>
        <v/>
      </c>
      <c r="S163" s="99" t="str">
        <f aca="false">IF(ISBLANK($C163),"",IF(F163=Constants!$B$2, TRUE(), IF(F163=Constants!$B$3, FALSE(), TRUE())))</f>
        <v/>
      </c>
      <c r="T163" s="99" t="str">
        <f aca="false">IF(ISBLANK($C163),"",IF(G163=Constants!$B$16,Constants!$B$9,IF(G163=Constants!$B$17,Constants!$B$10,Constants!$B$8)))</f>
        <v/>
      </c>
      <c r="U163" s="99" t="str">
        <f aca="false">IF(ISBLANK($C163),"",IF(H163=Constants!$B$19,Constants!$B$19,Constants!$B$18))</f>
        <v/>
      </c>
      <c r="V163" s="99" t="str">
        <f aca="false">IF(ISBLANK($C163),"",IF(ISNUMBER(I163),IF(I163&gt;=0,I163,""),""))</f>
        <v/>
      </c>
      <c r="W163" s="99" t="str">
        <f aca="false">IF(ISBLANK($C163),"",IF(J163=Constants!$B$2, TRUE(), IF(J163=Constants!$B$3, FALSE(), TRUE())))</f>
        <v/>
      </c>
      <c r="X163" s="99" t="str">
        <f aca="false">IF(ISBLANK($C163),"",IF(K163=Constants!$B$2, TRUE(), IF(K163=Constants!$B$3, FALSE(), TRUE())))</f>
        <v/>
      </c>
      <c r="Y163" s="99" t="str">
        <f aca="false">IF(ISBLANK($C163),"",IF(L163=Constants!$B$19,Constants!$B$19,Constants!$B$18))</f>
        <v/>
      </c>
      <c r="Z163" s="99" t="str">
        <f aca="false">IF(ISBLANK($C163),"",IF(ISNUMBER(M163),IF(M163&gt;=0,M163,""),""))</f>
        <v/>
      </c>
      <c r="AA163" s="99" t="str">
        <f aca="false">IF(ISBLANK($C163),"",IF(N163=Constants!$B$2, TRUE(), IF(N163=Constants!$B$3, FALSE(), TRUE())))</f>
        <v/>
      </c>
      <c r="AB163" s="99" t="str">
        <f aca="false">IF(ISBLANK($C163),"",IF(O163=Constants!$B$2, TRUE(), IF(O163=Constants!$B$3, FALSE(), TRUE())))</f>
        <v/>
      </c>
      <c r="AC163" s="99" t="str">
        <f aca="false">IF(ISBLANK($C163),"",IF(P163=Constants!$B$2, TRUE(), IF(P163=Constants!$B$3, FALSE(), FALSE())))</f>
        <v/>
      </c>
      <c r="AD163" s="99" t="str">
        <f aca="false">IF(ISBLANK($C163),"",AND(V163&lt;&gt;"",IF(U163=Constants!$B$19,S163,R163)))</f>
        <v/>
      </c>
      <c r="AE163" s="99" t="str">
        <f aca="false">IF(ISBLANK($C163),"",AND(Z163&lt;&gt;"",IF(Y163=Constants!$B$19,S163,R163)))</f>
        <v/>
      </c>
      <c r="AF163" s="99" t="str">
        <f aca="false">IF(ISBLANK($C163),"",IF(AC163,Constants!$B$4,IF(COUNTA(E163:O163)=0,Constants!$B$5,IF(AND(NOT(AD163),NOT(AE163)),Constants!$B$6,Constants!$B$7))))</f>
        <v/>
      </c>
      <c r="AG163" s="99" t="str">
        <f aca="false">IF(ISBLANK($C163),"",IF($AF163&lt;&gt;Constants!$B$7,$AF163,Constants!$B$20))</f>
        <v/>
      </c>
      <c r="AH163" s="99" t="str">
        <f aca="false">IF($AF163=Constants!$B$7,IF(AD163,V163,Constants!$B$13),"")</f>
        <v/>
      </c>
      <c r="AI163" s="99" t="str">
        <f aca="false">IF($AF163=Constants!$B$7,IF(AD163,T163*IF(W163, 1, Constants!$B$11)*IF(X163, 1, Constants!$B$12),Constants!$B$13),"")</f>
        <v/>
      </c>
      <c r="AJ163" s="99" t="str">
        <f aca="false">IF($AF163=Constants!$B$7,AH163*AI163,"")</f>
        <v/>
      </c>
      <c r="AK163" s="99" t="str">
        <f aca="false">IF($AF163=Constants!$B$7,IF(AE163,Z163,Constants!$B$13),"")</f>
        <v/>
      </c>
      <c r="AL163" s="99" t="str">
        <f aca="false">IF($AF163=Constants!$B$7,IF(AE163,T163*IF(AA163, 1, Constants!$B$11)*IF(AB163, 1, Constants!$B$12),Constants!$B$13),"")</f>
        <v/>
      </c>
      <c r="AM163" s="99" t="str">
        <f aca="false">IF($AF163=Constants!$B$7,AK163*AL163,"")</f>
        <v/>
      </c>
      <c r="AN163" s="99" t="str">
        <f aca="false">IF($AF163=Constants!$B$7,IF(AM163&gt;AJ163,2,1),"")</f>
        <v/>
      </c>
      <c r="AO163" s="99" t="str">
        <f aca="false">IF($AF163=Constants!$B$7,IF(AN163=1,2,1),"")</f>
        <v/>
      </c>
      <c r="AP163" s="99" t="str">
        <f aca="false">IF(ISBLANK($C163),"",IF($AF163&lt;&gt;Constants!$B$7,$AF163,IF(AN163=1,AJ163,AM163)))</f>
        <v/>
      </c>
      <c r="AQ163" s="99" t="str">
        <f aca="false">IF(ISBLANK($C163),"",IF($AF163=Constants!$B$7,IF(ISNUMBER(AP163),RANK(AP163,$AP$8:$AP$507),Constants!$B$14),$AF163))</f>
        <v/>
      </c>
      <c r="AR163" s="99" t="str">
        <f aca="false">IF(ISBLANK($C163),"",IF($AF163=Constants!$B$7,IF(AO163=1,AJ163,AM163),""))</f>
        <v/>
      </c>
      <c r="AS163" s="99" t="str">
        <f aca="false">IF(ISBLANK($C163),"",IF($AF163=Constants!$B$7,RANK(AR163,$AR$8:$AR$507),$AF163))</f>
        <v/>
      </c>
      <c r="AT163" s="99" t="str">
        <f aca="false">IF(ISBLANK($C163),"",IF($AF163=Constants!$B$7,IF(ISNUMBER(AQ163),COUNTIFS($AQ$8:$AQ$507,"&lt;"&amp;$AQ163)+COUNTIFS($AQ$8:$AQ$507,$AQ163,$AS$8:$AS$507,"&lt;"&amp;$AS163)+1,Constants!$B$14),$AF163))</f>
        <v/>
      </c>
      <c r="AU163" s="99" t="str">
        <f aca="false">IF(ISBLANK($C163),"",IF($AF163=Constants!$B$7,IF(ISNUMBER(AQ163),AQ163-AT163,Constants!$B$14),$AF163))</f>
        <v/>
      </c>
      <c r="AV163" s="100"/>
      <c r="AW163" s="101" t="str">
        <f aca="false">IF(ISBLANK($C163),"",IF($AF163&lt;&gt;Constants!$B$7,"",AN163))</f>
        <v/>
      </c>
      <c r="AX163" s="102" t="str">
        <f aca="false">IF(ISBLANK($C163),"",IF($AF163&lt;&gt;Constants!$B$7,"",IF(AN163=1,AH163,AK163)))</f>
        <v/>
      </c>
      <c r="AY163" s="103" t="str">
        <f aca="false">IF(ISBLANK($C163),"",IF($AF163&lt;&gt;Constants!$B$7,"",IF(AN163=1,AI163,AL163)))</f>
        <v/>
      </c>
      <c r="AZ163" s="104" t="str">
        <f aca="false">IF(ISBLANK($C163),"",IF($AF163&lt;&gt;Constants!$B$7,$AF163,AP163))</f>
        <v/>
      </c>
      <c r="BA163" s="105" t="str">
        <f aca="false">IF(ISBLANK($C163),"",IF($AF163&lt;&gt;Constants!$B$7,$AF163,AG163))</f>
        <v/>
      </c>
      <c r="BB163" s="106" t="str">
        <f aca="false">IF(ISBLANK($C163),"",AU163)</f>
        <v/>
      </c>
      <c r="BC163" s="106" t="str">
        <f aca="false">IF(ISBLANK($C163),"",AT163)</f>
        <v/>
      </c>
      <c r="BD163" s="107" t="str">
        <f aca="false">IF(ISBLANK($C163),"",IFERROR(_xlfn.SWITCH(BC163,Constants!$B$4,COUNTA($C$8:$C$507)+2,Constants!$B$5,COUNTA($C$8:$C$507)+1,Constants!$B$6,COUNTA($C$8:$C$507)),BC163))</f>
        <v/>
      </c>
      <c r="BE163" s="5"/>
      <c r="BF163" s="108" t="n">
        <f aca="false">IF(OR(ISNUMBER(BC163),BC163=Constants!$B$4,BC163=Constants!$B$6,BC163=Constants!$B$5),1,0)</f>
        <v>0</v>
      </c>
      <c r="BG163" s="108" t="n">
        <v>156</v>
      </c>
      <c r="BH163" s="108" t="str">
        <f aca="false">IF(ISBLANK($C163),"",IF(ISNUMBER(BD163),BD163+ROW($B163)/1000,""))</f>
        <v/>
      </c>
      <c r="BI163" s="108" t="str">
        <f aca="false">IF(ISNUMBER(BH163),RANK(BH163,$BH$8:$BH$507,1),"")</f>
        <v/>
      </c>
      <c r="BJ163" s="108" t="str">
        <f aca="false">IF(ISBLANK($C163),"",$B163)</f>
        <v/>
      </c>
      <c r="BK163" s="108" t="str">
        <f aca="false">IF(ISBLANK($C163),"",$C163)</f>
        <v/>
      </c>
      <c r="BL163" s="108" t="str">
        <f aca="false">IF(ISBLANK($C163),"",$D163)</f>
        <v/>
      </c>
      <c r="BM163" s="109" t="str">
        <f aca="false">BA163</f>
        <v/>
      </c>
      <c r="BN163" s="110" t="str">
        <f aca="false">AZ163</f>
        <v/>
      </c>
      <c r="BO163" s="108" t="str">
        <f aca="false">IF(ISBLANK($C163),"",BC163)</f>
        <v/>
      </c>
      <c r="BP163" s="111" t="str">
        <f aca="false">IF($BG163&gt;$BF$7,"",VLOOKUP($BG163,$BI$8:$BO$507,7,FALSE()))</f>
        <v/>
      </c>
      <c r="BQ163" s="112" t="str">
        <f aca="false">IF($BG163&gt;$BF$7,"",VLOOKUP($BG163,$BI$8:$BO$507,2,FALSE()))</f>
        <v/>
      </c>
      <c r="BR163" s="112" t="str">
        <f aca="false">IF($BG163&gt;$BF$7,"",VLOOKUP($BG163,$BI$8:$BO$507,3,FALSE()))</f>
        <v/>
      </c>
      <c r="BS163" s="112" t="str">
        <f aca="false">IF($BG163&gt;$BF$7,"",VLOOKUP($BG163,$BI$8:$BO$507,4,FALSE()))</f>
        <v/>
      </c>
      <c r="BT163" s="112" t="str">
        <f aca="false">IF($BG163&gt;$BF$7,"",VLOOKUP($BG163,$BI$8:$BO$507,5,FALSE()))</f>
        <v/>
      </c>
      <c r="BU163" s="113" t="str">
        <f aca="false">IF($BG163&gt;$BF$7,"",VLOOKUP($BG163,$BI$8:$BO$507,6,FALSE()))</f>
        <v/>
      </c>
      <c r="BV163" s="54"/>
    </row>
    <row r="164" customFormat="false" ht="15.75" hidden="false" customHeight="false" outlineLevel="0" collapsed="false">
      <c r="A164" s="5"/>
      <c r="B164" s="135"/>
      <c r="C164" s="56"/>
      <c r="D164" s="57"/>
      <c r="E164" s="84"/>
      <c r="F164" s="136"/>
      <c r="G164" s="60"/>
      <c r="H164" s="137"/>
      <c r="I164" s="62"/>
      <c r="J164" s="62"/>
      <c r="K164" s="60"/>
      <c r="L164" s="138"/>
      <c r="M164" s="62"/>
      <c r="N164" s="62"/>
      <c r="O164" s="60"/>
      <c r="P164" s="84"/>
      <c r="Q164" s="65"/>
      <c r="R164" s="67" t="str">
        <f aca="false">IF(ISBLANK($C164),"",IF(E164=Constants!$B$2, TRUE(), IF(E164=Constants!$B$3, FALSE(), TRUE())))</f>
        <v/>
      </c>
      <c r="S164" s="67" t="str">
        <f aca="false">IF(ISBLANK($C164),"",IF(F164=Constants!$B$2, TRUE(), IF(F164=Constants!$B$3, FALSE(), TRUE())))</f>
        <v/>
      </c>
      <c r="T164" s="67" t="str">
        <f aca="false">IF(ISBLANK($C164),"",IF(G164=Constants!$B$16,Constants!$B$9,IF(G164=Constants!$B$17,Constants!$B$10,Constants!$B$8)))</f>
        <v/>
      </c>
      <c r="U164" s="67" t="str">
        <f aca="false">IF(ISBLANK($C164),"",IF(H164=Constants!$B$19,Constants!$B$19,Constants!$B$18))</f>
        <v/>
      </c>
      <c r="V164" s="67" t="str">
        <f aca="false">IF(ISBLANK($C164),"",IF(ISNUMBER(I164),IF(I164&gt;=0,I164,""),""))</f>
        <v/>
      </c>
      <c r="W164" s="67" t="str">
        <f aca="false">IF(ISBLANK($C164),"",IF(J164=Constants!$B$2, TRUE(), IF(J164=Constants!$B$3, FALSE(), TRUE())))</f>
        <v/>
      </c>
      <c r="X164" s="67" t="str">
        <f aca="false">IF(ISBLANK($C164),"",IF(K164=Constants!$B$2, TRUE(), IF(K164=Constants!$B$3, FALSE(), TRUE())))</f>
        <v/>
      </c>
      <c r="Y164" s="67" t="str">
        <f aca="false">IF(ISBLANK($C164),"",IF(L164=Constants!$B$19,Constants!$B$19,Constants!$B$18))</f>
        <v/>
      </c>
      <c r="Z164" s="67" t="str">
        <f aca="false">IF(ISBLANK($C164),"",IF(ISNUMBER(M164),IF(M164&gt;=0,M164,""),""))</f>
        <v/>
      </c>
      <c r="AA164" s="67" t="str">
        <f aca="false">IF(ISBLANK($C164),"",IF(N164=Constants!$B$2, TRUE(), IF(N164=Constants!$B$3, FALSE(), TRUE())))</f>
        <v/>
      </c>
      <c r="AB164" s="67" t="str">
        <f aca="false">IF(ISBLANK($C164),"",IF(O164=Constants!$B$2, TRUE(), IF(O164=Constants!$B$3, FALSE(), TRUE())))</f>
        <v/>
      </c>
      <c r="AC164" s="67" t="str">
        <f aca="false">IF(ISBLANK($C164),"",IF(P164=Constants!$B$2, TRUE(), IF(P164=Constants!$B$3, FALSE(), FALSE())))</f>
        <v/>
      </c>
      <c r="AD164" s="67" t="str">
        <f aca="false">IF(ISBLANK($C164),"",AND(V164&lt;&gt;"",IF(U164=Constants!$B$19,S164,R164)))</f>
        <v/>
      </c>
      <c r="AE164" s="67" t="str">
        <f aca="false">IF(ISBLANK($C164),"",AND(Z164&lt;&gt;"",IF(Y164=Constants!$B$19,S164,R164)))</f>
        <v/>
      </c>
      <c r="AF164" s="67" t="str">
        <f aca="false">IF(ISBLANK($C164),"",IF(AC164,Constants!$B$4,IF(COUNTA(E164:O164)=0,Constants!$B$5,IF(AND(NOT(AD164),NOT(AE164)),Constants!$B$6,Constants!$B$7))))</f>
        <v/>
      </c>
      <c r="AG164" s="67" t="str">
        <f aca="false">IF(ISBLANK($C164),"",IF($AF164&lt;&gt;Constants!$B$7,$AF164,Constants!$B$20))</f>
        <v/>
      </c>
      <c r="AH164" s="67" t="str">
        <f aca="false">IF($AF164=Constants!$B$7,IF(AD164,V164,Constants!$B$13),"")</f>
        <v/>
      </c>
      <c r="AI164" s="67" t="str">
        <f aca="false">IF($AF164=Constants!$B$7,IF(AD164,T164*IF(W164, 1, Constants!$B$11)*IF(X164, 1, Constants!$B$12),Constants!$B$13),"")</f>
        <v/>
      </c>
      <c r="AJ164" s="67" t="str">
        <f aca="false">IF($AF164=Constants!$B$7,AH164*AI164,"")</f>
        <v/>
      </c>
      <c r="AK164" s="67" t="str">
        <f aca="false">IF($AF164=Constants!$B$7,IF(AE164,Z164,Constants!$B$13),"")</f>
        <v/>
      </c>
      <c r="AL164" s="67" t="str">
        <f aca="false">IF($AF164=Constants!$B$7,IF(AE164,T164*IF(AA164, 1, Constants!$B$11)*IF(AB164, 1, Constants!$B$12),Constants!$B$13),"")</f>
        <v/>
      </c>
      <c r="AM164" s="67" t="str">
        <f aca="false">IF($AF164=Constants!$B$7,AK164*AL164,"")</f>
        <v/>
      </c>
      <c r="AN164" s="67" t="str">
        <f aca="false">IF($AF164=Constants!$B$7,IF(AM164&gt;AJ164,2,1),"")</f>
        <v/>
      </c>
      <c r="AO164" s="67" t="str">
        <f aca="false">IF($AF164=Constants!$B$7,IF(AN164=1,2,1),"")</f>
        <v/>
      </c>
      <c r="AP164" s="67" t="str">
        <f aca="false">IF(ISBLANK($C164),"",IF($AF164&lt;&gt;Constants!$B$7,$AF164,IF(AN164=1,AJ164,AM164)))</f>
        <v/>
      </c>
      <c r="AQ164" s="67" t="str">
        <f aca="false">IF(ISBLANK($C164),"",IF($AF164=Constants!$B$7,IF(ISNUMBER(AP164),RANK(AP164,$AP$8:$AP$507),Constants!$B$14),$AF164))</f>
        <v/>
      </c>
      <c r="AR164" s="67" t="str">
        <f aca="false">IF(ISBLANK($C164),"",IF($AF164=Constants!$B$7,IF(AO164=1,AJ164,AM164),""))</f>
        <v/>
      </c>
      <c r="AS164" s="67" t="str">
        <f aca="false">IF(ISBLANK($C164),"",IF($AF164=Constants!$B$7,RANK(AR164,$AR$8:$AR$507),$AF164))</f>
        <v/>
      </c>
      <c r="AT164" s="67" t="str">
        <f aca="false">IF(ISBLANK($C164),"",IF($AF164=Constants!$B$7,IF(ISNUMBER(AQ164),COUNTIFS($AQ$8:$AQ$507,"&lt;"&amp;$AQ164)+COUNTIFS($AQ$8:$AQ$507,$AQ164,$AS$8:$AS$507,"&lt;"&amp;$AS164)+1,Constants!$B$14),$AF164))</f>
        <v/>
      </c>
      <c r="AU164" s="67" t="str">
        <f aca="false">IF(ISBLANK($C164),"",IF($AF164=Constants!$B$7,IF(ISNUMBER(AQ164),AQ164-AT164,Constants!$B$14),$AF164))</f>
        <v/>
      </c>
      <c r="AV164" s="69"/>
      <c r="AW164" s="70" t="str">
        <f aca="false">IF(ISBLANK($C164),"",IF($AF164&lt;&gt;Constants!$B$7,"",AN164))</f>
        <v/>
      </c>
      <c r="AX164" s="85" t="str">
        <f aca="false">IF(ISBLANK($C164),"",IF($AF164&lt;&gt;Constants!$B$7,"",IF(AN164=1,AH164,AK164)))</f>
        <v/>
      </c>
      <c r="AY164" s="72" t="str">
        <f aca="false">IF(ISBLANK($C164),"",IF($AF164&lt;&gt;Constants!$B$7,"",IF(AN164=1,AI164,AL164)))</f>
        <v/>
      </c>
      <c r="AZ164" s="73" t="str">
        <f aca="false">IF(ISBLANK($C164),"",IF($AF164&lt;&gt;Constants!$B$7,$AF164,AP164))</f>
        <v/>
      </c>
      <c r="BA164" s="74" t="str">
        <f aca="false">IF(ISBLANK($C164),"",IF($AF164&lt;&gt;Constants!$B$7,$AF164,AG164))</f>
        <v/>
      </c>
      <c r="BB164" s="75" t="str">
        <f aca="false">IF(ISBLANK($C164),"",AU164)</f>
        <v/>
      </c>
      <c r="BC164" s="75" t="str">
        <f aca="false">IF(ISBLANK($C164),"",AT164)</f>
        <v/>
      </c>
      <c r="BD164" s="76" t="str">
        <f aca="false">IF(ISBLANK($C164),"",IFERROR(_xlfn.SWITCH(BC164,Constants!$B$4,COUNTA($C$8:$C$507)+2,Constants!$B$5,COUNTA($C$8:$C$507)+1,Constants!$B$6,COUNTA($C$8:$C$507)),BC164))</f>
        <v/>
      </c>
      <c r="BE164" s="5"/>
      <c r="BF164" s="77" t="n">
        <f aca="false">IF(OR(ISNUMBER(BC164),BC164=Constants!$B$4,BC164=Constants!$B$6,BC164=Constants!$B$5),1,0)</f>
        <v>0</v>
      </c>
      <c r="BG164" s="77" t="n">
        <v>157</v>
      </c>
      <c r="BH164" s="77" t="str">
        <f aca="false">IF(ISBLANK($C164),"",IF(ISNUMBER(BD164),BD164+ROW($B164)/1000,""))</f>
        <v/>
      </c>
      <c r="BI164" s="77" t="str">
        <f aca="false">IF(ISNUMBER(BH164),RANK(BH164,$BH$8:$BH$507,1),"")</f>
        <v/>
      </c>
      <c r="BJ164" s="77" t="str">
        <f aca="false">IF(ISBLANK($C164),"",$B164)</f>
        <v/>
      </c>
      <c r="BK164" s="77" t="str">
        <f aca="false">IF(ISBLANK($C164),"",$C164)</f>
        <v/>
      </c>
      <c r="BL164" s="77" t="str">
        <f aca="false">IF(ISBLANK($C164),"",$D164)</f>
        <v/>
      </c>
      <c r="BM164" s="78" t="str">
        <f aca="false">BA164</f>
        <v/>
      </c>
      <c r="BN164" s="79" t="str">
        <f aca="false">AZ164</f>
        <v/>
      </c>
      <c r="BO164" s="77" t="str">
        <f aca="false">IF(ISBLANK($C164),"",BC164)</f>
        <v/>
      </c>
      <c r="BP164" s="80" t="str">
        <f aca="false">IF($BG164&gt;$BF$7,"",VLOOKUP($BG164,$BI$8:$BO$507,7,FALSE()))</f>
        <v/>
      </c>
      <c r="BQ164" s="81" t="str">
        <f aca="false">IF($BG164&gt;$BF$7,"",VLOOKUP($BG164,$BI$8:$BO$507,2,FALSE()))</f>
        <v/>
      </c>
      <c r="BR164" s="81" t="str">
        <f aca="false">IF($BG164&gt;$BF$7,"",VLOOKUP($BG164,$BI$8:$BO$507,3,FALSE()))</f>
        <v/>
      </c>
      <c r="BS164" s="81" t="str">
        <f aca="false">IF($BG164&gt;$BF$7,"",VLOOKUP($BG164,$BI$8:$BO$507,4,FALSE()))</f>
        <v/>
      </c>
      <c r="BT164" s="81" t="str">
        <f aca="false">IF($BG164&gt;$BF$7,"",VLOOKUP($BG164,$BI$8:$BO$507,5,FALSE()))</f>
        <v/>
      </c>
      <c r="BU164" s="82" t="str">
        <f aca="false">IF($BG164&gt;$BF$7,"",VLOOKUP($BG164,$BI$8:$BO$507,6,FALSE()))</f>
        <v/>
      </c>
      <c r="BV164" s="54"/>
    </row>
    <row r="165" customFormat="false" ht="15.75" hidden="false" customHeight="false" outlineLevel="0" collapsed="false">
      <c r="A165" s="5"/>
      <c r="B165" s="135"/>
      <c r="C165" s="56"/>
      <c r="D165" s="57"/>
      <c r="E165" s="84"/>
      <c r="F165" s="136"/>
      <c r="G165" s="60"/>
      <c r="H165" s="137"/>
      <c r="I165" s="62"/>
      <c r="J165" s="62"/>
      <c r="K165" s="60"/>
      <c r="L165" s="138"/>
      <c r="M165" s="62"/>
      <c r="N165" s="62"/>
      <c r="O165" s="60"/>
      <c r="P165" s="84"/>
      <c r="Q165" s="65"/>
      <c r="R165" s="67" t="str">
        <f aca="false">IF(ISBLANK($C165),"",IF(E165=Constants!$B$2, TRUE(), IF(E165=Constants!$B$3, FALSE(), TRUE())))</f>
        <v/>
      </c>
      <c r="S165" s="67" t="str">
        <f aca="false">IF(ISBLANK($C165),"",IF(F165=Constants!$B$2, TRUE(), IF(F165=Constants!$B$3, FALSE(), TRUE())))</f>
        <v/>
      </c>
      <c r="T165" s="67" t="str">
        <f aca="false">IF(ISBLANK($C165),"",IF(G165=Constants!$B$16,Constants!$B$9,IF(G165=Constants!$B$17,Constants!$B$10,Constants!$B$8)))</f>
        <v/>
      </c>
      <c r="U165" s="67" t="str">
        <f aca="false">IF(ISBLANK($C165),"",IF(H165=Constants!$B$19,Constants!$B$19,Constants!$B$18))</f>
        <v/>
      </c>
      <c r="V165" s="67" t="str">
        <f aca="false">IF(ISBLANK($C165),"",IF(ISNUMBER(I165),IF(I165&gt;=0,I165,""),""))</f>
        <v/>
      </c>
      <c r="W165" s="67" t="str">
        <f aca="false">IF(ISBLANK($C165),"",IF(J165=Constants!$B$2, TRUE(), IF(J165=Constants!$B$3, FALSE(), TRUE())))</f>
        <v/>
      </c>
      <c r="X165" s="67" t="str">
        <f aca="false">IF(ISBLANK($C165),"",IF(K165=Constants!$B$2, TRUE(), IF(K165=Constants!$B$3, FALSE(), TRUE())))</f>
        <v/>
      </c>
      <c r="Y165" s="67" t="str">
        <f aca="false">IF(ISBLANK($C165),"",IF(L165=Constants!$B$19,Constants!$B$19,Constants!$B$18))</f>
        <v/>
      </c>
      <c r="Z165" s="67" t="str">
        <f aca="false">IF(ISBLANK($C165),"",IF(ISNUMBER(M165),IF(M165&gt;=0,M165,""),""))</f>
        <v/>
      </c>
      <c r="AA165" s="67" t="str">
        <f aca="false">IF(ISBLANK($C165),"",IF(N165=Constants!$B$2, TRUE(), IF(N165=Constants!$B$3, FALSE(), TRUE())))</f>
        <v/>
      </c>
      <c r="AB165" s="67" t="str">
        <f aca="false">IF(ISBLANK($C165),"",IF(O165=Constants!$B$2, TRUE(), IF(O165=Constants!$B$3, FALSE(), TRUE())))</f>
        <v/>
      </c>
      <c r="AC165" s="67" t="str">
        <f aca="false">IF(ISBLANK($C165),"",IF(P165=Constants!$B$2, TRUE(), IF(P165=Constants!$B$3, FALSE(), FALSE())))</f>
        <v/>
      </c>
      <c r="AD165" s="67" t="str">
        <f aca="false">IF(ISBLANK($C165),"",AND(V165&lt;&gt;"",IF(U165=Constants!$B$19,S165,R165)))</f>
        <v/>
      </c>
      <c r="AE165" s="67" t="str">
        <f aca="false">IF(ISBLANK($C165),"",AND(Z165&lt;&gt;"",IF(Y165=Constants!$B$19,S165,R165)))</f>
        <v/>
      </c>
      <c r="AF165" s="67" t="str">
        <f aca="false">IF(ISBLANK($C165),"",IF(AC165,Constants!$B$4,IF(COUNTA(E165:O165)=0,Constants!$B$5,IF(AND(NOT(AD165),NOT(AE165)),Constants!$B$6,Constants!$B$7))))</f>
        <v/>
      </c>
      <c r="AG165" s="67" t="str">
        <f aca="false">IF(ISBLANK($C165),"",IF($AF165&lt;&gt;Constants!$B$7,$AF165,Constants!$B$20))</f>
        <v/>
      </c>
      <c r="AH165" s="67" t="str">
        <f aca="false">IF($AF165=Constants!$B$7,IF(AD165,V165,Constants!$B$13),"")</f>
        <v/>
      </c>
      <c r="AI165" s="67" t="str">
        <f aca="false">IF($AF165=Constants!$B$7,IF(AD165,T165*IF(W165, 1, Constants!$B$11)*IF(X165, 1, Constants!$B$12),Constants!$B$13),"")</f>
        <v/>
      </c>
      <c r="AJ165" s="67" t="str">
        <f aca="false">IF($AF165=Constants!$B$7,AH165*AI165,"")</f>
        <v/>
      </c>
      <c r="AK165" s="67" t="str">
        <f aca="false">IF($AF165=Constants!$B$7,IF(AE165,Z165,Constants!$B$13),"")</f>
        <v/>
      </c>
      <c r="AL165" s="67" t="str">
        <f aca="false">IF($AF165=Constants!$B$7,IF(AE165,T165*IF(AA165, 1, Constants!$B$11)*IF(AB165, 1, Constants!$B$12),Constants!$B$13),"")</f>
        <v/>
      </c>
      <c r="AM165" s="67" t="str">
        <f aca="false">IF($AF165=Constants!$B$7,AK165*AL165,"")</f>
        <v/>
      </c>
      <c r="AN165" s="67" t="str">
        <f aca="false">IF($AF165=Constants!$B$7,IF(AM165&gt;AJ165,2,1),"")</f>
        <v/>
      </c>
      <c r="AO165" s="67" t="str">
        <f aca="false">IF($AF165=Constants!$B$7,IF(AN165=1,2,1),"")</f>
        <v/>
      </c>
      <c r="AP165" s="67" t="str">
        <f aca="false">IF(ISBLANK($C165),"",IF($AF165&lt;&gt;Constants!$B$7,$AF165,IF(AN165=1,AJ165,AM165)))</f>
        <v/>
      </c>
      <c r="AQ165" s="67" t="str">
        <f aca="false">IF(ISBLANK($C165),"",IF($AF165=Constants!$B$7,IF(ISNUMBER(AP165),RANK(AP165,$AP$8:$AP$507),Constants!$B$14),$AF165))</f>
        <v/>
      </c>
      <c r="AR165" s="67" t="str">
        <f aca="false">IF(ISBLANK($C165),"",IF($AF165=Constants!$B$7,IF(AO165=1,AJ165,AM165),""))</f>
        <v/>
      </c>
      <c r="AS165" s="67" t="str">
        <f aca="false">IF(ISBLANK($C165),"",IF($AF165=Constants!$B$7,RANK(AR165,$AR$8:$AR$507),$AF165))</f>
        <v/>
      </c>
      <c r="AT165" s="67" t="str">
        <f aca="false">IF(ISBLANK($C165),"",IF($AF165=Constants!$B$7,IF(ISNUMBER(AQ165),COUNTIFS($AQ$8:$AQ$507,"&lt;"&amp;$AQ165)+COUNTIFS($AQ$8:$AQ$507,$AQ165,$AS$8:$AS$507,"&lt;"&amp;$AS165)+1,Constants!$B$14),$AF165))</f>
        <v/>
      </c>
      <c r="AU165" s="67" t="str">
        <f aca="false">IF(ISBLANK($C165),"",IF($AF165=Constants!$B$7,IF(ISNUMBER(AQ165),AQ165-AT165,Constants!$B$14),$AF165))</f>
        <v/>
      </c>
      <c r="AV165" s="69"/>
      <c r="AW165" s="70" t="str">
        <f aca="false">IF(ISBLANK($C165),"",IF($AF165&lt;&gt;Constants!$B$7,"",AN165))</f>
        <v/>
      </c>
      <c r="AX165" s="85" t="str">
        <f aca="false">IF(ISBLANK($C165),"",IF($AF165&lt;&gt;Constants!$B$7,"",IF(AN165=1,AH165,AK165)))</f>
        <v/>
      </c>
      <c r="AY165" s="72" t="str">
        <f aca="false">IF(ISBLANK($C165),"",IF($AF165&lt;&gt;Constants!$B$7,"",IF(AN165=1,AI165,AL165)))</f>
        <v/>
      </c>
      <c r="AZ165" s="73" t="str">
        <f aca="false">IF(ISBLANK($C165),"",IF($AF165&lt;&gt;Constants!$B$7,$AF165,AP165))</f>
        <v/>
      </c>
      <c r="BA165" s="74" t="str">
        <f aca="false">IF(ISBLANK($C165),"",IF($AF165&lt;&gt;Constants!$B$7,$AF165,AG165))</f>
        <v/>
      </c>
      <c r="BB165" s="75" t="str">
        <f aca="false">IF(ISBLANK($C165),"",AU165)</f>
        <v/>
      </c>
      <c r="BC165" s="75" t="str">
        <f aca="false">IF(ISBLANK($C165),"",AT165)</f>
        <v/>
      </c>
      <c r="BD165" s="76" t="str">
        <f aca="false">IF(ISBLANK($C165),"",IFERROR(_xlfn.SWITCH(BC165,Constants!$B$4,COUNTA($C$8:$C$507)+2,Constants!$B$5,COUNTA($C$8:$C$507)+1,Constants!$B$6,COUNTA($C$8:$C$507)),BC165))</f>
        <v/>
      </c>
      <c r="BE165" s="5"/>
      <c r="BF165" s="77" t="n">
        <f aca="false">IF(OR(ISNUMBER(BC165),BC165=Constants!$B$4,BC165=Constants!$B$6,BC165=Constants!$B$5),1,0)</f>
        <v>0</v>
      </c>
      <c r="BG165" s="77" t="n">
        <v>158</v>
      </c>
      <c r="BH165" s="77" t="str">
        <f aca="false">IF(ISBLANK($C165),"",IF(ISNUMBER(BD165),BD165+ROW($B165)/1000,""))</f>
        <v/>
      </c>
      <c r="BI165" s="77" t="str">
        <f aca="false">IF(ISNUMBER(BH165),RANK(BH165,$BH$8:$BH$507,1),"")</f>
        <v/>
      </c>
      <c r="BJ165" s="77" t="str">
        <f aca="false">IF(ISBLANK($C165),"",$B165)</f>
        <v/>
      </c>
      <c r="BK165" s="77" t="str">
        <f aca="false">IF(ISBLANK($C165),"",$C165)</f>
        <v/>
      </c>
      <c r="BL165" s="77" t="str">
        <f aca="false">IF(ISBLANK($C165),"",$D165)</f>
        <v/>
      </c>
      <c r="BM165" s="78" t="str">
        <f aca="false">BA165</f>
        <v/>
      </c>
      <c r="BN165" s="79" t="str">
        <f aca="false">AZ165</f>
        <v/>
      </c>
      <c r="BO165" s="77" t="str">
        <f aca="false">IF(ISBLANK($C165),"",BC165)</f>
        <v/>
      </c>
      <c r="BP165" s="80" t="str">
        <f aca="false">IF($BG165&gt;$BF$7,"",VLOOKUP($BG165,$BI$8:$BO$507,7,FALSE()))</f>
        <v/>
      </c>
      <c r="BQ165" s="81" t="str">
        <f aca="false">IF($BG165&gt;$BF$7,"",VLOOKUP($BG165,$BI$8:$BO$507,2,FALSE()))</f>
        <v/>
      </c>
      <c r="BR165" s="81" t="str">
        <f aca="false">IF($BG165&gt;$BF$7,"",VLOOKUP($BG165,$BI$8:$BO$507,3,FALSE()))</f>
        <v/>
      </c>
      <c r="BS165" s="81" t="str">
        <f aca="false">IF($BG165&gt;$BF$7,"",VLOOKUP($BG165,$BI$8:$BO$507,4,FALSE()))</f>
        <v/>
      </c>
      <c r="BT165" s="81" t="str">
        <f aca="false">IF($BG165&gt;$BF$7,"",VLOOKUP($BG165,$BI$8:$BO$507,5,FALSE()))</f>
        <v/>
      </c>
      <c r="BU165" s="82" t="str">
        <f aca="false">IF($BG165&gt;$BF$7,"",VLOOKUP($BG165,$BI$8:$BO$507,6,FALSE()))</f>
        <v/>
      </c>
      <c r="BV165" s="54"/>
    </row>
    <row r="166" customFormat="false" ht="15.75" hidden="false" customHeight="false" outlineLevel="0" collapsed="false">
      <c r="A166" s="5"/>
      <c r="B166" s="135"/>
      <c r="C166" s="56"/>
      <c r="D166" s="57"/>
      <c r="E166" s="84"/>
      <c r="F166" s="136"/>
      <c r="G166" s="60"/>
      <c r="H166" s="137"/>
      <c r="I166" s="62"/>
      <c r="J166" s="62"/>
      <c r="K166" s="60"/>
      <c r="L166" s="138"/>
      <c r="M166" s="62"/>
      <c r="N166" s="62"/>
      <c r="O166" s="60"/>
      <c r="P166" s="84"/>
      <c r="Q166" s="65"/>
      <c r="R166" s="67" t="str">
        <f aca="false">IF(ISBLANK($C166),"",IF(E166=Constants!$B$2, TRUE(), IF(E166=Constants!$B$3, FALSE(), TRUE())))</f>
        <v/>
      </c>
      <c r="S166" s="67" t="str">
        <f aca="false">IF(ISBLANK($C166),"",IF(F166=Constants!$B$2, TRUE(), IF(F166=Constants!$B$3, FALSE(), TRUE())))</f>
        <v/>
      </c>
      <c r="T166" s="67" t="str">
        <f aca="false">IF(ISBLANK($C166),"",IF(G166=Constants!$B$16,Constants!$B$9,IF(G166=Constants!$B$17,Constants!$B$10,Constants!$B$8)))</f>
        <v/>
      </c>
      <c r="U166" s="67" t="str">
        <f aca="false">IF(ISBLANK($C166),"",IF(H166=Constants!$B$19,Constants!$B$19,Constants!$B$18))</f>
        <v/>
      </c>
      <c r="V166" s="67" t="str">
        <f aca="false">IF(ISBLANK($C166),"",IF(ISNUMBER(I166),IF(I166&gt;=0,I166,""),""))</f>
        <v/>
      </c>
      <c r="W166" s="67" t="str">
        <f aca="false">IF(ISBLANK($C166),"",IF(J166=Constants!$B$2, TRUE(), IF(J166=Constants!$B$3, FALSE(), TRUE())))</f>
        <v/>
      </c>
      <c r="X166" s="67" t="str">
        <f aca="false">IF(ISBLANK($C166),"",IF(K166=Constants!$B$2, TRUE(), IF(K166=Constants!$B$3, FALSE(), TRUE())))</f>
        <v/>
      </c>
      <c r="Y166" s="67" t="str">
        <f aca="false">IF(ISBLANK($C166),"",IF(L166=Constants!$B$19,Constants!$B$19,Constants!$B$18))</f>
        <v/>
      </c>
      <c r="Z166" s="67" t="str">
        <f aca="false">IF(ISBLANK($C166),"",IF(ISNUMBER(M166),IF(M166&gt;=0,M166,""),""))</f>
        <v/>
      </c>
      <c r="AA166" s="67" t="str">
        <f aca="false">IF(ISBLANK($C166),"",IF(N166=Constants!$B$2, TRUE(), IF(N166=Constants!$B$3, FALSE(), TRUE())))</f>
        <v/>
      </c>
      <c r="AB166" s="67" t="str">
        <f aca="false">IF(ISBLANK($C166),"",IF(O166=Constants!$B$2, TRUE(), IF(O166=Constants!$B$3, FALSE(), TRUE())))</f>
        <v/>
      </c>
      <c r="AC166" s="67" t="str">
        <f aca="false">IF(ISBLANK($C166),"",IF(P166=Constants!$B$2, TRUE(), IF(P166=Constants!$B$3, FALSE(), FALSE())))</f>
        <v/>
      </c>
      <c r="AD166" s="67" t="str">
        <f aca="false">IF(ISBLANK($C166),"",AND(V166&lt;&gt;"",IF(U166=Constants!$B$19,S166,R166)))</f>
        <v/>
      </c>
      <c r="AE166" s="67" t="str">
        <f aca="false">IF(ISBLANK($C166),"",AND(Z166&lt;&gt;"",IF(Y166=Constants!$B$19,S166,R166)))</f>
        <v/>
      </c>
      <c r="AF166" s="67" t="str">
        <f aca="false">IF(ISBLANK($C166),"",IF(AC166,Constants!$B$4,IF(COUNTA(E166:O166)=0,Constants!$B$5,IF(AND(NOT(AD166),NOT(AE166)),Constants!$B$6,Constants!$B$7))))</f>
        <v/>
      </c>
      <c r="AG166" s="67" t="str">
        <f aca="false">IF(ISBLANK($C166),"",IF($AF166&lt;&gt;Constants!$B$7,$AF166,Constants!$B$20))</f>
        <v/>
      </c>
      <c r="AH166" s="67" t="str">
        <f aca="false">IF($AF166=Constants!$B$7,IF(AD166,V166,Constants!$B$13),"")</f>
        <v/>
      </c>
      <c r="AI166" s="67" t="str">
        <f aca="false">IF($AF166=Constants!$B$7,IF(AD166,T166*IF(W166, 1, Constants!$B$11)*IF(X166, 1, Constants!$B$12),Constants!$B$13),"")</f>
        <v/>
      </c>
      <c r="AJ166" s="67" t="str">
        <f aca="false">IF($AF166=Constants!$B$7,AH166*AI166,"")</f>
        <v/>
      </c>
      <c r="AK166" s="67" t="str">
        <f aca="false">IF($AF166=Constants!$B$7,IF(AE166,Z166,Constants!$B$13),"")</f>
        <v/>
      </c>
      <c r="AL166" s="67" t="str">
        <f aca="false">IF($AF166=Constants!$B$7,IF(AE166,T166*IF(AA166, 1, Constants!$B$11)*IF(AB166, 1, Constants!$B$12),Constants!$B$13),"")</f>
        <v/>
      </c>
      <c r="AM166" s="67" t="str">
        <f aca="false">IF($AF166=Constants!$B$7,AK166*AL166,"")</f>
        <v/>
      </c>
      <c r="AN166" s="67" t="str">
        <f aca="false">IF($AF166=Constants!$B$7,IF(AM166&gt;AJ166,2,1),"")</f>
        <v/>
      </c>
      <c r="AO166" s="67" t="str">
        <f aca="false">IF($AF166=Constants!$B$7,IF(AN166=1,2,1),"")</f>
        <v/>
      </c>
      <c r="AP166" s="67" t="str">
        <f aca="false">IF(ISBLANK($C166),"",IF($AF166&lt;&gt;Constants!$B$7,$AF166,IF(AN166=1,AJ166,AM166)))</f>
        <v/>
      </c>
      <c r="AQ166" s="67" t="str">
        <f aca="false">IF(ISBLANK($C166),"",IF($AF166=Constants!$B$7,IF(ISNUMBER(AP166),RANK(AP166,$AP$8:$AP$507),Constants!$B$14),$AF166))</f>
        <v/>
      </c>
      <c r="AR166" s="67" t="str">
        <f aca="false">IF(ISBLANK($C166),"",IF($AF166=Constants!$B$7,IF(AO166=1,AJ166,AM166),""))</f>
        <v/>
      </c>
      <c r="AS166" s="67" t="str">
        <f aca="false">IF(ISBLANK($C166),"",IF($AF166=Constants!$B$7,RANK(AR166,$AR$8:$AR$507),$AF166))</f>
        <v/>
      </c>
      <c r="AT166" s="67" t="str">
        <f aca="false">IF(ISBLANK($C166),"",IF($AF166=Constants!$B$7,IF(ISNUMBER(AQ166),COUNTIFS($AQ$8:$AQ$507,"&lt;"&amp;$AQ166)+COUNTIFS($AQ$8:$AQ$507,$AQ166,$AS$8:$AS$507,"&lt;"&amp;$AS166)+1,Constants!$B$14),$AF166))</f>
        <v/>
      </c>
      <c r="AU166" s="67" t="str">
        <f aca="false">IF(ISBLANK($C166),"",IF($AF166=Constants!$B$7,IF(ISNUMBER(AQ166),AQ166-AT166,Constants!$B$14),$AF166))</f>
        <v/>
      </c>
      <c r="AV166" s="69"/>
      <c r="AW166" s="70" t="str">
        <f aca="false">IF(ISBLANK($C166),"",IF($AF166&lt;&gt;Constants!$B$7,"",AN166))</f>
        <v/>
      </c>
      <c r="AX166" s="85" t="str">
        <f aca="false">IF(ISBLANK($C166),"",IF($AF166&lt;&gt;Constants!$B$7,"",IF(AN166=1,AH166,AK166)))</f>
        <v/>
      </c>
      <c r="AY166" s="72" t="str">
        <f aca="false">IF(ISBLANK($C166),"",IF($AF166&lt;&gt;Constants!$B$7,"",IF(AN166=1,AI166,AL166)))</f>
        <v/>
      </c>
      <c r="AZ166" s="73" t="str">
        <f aca="false">IF(ISBLANK($C166),"",IF($AF166&lt;&gt;Constants!$B$7,$AF166,AP166))</f>
        <v/>
      </c>
      <c r="BA166" s="74" t="str">
        <f aca="false">IF(ISBLANK($C166),"",IF($AF166&lt;&gt;Constants!$B$7,$AF166,AG166))</f>
        <v/>
      </c>
      <c r="BB166" s="75" t="str">
        <f aca="false">IF(ISBLANK($C166),"",AU166)</f>
        <v/>
      </c>
      <c r="BC166" s="75" t="str">
        <f aca="false">IF(ISBLANK($C166),"",AT166)</f>
        <v/>
      </c>
      <c r="BD166" s="76" t="str">
        <f aca="false">IF(ISBLANK($C166),"",IFERROR(_xlfn.SWITCH(BC166,Constants!$B$4,COUNTA($C$8:$C$507)+2,Constants!$B$5,COUNTA($C$8:$C$507)+1,Constants!$B$6,COUNTA($C$8:$C$507)),BC166))</f>
        <v/>
      </c>
      <c r="BE166" s="5"/>
      <c r="BF166" s="77" t="n">
        <f aca="false">IF(OR(ISNUMBER(BC166),BC166=Constants!$B$4,BC166=Constants!$B$6,BC166=Constants!$B$5),1,0)</f>
        <v>0</v>
      </c>
      <c r="BG166" s="77" t="n">
        <v>159</v>
      </c>
      <c r="BH166" s="77" t="str">
        <f aca="false">IF(ISBLANK($C166),"",IF(ISNUMBER(BD166),BD166+ROW($B166)/1000,""))</f>
        <v/>
      </c>
      <c r="BI166" s="77" t="str">
        <f aca="false">IF(ISNUMBER(BH166),RANK(BH166,$BH$8:$BH$507,1),"")</f>
        <v/>
      </c>
      <c r="BJ166" s="77" t="str">
        <f aca="false">IF(ISBLANK($C166),"",$B166)</f>
        <v/>
      </c>
      <c r="BK166" s="77" t="str">
        <f aca="false">IF(ISBLANK($C166),"",$C166)</f>
        <v/>
      </c>
      <c r="BL166" s="77" t="str">
        <f aca="false">IF(ISBLANK($C166),"",$D166)</f>
        <v/>
      </c>
      <c r="BM166" s="78" t="str">
        <f aca="false">BA166</f>
        <v/>
      </c>
      <c r="BN166" s="79" t="str">
        <f aca="false">AZ166</f>
        <v/>
      </c>
      <c r="BO166" s="77" t="str">
        <f aca="false">IF(ISBLANK($C166),"",BC166)</f>
        <v/>
      </c>
      <c r="BP166" s="80" t="str">
        <f aca="false">IF($BG166&gt;$BF$7,"",VLOOKUP($BG166,$BI$8:$BO$507,7,FALSE()))</f>
        <v/>
      </c>
      <c r="BQ166" s="81" t="str">
        <f aca="false">IF($BG166&gt;$BF$7,"",VLOOKUP($BG166,$BI$8:$BO$507,2,FALSE()))</f>
        <v/>
      </c>
      <c r="BR166" s="81" t="str">
        <f aca="false">IF($BG166&gt;$BF$7,"",VLOOKUP($BG166,$BI$8:$BO$507,3,FALSE()))</f>
        <v/>
      </c>
      <c r="BS166" s="81" t="str">
        <f aca="false">IF($BG166&gt;$BF$7,"",VLOOKUP($BG166,$BI$8:$BO$507,4,FALSE()))</f>
        <v/>
      </c>
      <c r="BT166" s="81" t="str">
        <f aca="false">IF($BG166&gt;$BF$7,"",VLOOKUP($BG166,$BI$8:$BO$507,5,FALSE()))</f>
        <v/>
      </c>
      <c r="BU166" s="82" t="str">
        <f aca="false">IF($BG166&gt;$BF$7,"",VLOOKUP($BG166,$BI$8:$BO$507,6,FALSE()))</f>
        <v/>
      </c>
      <c r="BV166" s="54"/>
    </row>
    <row r="167" customFormat="false" ht="15.75" hidden="false" customHeight="false" outlineLevel="0" collapsed="false">
      <c r="A167" s="5"/>
      <c r="B167" s="128"/>
      <c r="C167" s="129"/>
      <c r="D167" s="114"/>
      <c r="E167" s="134"/>
      <c r="F167" s="139"/>
      <c r="G167" s="93"/>
      <c r="H167" s="140"/>
      <c r="I167" s="95"/>
      <c r="J167" s="95"/>
      <c r="K167" s="93"/>
      <c r="L167" s="141"/>
      <c r="M167" s="95"/>
      <c r="N167" s="95"/>
      <c r="O167" s="93"/>
      <c r="P167" s="134"/>
      <c r="Q167" s="98"/>
      <c r="R167" s="99" t="str">
        <f aca="false">IF(ISBLANK($C167),"",IF(E167=Constants!$B$2, TRUE(), IF(E167=Constants!$B$3, FALSE(), TRUE())))</f>
        <v/>
      </c>
      <c r="S167" s="99" t="str">
        <f aca="false">IF(ISBLANK($C167),"",IF(F167=Constants!$B$2, TRUE(), IF(F167=Constants!$B$3, FALSE(), TRUE())))</f>
        <v/>
      </c>
      <c r="T167" s="99" t="str">
        <f aca="false">IF(ISBLANK($C167),"",IF(G167=Constants!$B$16,Constants!$B$9,IF(G167=Constants!$B$17,Constants!$B$10,Constants!$B$8)))</f>
        <v/>
      </c>
      <c r="U167" s="99" t="str">
        <f aca="false">IF(ISBLANK($C167),"",IF(H167=Constants!$B$19,Constants!$B$19,Constants!$B$18))</f>
        <v/>
      </c>
      <c r="V167" s="99" t="str">
        <f aca="false">IF(ISBLANK($C167),"",IF(ISNUMBER(I167),IF(I167&gt;=0,I167,""),""))</f>
        <v/>
      </c>
      <c r="W167" s="99" t="str">
        <f aca="false">IF(ISBLANK($C167),"",IF(J167=Constants!$B$2, TRUE(), IF(J167=Constants!$B$3, FALSE(), TRUE())))</f>
        <v/>
      </c>
      <c r="X167" s="99" t="str">
        <f aca="false">IF(ISBLANK($C167),"",IF(K167=Constants!$B$2, TRUE(), IF(K167=Constants!$B$3, FALSE(), TRUE())))</f>
        <v/>
      </c>
      <c r="Y167" s="99" t="str">
        <f aca="false">IF(ISBLANK($C167),"",IF(L167=Constants!$B$19,Constants!$B$19,Constants!$B$18))</f>
        <v/>
      </c>
      <c r="Z167" s="99" t="str">
        <f aca="false">IF(ISBLANK($C167),"",IF(ISNUMBER(M167),IF(M167&gt;=0,M167,""),""))</f>
        <v/>
      </c>
      <c r="AA167" s="99" t="str">
        <f aca="false">IF(ISBLANK($C167),"",IF(N167=Constants!$B$2, TRUE(), IF(N167=Constants!$B$3, FALSE(), TRUE())))</f>
        <v/>
      </c>
      <c r="AB167" s="99" t="str">
        <f aca="false">IF(ISBLANK($C167),"",IF(O167=Constants!$B$2, TRUE(), IF(O167=Constants!$B$3, FALSE(), TRUE())))</f>
        <v/>
      </c>
      <c r="AC167" s="99" t="str">
        <f aca="false">IF(ISBLANK($C167),"",IF(P167=Constants!$B$2, TRUE(), IF(P167=Constants!$B$3, FALSE(), FALSE())))</f>
        <v/>
      </c>
      <c r="AD167" s="99" t="str">
        <f aca="false">IF(ISBLANK($C167),"",AND(V167&lt;&gt;"",IF(U167=Constants!$B$19,S167,R167)))</f>
        <v/>
      </c>
      <c r="AE167" s="99" t="str">
        <f aca="false">IF(ISBLANK($C167),"",AND(Z167&lt;&gt;"",IF(Y167=Constants!$B$19,S167,R167)))</f>
        <v/>
      </c>
      <c r="AF167" s="99" t="str">
        <f aca="false">IF(ISBLANK($C167),"",IF(AC167,Constants!$B$4,IF(COUNTA(E167:O167)=0,Constants!$B$5,IF(AND(NOT(AD167),NOT(AE167)),Constants!$B$6,Constants!$B$7))))</f>
        <v/>
      </c>
      <c r="AG167" s="99" t="str">
        <f aca="false">IF(ISBLANK($C167),"",IF($AF167&lt;&gt;Constants!$B$7,$AF167,Constants!$B$20))</f>
        <v/>
      </c>
      <c r="AH167" s="99" t="str">
        <f aca="false">IF($AF167=Constants!$B$7,IF(AD167,V167,Constants!$B$13),"")</f>
        <v/>
      </c>
      <c r="AI167" s="99" t="str">
        <f aca="false">IF($AF167=Constants!$B$7,IF(AD167,T167*IF(W167, 1, Constants!$B$11)*IF(X167, 1, Constants!$B$12),Constants!$B$13),"")</f>
        <v/>
      </c>
      <c r="AJ167" s="99" t="str">
        <f aca="false">IF($AF167=Constants!$B$7,AH167*AI167,"")</f>
        <v/>
      </c>
      <c r="AK167" s="99" t="str">
        <f aca="false">IF($AF167=Constants!$B$7,IF(AE167,Z167,Constants!$B$13),"")</f>
        <v/>
      </c>
      <c r="AL167" s="99" t="str">
        <f aca="false">IF($AF167=Constants!$B$7,IF(AE167,T167*IF(AA167, 1, Constants!$B$11)*IF(AB167, 1, Constants!$B$12),Constants!$B$13),"")</f>
        <v/>
      </c>
      <c r="AM167" s="99" t="str">
        <f aca="false">IF($AF167=Constants!$B$7,AK167*AL167,"")</f>
        <v/>
      </c>
      <c r="AN167" s="99" t="str">
        <f aca="false">IF($AF167=Constants!$B$7,IF(AM167&gt;AJ167,2,1),"")</f>
        <v/>
      </c>
      <c r="AO167" s="99" t="str">
        <f aca="false">IF($AF167=Constants!$B$7,IF(AN167=1,2,1),"")</f>
        <v/>
      </c>
      <c r="AP167" s="99" t="str">
        <f aca="false">IF(ISBLANK($C167),"",IF($AF167&lt;&gt;Constants!$B$7,$AF167,IF(AN167=1,AJ167,AM167)))</f>
        <v/>
      </c>
      <c r="AQ167" s="99" t="str">
        <f aca="false">IF(ISBLANK($C167),"",IF($AF167=Constants!$B$7,IF(ISNUMBER(AP167),RANK(AP167,$AP$8:$AP$507),Constants!$B$14),$AF167))</f>
        <v/>
      </c>
      <c r="AR167" s="99" t="str">
        <f aca="false">IF(ISBLANK($C167),"",IF($AF167=Constants!$B$7,IF(AO167=1,AJ167,AM167),""))</f>
        <v/>
      </c>
      <c r="AS167" s="99" t="str">
        <f aca="false">IF(ISBLANK($C167),"",IF($AF167=Constants!$B$7,RANK(AR167,$AR$8:$AR$507),$AF167))</f>
        <v/>
      </c>
      <c r="AT167" s="99" t="str">
        <f aca="false">IF(ISBLANK($C167),"",IF($AF167=Constants!$B$7,IF(ISNUMBER(AQ167),COUNTIFS($AQ$8:$AQ$507,"&lt;"&amp;$AQ167)+COUNTIFS($AQ$8:$AQ$507,$AQ167,$AS$8:$AS$507,"&lt;"&amp;$AS167)+1,Constants!$B$14),$AF167))</f>
        <v/>
      </c>
      <c r="AU167" s="99" t="str">
        <f aca="false">IF(ISBLANK($C167),"",IF($AF167=Constants!$B$7,IF(ISNUMBER(AQ167),AQ167-AT167,Constants!$B$14),$AF167))</f>
        <v/>
      </c>
      <c r="AV167" s="100"/>
      <c r="AW167" s="101" t="str">
        <f aca="false">IF(ISBLANK($C167),"",IF($AF167&lt;&gt;Constants!$B$7,"",AN167))</f>
        <v/>
      </c>
      <c r="AX167" s="102" t="str">
        <f aca="false">IF(ISBLANK($C167),"",IF($AF167&lt;&gt;Constants!$B$7,"",IF(AN167=1,AH167,AK167)))</f>
        <v/>
      </c>
      <c r="AY167" s="103" t="str">
        <f aca="false">IF(ISBLANK($C167),"",IF($AF167&lt;&gt;Constants!$B$7,"",IF(AN167=1,AI167,AL167)))</f>
        <v/>
      </c>
      <c r="AZ167" s="104" t="str">
        <f aca="false">IF(ISBLANK($C167),"",IF($AF167&lt;&gt;Constants!$B$7,$AF167,AP167))</f>
        <v/>
      </c>
      <c r="BA167" s="105" t="str">
        <f aca="false">IF(ISBLANK($C167),"",IF($AF167&lt;&gt;Constants!$B$7,$AF167,AG167))</f>
        <v/>
      </c>
      <c r="BB167" s="106" t="str">
        <f aca="false">IF(ISBLANK($C167),"",AU167)</f>
        <v/>
      </c>
      <c r="BC167" s="106" t="str">
        <f aca="false">IF(ISBLANK($C167),"",AT167)</f>
        <v/>
      </c>
      <c r="BD167" s="107" t="str">
        <f aca="false">IF(ISBLANK($C167),"",IFERROR(_xlfn.SWITCH(BC167,Constants!$B$4,COUNTA($C$8:$C$507)+2,Constants!$B$5,COUNTA($C$8:$C$507)+1,Constants!$B$6,COUNTA($C$8:$C$507)),BC167))</f>
        <v/>
      </c>
      <c r="BE167" s="5"/>
      <c r="BF167" s="108" t="n">
        <f aca="false">IF(OR(ISNUMBER(BC167),BC167=Constants!$B$4,BC167=Constants!$B$6,BC167=Constants!$B$5),1,0)</f>
        <v>0</v>
      </c>
      <c r="BG167" s="108" t="n">
        <v>160</v>
      </c>
      <c r="BH167" s="108" t="str">
        <f aca="false">IF(ISBLANK($C167),"",IF(ISNUMBER(BD167),BD167+ROW($B167)/1000,""))</f>
        <v/>
      </c>
      <c r="BI167" s="108" t="str">
        <f aca="false">IF(ISNUMBER(BH167),RANK(BH167,$BH$8:$BH$507,1),"")</f>
        <v/>
      </c>
      <c r="BJ167" s="108" t="str">
        <f aca="false">IF(ISBLANK($C167),"",$B167)</f>
        <v/>
      </c>
      <c r="BK167" s="108" t="str">
        <f aca="false">IF(ISBLANK($C167),"",$C167)</f>
        <v/>
      </c>
      <c r="BL167" s="108" t="str">
        <f aca="false">IF(ISBLANK($C167),"",$D167)</f>
        <v/>
      </c>
      <c r="BM167" s="109" t="str">
        <f aca="false">BA167</f>
        <v/>
      </c>
      <c r="BN167" s="110" t="str">
        <f aca="false">AZ167</f>
        <v/>
      </c>
      <c r="BO167" s="108" t="str">
        <f aca="false">IF(ISBLANK($C167),"",BC167)</f>
        <v/>
      </c>
      <c r="BP167" s="111" t="str">
        <f aca="false">IF($BG167&gt;$BF$7,"",VLOOKUP($BG167,$BI$8:$BO$507,7,FALSE()))</f>
        <v/>
      </c>
      <c r="BQ167" s="112" t="str">
        <f aca="false">IF($BG167&gt;$BF$7,"",VLOOKUP($BG167,$BI$8:$BO$507,2,FALSE()))</f>
        <v/>
      </c>
      <c r="BR167" s="112" t="str">
        <f aca="false">IF($BG167&gt;$BF$7,"",VLOOKUP($BG167,$BI$8:$BO$507,3,FALSE()))</f>
        <v/>
      </c>
      <c r="BS167" s="112" t="str">
        <f aca="false">IF($BG167&gt;$BF$7,"",VLOOKUP($BG167,$BI$8:$BO$507,4,FALSE()))</f>
        <v/>
      </c>
      <c r="BT167" s="112" t="str">
        <f aca="false">IF($BG167&gt;$BF$7,"",VLOOKUP($BG167,$BI$8:$BO$507,5,FALSE()))</f>
        <v/>
      </c>
      <c r="BU167" s="113" t="str">
        <f aca="false">IF($BG167&gt;$BF$7,"",VLOOKUP($BG167,$BI$8:$BO$507,6,FALSE()))</f>
        <v/>
      </c>
      <c r="BV167" s="54"/>
    </row>
    <row r="168" customFormat="false" ht="15.75" hidden="false" customHeight="false" outlineLevel="0" collapsed="false">
      <c r="A168" s="5"/>
      <c r="B168" s="128"/>
      <c r="C168" s="129"/>
      <c r="D168" s="114"/>
      <c r="E168" s="134"/>
      <c r="F168" s="139"/>
      <c r="G168" s="93"/>
      <c r="H168" s="140"/>
      <c r="I168" s="95"/>
      <c r="J168" s="95"/>
      <c r="K168" s="93"/>
      <c r="L168" s="141"/>
      <c r="M168" s="95"/>
      <c r="N168" s="95"/>
      <c r="O168" s="93"/>
      <c r="P168" s="134"/>
      <c r="Q168" s="98"/>
      <c r="R168" s="99" t="str">
        <f aca="false">IF(ISBLANK($C168),"",IF(E168=Constants!$B$2, TRUE(), IF(E168=Constants!$B$3, FALSE(), TRUE())))</f>
        <v/>
      </c>
      <c r="S168" s="99" t="str">
        <f aca="false">IF(ISBLANK($C168),"",IF(F168=Constants!$B$2, TRUE(), IF(F168=Constants!$B$3, FALSE(), TRUE())))</f>
        <v/>
      </c>
      <c r="T168" s="99" t="str">
        <f aca="false">IF(ISBLANK($C168),"",IF(G168=Constants!$B$16,Constants!$B$9,IF(G168=Constants!$B$17,Constants!$B$10,Constants!$B$8)))</f>
        <v/>
      </c>
      <c r="U168" s="99" t="str">
        <f aca="false">IF(ISBLANK($C168),"",IF(H168=Constants!$B$19,Constants!$B$19,Constants!$B$18))</f>
        <v/>
      </c>
      <c r="V168" s="99" t="str">
        <f aca="false">IF(ISBLANK($C168),"",IF(ISNUMBER(I168),IF(I168&gt;=0,I168,""),""))</f>
        <v/>
      </c>
      <c r="W168" s="99" t="str">
        <f aca="false">IF(ISBLANK($C168),"",IF(J168=Constants!$B$2, TRUE(), IF(J168=Constants!$B$3, FALSE(), TRUE())))</f>
        <v/>
      </c>
      <c r="X168" s="99" t="str">
        <f aca="false">IF(ISBLANK($C168),"",IF(K168=Constants!$B$2, TRUE(), IF(K168=Constants!$B$3, FALSE(), TRUE())))</f>
        <v/>
      </c>
      <c r="Y168" s="99" t="str">
        <f aca="false">IF(ISBLANK($C168),"",IF(L168=Constants!$B$19,Constants!$B$19,Constants!$B$18))</f>
        <v/>
      </c>
      <c r="Z168" s="99" t="str">
        <f aca="false">IF(ISBLANK($C168),"",IF(ISNUMBER(M168),IF(M168&gt;=0,M168,""),""))</f>
        <v/>
      </c>
      <c r="AA168" s="99" t="str">
        <f aca="false">IF(ISBLANK($C168),"",IF(N168=Constants!$B$2, TRUE(), IF(N168=Constants!$B$3, FALSE(), TRUE())))</f>
        <v/>
      </c>
      <c r="AB168" s="99" t="str">
        <f aca="false">IF(ISBLANK($C168),"",IF(O168=Constants!$B$2, TRUE(), IF(O168=Constants!$B$3, FALSE(), TRUE())))</f>
        <v/>
      </c>
      <c r="AC168" s="99" t="str">
        <f aca="false">IF(ISBLANK($C168),"",IF(P168=Constants!$B$2, TRUE(), IF(P168=Constants!$B$3, FALSE(), FALSE())))</f>
        <v/>
      </c>
      <c r="AD168" s="99" t="str">
        <f aca="false">IF(ISBLANK($C168),"",AND(V168&lt;&gt;"",IF(U168=Constants!$B$19,S168,R168)))</f>
        <v/>
      </c>
      <c r="AE168" s="99" t="str">
        <f aca="false">IF(ISBLANK($C168),"",AND(Z168&lt;&gt;"",IF(Y168=Constants!$B$19,S168,R168)))</f>
        <v/>
      </c>
      <c r="AF168" s="99" t="str">
        <f aca="false">IF(ISBLANK($C168),"",IF(AC168,Constants!$B$4,IF(COUNTA(E168:O168)=0,Constants!$B$5,IF(AND(NOT(AD168),NOT(AE168)),Constants!$B$6,Constants!$B$7))))</f>
        <v/>
      </c>
      <c r="AG168" s="99" t="str">
        <f aca="false">IF(ISBLANK($C168),"",IF($AF168&lt;&gt;Constants!$B$7,$AF168,Constants!$B$20))</f>
        <v/>
      </c>
      <c r="AH168" s="99" t="str">
        <f aca="false">IF($AF168=Constants!$B$7,IF(AD168,V168,Constants!$B$13),"")</f>
        <v/>
      </c>
      <c r="AI168" s="99" t="str">
        <f aca="false">IF($AF168=Constants!$B$7,IF(AD168,T168*IF(W168, 1, Constants!$B$11)*IF(X168, 1, Constants!$B$12),Constants!$B$13),"")</f>
        <v/>
      </c>
      <c r="AJ168" s="99" t="str">
        <f aca="false">IF($AF168=Constants!$B$7,AH168*AI168,"")</f>
        <v/>
      </c>
      <c r="AK168" s="99" t="str">
        <f aca="false">IF($AF168=Constants!$B$7,IF(AE168,Z168,Constants!$B$13),"")</f>
        <v/>
      </c>
      <c r="AL168" s="99" t="str">
        <f aca="false">IF($AF168=Constants!$B$7,IF(AE168,T168*IF(AA168, 1, Constants!$B$11)*IF(AB168, 1, Constants!$B$12),Constants!$B$13),"")</f>
        <v/>
      </c>
      <c r="AM168" s="99" t="str">
        <f aca="false">IF($AF168=Constants!$B$7,AK168*AL168,"")</f>
        <v/>
      </c>
      <c r="AN168" s="99" t="str">
        <f aca="false">IF($AF168=Constants!$B$7,IF(AM168&gt;AJ168,2,1),"")</f>
        <v/>
      </c>
      <c r="AO168" s="99" t="str">
        <f aca="false">IF($AF168=Constants!$B$7,IF(AN168=1,2,1),"")</f>
        <v/>
      </c>
      <c r="AP168" s="99" t="str">
        <f aca="false">IF(ISBLANK($C168),"",IF($AF168&lt;&gt;Constants!$B$7,$AF168,IF(AN168=1,AJ168,AM168)))</f>
        <v/>
      </c>
      <c r="AQ168" s="99" t="str">
        <f aca="false">IF(ISBLANK($C168),"",IF($AF168=Constants!$B$7,IF(ISNUMBER(AP168),RANK(AP168,$AP$8:$AP$507),Constants!$B$14),$AF168))</f>
        <v/>
      </c>
      <c r="AR168" s="99" t="str">
        <f aca="false">IF(ISBLANK($C168),"",IF($AF168=Constants!$B$7,IF(AO168=1,AJ168,AM168),""))</f>
        <v/>
      </c>
      <c r="AS168" s="99" t="str">
        <f aca="false">IF(ISBLANK($C168),"",IF($AF168=Constants!$B$7,RANK(AR168,$AR$8:$AR$507),$AF168))</f>
        <v/>
      </c>
      <c r="AT168" s="99" t="str">
        <f aca="false">IF(ISBLANK($C168),"",IF($AF168=Constants!$B$7,IF(ISNUMBER(AQ168),COUNTIFS($AQ$8:$AQ$507,"&lt;"&amp;$AQ168)+COUNTIFS($AQ$8:$AQ$507,$AQ168,$AS$8:$AS$507,"&lt;"&amp;$AS168)+1,Constants!$B$14),$AF168))</f>
        <v/>
      </c>
      <c r="AU168" s="99" t="str">
        <f aca="false">IF(ISBLANK($C168),"",IF($AF168=Constants!$B$7,IF(ISNUMBER(AQ168),AQ168-AT168,Constants!$B$14),$AF168))</f>
        <v/>
      </c>
      <c r="AV168" s="100"/>
      <c r="AW168" s="101" t="str">
        <f aca="false">IF(ISBLANK($C168),"",IF($AF168&lt;&gt;Constants!$B$7,"",AN168))</f>
        <v/>
      </c>
      <c r="AX168" s="102" t="str">
        <f aca="false">IF(ISBLANK($C168),"",IF($AF168&lt;&gt;Constants!$B$7,"",IF(AN168=1,AH168,AK168)))</f>
        <v/>
      </c>
      <c r="AY168" s="103" t="str">
        <f aca="false">IF(ISBLANK($C168),"",IF($AF168&lt;&gt;Constants!$B$7,"",IF(AN168=1,AI168,AL168)))</f>
        <v/>
      </c>
      <c r="AZ168" s="104" t="str">
        <f aca="false">IF(ISBLANK($C168),"",IF($AF168&lt;&gt;Constants!$B$7,$AF168,AP168))</f>
        <v/>
      </c>
      <c r="BA168" s="105" t="str">
        <f aca="false">IF(ISBLANK($C168),"",IF($AF168&lt;&gt;Constants!$B$7,$AF168,AG168))</f>
        <v/>
      </c>
      <c r="BB168" s="106" t="str">
        <f aca="false">IF(ISBLANK($C168),"",AU168)</f>
        <v/>
      </c>
      <c r="BC168" s="106" t="str">
        <f aca="false">IF(ISBLANK($C168),"",AT168)</f>
        <v/>
      </c>
      <c r="BD168" s="107" t="str">
        <f aca="false">IF(ISBLANK($C168),"",IFERROR(_xlfn.SWITCH(BC168,Constants!$B$4,COUNTA($C$8:$C$507)+2,Constants!$B$5,COUNTA($C$8:$C$507)+1,Constants!$B$6,COUNTA($C$8:$C$507)),BC168))</f>
        <v/>
      </c>
      <c r="BE168" s="5"/>
      <c r="BF168" s="108" t="n">
        <f aca="false">IF(OR(ISNUMBER(BC168),BC168=Constants!$B$4,BC168=Constants!$B$6,BC168=Constants!$B$5),1,0)</f>
        <v>0</v>
      </c>
      <c r="BG168" s="108" t="n">
        <v>161</v>
      </c>
      <c r="BH168" s="108" t="str">
        <f aca="false">IF(ISBLANK($C168),"",IF(ISNUMBER(BD168),BD168+ROW($B168)/1000,""))</f>
        <v/>
      </c>
      <c r="BI168" s="108" t="str">
        <f aca="false">IF(ISNUMBER(BH168),RANK(BH168,$BH$8:$BH$507,1),"")</f>
        <v/>
      </c>
      <c r="BJ168" s="108" t="str">
        <f aca="false">IF(ISBLANK($C168),"",$B168)</f>
        <v/>
      </c>
      <c r="BK168" s="108" t="str">
        <f aca="false">IF(ISBLANK($C168),"",$C168)</f>
        <v/>
      </c>
      <c r="BL168" s="108" t="str">
        <f aca="false">IF(ISBLANK($C168),"",$D168)</f>
        <v/>
      </c>
      <c r="BM168" s="109" t="str">
        <f aca="false">BA168</f>
        <v/>
      </c>
      <c r="BN168" s="110" t="str">
        <f aca="false">AZ168</f>
        <v/>
      </c>
      <c r="BO168" s="108" t="str">
        <f aca="false">IF(ISBLANK($C168),"",BC168)</f>
        <v/>
      </c>
      <c r="BP168" s="111" t="str">
        <f aca="false">IF($BG168&gt;$BF$7,"",VLOOKUP($BG168,$BI$8:$BO$507,7,FALSE()))</f>
        <v/>
      </c>
      <c r="BQ168" s="112" t="str">
        <f aca="false">IF($BG168&gt;$BF$7,"",VLOOKUP($BG168,$BI$8:$BO$507,2,FALSE()))</f>
        <v/>
      </c>
      <c r="BR168" s="112" t="str">
        <f aca="false">IF($BG168&gt;$BF$7,"",VLOOKUP($BG168,$BI$8:$BO$507,3,FALSE()))</f>
        <v/>
      </c>
      <c r="BS168" s="112" t="str">
        <f aca="false">IF($BG168&gt;$BF$7,"",VLOOKUP($BG168,$BI$8:$BO$507,4,FALSE()))</f>
        <v/>
      </c>
      <c r="BT168" s="112" t="str">
        <f aca="false">IF($BG168&gt;$BF$7,"",VLOOKUP($BG168,$BI$8:$BO$507,5,FALSE()))</f>
        <v/>
      </c>
      <c r="BU168" s="113" t="str">
        <f aca="false">IF($BG168&gt;$BF$7,"",VLOOKUP($BG168,$BI$8:$BO$507,6,FALSE()))</f>
        <v/>
      </c>
      <c r="BV168" s="54"/>
    </row>
    <row r="169" customFormat="false" ht="15.75" hidden="false" customHeight="false" outlineLevel="0" collapsed="false">
      <c r="A169" s="5"/>
      <c r="B169" s="128"/>
      <c r="C169" s="129"/>
      <c r="D169" s="114"/>
      <c r="E169" s="134"/>
      <c r="F169" s="139"/>
      <c r="G169" s="93"/>
      <c r="H169" s="140"/>
      <c r="I169" s="95"/>
      <c r="J169" s="95"/>
      <c r="K169" s="93"/>
      <c r="L169" s="141"/>
      <c r="M169" s="95"/>
      <c r="N169" s="95"/>
      <c r="O169" s="93"/>
      <c r="P169" s="134"/>
      <c r="Q169" s="98"/>
      <c r="R169" s="99" t="str">
        <f aca="false">IF(ISBLANK($C169),"",IF(E169=Constants!$B$2, TRUE(), IF(E169=Constants!$B$3, FALSE(), TRUE())))</f>
        <v/>
      </c>
      <c r="S169" s="99" t="str">
        <f aca="false">IF(ISBLANK($C169),"",IF(F169=Constants!$B$2, TRUE(), IF(F169=Constants!$B$3, FALSE(), TRUE())))</f>
        <v/>
      </c>
      <c r="T169" s="99" t="str">
        <f aca="false">IF(ISBLANK($C169),"",IF(G169=Constants!$B$16,Constants!$B$9,IF(G169=Constants!$B$17,Constants!$B$10,Constants!$B$8)))</f>
        <v/>
      </c>
      <c r="U169" s="99" t="str">
        <f aca="false">IF(ISBLANK($C169),"",IF(H169=Constants!$B$19,Constants!$B$19,Constants!$B$18))</f>
        <v/>
      </c>
      <c r="V169" s="99" t="str">
        <f aca="false">IF(ISBLANK($C169),"",IF(ISNUMBER(I169),IF(I169&gt;=0,I169,""),""))</f>
        <v/>
      </c>
      <c r="W169" s="99" t="str">
        <f aca="false">IF(ISBLANK($C169),"",IF(J169=Constants!$B$2, TRUE(), IF(J169=Constants!$B$3, FALSE(), TRUE())))</f>
        <v/>
      </c>
      <c r="X169" s="99" t="str">
        <f aca="false">IF(ISBLANK($C169),"",IF(K169=Constants!$B$2, TRUE(), IF(K169=Constants!$B$3, FALSE(), TRUE())))</f>
        <v/>
      </c>
      <c r="Y169" s="99" t="str">
        <f aca="false">IF(ISBLANK($C169),"",IF(L169=Constants!$B$19,Constants!$B$19,Constants!$B$18))</f>
        <v/>
      </c>
      <c r="Z169" s="99" t="str">
        <f aca="false">IF(ISBLANK($C169),"",IF(ISNUMBER(M169),IF(M169&gt;=0,M169,""),""))</f>
        <v/>
      </c>
      <c r="AA169" s="99" t="str">
        <f aca="false">IF(ISBLANK($C169),"",IF(N169=Constants!$B$2, TRUE(), IF(N169=Constants!$B$3, FALSE(), TRUE())))</f>
        <v/>
      </c>
      <c r="AB169" s="99" t="str">
        <f aca="false">IF(ISBLANK($C169),"",IF(O169=Constants!$B$2, TRUE(), IF(O169=Constants!$B$3, FALSE(), TRUE())))</f>
        <v/>
      </c>
      <c r="AC169" s="99" t="str">
        <f aca="false">IF(ISBLANK($C169),"",IF(P169=Constants!$B$2, TRUE(), IF(P169=Constants!$B$3, FALSE(), FALSE())))</f>
        <v/>
      </c>
      <c r="AD169" s="99" t="str">
        <f aca="false">IF(ISBLANK($C169),"",AND(V169&lt;&gt;"",IF(U169=Constants!$B$19,S169,R169)))</f>
        <v/>
      </c>
      <c r="AE169" s="99" t="str">
        <f aca="false">IF(ISBLANK($C169),"",AND(Z169&lt;&gt;"",IF(Y169=Constants!$B$19,S169,R169)))</f>
        <v/>
      </c>
      <c r="AF169" s="99" t="str">
        <f aca="false">IF(ISBLANK($C169),"",IF(AC169,Constants!$B$4,IF(COUNTA(E169:O169)=0,Constants!$B$5,IF(AND(NOT(AD169),NOT(AE169)),Constants!$B$6,Constants!$B$7))))</f>
        <v/>
      </c>
      <c r="AG169" s="99" t="str">
        <f aca="false">IF(ISBLANK($C169),"",IF($AF169&lt;&gt;Constants!$B$7,$AF169,Constants!$B$20))</f>
        <v/>
      </c>
      <c r="AH169" s="99" t="str">
        <f aca="false">IF($AF169=Constants!$B$7,IF(AD169,V169,Constants!$B$13),"")</f>
        <v/>
      </c>
      <c r="AI169" s="99" t="str">
        <f aca="false">IF($AF169=Constants!$B$7,IF(AD169,T169*IF(W169, 1, Constants!$B$11)*IF(X169, 1, Constants!$B$12),Constants!$B$13),"")</f>
        <v/>
      </c>
      <c r="AJ169" s="99" t="str">
        <f aca="false">IF($AF169=Constants!$B$7,AH169*AI169,"")</f>
        <v/>
      </c>
      <c r="AK169" s="99" t="str">
        <f aca="false">IF($AF169=Constants!$B$7,IF(AE169,Z169,Constants!$B$13),"")</f>
        <v/>
      </c>
      <c r="AL169" s="99" t="str">
        <f aca="false">IF($AF169=Constants!$B$7,IF(AE169,T169*IF(AA169, 1, Constants!$B$11)*IF(AB169, 1, Constants!$B$12),Constants!$B$13),"")</f>
        <v/>
      </c>
      <c r="AM169" s="99" t="str">
        <f aca="false">IF($AF169=Constants!$B$7,AK169*AL169,"")</f>
        <v/>
      </c>
      <c r="AN169" s="99" t="str">
        <f aca="false">IF($AF169=Constants!$B$7,IF(AM169&gt;AJ169,2,1),"")</f>
        <v/>
      </c>
      <c r="AO169" s="99" t="str">
        <f aca="false">IF($AF169=Constants!$B$7,IF(AN169=1,2,1),"")</f>
        <v/>
      </c>
      <c r="AP169" s="99" t="str">
        <f aca="false">IF(ISBLANK($C169),"",IF($AF169&lt;&gt;Constants!$B$7,$AF169,IF(AN169=1,AJ169,AM169)))</f>
        <v/>
      </c>
      <c r="AQ169" s="99" t="str">
        <f aca="false">IF(ISBLANK($C169),"",IF($AF169=Constants!$B$7,IF(ISNUMBER(AP169),RANK(AP169,$AP$8:$AP$507),Constants!$B$14),$AF169))</f>
        <v/>
      </c>
      <c r="AR169" s="99" t="str">
        <f aca="false">IF(ISBLANK($C169),"",IF($AF169=Constants!$B$7,IF(AO169=1,AJ169,AM169),""))</f>
        <v/>
      </c>
      <c r="AS169" s="99" t="str">
        <f aca="false">IF(ISBLANK($C169),"",IF($AF169=Constants!$B$7,RANK(AR169,$AR$8:$AR$507),$AF169))</f>
        <v/>
      </c>
      <c r="AT169" s="99" t="str">
        <f aca="false">IF(ISBLANK($C169),"",IF($AF169=Constants!$B$7,IF(ISNUMBER(AQ169),COUNTIFS($AQ$8:$AQ$507,"&lt;"&amp;$AQ169)+COUNTIFS($AQ$8:$AQ$507,$AQ169,$AS$8:$AS$507,"&lt;"&amp;$AS169)+1,Constants!$B$14),$AF169))</f>
        <v/>
      </c>
      <c r="AU169" s="99" t="str">
        <f aca="false">IF(ISBLANK($C169),"",IF($AF169=Constants!$B$7,IF(ISNUMBER(AQ169),AQ169-AT169,Constants!$B$14),$AF169))</f>
        <v/>
      </c>
      <c r="AV169" s="100"/>
      <c r="AW169" s="101" t="str">
        <f aca="false">IF(ISBLANK($C169),"",IF($AF169&lt;&gt;Constants!$B$7,"",AN169))</f>
        <v/>
      </c>
      <c r="AX169" s="102" t="str">
        <f aca="false">IF(ISBLANK($C169),"",IF($AF169&lt;&gt;Constants!$B$7,"",IF(AN169=1,AH169,AK169)))</f>
        <v/>
      </c>
      <c r="AY169" s="103" t="str">
        <f aca="false">IF(ISBLANK($C169),"",IF($AF169&lt;&gt;Constants!$B$7,"",IF(AN169=1,AI169,AL169)))</f>
        <v/>
      </c>
      <c r="AZ169" s="104" t="str">
        <f aca="false">IF(ISBLANK($C169),"",IF($AF169&lt;&gt;Constants!$B$7,$AF169,AP169))</f>
        <v/>
      </c>
      <c r="BA169" s="105" t="str">
        <f aca="false">IF(ISBLANK($C169),"",IF($AF169&lt;&gt;Constants!$B$7,$AF169,AG169))</f>
        <v/>
      </c>
      <c r="BB169" s="106" t="str">
        <f aca="false">IF(ISBLANK($C169),"",AU169)</f>
        <v/>
      </c>
      <c r="BC169" s="106" t="str">
        <f aca="false">IF(ISBLANK($C169),"",AT169)</f>
        <v/>
      </c>
      <c r="BD169" s="107" t="str">
        <f aca="false">IF(ISBLANK($C169),"",IFERROR(_xlfn.SWITCH(BC169,Constants!$B$4,COUNTA($C$8:$C$507)+2,Constants!$B$5,COUNTA($C$8:$C$507)+1,Constants!$B$6,COUNTA($C$8:$C$507)),BC169))</f>
        <v/>
      </c>
      <c r="BE169" s="5"/>
      <c r="BF169" s="108" t="n">
        <f aca="false">IF(OR(ISNUMBER(BC169),BC169=Constants!$B$4,BC169=Constants!$B$6,BC169=Constants!$B$5),1,0)</f>
        <v>0</v>
      </c>
      <c r="BG169" s="108" t="n">
        <v>162</v>
      </c>
      <c r="BH169" s="108" t="str">
        <f aca="false">IF(ISBLANK($C169),"",IF(ISNUMBER(BD169),BD169+ROW($B169)/1000,""))</f>
        <v/>
      </c>
      <c r="BI169" s="108" t="str">
        <f aca="false">IF(ISNUMBER(BH169),RANK(BH169,$BH$8:$BH$507,1),"")</f>
        <v/>
      </c>
      <c r="BJ169" s="108" t="str">
        <f aca="false">IF(ISBLANK($C169),"",$B169)</f>
        <v/>
      </c>
      <c r="BK169" s="108" t="str">
        <f aca="false">IF(ISBLANK($C169),"",$C169)</f>
        <v/>
      </c>
      <c r="BL169" s="108" t="str">
        <f aca="false">IF(ISBLANK($C169),"",$D169)</f>
        <v/>
      </c>
      <c r="BM169" s="109" t="str">
        <f aca="false">BA169</f>
        <v/>
      </c>
      <c r="BN169" s="110" t="str">
        <f aca="false">AZ169</f>
        <v/>
      </c>
      <c r="BO169" s="108" t="str">
        <f aca="false">IF(ISBLANK($C169),"",BC169)</f>
        <v/>
      </c>
      <c r="BP169" s="111" t="str">
        <f aca="false">IF($BG169&gt;$BF$7,"",VLOOKUP($BG169,$BI$8:$BO$507,7,FALSE()))</f>
        <v/>
      </c>
      <c r="BQ169" s="112" t="str">
        <f aca="false">IF($BG169&gt;$BF$7,"",VLOOKUP($BG169,$BI$8:$BO$507,2,FALSE()))</f>
        <v/>
      </c>
      <c r="BR169" s="112" t="str">
        <f aca="false">IF($BG169&gt;$BF$7,"",VLOOKUP($BG169,$BI$8:$BO$507,3,FALSE()))</f>
        <v/>
      </c>
      <c r="BS169" s="112" t="str">
        <f aca="false">IF($BG169&gt;$BF$7,"",VLOOKUP($BG169,$BI$8:$BO$507,4,FALSE()))</f>
        <v/>
      </c>
      <c r="BT169" s="112" t="str">
        <f aca="false">IF($BG169&gt;$BF$7,"",VLOOKUP($BG169,$BI$8:$BO$507,5,FALSE()))</f>
        <v/>
      </c>
      <c r="BU169" s="113" t="str">
        <f aca="false">IF($BG169&gt;$BF$7,"",VLOOKUP($BG169,$BI$8:$BO$507,6,FALSE()))</f>
        <v/>
      </c>
      <c r="BV169" s="54"/>
    </row>
    <row r="170" customFormat="false" ht="15.75" hidden="false" customHeight="false" outlineLevel="0" collapsed="false">
      <c r="A170" s="5"/>
      <c r="B170" s="135"/>
      <c r="C170" s="56"/>
      <c r="D170" s="57"/>
      <c r="E170" s="84"/>
      <c r="F170" s="136"/>
      <c r="G170" s="60"/>
      <c r="H170" s="137"/>
      <c r="I170" s="62"/>
      <c r="J170" s="62"/>
      <c r="K170" s="60"/>
      <c r="L170" s="138"/>
      <c r="M170" s="62"/>
      <c r="N170" s="62"/>
      <c r="O170" s="60"/>
      <c r="P170" s="84"/>
      <c r="Q170" s="65"/>
      <c r="R170" s="67" t="str">
        <f aca="false">IF(ISBLANK($C170),"",IF(E170=Constants!$B$2, TRUE(), IF(E170=Constants!$B$3, FALSE(), TRUE())))</f>
        <v/>
      </c>
      <c r="S170" s="67" t="str">
        <f aca="false">IF(ISBLANK($C170),"",IF(F170=Constants!$B$2, TRUE(), IF(F170=Constants!$B$3, FALSE(), TRUE())))</f>
        <v/>
      </c>
      <c r="T170" s="67" t="str">
        <f aca="false">IF(ISBLANK($C170),"",IF(G170=Constants!$B$16,Constants!$B$9,IF(G170=Constants!$B$17,Constants!$B$10,Constants!$B$8)))</f>
        <v/>
      </c>
      <c r="U170" s="67" t="str">
        <f aca="false">IF(ISBLANK($C170),"",IF(H170=Constants!$B$19,Constants!$B$19,Constants!$B$18))</f>
        <v/>
      </c>
      <c r="V170" s="67" t="str">
        <f aca="false">IF(ISBLANK($C170),"",IF(ISNUMBER(I170),IF(I170&gt;=0,I170,""),""))</f>
        <v/>
      </c>
      <c r="W170" s="67" t="str">
        <f aca="false">IF(ISBLANK($C170),"",IF(J170=Constants!$B$2, TRUE(), IF(J170=Constants!$B$3, FALSE(), TRUE())))</f>
        <v/>
      </c>
      <c r="X170" s="67" t="str">
        <f aca="false">IF(ISBLANK($C170),"",IF(K170=Constants!$B$2, TRUE(), IF(K170=Constants!$B$3, FALSE(), TRUE())))</f>
        <v/>
      </c>
      <c r="Y170" s="67" t="str">
        <f aca="false">IF(ISBLANK($C170),"",IF(L170=Constants!$B$19,Constants!$B$19,Constants!$B$18))</f>
        <v/>
      </c>
      <c r="Z170" s="67" t="str">
        <f aca="false">IF(ISBLANK($C170),"",IF(ISNUMBER(M170),IF(M170&gt;=0,M170,""),""))</f>
        <v/>
      </c>
      <c r="AA170" s="67" t="str">
        <f aca="false">IF(ISBLANK($C170),"",IF(N170=Constants!$B$2, TRUE(), IF(N170=Constants!$B$3, FALSE(), TRUE())))</f>
        <v/>
      </c>
      <c r="AB170" s="67" t="str">
        <f aca="false">IF(ISBLANK($C170),"",IF(O170=Constants!$B$2, TRUE(), IF(O170=Constants!$B$3, FALSE(), TRUE())))</f>
        <v/>
      </c>
      <c r="AC170" s="67" t="str">
        <f aca="false">IF(ISBLANK($C170),"",IF(P170=Constants!$B$2, TRUE(), IF(P170=Constants!$B$3, FALSE(), FALSE())))</f>
        <v/>
      </c>
      <c r="AD170" s="67" t="str">
        <f aca="false">IF(ISBLANK($C170),"",AND(V170&lt;&gt;"",IF(U170=Constants!$B$19,S170,R170)))</f>
        <v/>
      </c>
      <c r="AE170" s="67" t="str">
        <f aca="false">IF(ISBLANK($C170),"",AND(Z170&lt;&gt;"",IF(Y170=Constants!$B$19,S170,R170)))</f>
        <v/>
      </c>
      <c r="AF170" s="67" t="str">
        <f aca="false">IF(ISBLANK($C170),"",IF(AC170,Constants!$B$4,IF(COUNTA(E170:O170)=0,Constants!$B$5,IF(AND(NOT(AD170),NOT(AE170)),Constants!$B$6,Constants!$B$7))))</f>
        <v/>
      </c>
      <c r="AG170" s="67" t="str">
        <f aca="false">IF(ISBLANK($C170),"",IF($AF170&lt;&gt;Constants!$B$7,$AF170,Constants!$B$20))</f>
        <v/>
      </c>
      <c r="AH170" s="67" t="str">
        <f aca="false">IF($AF170=Constants!$B$7,IF(AD170,V170,Constants!$B$13),"")</f>
        <v/>
      </c>
      <c r="AI170" s="67" t="str">
        <f aca="false">IF($AF170=Constants!$B$7,IF(AD170,T170*IF(W170, 1, Constants!$B$11)*IF(X170, 1, Constants!$B$12),Constants!$B$13),"")</f>
        <v/>
      </c>
      <c r="AJ170" s="67" t="str">
        <f aca="false">IF($AF170=Constants!$B$7,AH170*AI170,"")</f>
        <v/>
      </c>
      <c r="AK170" s="67" t="str">
        <f aca="false">IF($AF170=Constants!$B$7,IF(AE170,Z170,Constants!$B$13),"")</f>
        <v/>
      </c>
      <c r="AL170" s="67" t="str">
        <f aca="false">IF($AF170=Constants!$B$7,IF(AE170,T170*IF(AA170, 1, Constants!$B$11)*IF(AB170, 1, Constants!$B$12),Constants!$B$13),"")</f>
        <v/>
      </c>
      <c r="AM170" s="67" t="str">
        <f aca="false">IF($AF170=Constants!$B$7,AK170*AL170,"")</f>
        <v/>
      </c>
      <c r="AN170" s="67" t="str">
        <f aca="false">IF($AF170=Constants!$B$7,IF(AM170&gt;AJ170,2,1),"")</f>
        <v/>
      </c>
      <c r="AO170" s="67" t="str">
        <f aca="false">IF($AF170=Constants!$B$7,IF(AN170=1,2,1),"")</f>
        <v/>
      </c>
      <c r="AP170" s="67" t="str">
        <f aca="false">IF(ISBLANK($C170),"",IF($AF170&lt;&gt;Constants!$B$7,$AF170,IF(AN170=1,AJ170,AM170)))</f>
        <v/>
      </c>
      <c r="AQ170" s="67" t="str">
        <f aca="false">IF(ISBLANK($C170),"",IF($AF170=Constants!$B$7,IF(ISNUMBER(AP170),RANK(AP170,$AP$8:$AP$507),Constants!$B$14),$AF170))</f>
        <v/>
      </c>
      <c r="AR170" s="67" t="str">
        <f aca="false">IF(ISBLANK($C170),"",IF($AF170=Constants!$B$7,IF(AO170=1,AJ170,AM170),""))</f>
        <v/>
      </c>
      <c r="AS170" s="67" t="str">
        <f aca="false">IF(ISBLANK($C170),"",IF($AF170=Constants!$B$7,RANK(AR170,$AR$8:$AR$507),$AF170))</f>
        <v/>
      </c>
      <c r="AT170" s="67" t="str">
        <f aca="false">IF(ISBLANK($C170),"",IF($AF170=Constants!$B$7,IF(ISNUMBER(AQ170),COUNTIFS($AQ$8:$AQ$507,"&lt;"&amp;$AQ170)+COUNTIFS($AQ$8:$AQ$507,$AQ170,$AS$8:$AS$507,"&lt;"&amp;$AS170)+1,Constants!$B$14),$AF170))</f>
        <v/>
      </c>
      <c r="AU170" s="67" t="str">
        <f aca="false">IF(ISBLANK($C170),"",IF($AF170=Constants!$B$7,IF(ISNUMBER(AQ170),AQ170-AT170,Constants!$B$14),$AF170))</f>
        <v/>
      </c>
      <c r="AV170" s="69"/>
      <c r="AW170" s="70" t="str">
        <f aca="false">IF(ISBLANK($C170),"",IF($AF170&lt;&gt;Constants!$B$7,"",AN170))</f>
        <v/>
      </c>
      <c r="AX170" s="85" t="str">
        <f aca="false">IF(ISBLANK($C170),"",IF($AF170&lt;&gt;Constants!$B$7,"",IF(AN170=1,AH170,AK170)))</f>
        <v/>
      </c>
      <c r="AY170" s="72" t="str">
        <f aca="false">IF(ISBLANK($C170),"",IF($AF170&lt;&gt;Constants!$B$7,"",IF(AN170=1,AI170,AL170)))</f>
        <v/>
      </c>
      <c r="AZ170" s="73" t="str">
        <f aca="false">IF(ISBLANK($C170),"",IF($AF170&lt;&gt;Constants!$B$7,$AF170,AP170))</f>
        <v/>
      </c>
      <c r="BA170" s="74" t="str">
        <f aca="false">IF(ISBLANK($C170),"",IF($AF170&lt;&gt;Constants!$B$7,$AF170,AG170))</f>
        <v/>
      </c>
      <c r="BB170" s="75" t="str">
        <f aca="false">IF(ISBLANK($C170),"",AU170)</f>
        <v/>
      </c>
      <c r="BC170" s="75" t="str">
        <f aca="false">IF(ISBLANK($C170),"",AT170)</f>
        <v/>
      </c>
      <c r="BD170" s="76" t="str">
        <f aca="false">IF(ISBLANK($C170),"",IFERROR(_xlfn.SWITCH(BC170,Constants!$B$4,COUNTA($C$8:$C$507)+2,Constants!$B$5,COUNTA($C$8:$C$507)+1,Constants!$B$6,COUNTA($C$8:$C$507)),BC170))</f>
        <v/>
      </c>
      <c r="BE170" s="5"/>
      <c r="BF170" s="77" t="n">
        <f aca="false">IF(OR(ISNUMBER(BC170),BC170=Constants!$B$4,BC170=Constants!$B$6,BC170=Constants!$B$5),1,0)</f>
        <v>0</v>
      </c>
      <c r="BG170" s="77" t="n">
        <v>163</v>
      </c>
      <c r="BH170" s="77" t="str">
        <f aca="false">IF(ISBLANK($C170),"",IF(ISNUMBER(BD170),BD170+ROW($B170)/1000,""))</f>
        <v/>
      </c>
      <c r="BI170" s="77" t="str">
        <f aca="false">IF(ISNUMBER(BH170),RANK(BH170,$BH$8:$BH$507,1),"")</f>
        <v/>
      </c>
      <c r="BJ170" s="77" t="str">
        <f aca="false">IF(ISBLANK($C170),"",$B170)</f>
        <v/>
      </c>
      <c r="BK170" s="77" t="str">
        <f aca="false">IF(ISBLANK($C170),"",$C170)</f>
        <v/>
      </c>
      <c r="BL170" s="77" t="str">
        <f aca="false">IF(ISBLANK($C170),"",$D170)</f>
        <v/>
      </c>
      <c r="BM170" s="78" t="str">
        <f aca="false">BA170</f>
        <v/>
      </c>
      <c r="BN170" s="79" t="str">
        <f aca="false">AZ170</f>
        <v/>
      </c>
      <c r="BO170" s="77" t="str">
        <f aca="false">IF(ISBLANK($C170),"",BC170)</f>
        <v/>
      </c>
      <c r="BP170" s="80" t="str">
        <f aca="false">IF($BG170&gt;$BF$7,"",VLOOKUP($BG170,$BI$8:$BO$507,7,FALSE()))</f>
        <v/>
      </c>
      <c r="BQ170" s="81" t="str">
        <f aca="false">IF($BG170&gt;$BF$7,"",VLOOKUP($BG170,$BI$8:$BO$507,2,FALSE()))</f>
        <v/>
      </c>
      <c r="BR170" s="81" t="str">
        <f aca="false">IF($BG170&gt;$BF$7,"",VLOOKUP($BG170,$BI$8:$BO$507,3,FALSE()))</f>
        <v/>
      </c>
      <c r="BS170" s="81" t="str">
        <f aca="false">IF($BG170&gt;$BF$7,"",VLOOKUP($BG170,$BI$8:$BO$507,4,FALSE()))</f>
        <v/>
      </c>
      <c r="BT170" s="81" t="str">
        <f aca="false">IF($BG170&gt;$BF$7,"",VLOOKUP($BG170,$BI$8:$BO$507,5,FALSE()))</f>
        <v/>
      </c>
      <c r="BU170" s="82" t="str">
        <f aca="false">IF($BG170&gt;$BF$7,"",VLOOKUP($BG170,$BI$8:$BO$507,6,FALSE()))</f>
        <v/>
      </c>
      <c r="BV170" s="54"/>
    </row>
    <row r="171" customFormat="false" ht="15.75" hidden="false" customHeight="false" outlineLevel="0" collapsed="false">
      <c r="A171" s="5"/>
      <c r="B171" s="135"/>
      <c r="C171" s="56"/>
      <c r="D171" s="57"/>
      <c r="E171" s="84"/>
      <c r="F171" s="136"/>
      <c r="G171" s="60"/>
      <c r="H171" s="137"/>
      <c r="I171" s="62"/>
      <c r="J171" s="62"/>
      <c r="K171" s="60"/>
      <c r="L171" s="138"/>
      <c r="M171" s="62"/>
      <c r="N171" s="62"/>
      <c r="O171" s="60"/>
      <c r="P171" s="84"/>
      <c r="Q171" s="65"/>
      <c r="R171" s="67" t="str">
        <f aca="false">IF(ISBLANK($C171),"",IF(E171=Constants!$B$2, TRUE(), IF(E171=Constants!$B$3, FALSE(), TRUE())))</f>
        <v/>
      </c>
      <c r="S171" s="67" t="str">
        <f aca="false">IF(ISBLANK($C171),"",IF(F171=Constants!$B$2, TRUE(), IF(F171=Constants!$B$3, FALSE(), TRUE())))</f>
        <v/>
      </c>
      <c r="T171" s="67" t="str">
        <f aca="false">IF(ISBLANK($C171),"",IF(G171=Constants!$B$16,Constants!$B$9,IF(G171=Constants!$B$17,Constants!$B$10,Constants!$B$8)))</f>
        <v/>
      </c>
      <c r="U171" s="67" t="str">
        <f aca="false">IF(ISBLANK($C171),"",IF(H171=Constants!$B$19,Constants!$B$19,Constants!$B$18))</f>
        <v/>
      </c>
      <c r="V171" s="67" t="str">
        <f aca="false">IF(ISBLANK($C171),"",IF(ISNUMBER(I171),IF(I171&gt;=0,I171,""),""))</f>
        <v/>
      </c>
      <c r="W171" s="67" t="str">
        <f aca="false">IF(ISBLANK($C171),"",IF(J171=Constants!$B$2, TRUE(), IF(J171=Constants!$B$3, FALSE(), TRUE())))</f>
        <v/>
      </c>
      <c r="X171" s="67" t="str">
        <f aca="false">IF(ISBLANK($C171),"",IF(K171=Constants!$B$2, TRUE(), IF(K171=Constants!$B$3, FALSE(), TRUE())))</f>
        <v/>
      </c>
      <c r="Y171" s="67" t="str">
        <f aca="false">IF(ISBLANK($C171),"",IF(L171=Constants!$B$19,Constants!$B$19,Constants!$B$18))</f>
        <v/>
      </c>
      <c r="Z171" s="67" t="str">
        <f aca="false">IF(ISBLANK($C171),"",IF(ISNUMBER(M171),IF(M171&gt;=0,M171,""),""))</f>
        <v/>
      </c>
      <c r="AA171" s="67" t="str">
        <f aca="false">IF(ISBLANK($C171),"",IF(N171=Constants!$B$2, TRUE(), IF(N171=Constants!$B$3, FALSE(), TRUE())))</f>
        <v/>
      </c>
      <c r="AB171" s="67" t="str">
        <f aca="false">IF(ISBLANK($C171),"",IF(O171=Constants!$B$2, TRUE(), IF(O171=Constants!$B$3, FALSE(), TRUE())))</f>
        <v/>
      </c>
      <c r="AC171" s="67" t="str">
        <f aca="false">IF(ISBLANK($C171),"",IF(P171=Constants!$B$2, TRUE(), IF(P171=Constants!$B$3, FALSE(), FALSE())))</f>
        <v/>
      </c>
      <c r="AD171" s="67" t="str">
        <f aca="false">IF(ISBLANK($C171),"",AND(V171&lt;&gt;"",IF(U171=Constants!$B$19,S171,R171)))</f>
        <v/>
      </c>
      <c r="AE171" s="67" t="str">
        <f aca="false">IF(ISBLANK($C171),"",AND(Z171&lt;&gt;"",IF(Y171=Constants!$B$19,S171,R171)))</f>
        <v/>
      </c>
      <c r="AF171" s="67" t="str">
        <f aca="false">IF(ISBLANK($C171),"",IF(AC171,Constants!$B$4,IF(COUNTA(E171:O171)=0,Constants!$B$5,IF(AND(NOT(AD171),NOT(AE171)),Constants!$B$6,Constants!$B$7))))</f>
        <v/>
      </c>
      <c r="AG171" s="67" t="str">
        <f aca="false">IF(ISBLANK($C171),"",IF($AF171&lt;&gt;Constants!$B$7,$AF171,Constants!$B$20))</f>
        <v/>
      </c>
      <c r="AH171" s="67" t="str">
        <f aca="false">IF($AF171=Constants!$B$7,IF(AD171,V171,Constants!$B$13),"")</f>
        <v/>
      </c>
      <c r="AI171" s="67" t="str">
        <f aca="false">IF($AF171=Constants!$B$7,IF(AD171,T171*IF(W171, 1, Constants!$B$11)*IF(X171, 1, Constants!$B$12),Constants!$B$13),"")</f>
        <v/>
      </c>
      <c r="AJ171" s="67" t="str">
        <f aca="false">IF($AF171=Constants!$B$7,AH171*AI171,"")</f>
        <v/>
      </c>
      <c r="AK171" s="67" t="str">
        <f aca="false">IF($AF171=Constants!$B$7,IF(AE171,Z171,Constants!$B$13),"")</f>
        <v/>
      </c>
      <c r="AL171" s="67" t="str">
        <f aca="false">IF($AF171=Constants!$B$7,IF(AE171,T171*IF(AA171, 1, Constants!$B$11)*IF(AB171, 1, Constants!$B$12),Constants!$B$13),"")</f>
        <v/>
      </c>
      <c r="AM171" s="67" t="str">
        <f aca="false">IF($AF171=Constants!$B$7,AK171*AL171,"")</f>
        <v/>
      </c>
      <c r="AN171" s="67" t="str">
        <f aca="false">IF($AF171=Constants!$B$7,IF(AM171&gt;AJ171,2,1),"")</f>
        <v/>
      </c>
      <c r="AO171" s="67" t="str">
        <f aca="false">IF($AF171=Constants!$B$7,IF(AN171=1,2,1),"")</f>
        <v/>
      </c>
      <c r="AP171" s="67" t="str">
        <f aca="false">IF(ISBLANK($C171),"",IF($AF171&lt;&gt;Constants!$B$7,$AF171,IF(AN171=1,AJ171,AM171)))</f>
        <v/>
      </c>
      <c r="AQ171" s="67" t="str">
        <f aca="false">IF(ISBLANK($C171),"",IF($AF171=Constants!$B$7,IF(ISNUMBER(AP171),RANK(AP171,$AP$8:$AP$507),Constants!$B$14),$AF171))</f>
        <v/>
      </c>
      <c r="AR171" s="67" t="str">
        <f aca="false">IF(ISBLANK($C171),"",IF($AF171=Constants!$B$7,IF(AO171=1,AJ171,AM171),""))</f>
        <v/>
      </c>
      <c r="AS171" s="67" t="str">
        <f aca="false">IF(ISBLANK($C171),"",IF($AF171=Constants!$B$7,RANK(AR171,$AR$8:$AR$507),$AF171))</f>
        <v/>
      </c>
      <c r="AT171" s="67" t="str">
        <f aca="false">IF(ISBLANK($C171),"",IF($AF171=Constants!$B$7,IF(ISNUMBER(AQ171),COUNTIFS($AQ$8:$AQ$507,"&lt;"&amp;$AQ171)+COUNTIFS($AQ$8:$AQ$507,$AQ171,$AS$8:$AS$507,"&lt;"&amp;$AS171)+1,Constants!$B$14),$AF171))</f>
        <v/>
      </c>
      <c r="AU171" s="67" t="str">
        <f aca="false">IF(ISBLANK($C171),"",IF($AF171=Constants!$B$7,IF(ISNUMBER(AQ171),AQ171-AT171,Constants!$B$14),$AF171))</f>
        <v/>
      </c>
      <c r="AV171" s="69"/>
      <c r="AW171" s="70" t="str">
        <f aca="false">IF(ISBLANK($C171),"",IF($AF171&lt;&gt;Constants!$B$7,"",AN171))</f>
        <v/>
      </c>
      <c r="AX171" s="85" t="str">
        <f aca="false">IF(ISBLANK($C171),"",IF($AF171&lt;&gt;Constants!$B$7,"",IF(AN171=1,AH171,AK171)))</f>
        <v/>
      </c>
      <c r="AY171" s="72" t="str">
        <f aca="false">IF(ISBLANK($C171),"",IF($AF171&lt;&gt;Constants!$B$7,"",IF(AN171=1,AI171,AL171)))</f>
        <v/>
      </c>
      <c r="AZ171" s="73" t="str">
        <f aca="false">IF(ISBLANK($C171),"",IF($AF171&lt;&gt;Constants!$B$7,$AF171,AP171))</f>
        <v/>
      </c>
      <c r="BA171" s="74" t="str">
        <f aca="false">IF(ISBLANK($C171),"",IF($AF171&lt;&gt;Constants!$B$7,$AF171,AG171))</f>
        <v/>
      </c>
      <c r="BB171" s="75" t="str">
        <f aca="false">IF(ISBLANK($C171),"",AU171)</f>
        <v/>
      </c>
      <c r="BC171" s="75" t="str">
        <f aca="false">IF(ISBLANK($C171),"",AT171)</f>
        <v/>
      </c>
      <c r="BD171" s="76" t="str">
        <f aca="false">IF(ISBLANK($C171),"",IFERROR(_xlfn.SWITCH(BC171,Constants!$B$4,COUNTA($C$8:$C$507)+2,Constants!$B$5,COUNTA($C$8:$C$507)+1,Constants!$B$6,COUNTA($C$8:$C$507)),BC171))</f>
        <v/>
      </c>
      <c r="BE171" s="5"/>
      <c r="BF171" s="77" t="n">
        <f aca="false">IF(OR(ISNUMBER(BC171),BC171=Constants!$B$4,BC171=Constants!$B$6,BC171=Constants!$B$5),1,0)</f>
        <v>0</v>
      </c>
      <c r="BG171" s="77" t="n">
        <v>164</v>
      </c>
      <c r="BH171" s="77" t="str">
        <f aca="false">IF(ISBLANK($C171),"",IF(ISNUMBER(BD171),BD171+ROW($B171)/1000,""))</f>
        <v/>
      </c>
      <c r="BI171" s="77" t="str">
        <f aca="false">IF(ISNUMBER(BH171),RANK(BH171,$BH$8:$BH$507,1),"")</f>
        <v/>
      </c>
      <c r="BJ171" s="77" t="str">
        <f aca="false">IF(ISBLANK($C171),"",$B171)</f>
        <v/>
      </c>
      <c r="BK171" s="77" t="str">
        <f aca="false">IF(ISBLANK($C171),"",$C171)</f>
        <v/>
      </c>
      <c r="BL171" s="77" t="str">
        <f aca="false">IF(ISBLANK($C171),"",$D171)</f>
        <v/>
      </c>
      <c r="BM171" s="78" t="str">
        <f aca="false">BA171</f>
        <v/>
      </c>
      <c r="BN171" s="79" t="str">
        <f aca="false">AZ171</f>
        <v/>
      </c>
      <c r="BO171" s="77" t="str">
        <f aca="false">IF(ISBLANK($C171),"",BC171)</f>
        <v/>
      </c>
      <c r="BP171" s="80" t="str">
        <f aca="false">IF($BG171&gt;$BF$7,"",VLOOKUP($BG171,$BI$8:$BO$507,7,FALSE()))</f>
        <v/>
      </c>
      <c r="BQ171" s="81" t="str">
        <f aca="false">IF($BG171&gt;$BF$7,"",VLOOKUP($BG171,$BI$8:$BO$507,2,FALSE()))</f>
        <v/>
      </c>
      <c r="BR171" s="81" t="str">
        <f aca="false">IF($BG171&gt;$BF$7,"",VLOOKUP($BG171,$BI$8:$BO$507,3,FALSE()))</f>
        <v/>
      </c>
      <c r="BS171" s="81" t="str">
        <f aca="false">IF($BG171&gt;$BF$7,"",VLOOKUP($BG171,$BI$8:$BO$507,4,FALSE()))</f>
        <v/>
      </c>
      <c r="BT171" s="81" t="str">
        <f aca="false">IF($BG171&gt;$BF$7,"",VLOOKUP($BG171,$BI$8:$BO$507,5,FALSE()))</f>
        <v/>
      </c>
      <c r="BU171" s="82" t="str">
        <f aca="false">IF($BG171&gt;$BF$7,"",VLOOKUP($BG171,$BI$8:$BO$507,6,FALSE()))</f>
        <v/>
      </c>
      <c r="BV171" s="54"/>
    </row>
    <row r="172" customFormat="false" ht="15.75" hidden="false" customHeight="false" outlineLevel="0" collapsed="false">
      <c r="A172" s="5"/>
      <c r="B172" s="135"/>
      <c r="C172" s="56"/>
      <c r="D172" s="57"/>
      <c r="E172" s="84"/>
      <c r="F172" s="136"/>
      <c r="G172" s="60"/>
      <c r="H172" s="137"/>
      <c r="I172" s="62"/>
      <c r="J172" s="62"/>
      <c r="K172" s="60"/>
      <c r="L172" s="138"/>
      <c r="M172" s="62"/>
      <c r="N172" s="62"/>
      <c r="O172" s="60"/>
      <c r="P172" s="84"/>
      <c r="Q172" s="65"/>
      <c r="R172" s="67" t="str">
        <f aca="false">IF(ISBLANK($C172),"",IF(E172=Constants!$B$2, TRUE(), IF(E172=Constants!$B$3, FALSE(), TRUE())))</f>
        <v/>
      </c>
      <c r="S172" s="67" t="str">
        <f aca="false">IF(ISBLANK($C172),"",IF(F172=Constants!$B$2, TRUE(), IF(F172=Constants!$B$3, FALSE(), TRUE())))</f>
        <v/>
      </c>
      <c r="T172" s="67" t="str">
        <f aca="false">IF(ISBLANK($C172),"",IF(G172=Constants!$B$16,Constants!$B$9,IF(G172=Constants!$B$17,Constants!$B$10,Constants!$B$8)))</f>
        <v/>
      </c>
      <c r="U172" s="67" t="str">
        <f aca="false">IF(ISBLANK($C172),"",IF(H172=Constants!$B$19,Constants!$B$19,Constants!$B$18))</f>
        <v/>
      </c>
      <c r="V172" s="67" t="str">
        <f aca="false">IF(ISBLANK($C172),"",IF(ISNUMBER(I172),IF(I172&gt;=0,I172,""),""))</f>
        <v/>
      </c>
      <c r="W172" s="67" t="str">
        <f aca="false">IF(ISBLANK($C172),"",IF(J172=Constants!$B$2, TRUE(), IF(J172=Constants!$B$3, FALSE(), TRUE())))</f>
        <v/>
      </c>
      <c r="X172" s="67" t="str">
        <f aca="false">IF(ISBLANK($C172),"",IF(K172=Constants!$B$2, TRUE(), IF(K172=Constants!$B$3, FALSE(), TRUE())))</f>
        <v/>
      </c>
      <c r="Y172" s="67" t="str">
        <f aca="false">IF(ISBLANK($C172),"",IF(L172=Constants!$B$19,Constants!$B$19,Constants!$B$18))</f>
        <v/>
      </c>
      <c r="Z172" s="67" t="str">
        <f aca="false">IF(ISBLANK($C172),"",IF(ISNUMBER(M172),IF(M172&gt;=0,M172,""),""))</f>
        <v/>
      </c>
      <c r="AA172" s="67" t="str">
        <f aca="false">IF(ISBLANK($C172),"",IF(N172=Constants!$B$2, TRUE(), IF(N172=Constants!$B$3, FALSE(), TRUE())))</f>
        <v/>
      </c>
      <c r="AB172" s="67" t="str">
        <f aca="false">IF(ISBLANK($C172),"",IF(O172=Constants!$B$2, TRUE(), IF(O172=Constants!$B$3, FALSE(), TRUE())))</f>
        <v/>
      </c>
      <c r="AC172" s="67" t="str">
        <f aca="false">IF(ISBLANK($C172),"",IF(P172=Constants!$B$2, TRUE(), IF(P172=Constants!$B$3, FALSE(), FALSE())))</f>
        <v/>
      </c>
      <c r="AD172" s="67" t="str">
        <f aca="false">IF(ISBLANK($C172),"",AND(V172&lt;&gt;"",IF(U172=Constants!$B$19,S172,R172)))</f>
        <v/>
      </c>
      <c r="AE172" s="67" t="str">
        <f aca="false">IF(ISBLANK($C172),"",AND(Z172&lt;&gt;"",IF(Y172=Constants!$B$19,S172,R172)))</f>
        <v/>
      </c>
      <c r="AF172" s="67" t="str">
        <f aca="false">IF(ISBLANK($C172),"",IF(AC172,Constants!$B$4,IF(COUNTA(E172:O172)=0,Constants!$B$5,IF(AND(NOT(AD172),NOT(AE172)),Constants!$B$6,Constants!$B$7))))</f>
        <v/>
      </c>
      <c r="AG172" s="67" t="str">
        <f aca="false">IF(ISBLANK($C172),"",IF($AF172&lt;&gt;Constants!$B$7,$AF172,Constants!$B$20))</f>
        <v/>
      </c>
      <c r="AH172" s="67" t="str">
        <f aca="false">IF($AF172=Constants!$B$7,IF(AD172,V172,Constants!$B$13),"")</f>
        <v/>
      </c>
      <c r="AI172" s="67" t="str">
        <f aca="false">IF($AF172=Constants!$B$7,IF(AD172,T172*IF(W172, 1, Constants!$B$11)*IF(X172, 1, Constants!$B$12),Constants!$B$13),"")</f>
        <v/>
      </c>
      <c r="AJ172" s="67" t="str">
        <f aca="false">IF($AF172=Constants!$B$7,AH172*AI172,"")</f>
        <v/>
      </c>
      <c r="AK172" s="67" t="str">
        <f aca="false">IF($AF172=Constants!$B$7,IF(AE172,Z172,Constants!$B$13),"")</f>
        <v/>
      </c>
      <c r="AL172" s="67" t="str">
        <f aca="false">IF($AF172=Constants!$B$7,IF(AE172,T172*IF(AA172, 1, Constants!$B$11)*IF(AB172, 1, Constants!$B$12),Constants!$B$13),"")</f>
        <v/>
      </c>
      <c r="AM172" s="67" t="str">
        <f aca="false">IF($AF172=Constants!$B$7,AK172*AL172,"")</f>
        <v/>
      </c>
      <c r="AN172" s="67" t="str">
        <f aca="false">IF($AF172=Constants!$B$7,IF(AM172&gt;AJ172,2,1),"")</f>
        <v/>
      </c>
      <c r="AO172" s="67" t="str">
        <f aca="false">IF($AF172=Constants!$B$7,IF(AN172=1,2,1),"")</f>
        <v/>
      </c>
      <c r="AP172" s="67" t="str">
        <f aca="false">IF(ISBLANK($C172),"",IF($AF172&lt;&gt;Constants!$B$7,$AF172,IF(AN172=1,AJ172,AM172)))</f>
        <v/>
      </c>
      <c r="AQ172" s="67" t="str">
        <f aca="false">IF(ISBLANK($C172),"",IF($AF172=Constants!$B$7,IF(ISNUMBER(AP172),RANK(AP172,$AP$8:$AP$507),Constants!$B$14),$AF172))</f>
        <v/>
      </c>
      <c r="AR172" s="67" t="str">
        <f aca="false">IF(ISBLANK($C172),"",IF($AF172=Constants!$B$7,IF(AO172=1,AJ172,AM172),""))</f>
        <v/>
      </c>
      <c r="AS172" s="67" t="str">
        <f aca="false">IF(ISBLANK($C172),"",IF($AF172=Constants!$B$7,RANK(AR172,$AR$8:$AR$507),$AF172))</f>
        <v/>
      </c>
      <c r="AT172" s="67" t="str">
        <f aca="false">IF(ISBLANK($C172),"",IF($AF172=Constants!$B$7,IF(ISNUMBER(AQ172),COUNTIFS($AQ$8:$AQ$507,"&lt;"&amp;$AQ172)+COUNTIFS($AQ$8:$AQ$507,$AQ172,$AS$8:$AS$507,"&lt;"&amp;$AS172)+1,Constants!$B$14),$AF172))</f>
        <v/>
      </c>
      <c r="AU172" s="67" t="str">
        <f aca="false">IF(ISBLANK($C172),"",IF($AF172=Constants!$B$7,IF(ISNUMBER(AQ172),AQ172-AT172,Constants!$B$14),$AF172))</f>
        <v/>
      </c>
      <c r="AV172" s="69"/>
      <c r="AW172" s="70" t="str">
        <f aca="false">IF(ISBLANK($C172),"",IF($AF172&lt;&gt;Constants!$B$7,"",AN172))</f>
        <v/>
      </c>
      <c r="AX172" s="85" t="str">
        <f aca="false">IF(ISBLANK($C172),"",IF($AF172&lt;&gt;Constants!$B$7,"",IF(AN172=1,AH172,AK172)))</f>
        <v/>
      </c>
      <c r="AY172" s="72" t="str">
        <f aca="false">IF(ISBLANK($C172),"",IF($AF172&lt;&gt;Constants!$B$7,"",IF(AN172=1,AI172,AL172)))</f>
        <v/>
      </c>
      <c r="AZ172" s="73" t="str">
        <f aca="false">IF(ISBLANK($C172),"",IF($AF172&lt;&gt;Constants!$B$7,$AF172,AP172))</f>
        <v/>
      </c>
      <c r="BA172" s="74" t="str">
        <f aca="false">IF(ISBLANK($C172),"",IF($AF172&lt;&gt;Constants!$B$7,$AF172,AG172))</f>
        <v/>
      </c>
      <c r="BB172" s="75" t="str">
        <f aca="false">IF(ISBLANK($C172),"",AU172)</f>
        <v/>
      </c>
      <c r="BC172" s="75" t="str">
        <f aca="false">IF(ISBLANK($C172),"",AT172)</f>
        <v/>
      </c>
      <c r="BD172" s="76" t="str">
        <f aca="false">IF(ISBLANK($C172),"",IFERROR(_xlfn.SWITCH(BC172,Constants!$B$4,COUNTA($C$8:$C$507)+2,Constants!$B$5,COUNTA($C$8:$C$507)+1,Constants!$B$6,COUNTA($C$8:$C$507)),BC172))</f>
        <v/>
      </c>
      <c r="BE172" s="5"/>
      <c r="BF172" s="77" t="n">
        <f aca="false">IF(OR(ISNUMBER(BC172),BC172=Constants!$B$4,BC172=Constants!$B$6,BC172=Constants!$B$5),1,0)</f>
        <v>0</v>
      </c>
      <c r="BG172" s="77" t="n">
        <v>165</v>
      </c>
      <c r="BH172" s="77" t="str">
        <f aca="false">IF(ISBLANK($C172),"",IF(ISNUMBER(BD172),BD172+ROW($B172)/1000,""))</f>
        <v/>
      </c>
      <c r="BI172" s="77" t="str">
        <f aca="false">IF(ISNUMBER(BH172),RANK(BH172,$BH$8:$BH$507,1),"")</f>
        <v/>
      </c>
      <c r="BJ172" s="77" t="str">
        <f aca="false">IF(ISBLANK($C172),"",$B172)</f>
        <v/>
      </c>
      <c r="BK172" s="77" t="str">
        <f aca="false">IF(ISBLANK($C172),"",$C172)</f>
        <v/>
      </c>
      <c r="BL172" s="77" t="str">
        <f aca="false">IF(ISBLANK($C172),"",$D172)</f>
        <v/>
      </c>
      <c r="BM172" s="78" t="str">
        <f aca="false">BA172</f>
        <v/>
      </c>
      <c r="BN172" s="79" t="str">
        <f aca="false">AZ172</f>
        <v/>
      </c>
      <c r="BO172" s="77" t="str">
        <f aca="false">IF(ISBLANK($C172),"",BC172)</f>
        <v/>
      </c>
      <c r="BP172" s="80" t="str">
        <f aca="false">IF($BG172&gt;$BF$7,"",VLOOKUP($BG172,$BI$8:$BO$507,7,FALSE()))</f>
        <v/>
      </c>
      <c r="BQ172" s="81" t="str">
        <f aca="false">IF($BG172&gt;$BF$7,"",VLOOKUP($BG172,$BI$8:$BO$507,2,FALSE()))</f>
        <v/>
      </c>
      <c r="BR172" s="81" t="str">
        <f aca="false">IF($BG172&gt;$BF$7,"",VLOOKUP($BG172,$BI$8:$BO$507,3,FALSE()))</f>
        <v/>
      </c>
      <c r="BS172" s="81" t="str">
        <f aca="false">IF($BG172&gt;$BF$7,"",VLOOKUP($BG172,$BI$8:$BO$507,4,FALSE()))</f>
        <v/>
      </c>
      <c r="BT172" s="81" t="str">
        <f aca="false">IF($BG172&gt;$BF$7,"",VLOOKUP($BG172,$BI$8:$BO$507,5,FALSE()))</f>
        <v/>
      </c>
      <c r="BU172" s="82" t="str">
        <f aca="false">IF($BG172&gt;$BF$7,"",VLOOKUP($BG172,$BI$8:$BO$507,6,FALSE()))</f>
        <v/>
      </c>
      <c r="BV172" s="54"/>
    </row>
    <row r="173" customFormat="false" ht="15.75" hidden="false" customHeight="false" outlineLevel="0" collapsed="false">
      <c r="A173" s="5"/>
      <c r="B173" s="128"/>
      <c r="C173" s="129"/>
      <c r="D173" s="114"/>
      <c r="E173" s="134"/>
      <c r="F173" s="139"/>
      <c r="G173" s="93"/>
      <c r="H173" s="140"/>
      <c r="I173" s="95"/>
      <c r="J173" s="95"/>
      <c r="K173" s="93"/>
      <c r="L173" s="141"/>
      <c r="M173" s="95"/>
      <c r="N173" s="95"/>
      <c r="O173" s="93"/>
      <c r="P173" s="134"/>
      <c r="Q173" s="98"/>
      <c r="R173" s="99" t="str">
        <f aca="false">IF(ISBLANK($C173),"",IF(E173=Constants!$B$2, TRUE(), IF(E173=Constants!$B$3, FALSE(), TRUE())))</f>
        <v/>
      </c>
      <c r="S173" s="99" t="str">
        <f aca="false">IF(ISBLANK($C173),"",IF(F173=Constants!$B$2, TRUE(), IF(F173=Constants!$B$3, FALSE(), TRUE())))</f>
        <v/>
      </c>
      <c r="T173" s="99" t="str">
        <f aca="false">IF(ISBLANK($C173),"",IF(G173=Constants!$B$16,Constants!$B$9,IF(G173=Constants!$B$17,Constants!$B$10,Constants!$B$8)))</f>
        <v/>
      </c>
      <c r="U173" s="99" t="str">
        <f aca="false">IF(ISBLANK($C173),"",IF(H173=Constants!$B$19,Constants!$B$19,Constants!$B$18))</f>
        <v/>
      </c>
      <c r="V173" s="99" t="str">
        <f aca="false">IF(ISBLANK($C173),"",IF(ISNUMBER(I173),IF(I173&gt;=0,I173,""),""))</f>
        <v/>
      </c>
      <c r="W173" s="99" t="str">
        <f aca="false">IF(ISBLANK($C173),"",IF(J173=Constants!$B$2, TRUE(), IF(J173=Constants!$B$3, FALSE(), TRUE())))</f>
        <v/>
      </c>
      <c r="X173" s="99" t="str">
        <f aca="false">IF(ISBLANK($C173),"",IF(K173=Constants!$B$2, TRUE(), IF(K173=Constants!$B$3, FALSE(), TRUE())))</f>
        <v/>
      </c>
      <c r="Y173" s="99" t="str">
        <f aca="false">IF(ISBLANK($C173),"",IF(L173=Constants!$B$19,Constants!$B$19,Constants!$B$18))</f>
        <v/>
      </c>
      <c r="Z173" s="99" t="str">
        <f aca="false">IF(ISBLANK($C173),"",IF(ISNUMBER(M173),IF(M173&gt;=0,M173,""),""))</f>
        <v/>
      </c>
      <c r="AA173" s="99" t="str">
        <f aca="false">IF(ISBLANK($C173),"",IF(N173=Constants!$B$2, TRUE(), IF(N173=Constants!$B$3, FALSE(), TRUE())))</f>
        <v/>
      </c>
      <c r="AB173" s="99" t="str">
        <f aca="false">IF(ISBLANK($C173),"",IF(O173=Constants!$B$2, TRUE(), IF(O173=Constants!$B$3, FALSE(), TRUE())))</f>
        <v/>
      </c>
      <c r="AC173" s="99" t="str">
        <f aca="false">IF(ISBLANK($C173),"",IF(P173=Constants!$B$2, TRUE(), IF(P173=Constants!$B$3, FALSE(), FALSE())))</f>
        <v/>
      </c>
      <c r="AD173" s="99" t="str">
        <f aca="false">IF(ISBLANK($C173),"",AND(V173&lt;&gt;"",IF(U173=Constants!$B$19,S173,R173)))</f>
        <v/>
      </c>
      <c r="AE173" s="99" t="str">
        <f aca="false">IF(ISBLANK($C173),"",AND(Z173&lt;&gt;"",IF(Y173=Constants!$B$19,S173,R173)))</f>
        <v/>
      </c>
      <c r="AF173" s="99" t="str">
        <f aca="false">IF(ISBLANK($C173),"",IF(AC173,Constants!$B$4,IF(COUNTA(E173:O173)=0,Constants!$B$5,IF(AND(NOT(AD173),NOT(AE173)),Constants!$B$6,Constants!$B$7))))</f>
        <v/>
      </c>
      <c r="AG173" s="99" t="str">
        <f aca="false">IF(ISBLANK($C173),"",IF($AF173&lt;&gt;Constants!$B$7,$AF173,Constants!$B$20))</f>
        <v/>
      </c>
      <c r="AH173" s="99" t="str">
        <f aca="false">IF($AF173=Constants!$B$7,IF(AD173,V173,Constants!$B$13),"")</f>
        <v/>
      </c>
      <c r="AI173" s="99" t="str">
        <f aca="false">IF($AF173=Constants!$B$7,IF(AD173,T173*IF(W173, 1, Constants!$B$11)*IF(X173, 1, Constants!$B$12),Constants!$B$13),"")</f>
        <v/>
      </c>
      <c r="AJ173" s="99" t="str">
        <f aca="false">IF($AF173=Constants!$B$7,AH173*AI173,"")</f>
        <v/>
      </c>
      <c r="AK173" s="99" t="str">
        <f aca="false">IF($AF173=Constants!$B$7,IF(AE173,Z173,Constants!$B$13),"")</f>
        <v/>
      </c>
      <c r="AL173" s="99" t="str">
        <f aca="false">IF($AF173=Constants!$B$7,IF(AE173,T173*IF(AA173, 1, Constants!$B$11)*IF(AB173, 1, Constants!$B$12),Constants!$B$13),"")</f>
        <v/>
      </c>
      <c r="AM173" s="99" t="str">
        <f aca="false">IF($AF173=Constants!$B$7,AK173*AL173,"")</f>
        <v/>
      </c>
      <c r="AN173" s="99" t="str">
        <f aca="false">IF($AF173=Constants!$B$7,IF(AM173&gt;AJ173,2,1),"")</f>
        <v/>
      </c>
      <c r="AO173" s="99" t="str">
        <f aca="false">IF($AF173=Constants!$B$7,IF(AN173=1,2,1),"")</f>
        <v/>
      </c>
      <c r="AP173" s="99" t="str">
        <f aca="false">IF(ISBLANK($C173),"",IF($AF173&lt;&gt;Constants!$B$7,$AF173,IF(AN173=1,AJ173,AM173)))</f>
        <v/>
      </c>
      <c r="AQ173" s="99" t="str">
        <f aca="false">IF(ISBLANK($C173),"",IF($AF173=Constants!$B$7,IF(ISNUMBER(AP173),RANK(AP173,$AP$8:$AP$507),Constants!$B$14),$AF173))</f>
        <v/>
      </c>
      <c r="AR173" s="99" t="str">
        <f aca="false">IF(ISBLANK($C173),"",IF($AF173=Constants!$B$7,IF(AO173=1,AJ173,AM173),""))</f>
        <v/>
      </c>
      <c r="AS173" s="99" t="str">
        <f aca="false">IF(ISBLANK($C173),"",IF($AF173=Constants!$B$7,RANK(AR173,$AR$8:$AR$507),$AF173))</f>
        <v/>
      </c>
      <c r="AT173" s="99" t="str">
        <f aca="false">IF(ISBLANK($C173),"",IF($AF173=Constants!$B$7,IF(ISNUMBER(AQ173),COUNTIFS($AQ$8:$AQ$507,"&lt;"&amp;$AQ173)+COUNTIFS($AQ$8:$AQ$507,$AQ173,$AS$8:$AS$507,"&lt;"&amp;$AS173)+1,Constants!$B$14),$AF173))</f>
        <v/>
      </c>
      <c r="AU173" s="99" t="str">
        <f aca="false">IF(ISBLANK($C173),"",IF($AF173=Constants!$B$7,IF(ISNUMBER(AQ173),AQ173-AT173,Constants!$B$14),$AF173))</f>
        <v/>
      </c>
      <c r="AV173" s="100"/>
      <c r="AW173" s="101" t="str">
        <f aca="false">IF(ISBLANK($C173),"",IF($AF173&lt;&gt;Constants!$B$7,"",AN173))</f>
        <v/>
      </c>
      <c r="AX173" s="102" t="str">
        <f aca="false">IF(ISBLANK($C173),"",IF($AF173&lt;&gt;Constants!$B$7,"",IF(AN173=1,AH173,AK173)))</f>
        <v/>
      </c>
      <c r="AY173" s="103" t="str">
        <f aca="false">IF(ISBLANK($C173),"",IF($AF173&lt;&gt;Constants!$B$7,"",IF(AN173=1,AI173,AL173)))</f>
        <v/>
      </c>
      <c r="AZ173" s="104" t="str">
        <f aca="false">IF(ISBLANK($C173),"",IF($AF173&lt;&gt;Constants!$B$7,$AF173,AP173))</f>
        <v/>
      </c>
      <c r="BA173" s="105" t="str">
        <f aca="false">IF(ISBLANK($C173),"",IF($AF173&lt;&gt;Constants!$B$7,$AF173,AG173))</f>
        <v/>
      </c>
      <c r="BB173" s="106" t="str">
        <f aca="false">IF(ISBLANK($C173),"",AU173)</f>
        <v/>
      </c>
      <c r="BC173" s="106" t="str">
        <f aca="false">IF(ISBLANK($C173),"",AT173)</f>
        <v/>
      </c>
      <c r="BD173" s="107" t="str">
        <f aca="false">IF(ISBLANK($C173),"",IFERROR(_xlfn.SWITCH(BC173,Constants!$B$4,COUNTA($C$8:$C$507)+2,Constants!$B$5,COUNTA($C$8:$C$507)+1,Constants!$B$6,COUNTA($C$8:$C$507)),BC173))</f>
        <v/>
      </c>
      <c r="BE173" s="5"/>
      <c r="BF173" s="108" t="n">
        <f aca="false">IF(OR(ISNUMBER(BC173),BC173=Constants!$B$4,BC173=Constants!$B$6,BC173=Constants!$B$5),1,0)</f>
        <v>0</v>
      </c>
      <c r="BG173" s="108" t="n">
        <v>166</v>
      </c>
      <c r="BH173" s="108" t="str">
        <f aca="false">IF(ISBLANK($C173),"",IF(ISNUMBER(BD173),BD173+ROW($B173)/1000,""))</f>
        <v/>
      </c>
      <c r="BI173" s="108" t="str">
        <f aca="false">IF(ISNUMBER(BH173),RANK(BH173,$BH$8:$BH$507,1),"")</f>
        <v/>
      </c>
      <c r="BJ173" s="108" t="str">
        <f aca="false">IF(ISBLANK($C173),"",$B173)</f>
        <v/>
      </c>
      <c r="BK173" s="108" t="str">
        <f aca="false">IF(ISBLANK($C173),"",$C173)</f>
        <v/>
      </c>
      <c r="BL173" s="108" t="str">
        <f aca="false">IF(ISBLANK($C173),"",$D173)</f>
        <v/>
      </c>
      <c r="BM173" s="109" t="str">
        <f aca="false">BA173</f>
        <v/>
      </c>
      <c r="BN173" s="110" t="str">
        <f aca="false">AZ173</f>
        <v/>
      </c>
      <c r="BO173" s="108" t="str">
        <f aca="false">IF(ISBLANK($C173),"",BC173)</f>
        <v/>
      </c>
      <c r="BP173" s="111" t="str">
        <f aca="false">IF($BG173&gt;$BF$7,"",VLOOKUP($BG173,$BI$8:$BO$507,7,FALSE()))</f>
        <v/>
      </c>
      <c r="BQ173" s="112" t="str">
        <f aca="false">IF($BG173&gt;$BF$7,"",VLOOKUP($BG173,$BI$8:$BO$507,2,FALSE()))</f>
        <v/>
      </c>
      <c r="BR173" s="112" t="str">
        <f aca="false">IF($BG173&gt;$BF$7,"",VLOOKUP($BG173,$BI$8:$BO$507,3,FALSE()))</f>
        <v/>
      </c>
      <c r="BS173" s="112" t="str">
        <f aca="false">IF($BG173&gt;$BF$7,"",VLOOKUP($BG173,$BI$8:$BO$507,4,FALSE()))</f>
        <v/>
      </c>
      <c r="BT173" s="112" t="str">
        <f aca="false">IF($BG173&gt;$BF$7,"",VLOOKUP($BG173,$BI$8:$BO$507,5,FALSE()))</f>
        <v/>
      </c>
      <c r="BU173" s="113" t="str">
        <f aca="false">IF($BG173&gt;$BF$7,"",VLOOKUP($BG173,$BI$8:$BO$507,6,FALSE()))</f>
        <v/>
      </c>
      <c r="BV173" s="54"/>
    </row>
    <row r="174" customFormat="false" ht="15.75" hidden="false" customHeight="false" outlineLevel="0" collapsed="false">
      <c r="A174" s="5"/>
      <c r="B174" s="128"/>
      <c r="C174" s="129"/>
      <c r="D174" s="114"/>
      <c r="E174" s="134"/>
      <c r="F174" s="139"/>
      <c r="G174" s="93"/>
      <c r="H174" s="140"/>
      <c r="I174" s="95"/>
      <c r="J174" s="95"/>
      <c r="K174" s="93"/>
      <c r="L174" s="141"/>
      <c r="M174" s="95"/>
      <c r="N174" s="95"/>
      <c r="O174" s="93"/>
      <c r="P174" s="134"/>
      <c r="Q174" s="98"/>
      <c r="R174" s="99" t="str">
        <f aca="false">IF(ISBLANK($C174),"",IF(E174=Constants!$B$2, TRUE(), IF(E174=Constants!$B$3, FALSE(), TRUE())))</f>
        <v/>
      </c>
      <c r="S174" s="99" t="str">
        <f aca="false">IF(ISBLANK($C174),"",IF(F174=Constants!$B$2, TRUE(), IF(F174=Constants!$B$3, FALSE(), TRUE())))</f>
        <v/>
      </c>
      <c r="T174" s="99" t="str">
        <f aca="false">IF(ISBLANK($C174),"",IF(G174=Constants!$B$16,Constants!$B$9,IF(G174=Constants!$B$17,Constants!$B$10,Constants!$B$8)))</f>
        <v/>
      </c>
      <c r="U174" s="99" t="str">
        <f aca="false">IF(ISBLANK($C174),"",IF(H174=Constants!$B$19,Constants!$B$19,Constants!$B$18))</f>
        <v/>
      </c>
      <c r="V174" s="99" t="str">
        <f aca="false">IF(ISBLANK($C174),"",IF(ISNUMBER(I174),IF(I174&gt;=0,I174,""),""))</f>
        <v/>
      </c>
      <c r="W174" s="99" t="str">
        <f aca="false">IF(ISBLANK($C174),"",IF(J174=Constants!$B$2, TRUE(), IF(J174=Constants!$B$3, FALSE(), TRUE())))</f>
        <v/>
      </c>
      <c r="X174" s="99" t="str">
        <f aca="false">IF(ISBLANK($C174),"",IF(K174=Constants!$B$2, TRUE(), IF(K174=Constants!$B$3, FALSE(), TRUE())))</f>
        <v/>
      </c>
      <c r="Y174" s="99" t="str">
        <f aca="false">IF(ISBLANK($C174),"",IF(L174=Constants!$B$19,Constants!$B$19,Constants!$B$18))</f>
        <v/>
      </c>
      <c r="Z174" s="99" t="str">
        <f aca="false">IF(ISBLANK($C174),"",IF(ISNUMBER(M174),IF(M174&gt;=0,M174,""),""))</f>
        <v/>
      </c>
      <c r="AA174" s="99" t="str">
        <f aca="false">IF(ISBLANK($C174),"",IF(N174=Constants!$B$2, TRUE(), IF(N174=Constants!$B$3, FALSE(), TRUE())))</f>
        <v/>
      </c>
      <c r="AB174" s="99" t="str">
        <f aca="false">IF(ISBLANK($C174),"",IF(O174=Constants!$B$2, TRUE(), IF(O174=Constants!$B$3, FALSE(), TRUE())))</f>
        <v/>
      </c>
      <c r="AC174" s="99" t="str">
        <f aca="false">IF(ISBLANK($C174),"",IF(P174=Constants!$B$2, TRUE(), IF(P174=Constants!$B$3, FALSE(), FALSE())))</f>
        <v/>
      </c>
      <c r="AD174" s="99" t="str">
        <f aca="false">IF(ISBLANK($C174),"",AND(V174&lt;&gt;"",IF(U174=Constants!$B$19,S174,R174)))</f>
        <v/>
      </c>
      <c r="AE174" s="99" t="str">
        <f aca="false">IF(ISBLANK($C174),"",AND(Z174&lt;&gt;"",IF(Y174=Constants!$B$19,S174,R174)))</f>
        <v/>
      </c>
      <c r="AF174" s="99" t="str">
        <f aca="false">IF(ISBLANK($C174),"",IF(AC174,Constants!$B$4,IF(COUNTA(E174:O174)=0,Constants!$B$5,IF(AND(NOT(AD174),NOT(AE174)),Constants!$B$6,Constants!$B$7))))</f>
        <v/>
      </c>
      <c r="AG174" s="99" t="str">
        <f aca="false">IF(ISBLANK($C174),"",IF($AF174&lt;&gt;Constants!$B$7,$AF174,Constants!$B$20))</f>
        <v/>
      </c>
      <c r="AH174" s="99" t="str">
        <f aca="false">IF($AF174=Constants!$B$7,IF(AD174,V174,Constants!$B$13),"")</f>
        <v/>
      </c>
      <c r="AI174" s="99" t="str">
        <f aca="false">IF($AF174=Constants!$B$7,IF(AD174,T174*IF(W174, 1, Constants!$B$11)*IF(X174, 1, Constants!$B$12),Constants!$B$13),"")</f>
        <v/>
      </c>
      <c r="AJ174" s="99" t="str">
        <f aca="false">IF($AF174=Constants!$B$7,AH174*AI174,"")</f>
        <v/>
      </c>
      <c r="AK174" s="99" t="str">
        <f aca="false">IF($AF174=Constants!$B$7,IF(AE174,Z174,Constants!$B$13),"")</f>
        <v/>
      </c>
      <c r="AL174" s="99" t="str">
        <f aca="false">IF($AF174=Constants!$B$7,IF(AE174,T174*IF(AA174, 1, Constants!$B$11)*IF(AB174, 1, Constants!$B$12),Constants!$B$13),"")</f>
        <v/>
      </c>
      <c r="AM174" s="99" t="str">
        <f aca="false">IF($AF174=Constants!$B$7,AK174*AL174,"")</f>
        <v/>
      </c>
      <c r="AN174" s="99" t="str">
        <f aca="false">IF($AF174=Constants!$B$7,IF(AM174&gt;AJ174,2,1),"")</f>
        <v/>
      </c>
      <c r="AO174" s="99" t="str">
        <f aca="false">IF($AF174=Constants!$B$7,IF(AN174=1,2,1),"")</f>
        <v/>
      </c>
      <c r="AP174" s="99" t="str">
        <f aca="false">IF(ISBLANK($C174),"",IF($AF174&lt;&gt;Constants!$B$7,$AF174,IF(AN174=1,AJ174,AM174)))</f>
        <v/>
      </c>
      <c r="AQ174" s="99" t="str">
        <f aca="false">IF(ISBLANK($C174),"",IF($AF174=Constants!$B$7,IF(ISNUMBER(AP174),RANK(AP174,$AP$8:$AP$507),Constants!$B$14),$AF174))</f>
        <v/>
      </c>
      <c r="AR174" s="99" t="str">
        <f aca="false">IF(ISBLANK($C174),"",IF($AF174=Constants!$B$7,IF(AO174=1,AJ174,AM174),""))</f>
        <v/>
      </c>
      <c r="AS174" s="99" t="str">
        <f aca="false">IF(ISBLANK($C174),"",IF($AF174=Constants!$B$7,RANK(AR174,$AR$8:$AR$507),$AF174))</f>
        <v/>
      </c>
      <c r="AT174" s="99" t="str">
        <f aca="false">IF(ISBLANK($C174),"",IF($AF174=Constants!$B$7,IF(ISNUMBER(AQ174),COUNTIFS($AQ$8:$AQ$507,"&lt;"&amp;$AQ174)+COUNTIFS($AQ$8:$AQ$507,$AQ174,$AS$8:$AS$507,"&lt;"&amp;$AS174)+1,Constants!$B$14),$AF174))</f>
        <v/>
      </c>
      <c r="AU174" s="99" t="str">
        <f aca="false">IF(ISBLANK($C174),"",IF($AF174=Constants!$B$7,IF(ISNUMBER(AQ174),AQ174-AT174,Constants!$B$14),$AF174))</f>
        <v/>
      </c>
      <c r="AV174" s="100"/>
      <c r="AW174" s="101" t="str">
        <f aca="false">IF(ISBLANK($C174),"",IF($AF174&lt;&gt;Constants!$B$7,"",AN174))</f>
        <v/>
      </c>
      <c r="AX174" s="102" t="str">
        <f aca="false">IF(ISBLANK($C174),"",IF($AF174&lt;&gt;Constants!$B$7,"",IF(AN174=1,AH174,AK174)))</f>
        <v/>
      </c>
      <c r="AY174" s="103" t="str">
        <f aca="false">IF(ISBLANK($C174),"",IF($AF174&lt;&gt;Constants!$B$7,"",IF(AN174=1,AI174,AL174)))</f>
        <v/>
      </c>
      <c r="AZ174" s="104" t="str">
        <f aca="false">IF(ISBLANK($C174),"",IF($AF174&lt;&gt;Constants!$B$7,$AF174,AP174))</f>
        <v/>
      </c>
      <c r="BA174" s="105" t="str">
        <f aca="false">IF(ISBLANK($C174),"",IF($AF174&lt;&gt;Constants!$B$7,$AF174,AG174))</f>
        <v/>
      </c>
      <c r="BB174" s="106" t="str">
        <f aca="false">IF(ISBLANK($C174),"",AU174)</f>
        <v/>
      </c>
      <c r="BC174" s="106" t="str">
        <f aca="false">IF(ISBLANK($C174),"",AT174)</f>
        <v/>
      </c>
      <c r="BD174" s="107" t="str">
        <f aca="false">IF(ISBLANK($C174),"",IFERROR(_xlfn.SWITCH(BC174,Constants!$B$4,COUNTA($C$8:$C$507)+2,Constants!$B$5,COUNTA($C$8:$C$507)+1,Constants!$B$6,COUNTA($C$8:$C$507)),BC174))</f>
        <v/>
      </c>
      <c r="BE174" s="5"/>
      <c r="BF174" s="108" t="n">
        <f aca="false">IF(OR(ISNUMBER(BC174),BC174=Constants!$B$4,BC174=Constants!$B$6,BC174=Constants!$B$5),1,0)</f>
        <v>0</v>
      </c>
      <c r="BG174" s="108" t="n">
        <v>167</v>
      </c>
      <c r="BH174" s="108" t="str">
        <f aca="false">IF(ISBLANK($C174),"",IF(ISNUMBER(BD174),BD174+ROW($B174)/1000,""))</f>
        <v/>
      </c>
      <c r="BI174" s="108" t="str">
        <f aca="false">IF(ISNUMBER(BH174),RANK(BH174,$BH$8:$BH$507,1),"")</f>
        <v/>
      </c>
      <c r="BJ174" s="108" t="str">
        <f aca="false">IF(ISBLANK($C174),"",$B174)</f>
        <v/>
      </c>
      <c r="BK174" s="108" t="str">
        <f aca="false">IF(ISBLANK($C174),"",$C174)</f>
        <v/>
      </c>
      <c r="BL174" s="108" t="str">
        <f aca="false">IF(ISBLANK($C174),"",$D174)</f>
        <v/>
      </c>
      <c r="BM174" s="109" t="str">
        <f aca="false">BA174</f>
        <v/>
      </c>
      <c r="BN174" s="110" t="str">
        <f aca="false">AZ174</f>
        <v/>
      </c>
      <c r="BO174" s="108" t="str">
        <f aca="false">IF(ISBLANK($C174),"",BC174)</f>
        <v/>
      </c>
      <c r="BP174" s="111" t="str">
        <f aca="false">IF($BG174&gt;$BF$7,"",VLOOKUP($BG174,$BI$8:$BO$507,7,FALSE()))</f>
        <v/>
      </c>
      <c r="BQ174" s="112" t="str">
        <f aca="false">IF($BG174&gt;$BF$7,"",VLOOKUP($BG174,$BI$8:$BO$507,2,FALSE()))</f>
        <v/>
      </c>
      <c r="BR174" s="112" t="str">
        <f aca="false">IF($BG174&gt;$BF$7,"",VLOOKUP($BG174,$BI$8:$BO$507,3,FALSE()))</f>
        <v/>
      </c>
      <c r="BS174" s="112" t="str">
        <f aca="false">IF($BG174&gt;$BF$7,"",VLOOKUP($BG174,$BI$8:$BO$507,4,FALSE()))</f>
        <v/>
      </c>
      <c r="BT174" s="112" t="str">
        <f aca="false">IF($BG174&gt;$BF$7,"",VLOOKUP($BG174,$BI$8:$BO$507,5,FALSE()))</f>
        <v/>
      </c>
      <c r="BU174" s="113" t="str">
        <f aca="false">IF($BG174&gt;$BF$7,"",VLOOKUP($BG174,$BI$8:$BO$507,6,FALSE()))</f>
        <v/>
      </c>
      <c r="BV174" s="54"/>
    </row>
    <row r="175" customFormat="false" ht="15.75" hidden="false" customHeight="false" outlineLevel="0" collapsed="false">
      <c r="A175" s="5"/>
      <c r="B175" s="128"/>
      <c r="C175" s="129"/>
      <c r="D175" s="114"/>
      <c r="E175" s="134"/>
      <c r="F175" s="139"/>
      <c r="G175" s="93"/>
      <c r="H175" s="140"/>
      <c r="I175" s="95"/>
      <c r="J175" s="95"/>
      <c r="K175" s="93"/>
      <c r="L175" s="141"/>
      <c r="M175" s="95"/>
      <c r="N175" s="95"/>
      <c r="O175" s="93"/>
      <c r="P175" s="134"/>
      <c r="Q175" s="98"/>
      <c r="R175" s="99" t="str">
        <f aca="false">IF(ISBLANK($C175),"",IF(E175=Constants!$B$2, TRUE(), IF(E175=Constants!$B$3, FALSE(), TRUE())))</f>
        <v/>
      </c>
      <c r="S175" s="99" t="str">
        <f aca="false">IF(ISBLANK($C175),"",IF(F175=Constants!$B$2, TRUE(), IF(F175=Constants!$B$3, FALSE(), TRUE())))</f>
        <v/>
      </c>
      <c r="T175" s="99" t="str">
        <f aca="false">IF(ISBLANK($C175),"",IF(G175=Constants!$B$16,Constants!$B$9,IF(G175=Constants!$B$17,Constants!$B$10,Constants!$B$8)))</f>
        <v/>
      </c>
      <c r="U175" s="99" t="str">
        <f aca="false">IF(ISBLANK($C175),"",IF(H175=Constants!$B$19,Constants!$B$19,Constants!$B$18))</f>
        <v/>
      </c>
      <c r="V175" s="99" t="str">
        <f aca="false">IF(ISBLANK($C175),"",IF(ISNUMBER(I175),IF(I175&gt;=0,I175,""),""))</f>
        <v/>
      </c>
      <c r="W175" s="99" t="str">
        <f aca="false">IF(ISBLANK($C175),"",IF(J175=Constants!$B$2, TRUE(), IF(J175=Constants!$B$3, FALSE(), TRUE())))</f>
        <v/>
      </c>
      <c r="X175" s="99" t="str">
        <f aca="false">IF(ISBLANK($C175),"",IF(K175=Constants!$B$2, TRUE(), IF(K175=Constants!$B$3, FALSE(), TRUE())))</f>
        <v/>
      </c>
      <c r="Y175" s="99" t="str">
        <f aca="false">IF(ISBLANK($C175),"",IF(L175=Constants!$B$19,Constants!$B$19,Constants!$B$18))</f>
        <v/>
      </c>
      <c r="Z175" s="99" t="str">
        <f aca="false">IF(ISBLANK($C175),"",IF(ISNUMBER(M175),IF(M175&gt;=0,M175,""),""))</f>
        <v/>
      </c>
      <c r="AA175" s="99" t="str">
        <f aca="false">IF(ISBLANK($C175),"",IF(N175=Constants!$B$2, TRUE(), IF(N175=Constants!$B$3, FALSE(), TRUE())))</f>
        <v/>
      </c>
      <c r="AB175" s="99" t="str">
        <f aca="false">IF(ISBLANK($C175),"",IF(O175=Constants!$B$2, TRUE(), IF(O175=Constants!$B$3, FALSE(), TRUE())))</f>
        <v/>
      </c>
      <c r="AC175" s="99" t="str">
        <f aca="false">IF(ISBLANK($C175),"",IF(P175=Constants!$B$2, TRUE(), IF(P175=Constants!$B$3, FALSE(), FALSE())))</f>
        <v/>
      </c>
      <c r="AD175" s="99" t="str">
        <f aca="false">IF(ISBLANK($C175),"",AND(V175&lt;&gt;"",IF(U175=Constants!$B$19,S175,R175)))</f>
        <v/>
      </c>
      <c r="AE175" s="99" t="str">
        <f aca="false">IF(ISBLANK($C175),"",AND(Z175&lt;&gt;"",IF(Y175=Constants!$B$19,S175,R175)))</f>
        <v/>
      </c>
      <c r="AF175" s="99" t="str">
        <f aca="false">IF(ISBLANK($C175),"",IF(AC175,Constants!$B$4,IF(COUNTA(E175:O175)=0,Constants!$B$5,IF(AND(NOT(AD175),NOT(AE175)),Constants!$B$6,Constants!$B$7))))</f>
        <v/>
      </c>
      <c r="AG175" s="99" t="str">
        <f aca="false">IF(ISBLANK($C175),"",IF($AF175&lt;&gt;Constants!$B$7,$AF175,Constants!$B$20))</f>
        <v/>
      </c>
      <c r="AH175" s="99" t="str">
        <f aca="false">IF($AF175=Constants!$B$7,IF(AD175,V175,Constants!$B$13),"")</f>
        <v/>
      </c>
      <c r="AI175" s="99" t="str">
        <f aca="false">IF($AF175=Constants!$B$7,IF(AD175,T175*IF(W175, 1, Constants!$B$11)*IF(X175, 1, Constants!$B$12),Constants!$B$13),"")</f>
        <v/>
      </c>
      <c r="AJ175" s="99" t="str">
        <f aca="false">IF($AF175=Constants!$B$7,AH175*AI175,"")</f>
        <v/>
      </c>
      <c r="AK175" s="99" t="str">
        <f aca="false">IF($AF175=Constants!$B$7,IF(AE175,Z175,Constants!$B$13),"")</f>
        <v/>
      </c>
      <c r="AL175" s="99" t="str">
        <f aca="false">IF($AF175=Constants!$B$7,IF(AE175,T175*IF(AA175, 1, Constants!$B$11)*IF(AB175, 1, Constants!$B$12),Constants!$B$13),"")</f>
        <v/>
      </c>
      <c r="AM175" s="99" t="str">
        <f aca="false">IF($AF175=Constants!$B$7,AK175*AL175,"")</f>
        <v/>
      </c>
      <c r="AN175" s="99" t="str">
        <f aca="false">IF($AF175=Constants!$B$7,IF(AM175&gt;AJ175,2,1),"")</f>
        <v/>
      </c>
      <c r="AO175" s="99" t="str">
        <f aca="false">IF($AF175=Constants!$B$7,IF(AN175=1,2,1),"")</f>
        <v/>
      </c>
      <c r="AP175" s="99" t="str">
        <f aca="false">IF(ISBLANK($C175),"",IF($AF175&lt;&gt;Constants!$B$7,$AF175,IF(AN175=1,AJ175,AM175)))</f>
        <v/>
      </c>
      <c r="AQ175" s="99" t="str">
        <f aca="false">IF(ISBLANK($C175),"",IF($AF175=Constants!$B$7,IF(ISNUMBER(AP175),RANK(AP175,$AP$8:$AP$507),Constants!$B$14),$AF175))</f>
        <v/>
      </c>
      <c r="AR175" s="99" t="str">
        <f aca="false">IF(ISBLANK($C175),"",IF($AF175=Constants!$B$7,IF(AO175=1,AJ175,AM175),""))</f>
        <v/>
      </c>
      <c r="AS175" s="99" t="str">
        <f aca="false">IF(ISBLANK($C175),"",IF($AF175=Constants!$B$7,RANK(AR175,$AR$8:$AR$507),$AF175))</f>
        <v/>
      </c>
      <c r="AT175" s="99" t="str">
        <f aca="false">IF(ISBLANK($C175),"",IF($AF175=Constants!$B$7,IF(ISNUMBER(AQ175),COUNTIFS($AQ$8:$AQ$507,"&lt;"&amp;$AQ175)+COUNTIFS($AQ$8:$AQ$507,$AQ175,$AS$8:$AS$507,"&lt;"&amp;$AS175)+1,Constants!$B$14),$AF175))</f>
        <v/>
      </c>
      <c r="AU175" s="99" t="str">
        <f aca="false">IF(ISBLANK($C175),"",IF($AF175=Constants!$B$7,IF(ISNUMBER(AQ175),AQ175-AT175,Constants!$B$14),$AF175))</f>
        <v/>
      </c>
      <c r="AV175" s="100"/>
      <c r="AW175" s="101" t="str">
        <f aca="false">IF(ISBLANK($C175),"",IF($AF175&lt;&gt;Constants!$B$7,"",AN175))</f>
        <v/>
      </c>
      <c r="AX175" s="102" t="str">
        <f aca="false">IF(ISBLANK($C175),"",IF($AF175&lt;&gt;Constants!$B$7,"",IF(AN175=1,AH175,AK175)))</f>
        <v/>
      </c>
      <c r="AY175" s="103" t="str">
        <f aca="false">IF(ISBLANK($C175),"",IF($AF175&lt;&gt;Constants!$B$7,"",IF(AN175=1,AI175,AL175)))</f>
        <v/>
      </c>
      <c r="AZ175" s="104" t="str">
        <f aca="false">IF(ISBLANK($C175),"",IF($AF175&lt;&gt;Constants!$B$7,$AF175,AP175))</f>
        <v/>
      </c>
      <c r="BA175" s="105" t="str">
        <f aca="false">IF(ISBLANK($C175),"",IF($AF175&lt;&gt;Constants!$B$7,$AF175,AG175))</f>
        <v/>
      </c>
      <c r="BB175" s="106" t="str">
        <f aca="false">IF(ISBLANK($C175),"",AU175)</f>
        <v/>
      </c>
      <c r="BC175" s="106" t="str">
        <f aca="false">IF(ISBLANK($C175),"",AT175)</f>
        <v/>
      </c>
      <c r="BD175" s="107" t="str">
        <f aca="false">IF(ISBLANK($C175),"",IFERROR(_xlfn.SWITCH(BC175,Constants!$B$4,COUNTA($C$8:$C$507)+2,Constants!$B$5,COUNTA($C$8:$C$507)+1,Constants!$B$6,COUNTA($C$8:$C$507)),BC175))</f>
        <v/>
      </c>
      <c r="BE175" s="5"/>
      <c r="BF175" s="108" t="n">
        <f aca="false">IF(OR(ISNUMBER(BC175),BC175=Constants!$B$4,BC175=Constants!$B$6,BC175=Constants!$B$5),1,0)</f>
        <v>0</v>
      </c>
      <c r="BG175" s="108" t="n">
        <v>168</v>
      </c>
      <c r="BH175" s="108" t="str">
        <f aca="false">IF(ISBLANK($C175),"",IF(ISNUMBER(BD175),BD175+ROW($B175)/1000,""))</f>
        <v/>
      </c>
      <c r="BI175" s="108" t="str">
        <f aca="false">IF(ISNUMBER(BH175),RANK(BH175,$BH$8:$BH$507,1),"")</f>
        <v/>
      </c>
      <c r="BJ175" s="108" t="str">
        <f aca="false">IF(ISBLANK($C175),"",$B175)</f>
        <v/>
      </c>
      <c r="BK175" s="108" t="str">
        <f aca="false">IF(ISBLANK($C175),"",$C175)</f>
        <v/>
      </c>
      <c r="BL175" s="108" t="str">
        <f aca="false">IF(ISBLANK($C175),"",$D175)</f>
        <v/>
      </c>
      <c r="BM175" s="109" t="str">
        <f aca="false">BA175</f>
        <v/>
      </c>
      <c r="BN175" s="110" t="str">
        <f aca="false">AZ175</f>
        <v/>
      </c>
      <c r="BO175" s="108" t="str">
        <f aca="false">IF(ISBLANK($C175),"",BC175)</f>
        <v/>
      </c>
      <c r="BP175" s="111" t="str">
        <f aca="false">IF($BG175&gt;$BF$7,"",VLOOKUP($BG175,$BI$8:$BO$507,7,FALSE()))</f>
        <v/>
      </c>
      <c r="BQ175" s="112" t="str">
        <f aca="false">IF($BG175&gt;$BF$7,"",VLOOKUP($BG175,$BI$8:$BO$507,2,FALSE()))</f>
        <v/>
      </c>
      <c r="BR175" s="112" t="str">
        <f aca="false">IF($BG175&gt;$BF$7,"",VLOOKUP($BG175,$BI$8:$BO$507,3,FALSE()))</f>
        <v/>
      </c>
      <c r="BS175" s="112" t="str">
        <f aca="false">IF($BG175&gt;$BF$7,"",VLOOKUP($BG175,$BI$8:$BO$507,4,FALSE()))</f>
        <v/>
      </c>
      <c r="BT175" s="112" t="str">
        <f aca="false">IF($BG175&gt;$BF$7,"",VLOOKUP($BG175,$BI$8:$BO$507,5,FALSE()))</f>
        <v/>
      </c>
      <c r="BU175" s="113" t="str">
        <f aca="false">IF($BG175&gt;$BF$7,"",VLOOKUP($BG175,$BI$8:$BO$507,6,FALSE()))</f>
        <v/>
      </c>
      <c r="BV175" s="54"/>
    </row>
    <row r="176" customFormat="false" ht="15.75" hidden="false" customHeight="false" outlineLevel="0" collapsed="false">
      <c r="A176" s="5"/>
      <c r="B176" s="135"/>
      <c r="C176" s="56"/>
      <c r="D176" s="57"/>
      <c r="E176" s="84"/>
      <c r="F176" s="136"/>
      <c r="G176" s="60"/>
      <c r="H176" s="137"/>
      <c r="I176" s="62"/>
      <c r="J176" s="62"/>
      <c r="K176" s="60"/>
      <c r="L176" s="138"/>
      <c r="M176" s="62"/>
      <c r="N176" s="62"/>
      <c r="O176" s="60"/>
      <c r="P176" s="84"/>
      <c r="Q176" s="65"/>
      <c r="R176" s="67" t="str">
        <f aca="false">IF(ISBLANK($C176),"",IF(E176=Constants!$B$2, TRUE(), IF(E176=Constants!$B$3, FALSE(), TRUE())))</f>
        <v/>
      </c>
      <c r="S176" s="67" t="str">
        <f aca="false">IF(ISBLANK($C176),"",IF(F176=Constants!$B$2, TRUE(), IF(F176=Constants!$B$3, FALSE(), TRUE())))</f>
        <v/>
      </c>
      <c r="T176" s="67" t="str">
        <f aca="false">IF(ISBLANK($C176),"",IF(G176=Constants!$B$16,Constants!$B$9,IF(G176=Constants!$B$17,Constants!$B$10,Constants!$B$8)))</f>
        <v/>
      </c>
      <c r="U176" s="67" t="str">
        <f aca="false">IF(ISBLANK($C176),"",IF(H176=Constants!$B$19,Constants!$B$19,Constants!$B$18))</f>
        <v/>
      </c>
      <c r="V176" s="67" t="str">
        <f aca="false">IF(ISBLANK($C176),"",IF(ISNUMBER(I176),IF(I176&gt;=0,I176,""),""))</f>
        <v/>
      </c>
      <c r="W176" s="67" t="str">
        <f aca="false">IF(ISBLANK($C176),"",IF(J176=Constants!$B$2, TRUE(), IF(J176=Constants!$B$3, FALSE(), TRUE())))</f>
        <v/>
      </c>
      <c r="X176" s="67" t="str">
        <f aca="false">IF(ISBLANK($C176),"",IF(K176=Constants!$B$2, TRUE(), IF(K176=Constants!$B$3, FALSE(), TRUE())))</f>
        <v/>
      </c>
      <c r="Y176" s="67" t="str">
        <f aca="false">IF(ISBLANK($C176),"",IF(L176=Constants!$B$19,Constants!$B$19,Constants!$B$18))</f>
        <v/>
      </c>
      <c r="Z176" s="67" t="str">
        <f aca="false">IF(ISBLANK($C176),"",IF(ISNUMBER(M176),IF(M176&gt;=0,M176,""),""))</f>
        <v/>
      </c>
      <c r="AA176" s="67" t="str">
        <f aca="false">IF(ISBLANK($C176),"",IF(N176=Constants!$B$2, TRUE(), IF(N176=Constants!$B$3, FALSE(), TRUE())))</f>
        <v/>
      </c>
      <c r="AB176" s="67" t="str">
        <f aca="false">IF(ISBLANK($C176),"",IF(O176=Constants!$B$2, TRUE(), IF(O176=Constants!$B$3, FALSE(), TRUE())))</f>
        <v/>
      </c>
      <c r="AC176" s="67" t="str">
        <f aca="false">IF(ISBLANK($C176),"",IF(P176=Constants!$B$2, TRUE(), IF(P176=Constants!$B$3, FALSE(), FALSE())))</f>
        <v/>
      </c>
      <c r="AD176" s="67" t="str">
        <f aca="false">IF(ISBLANK($C176),"",AND(V176&lt;&gt;"",IF(U176=Constants!$B$19,S176,R176)))</f>
        <v/>
      </c>
      <c r="AE176" s="67" t="str">
        <f aca="false">IF(ISBLANK($C176),"",AND(Z176&lt;&gt;"",IF(Y176=Constants!$B$19,S176,R176)))</f>
        <v/>
      </c>
      <c r="AF176" s="67" t="str">
        <f aca="false">IF(ISBLANK($C176),"",IF(AC176,Constants!$B$4,IF(COUNTA(E176:O176)=0,Constants!$B$5,IF(AND(NOT(AD176),NOT(AE176)),Constants!$B$6,Constants!$B$7))))</f>
        <v/>
      </c>
      <c r="AG176" s="67" t="str">
        <f aca="false">IF(ISBLANK($C176),"",IF($AF176&lt;&gt;Constants!$B$7,$AF176,Constants!$B$20))</f>
        <v/>
      </c>
      <c r="AH176" s="67" t="str">
        <f aca="false">IF($AF176=Constants!$B$7,IF(AD176,V176,Constants!$B$13),"")</f>
        <v/>
      </c>
      <c r="AI176" s="67" t="str">
        <f aca="false">IF($AF176=Constants!$B$7,IF(AD176,T176*IF(W176, 1, Constants!$B$11)*IF(X176, 1, Constants!$B$12),Constants!$B$13),"")</f>
        <v/>
      </c>
      <c r="AJ176" s="67" t="str">
        <f aca="false">IF($AF176=Constants!$B$7,AH176*AI176,"")</f>
        <v/>
      </c>
      <c r="AK176" s="67" t="str">
        <f aca="false">IF($AF176=Constants!$B$7,IF(AE176,Z176,Constants!$B$13),"")</f>
        <v/>
      </c>
      <c r="AL176" s="67" t="str">
        <f aca="false">IF($AF176=Constants!$B$7,IF(AE176,T176*IF(AA176, 1, Constants!$B$11)*IF(AB176, 1, Constants!$B$12),Constants!$B$13),"")</f>
        <v/>
      </c>
      <c r="AM176" s="67" t="str">
        <f aca="false">IF($AF176=Constants!$B$7,AK176*AL176,"")</f>
        <v/>
      </c>
      <c r="AN176" s="67" t="str">
        <f aca="false">IF($AF176=Constants!$B$7,IF(AM176&gt;AJ176,2,1),"")</f>
        <v/>
      </c>
      <c r="AO176" s="67" t="str">
        <f aca="false">IF($AF176=Constants!$B$7,IF(AN176=1,2,1),"")</f>
        <v/>
      </c>
      <c r="AP176" s="67" t="str">
        <f aca="false">IF(ISBLANK($C176),"",IF($AF176&lt;&gt;Constants!$B$7,$AF176,IF(AN176=1,AJ176,AM176)))</f>
        <v/>
      </c>
      <c r="AQ176" s="67" t="str">
        <f aca="false">IF(ISBLANK($C176),"",IF($AF176=Constants!$B$7,IF(ISNUMBER(AP176),RANK(AP176,$AP$8:$AP$507),Constants!$B$14),$AF176))</f>
        <v/>
      </c>
      <c r="AR176" s="67" t="str">
        <f aca="false">IF(ISBLANK($C176),"",IF($AF176=Constants!$B$7,IF(AO176=1,AJ176,AM176),""))</f>
        <v/>
      </c>
      <c r="AS176" s="67" t="str">
        <f aca="false">IF(ISBLANK($C176),"",IF($AF176=Constants!$B$7,RANK(AR176,$AR$8:$AR$507),$AF176))</f>
        <v/>
      </c>
      <c r="AT176" s="67" t="str">
        <f aca="false">IF(ISBLANK($C176),"",IF($AF176=Constants!$B$7,IF(ISNUMBER(AQ176),COUNTIFS($AQ$8:$AQ$507,"&lt;"&amp;$AQ176)+COUNTIFS($AQ$8:$AQ$507,$AQ176,$AS$8:$AS$507,"&lt;"&amp;$AS176)+1,Constants!$B$14),$AF176))</f>
        <v/>
      </c>
      <c r="AU176" s="67" t="str">
        <f aca="false">IF(ISBLANK($C176),"",IF($AF176=Constants!$B$7,IF(ISNUMBER(AQ176),AQ176-AT176,Constants!$B$14),$AF176))</f>
        <v/>
      </c>
      <c r="AV176" s="69"/>
      <c r="AW176" s="70" t="str">
        <f aca="false">IF(ISBLANK($C176),"",IF($AF176&lt;&gt;Constants!$B$7,"",AN176))</f>
        <v/>
      </c>
      <c r="AX176" s="85" t="str">
        <f aca="false">IF(ISBLANK($C176),"",IF($AF176&lt;&gt;Constants!$B$7,"",IF(AN176=1,AH176,AK176)))</f>
        <v/>
      </c>
      <c r="AY176" s="72" t="str">
        <f aca="false">IF(ISBLANK($C176),"",IF($AF176&lt;&gt;Constants!$B$7,"",IF(AN176=1,AI176,AL176)))</f>
        <v/>
      </c>
      <c r="AZ176" s="73" t="str">
        <f aca="false">IF(ISBLANK($C176),"",IF($AF176&lt;&gt;Constants!$B$7,$AF176,AP176))</f>
        <v/>
      </c>
      <c r="BA176" s="74" t="str">
        <f aca="false">IF(ISBLANK($C176),"",IF($AF176&lt;&gt;Constants!$B$7,$AF176,AG176))</f>
        <v/>
      </c>
      <c r="BB176" s="75" t="str">
        <f aca="false">IF(ISBLANK($C176),"",AU176)</f>
        <v/>
      </c>
      <c r="BC176" s="75" t="str">
        <f aca="false">IF(ISBLANK($C176),"",AT176)</f>
        <v/>
      </c>
      <c r="BD176" s="76" t="str">
        <f aca="false">IF(ISBLANK($C176),"",IFERROR(_xlfn.SWITCH(BC176,Constants!$B$4,COUNTA($C$8:$C$507)+2,Constants!$B$5,COUNTA($C$8:$C$507)+1,Constants!$B$6,COUNTA($C$8:$C$507)),BC176))</f>
        <v/>
      </c>
      <c r="BE176" s="5"/>
      <c r="BF176" s="77" t="n">
        <f aca="false">IF(OR(ISNUMBER(BC176),BC176=Constants!$B$4,BC176=Constants!$B$6,BC176=Constants!$B$5),1,0)</f>
        <v>0</v>
      </c>
      <c r="BG176" s="77" t="n">
        <v>169</v>
      </c>
      <c r="BH176" s="77" t="str">
        <f aca="false">IF(ISBLANK($C176),"",IF(ISNUMBER(BD176),BD176+ROW($B176)/1000,""))</f>
        <v/>
      </c>
      <c r="BI176" s="77" t="str">
        <f aca="false">IF(ISNUMBER(BH176),RANK(BH176,$BH$8:$BH$507,1),"")</f>
        <v/>
      </c>
      <c r="BJ176" s="77" t="str">
        <f aca="false">IF(ISBLANK($C176),"",$B176)</f>
        <v/>
      </c>
      <c r="BK176" s="77" t="str">
        <f aca="false">IF(ISBLANK($C176),"",$C176)</f>
        <v/>
      </c>
      <c r="BL176" s="77" t="str">
        <f aca="false">IF(ISBLANK($C176),"",$D176)</f>
        <v/>
      </c>
      <c r="BM176" s="78" t="str">
        <f aca="false">BA176</f>
        <v/>
      </c>
      <c r="BN176" s="79" t="str">
        <f aca="false">AZ176</f>
        <v/>
      </c>
      <c r="BO176" s="77" t="str">
        <f aca="false">IF(ISBLANK($C176),"",BC176)</f>
        <v/>
      </c>
      <c r="BP176" s="80" t="str">
        <f aca="false">IF($BG176&gt;$BF$7,"",VLOOKUP($BG176,$BI$8:$BO$507,7,FALSE()))</f>
        <v/>
      </c>
      <c r="BQ176" s="81" t="str">
        <f aca="false">IF($BG176&gt;$BF$7,"",VLOOKUP($BG176,$BI$8:$BO$507,2,FALSE()))</f>
        <v/>
      </c>
      <c r="BR176" s="81" t="str">
        <f aca="false">IF($BG176&gt;$BF$7,"",VLOOKUP($BG176,$BI$8:$BO$507,3,FALSE()))</f>
        <v/>
      </c>
      <c r="BS176" s="81" t="str">
        <f aca="false">IF($BG176&gt;$BF$7,"",VLOOKUP($BG176,$BI$8:$BO$507,4,FALSE()))</f>
        <v/>
      </c>
      <c r="BT176" s="81" t="str">
        <f aca="false">IF($BG176&gt;$BF$7,"",VLOOKUP($BG176,$BI$8:$BO$507,5,FALSE()))</f>
        <v/>
      </c>
      <c r="BU176" s="82" t="str">
        <f aca="false">IF($BG176&gt;$BF$7,"",VLOOKUP($BG176,$BI$8:$BO$507,6,FALSE()))</f>
        <v/>
      </c>
      <c r="BV176" s="54"/>
    </row>
    <row r="177" customFormat="false" ht="15.75" hidden="false" customHeight="false" outlineLevel="0" collapsed="false">
      <c r="A177" s="5"/>
      <c r="B177" s="135"/>
      <c r="C177" s="56"/>
      <c r="D177" s="57"/>
      <c r="E177" s="84"/>
      <c r="F177" s="136"/>
      <c r="G177" s="60"/>
      <c r="H177" s="137"/>
      <c r="I177" s="62"/>
      <c r="J177" s="62"/>
      <c r="K177" s="60"/>
      <c r="L177" s="138"/>
      <c r="M177" s="62"/>
      <c r="N177" s="62"/>
      <c r="O177" s="60"/>
      <c r="P177" s="84"/>
      <c r="Q177" s="65"/>
      <c r="R177" s="67" t="str">
        <f aca="false">IF(ISBLANK($C177),"",IF(E177=Constants!$B$2, TRUE(), IF(E177=Constants!$B$3, FALSE(), TRUE())))</f>
        <v/>
      </c>
      <c r="S177" s="67" t="str">
        <f aca="false">IF(ISBLANK($C177),"",IF(F177=Constants!$B$2, TRUE(), IF(F177=Constants!$B$3, FALSE(), TRUE())))</f>
        <v/>
      </c>
      <c r="T177" s="67" t="str">
        <f aca="false">IF(ISBLANK($C177),"",IF(G177=Constants!$B$16,Constants!$B$9,IF(G177=Constants!$B$17,Constants!$B$10,Constants!$B$8)))</f>
        <v/>
      </c>
      <c r="U177" s="67" t="str">
        <f aca="false">IF(ISBLANK($C177),"",IF(H177=Constants!$B$19,Constants!$B$19,Constants!$B$18))</f>
        <v/>
      </c>
      <c r="V177" s="67" t="str">
        <f aca="false">IF(ISBLANK($C177),"",IF(ISNUMBER(I177),IF(I177&gt;=0,I177,""),""))</f>
        <v/>
      </c>
      <c r="W177" s="67" t="str">
        <f aca="false">IF(ISBLANK($C177),"",IF(J177=Constants!$B$2, TRUE(), IF(J177=Constants!$B$3, FALSE(), TRUE())))</f>
        <v/>
      </c>
      <c r="X177" s="67" t="str">
        <f aca="false">IF(ISBLANK($C177),"",IF(K177=Constants!$B$2, TRUE(), IF(K177=Constants!$B$3, FALSE(), TRUE())))</f>
        <v/>
      </c>
      <c r="Y177" s="67" t="str">
        <f aca="false">IF(ISBLANK($C177),"",IF(L177=Constants!$B$19,Constants!$B$19,Constants!$B$18))</f>
        <v/>
      </c>
      <c r="Z177" s="67" t="str">
        <f aca="false">IF(ISBLANK($C177),"",IF(ISNUMBER(M177),IF(M177&gt;=0,M177,""),""))</f>
        <v/>
      </c>
      <c r="AA177" s="67" t="str">
        <f aca="false">IF(ISBLANK($C177),"",IF(N177=Constants!$B$2, TRUE(), IF(N177=Constants!$B$3, FALSE(), TRUE())))</f>
        <v/>
      </c>
      <c r="AB177" s="67" t="str">
        <f aca="false">IF(ISBLANK($C177),"",IF(O177=Constants!$B$2, TRUE(), IF(O177=Constants!$B$3, FALSE(), TRUE())))</f>
        <v/>
      </c>
      <c r="AC177" s="67" t="str">
        <f aca="false">IF(ISBLANK($C177),"",IF(P177=Constants!$B$2, TRUE(), IF(P177=Constants!$B$3, FALSE(), FALSE())))</f>
        <v/>
      </c>
      <c r="AD177" s="67" t="str">
        <f aca="false">IF(ISBLANK($C177),"",AND(V177&lt;&gt;"",IF(U177=Constants!$B$19,S177,R177)))</f>
        <v/>
      </c>
      <c r="AE177" s="67" t="str">
        <f aca="false">IF(ISBLANK($C177),"",AND(Z177&lt;&gt;"",IF(Y177=Constants!$B$19,S177,R177)))</f>
        <v/>
      </c>
      <c r="AF177" s="67" t="str">
        <f aca="false">IF(ISBLANK($C177),"",IF(AC177,Constants!$B$4,IF(COUNTA(E177:O177)=0,Constants!$B$5,IF(AND(NOT(AD177),NOT(AE177)),Constants!$B$6,Constants!$B$7))))</f>
        <v/>
      </c>
      <c r="AG177" s="67" t="str">
        <f aca="false">IF(ISBLANK($C177),"",IF($AF177&lt;&gt;Constants!$B$7,$AF177,Constants!$B$20))</f>
        <v/>
      </c>
      <c r="AH177" s="67" t="str">
        <f aca="false">IF($AF177=Constants!$B$7,IF(AD177,V177,Constants!$B$13),"")</f>
        <v/>
      </c>
      <c r="AI177" s="67" t="str">
        <f aca="false">IF($AF177=Constants!$B$7,IF(AD177,T177*IF(W177, 1, Constants!$B$11)*IF(X177, 1, Constants!$B$12),Constants!$B$13),"")</f>
        <v/>
      </c>
      <c r="AJ177" s="67" t="str">
        <f aca="false">IF($AF177=Constants!$B$7,AH177*AI177,"")</f>
        <v/>
      </c>
      <c r="AK177" s="67" t="str">
        <f aca="false">IF($AF177=Constants!$B$7,IF(AE177,Z177,Constants!$B$13),"")</f>
        <v/>
      </c>
      <c r="AL177" s="67" t="str">
        <f aca="false">IF($AF177=Constants!$B$7,IF(AE177,T177*IF(AA177, 1, Constants!$B$11)*IF(AB177, 1, Constants!$B$12),Constants!$B$13),"")</f>
        <v/>
      </c>
      <c r="AM177" s="67" t="str">
        <f aca="false">IF($AF177=Constants!$B$7,AK177*AL177,"")</f>
        <v/>
      </c>
      <c r="AN177" s="67" t="str">
        <f aca="false">IF($AF177=Constants!$B$7,IF(AM177&gt;AJ177,2,1),"")</f>
        <v/>
      </c>
      <c r="AO177" s="67" t="str">
        <f aca="false">IF($AF177=Constants!$B$7,IF(AN177=1,2,1),"")</f>
        <v/>
      </c>
      <c r="AP177" s="67" t="str">
        <f aca="false">IF(ISBLANK($C177),"",IF($AF177&lt;&gt;Constants!$B$7,$AF177,IF(AN177=1,AJ177,AM177)))</f>
        <v/>
      </c>
      <c r="AQ177" s="67" t="str">
        <f aca="false">IF(ISBLANK($C177),"",IF($AF177=Constants!$B$7,IF(ISNUMBER(AP177),RANK(AP177,$AP$8:$AP$507),Constants!$B$14),$AF177))</f>
        <v/>
      </c>
      <c r="AR177" s="67" t="str">
        <f aca="false">IF(ISBLANK($C177),"",IF($AF177=Constants!$B$7,IF(AO177=1,AJ177,AM177),""))</f>
        <v/>
      </c>
      <c r="AS177" s="67" t="str">
        <f aca="false">IF(ISBLANK($C177),"",IF($AF177=Constants!$B$7,RANK(AR177,$AR$8:$AR$507),$AF177))</f>
        <v/>
      </c>
      <c r="AT177" s="67" t="str">
        <f aca="false">IF(ISBLANK($C177),"",IF($AF177=Constants!$B$7,IF(ISNUMBER(AQ177),COUNTIFS($AQ$8:$AQ$507,"&lt;"&amp;$AQ177)+COUNTIFS($AQ$8:$AQ$507,$AQ177,$AS$8:$AS$507,"&lt;"&amp;$AS177)+1,Constants!$B$14),$AF177))</f>
        <v/>
      </c>
      <c r="AU177" s="67" t="str">
        <f aca="false">IF(ISBLANK($C177),"",IF($AF177=Constants!$B$7,IF(ISNUMBER(AQ177),AQ177-AT177,Constants!$B$14),$AF177))</f>
        <v/>
      </c>
      <c r="AV177" s="69"/>
      <c r="AW177" s="70" t="str">
        <f aca="false">IF(ISBLANK($C177),"",IF($AF177&lt;&gt;Constants!$B$7,"",AN177))</f>
        <v/>
      </c>
      <c r="AX177" s="85" t="str">
        <f aca="false">IF(ISBLANK($C177),"",IF($AF177&lt;&gt;Constants!$B$7,"",IF(AN177=1,AH177,AK177)))</f>
        <v/>
      </c>
      <c r="AY177" s="72" t="str">
        <f aca="false">IF(ISBLANK($C177),"",IF($AF177&lt;&gt;Constants!$B$7,"",IF(AN177=1,AI177,AL177)))</f>
        <v/>
      </c>
      <c r="AZ177" s="73" t="str">
        <f aca="false">IF(ISBLANK($C177),"",IF($AF177&lt;&gt;Constants!$B$7,$AF177,AP177))</f>
        <v/>
      </c>
      <c r="BA177" s="74" t="str">
        <f aca="false">IF(ISBLANK($C177),"",IF($AF177&lt;&gt;Constants!$B$7,$AF177,AG177))</f>
        <v/>
      </c>
      <c r="BB177" s="75" t="str">
        <f aca="false">IF(ISBLANK($C177),"",AU177)</f>
        <v/>
      </c>
      <c r="BC177" s="75" t="str">
        <f aca="false">IF(ISBLANK($C177),"",AT177)</f>
        <v/>
      </c>
      <c r="BD177" s="76" t="str">
        <f aca="false">IF(ISBLANK($C177),"",IFERROR(_xlfn.SWITCH(BC177,Constants!$B$4,COUNTA($C$8:$C$507)+2,Constants!$B$5,COUNTA($C$8:$C$507)+1,Constants!$B$6,COUNTA($C$8:$C$507)),BC177))</f>
        <v/>
      </c>
      <c r="BE177" s="5"/>
      <c r="BF177" s="77" t="n">
        <f aca="false">IF(OR(ISNUMBER(BC177),BC177=Constants!$B$4,BC177=Constants!$B$6,BC177=Constants!$B$5),1,0)</f>
        <v>0</v>
      </c>
      <c r="BG177" s="77" t="n">
        <v>170</v>
      </c>
      <c r="BH177" s="77" t="str">
        <f aca="false">IF(ISBLANK($C177),"",IF(ISNUMBER(BD177),BD177+ROW($B177)/1000,""))</f>
        <v/>
      </c>
      <c r="BI177" s="77" t="str">
        <f aca="false">IF(ISNUMBER(BH177),RANK(BH177,$BH$8:$BH$507,1),"")</f>
        <v/>
      </c>
      <c r="BJ177" s="77" t="str">
        <f aca="false">IF(ISBLANK($C177),"",$B177)</f>
        <v/>
      </c>
      <c r="BK177" s="77" t="str">
        <f aca="false">IF(ISBLANK($C177),"",$C177)</f>
        <v/>
      </c>
      <c r="BL177" s="77" t="str">
        <f aca="false">IF(ISBLANK($C177),"",$D177)</f>
        <v/>
      </c>
      <c r="BM177" s="78" t="str">
        <f aca="false">BA177</f>
        <v/>
      </c>
      <c r="BN177" s="79" t="str">
        <f aca="false">AZ177</f>
        <v/>
      </c>
      <c r="BO177" s="77" t="str">
        <f aca="false">IF(ISBLANK($C177),"",BC177)</f>
        <v/>
      </c>
      <c r="BP177" s="80" t="str">
        <f aca="false">IF($BG177&gt;$BF$7,"",VLOOKUP($BG177,$BI$8:$BO$507,7,FALSE()))</f>
        <v/>
      </c>
      <c r="BQ177" s="81" t="str">
        <f aca="false">IF($BG177&gt;$BF$7,"",VLOOKUP($BG177,$BI$8:$BO$507,2,FALSE()))</f>
        <v/>
      </c>
      <c r="BR177" s="81" t="str">
        <f aca="false">IF($BG177&gt;$BF$7,"",VLOOKUP($BG177,$BI$8:$BO$507,3,FALSE()))</f>
        <v/>
      </c>
      <c r="BS177" s="81" t="str">
        <f aca="false">IF($BG177&gt;$BF$7,"",VLOOKUP($BG177,$BI$8:$BO$507,4,FALSE()))</f>
        <v/>
      </c>
      <c r="BT177" s="81" t="str">
        <f aca="false">IF($BG177&gt;$BF$7,"",VLOOKUP($BG177,$BI$8:$BO$507,5,FALSE()))</f>
        <v/>
      </c>
      <c r="BU177" s="82" t="str">
        <f aca="false">IF($BG177&gt;$BF$7,"",VLOOKUP($BG177,$BI$8:$BO$507,6,FALSE()))</f>
        <v/>
      </c>
      <c r="BV177" s="54"/>
    </row>
    <row r="178" customFormat="false" ht="15.75" hidden="false" customHeight="false" outlineLevel="0" collapsed="false">
      <c r="A178" s="5"/>
      <c r="B178" s="135"/>
      <c r="C178" s="56"/>
      <c r="D178" s="57"/>
      <c r="E178" s="84"/>
      <c r="F178" s="136"/>
      <c r="G178" s="60"/>
      <c r="H178" s="137"/>
      <c r="I178" s="62"/>
      <c r="J178" s="62"/>
      <c r="K178" s="60"/>
      <c r="L178" s="138"/>
      <c r="M178" s="62"/>
      <c r="N178" s="62"/>
      <c r="O178" s="60"/>
      <c r="P178" s="84"/>
      <c r="Q178" s="65"/>
      <c r="R178" s="67" t="str">
        <f aca="false">IF(ISBLANK($C178),"",IF(E178=Constants!$B$2, TRUE(), IF(E178=Constants!$B$3, FALSE(), TRUE())))</f>
        <v/>
      </c>
      <c r="S178" s="67" t="str">
        <f aca="false">IF(ISBLANK($C178),"",IF(F178=Constants!$B$2, TRUE(), IF(F178=Constants!$B$3, FALSE(), TRUE())))</f>
        <v/>
      </c>
      <c r="T178" s="67" t="str">
        <f aca="false">IF(ISBLANK($C178),"",IF(G178=Constants!$B$16,Constants!$B$9,IF(G178=Constants!$B$17,Constants!$B$10,Constants!$B$8)))</f>
        <v/>
      </c>
      <c r="U178" s="67" t="str">
        <f aca="false">IF(ISBLANK($C178),"",IF(H178=Constants!$B$19,Constants!$B$19,Constants!$B$18))</f>
        <v/>
      </c>
      <c r="V178" s="67" t="str">
        <f aca="false">IF(ISBLANK($C178),"",IF(ISNUMBER(I178),IF(I178&gt;=0,I178,""),""))</f>
        <v/>
      </c>
      <c r="W178" s="67" t="str">
        <f aca="false">IF(ISBLANK($C178),"",IF(J178=Constants!$B$2, TRUE(), IF(J178=Constants!$B$3, FALSE(), TRUE())))</f>
        <v/>
      </c>
      <c r="X178" s="67" t="str">
        <f aca="false">IF(ISBLANK($C178),"",IF(K178=Constants!$B$2, TRUE(), IF(K178=Constants!$B$3, FALSE(), TRUE())))</f>
        <v/>
      </c>
      <c r="Y178" s="67" t="str">
        <f aca="false">IF(ISBLANK($C178),"",IF(L178=Constants!$B$19,Constants!$B$19,Constants!$B$18))</f>
        <v/>
      </c>
      <c r="Z178" s="67" t="str">
        <f aca="false">IF(ISBLANK($C178),"",IF(ISNUMBER(M178),IF(M178&gt;=0,M178,""),""))</f>
        <v/>
      </c>
      <c r="AA178" s="67" t="str">
        <f aca="false">IF(ISBLANK($C178),"",IF(N178=Constants!$B$2, TRUE(), IF(N178=Constants!$B$3, FALSE(), TRUE())))</f>
        <v/>
      </c>
      <c r="AB178" s="67" t="str">
        <f aca="false">IF(ISBLANK($C178),"",IF(O178=Constants!$B$2, TRUE(), IF(O178=Constants!$B$3, FALSE(), TRUE())))</f>
        <v/>
      </c>
      <c r="AC178" s="67" t="str">
        <f aca="false">IF(ISBLANK($C178),"",IF(P178=Constants!$B$2, TRUE(), IF(P178=Constants!$B$3, FALSE(), FALSE())))</f>
        <v/>
      </c>
      <c r="AD178" s="67" t="str">
        <f aca="false">IF(ISBLANK($C178),"",AND(V178&lt;&gt;"",IF(U178=Constants!$B$19,S178,R178)))</f>
        <v/>
      </c>
      <c r="AE178" s="67" t="str">
        <f aca="false">IF(ISBLANK($C178),"",AND(Z178&lt;&gt;"",IF(Y178=Constants!$B$19,S178,R178)))</f>
        <v/>
      </c>
      <c r="AF178" s="67" t="str">
        <f aca="false">IF(ISBLANK($C178),"",IF(AC178,Constants!$B$4,IF(COUNTA(E178:O178)=0,Constants!$B$5,IF(AND(NOT(AD178),NOT(AE178)),Constants!$B$6,Constants!$B$7))))</f>
        <v/>
      </c>
      <c r="AG178" s="67" t="str">
        <f aca="false">IF(ISBLANK($C178),"",IF($AF178&lt;&gt;Constants!$B$7,$AF178,Constants!$B$20))</f>
        <v/>
      </c>
      <c r="AH178" s="67" t="str">
        <f aca="false">IF($AF178=Constants!$B$7,IF(AD178,V178,Constants!$B$13),"")</f>
        <v/>
      </c>
      <c r="AI178" s="67" t="str">
        <f aca="false">IF($AF178=Constants!$B$7,IF(AD178,T178*IF(W178, 1, Constants!$B$11)*IF(X178, 1, Constants!$B$12),Constants!$B$13),"")</f>
        <v/>
      </c>
      <c r="AJ178" s="67" t="str">
        <f aca="false">IF($AF178=Constants!$B$7,AH178*AI178,"")</f>
        <v/>
      </c>
      <c r="AK178" s="67" t="str">
        <f aca="false">IF($AF178=Constants!$B$7,IF(AE178,Z178,Constants!$B$13),"")</f>
        <v/>
      </c>
      <c r="AL178" s="67" t="str">
        <f aca="false">IF($AF178=Constants!$B$7,IF(AE178,T178*IF(AA178, 1, Constants!$B$11)*IF(AB178, 1, Constants!$B$12),Constants!$B$13),"")</f>
        <v/>
      </c>
      <c r="AM178" s="67" t="str">
        <f aca="false">IF($AF178=Constants!$B$7,AK178*AL178,"")</f>
        <v/>
      </c>
      <c r="AN178" s="67" t="str">
        <f aca="false">IF($AF178=Constants!$B$7,IF(AM178&gt;AJ178,2,1),"")</f>
        <v/>
      </c>
      <c r="AO178" s="67" t="str">
        <f aca="false">IF($AF178=Constants!$B$7,IF(AN178=1,2,1),"")</f>
        <v/>
      </c>
      <c r="AP178" s="67" t="str">
        <f aca="false">IF(ISBLANK($C178),"",IF($AF178&lt;&gt;Constants!$B$7,$AF178,IF(AN178=1,AJ178,AM178)))</f>
        <v/>
      </c>
      <c r="AQ178" s="67" t="str">
        <f aca="false">IF(ISBLANK($C178),"",IF($AF178=Constants!$B$7,IF(ISNUMBER(AP178),RANK(AP178,$AP$8:$AP$507),Constants!$B$14),$AF178))</f>
        <v/>
      </c>
      <c r="AR178" s="67" t="str">
        <f aca="false">IF(ISBLANK($C178),"",IF($AF178=Constants!$B$7,IF(AO178=1,AJ178,AM178),""))</f>
        <v/>
      </c>
      <c r="AS178" s="67" t="str">
        <f aca="false">IF(ISBLANK($C178),"",IF($AF178=Constants!$B$7,RANK(AR178,$AR$8:$AR$507),$AF178))</f>
        <v/>
      </c>
      <c r="AT178" s="67" t="str">
        <f aca="false">IF(ISBLANK($C178),"",IF($AF178=Constants!$B$7,IF(ISNUMBER(AQ178),COUNTIFS($AQ$8:$AQ$507,"&lt;"&amp;$AQ178)+COUNTIFS($AQ$8:$AQ$507,$AQ178,$AS$8:$AS$507,"&lt;"&amp;$AS178)+1,Constants!$B$14),$AF178))</f>
        <v/>
      </c>
      <c r="AU178" s="67" t="str">
        <f aca="false">IF(ISBLANK($C178),"",IF($AF178=Constants!$B$7,IF(ISNUMBER(AQ178),AQ178-AT178,Constants!$B$14),$AF178))</f>
        <v/>
      </c>
      <c r="AV178" s="69"/>
      <c r="AW178" s="70" t="str">
        <f aca="false">IF(ISBLANK($C178),"",IF($AF178&lt;&gt;Constants!$B$7,"",AN178))</f>
        <v/>
      </c>
      <c r="AX178" s="85" t="str">
        <f aca="false">IF(ISBLANK($C178),"",IF($AF178&lt;&gt;Constants!$B$7,"",IF(AN178=1,AH178,AK178)))</f>
        <v/>
      </c>
      <c r="AY178" s="72" t="str">
        <f aca="false">IF(ISBLANK($C178),"",IF($AF178&lt;&gt;Constants!$B$7,"",IF(AN178=1,AI178,AL178)))</f>
        <v/>
      </c>
      <c r="AZ178" s="73" t="str">
        <f aca="false">IF(ISBLANK($C178),"",IF($AF178&lt;&gt;Constants!$B$7,$AF178,AP178))</f>
        <v/>
      </c>
      <c r="BA178" s="74" t="str">
        <f aca="false">IF(ISBLANK($C178),"",IF($AF178&lt;&gt;Constants!$B$7,$AF178,AG178))</f>
        <v/>
      </c>
      <c r="BB178" s="75" t="str">
        <f aca="false">IF(ISBLANK($C178),"",AU178)</f>
        <v/>
      </c>
      <c r="BC178" s="75" t="str">
        <f aca="false">IF(ISBLANK($C178),"",AT178)</f>
        <v/>
      </c>
      <c r="BD178" s="76" t="str">
        <f aca="false">IF(ISBLANK($C178),"",IFERROR(_xlfn.SWITCH(BC178,Constants!$B$4,COUNTA($C$8:$C$507)+2,Constants!$B$5,COUNTA($C$8:$C$507)+1,Constants!$B$6,COUNTA($C$8:$C$507)),BC178))</f>
        <v/>
      </c>
      <c r="BE178" s="5"/>
      <c r="BF178" s="77" t="n">
        <f aca="false">IF(OR(ISNUMBER(BC178),BC178=Constants!$B$4,BC178=Constants!$B$6,BC178=Constants!$B$5),1,0)</f>
        <v>0</v>
      </c>
      <c r="BG178" s="77" t="n">
        <v>171</v>
      </c>
      <c r="BH178" s="77" t="str">
        <f aca="false">IF(ISBLANK($C178),"",IF(ISNUMBER(BD178),BD178+ROW($B178)/1000,""))</f>
        <v/>
      </c>
      <c r="BI178" s="77" t="str">
        <f aca="false">IF(ISNUMBER(BH178),RANK(BH178,$BH$8:$BH$507,1),"")</f>
        <v/>
      </c>
      <c r="BJ178" s="77" t="str">
        <f aca="false">IF(ISBLANK($C178),"",$B178)</f>
        <v/>
      </c>
      <c r="BK178" s="77" t="str">
        <f aca="false">IF(ISBLANK($C178),"",$C178)</f>
        <v/>
      </c>
      <c r="BL178" s="77" t="str">
        <f aca="false">IF(ISBLANK($C178),"",$D178)</f>
        <v/>
      </c>
      <c r="BM178" s="78" t="str">
        <f aca="false">BA178</f>
        <v/>
      </c>
      <c r="BN178" s="79" t="str">
        <f aca="false">AZ178</f>
        <v/>
      </c>
      <c r="BO178" s="77" t="str">
        <f aca="false">IF(ISBLANK($C178),"",BC178)</f>
        <v/>
      </c>
      <c r="BP178" s="80" t="str">
        <f aca="false">IF($BG178&gt;$BF$7,"",VLOOKUP($BG178,$BI$8:$BO$507,7,FALSE()))</f>
        <v/>
      </c>
      <c r="BQ178" s="81" t="str">
        <f aca="false">IF($BG178&gt;$BF$7,"",VLOOKUP($BG178,$BI$8:$BO$507,2,FALSE()))</f>
        <v/>
      </c>
      <c r="BR178" s="81" t="str">
        <f aca="false">IF($BG178&gt;$BF$7,"",VLOOKUP($BG178,$BI$8:$BO$507,3,FALSE()))</f>
        <v/>
      </c>
      <c r="BS178" s="81" t="str">
        <f aca="false">IF($BG178&gt;$BF$7,"",VLOOKUP($BG178,$BI$8:$BO$507,4,FALSE()))</f>
        <v/>
      </c>
      <c r="BT178" s="81" t="str">
        <f aca="false">IF($BG178&gt;$BF$7,"",VLOOKUP($BG178,$BI$8:$BO$507,5,FALSE()))</f>
        <v/>
      </c>
      <c r="BU178" s="82" t="str">
        <f aca="false">IF($BG178&gt;$BF$7,"",VLOOKUP($BG178,$BI$8:$BO$507,6,FALSE()))</f>
        <v/>
      </c>
      <c r="BV178" s="54"/>
    </row>
    <row r="179" customFormat="false" ht="15.75" hidden="false" customHeight="false" outlineLevel="0" collapsed="false">
      <c r="A179" s="5"/>
      <c r="B179" s="128"/>
      <c r="C179" s="129"/>
      <c r="D179" s="114"/>
      <c r="E179" s="134"/>
      <c r="F179" s="139"/>
      <c r="G179" s="93"/>
      <c r="H179" s="140"/>
      <c r="I179" s="95"/>
      <c r="J179" s="95"/>
      <c r="K179" s="93"/>
      <c r="L179" s="141"/>
      <c r="M179" s="95"/>
      <c r="N179" s="95"/>
      <c r="O179" s="93"/>
      <c r="P179" s="134"/>
      <c r="Q179" s="98"/>
      <c r="R179" s="99" t="str">
        <f aca="false">IF(ISBLANK($C179),"",IF(E179=Constants!$B$2, TRUE(), IF(E179=Constants!$B$3, FALSE(), TRUE())))</f>
        <v/>
      </c>
      <c r="S179" s="99" t="str">
        <f aca="false">IF(ISBLANK($C179),"",IF(F179=Constants!$B$2, TRUE(), IF(F179=Constants!$B$3, FALSE(), TRUE())))</f>
        <v/>
      </c>
      <c r="T179" s="99" t="str">
        <f aca="false">IF(ISBLANK($C179),"",IF(G179=Constants!$B$16,Constants!$B$9,IF(G179=Constants!$B$17,Constants!$B$10,Constants!$B$8)))</f>
        <v/>
      </c>
      <c r="U179" s="99" t="str">
        <f aca="false">IF(ISBLANK($C179),"",IF(H179=Constants!$B$19,Constants!$B$19,Constants!$B$18))</f>
        <v/>
      </c>
      <c r="V179" s="99" t="str">
        <f aca="false">IF(ISBLANK($C179),"",IF(ISNUMBER(I179),IF(I179&gt;=0,I179,""),""))</f>
        <v/>
      </c>
      <c r="W179" s="99" t="str">
        <f aca="false">IF(ISBLANK($C179),"",IF(J179=Constants!$B$2, TRUE(), IF(J179=Constants!$B$3, FALSE(), TRUE())))</f>
        <v/>
      </c>
      <c r="X179" s="99" t="str">
        <f aca="false">IF(ISBLANK($C179),"",IF(K179=Constants!$B$2, TRUE(), IF(K179=Constants!$B$3, FALSE(), TRUE())))</f>
        <v/>
      </c>
      <c r="Y179" s="99" t="str">
        <f aca="false">IF(ISBLANK($C179),"",IF(L179=Constants!$B$19,Constants!$B$19,Constants!$B$18))</f>
        <v/>
      </c>
      <c r="Z179" s="99" t="str">
        <f aca="false">IF(ISBLANK($C179),"",IF(ISNUMBER(M179),IF(M179&gt;=0,M179,""),""))</f>
        <v/>
      </c>
      <c r="AA179" s="99" t="str">
        <f aca="false">IF(ISBLANK($C179),"",IF(N179=Constants!$B$2, TRUE(), IF(N179=Constants!$B$3, FALSE(), TRUE())))</f>
        <v/>
      </c>
      <c r="AB179" s="99" t="str">
        <f aca="false">IF(ISBLANK($C179),"",IF(O179=Constants!$B$2, TRUE(), IF(O179=Constants!$B$3, FALSE(), TRUE())))</f>
        <v/>
      </c>
      <c r="AC179" s="99" t="str">
        <f aca="false">IF(ISBLANK($C179),"",IF(P179=Constants!$B$2, TRUE(), IF(P179=Constants!$B$3, FALSE(), FALSE())))</f>
        <v/>
      </c>
      <c r="AD179" s="99" t="str">
        <f aca="false">IF(ISBLANK($C179),"",AND(V179&lt;&gt;"",IF(U179=Constants!$B$19,S179,R179)))</f>
        <v/>
      </c>
      <c r="AE179" s="99" t="str">
        <f aca="false">IF(ISBLANK($C179),"",AND(Z179&lt;&gt;"",IF(Y179=Constants!$B$19,S179,R179)))</f>
        <v/>
      </c>
      <c r="AF179" s="99" t="str">
        <f aca="false">IF(ISBLANK($C179),"",IF(AC179,Constants!$B$4,IF(COUNTA(E179:O179)=0,Constants!$B$5,IF(AND(NOT(AD179),NOT(AE179)),Constants!$B$6,Constants!$B$7))))</f>
        <v/>
      </c>
      <c r="AG179" s="99" t="str">
        <f aca="false">IF(ISBLANK($C179),"",IF($AF179&lt;&gt;Constants!$B$7,$AF179,Constants!$B$20))</f>
        <v/>
      </c>
      <c r="AH179" s="99" t="str">
        <f aca="false">IF($AF179=Constants!$B$7,IF(AD179,V179,Constants!$B$13),"")</f>
        <v/>
      </c>
      <c r="AI179" s="99" t="str">
        <f aca="false">IF($AF179=Constants!$B$7,IF(AD179,T179*IF(W179, 1, Constants!$B$11)*IF(X179, 1, Constants!$B$12),Constants!$B$13),"")</f>
        <v/>
      </c>
      <c r="AJ179" s="99" t="str">
        <f aca="false">IF($AF179=Constants!$B$7,AH179*AI179,"")</f>
        <v/>
      </c>
      <c r="AK179" s="99" t="str">
        <f aca="false">IF($AF179=Constants!$B$7,IF(AE179,Z179,Constants!$B$13),"")</f>
        <v/>
      </c>
      <c r="AL179" s="99" t="str">
        <f aca="false">IF($AF179=Constants!$B$7,IF(AE179,T179*IF(AA179, 1, Constants!$B$11)*IF(AB179, 1, Constants!$B$12),Constants!$B$13),"")</f>
        <v/>
      </c>
      <c r="AM179" s="99" t="str">
        <f aca="false">IF($AF179=Constants!$B$7,AK179*AL179,"")</f>
        <v/>
      </c>
      <c r="AN179" s="99" t="str">
        <f aca="false">IF($AF179=Constants!$B$7,IF(AM179&gt;AJ179,2,1),"")</f>
        <v/>
      </c>
      <c r="AO179" s="99" t="str">
        <f aca="false">IF($AF179=Constants!$B$7,IF(AN179=1,2,1),"")</f>
        <v/>
      </c>
      <c r="AP179" s="99" t="str">
        <f aca="false">IF(ISBLANK($C179),"",IF($AF179&lt;&gt;Constants!$B$7,$AF179,IF(AN179=1,AJ179,AM179)))</f>
        <v/>
      </c>
      <c r="AQ179" s="99" t="str">
        <f aca="false">IF(ISBLANK($C179),"",IF($AF179=Constants!$B$7,IF(ISNUMBER(AP179),RANK(AP179,$AP$8:$AP$507),Constants!$B$14),$AF179))</f>
        <v/>
      </c>
      <c r="AR179" s="99" t="str">
        <f aca="false">IF(ISBLANK($C179),"",IF($AF179=Constants!$B$7,IF(AO179=1,AJ179,AM179),""))</f>
        <v/>
      </c>
      <c r="AS179" s="99" t="str">
        <f aca="false">IF(ISBLANK($C179),"",IF($AF179=Constants!$B$7,RANK(AR179,$AR$8:$AR$507),$AF179))</f>
        <v/>
      </c>
      <c r="AT179" s="99" t="str">
        <f aca="false">IF(ISBLANK($C179),"",IF($AF179=Constants!$B$7,IF(ISNUMBER(AQ179),COUNTIFS($AQ$8:$AQ$507,"&lt;"&amp;$AQ179)+COUNTIFS($AQ$8:$AQ$507,$AQ179,$AS$8:$AS$507,"&lt;"&amp;$AS179)+1,Constants!$B$14),$AF179))</f>
        <v/>
      </c>
      <c r="AU179" s="99" t="str">
        <f aca="false">IF(ISBLANK($C179),"",IF($AF179=Constants!$B$7,IF(ISNUMBER(AQ179),AQ179-AT179,Constants!$B$14),$AF179))</f>
        <v/>
      </c>
      <c r="AV179" s="100"/>
      <c r="AW179" s="101" t="str">
        <f aca="false">IF(ISBLANK($C179),"",IF($AF179&lt;&gt;Constants!$B$7,"",AN179))</f>
        <v/>
      </c>
      <c r="AX179" s="102" t="str">
        <f aca="false">IF(ISBLANK($C179),"",IF($AF179&lt;&gt;Constants!$B$7,"",IF(AN179=1,AH179,AK179)))</f>
        <v/>
      </c>
      <c r="AY179" s="103" t="str">
        <f aca="false">IF(ISBLANK($C179),"",IF($AF179&lt;&gt;Constants!$B$7,"",IF(AN179=1,AI179,AL179)))</f>
        <v/>
      </c>
      <c r="AZ179" s="104" t="str">
        <f aca="false">IF(ISBLANK($C179),"",IF($AF179&lt;&gt;Constants!$B$7,$AF179,AP179))</f>
        <v/>
      </c>
      <c r="BA179" s="105" t="str">
        <f aca="false">IF(ISBLANK($C179),"",IF($AF179&lt;&gt;Constants!$B$7,$AF179,AG179))</f>
        <v/>
      </c>
      <c r="BB179" s="106" t="str">
        <f aca="false">IF(ISBLANK($C179),"",AU179)</f>
        <v/>
      </c>
      <c r="BC179" s="106" t="str">
        <f aca="false">IF(ISBLANK($C179),"",AT179)</f>
        <v/>
      </c>
      <c r="BD179" s="107" t="str">
        <f aca="false">IF(ISBLANK($C179),"",IFERROR(_xlfn.SWITCH(BC179,Constants!$B$4,COUNTA($C$8:$C$507)+2,Constants!$B$5,COUNTA($C$8:$C$507)+1,Constants!$B$6,COUNTA($C$8:$C$507)),BC179))</f>
        <v/>
      </c>
      <c r="BE179" s="5"/>
      <c r="BF179" s="108" t="n">
        <f aca="false">IF(OR(ISNUMBER(BC179),BC179=Constants!$B$4,BC179=Constants!$B$6,BC179=Constants!$B$5),1,0)</f>
        <v>0</v>
      </c>
      <c r="BG179" s="108" t="n">
        <v>172</v>
      </c>
      <c r="BH179" s="108" t="str">
        <f aca="false">IF(ISBLANK($C179),"",IF(ISNUMBER(BD179),BD179+ROW($B179)/1000,""))</f>
        <v/>
      </c>
      <c r="BI179" s="108" t="str">
        <f aca="false">IF(ISNUMBER(BH179),RANK(BH179,$BH$8:$BH$507,1),"")</f>
        <v/>
      </c>
      <c r="BJ179" s="108" t="str">
        <f aca="false">IF(ISBLANK($C179),"",$B179)</f>
        <v/>
      </c>
      <c r="BK179" s="108" t="str">
        <f aca="false">IF(ISBLANK($C179),"",$C179)</f>
        <v/>
      </c>
      <c r="BL179" s="108" t="str">
        <f aca="false">IF(ISBLANK($C179),"",$D179)</f>
        <v/>
      </c>
      <c r="BM179" s="109" t="str">
        <f aca="false">BA179</f>
        <v/>
      </c>
      <c r="BN179" s="110" t="str">
        <f aca="false">AZ179</f>
        <v/>
      </c>
      <c r="BO179" s="108" t="str">
        <f aca="false">IF(ISBLANK($C179),"",BC179)</f>
        <v/>
      </c>
      <c r="BP179" s="111" t="str">
        <f aca="false">IF($BG179&gt;$BF$7,"",VLOOKUP($BG179,$BI$8:$BO$507,7,FALSE()))</f>
        <v/>
      </c>
      <c r="BQ179" s="112" t="str">
        <f aca="false">IF($BG179&gt;$BF$7,"",VLOOKUP($BG179,$BI$8:$BO$507,2,FALSE()))</f>
        <v/>
      </c>
      <c r="BR179" s="112" t="str">
        <f aca="false">IF($BG179&gt;$BF$7,"",VLOOKUP($BG179,$BI$8:$BO$507,3,FALSE()))</f>
        <v/>
      </c>
      <c r="BS179" s="112" t="str">
        <f aca="false">IF($BG179&gt;$BF$7,"",VLOOKUP($BG179,$BI$8:$BO$507,4,FALSE()))</f>
        <v/>
      </c>
      <c r="BT179" s="112" t="str">
        <f aca="false">IF($BG179&gt;$BF$7,"",VLOOKUP($BG179,$BI$8:$BO$507,5,FALSE()))</f>
        <v/>
      </c>
      <c r="BU179" s="113" t="str">
        <f aca="false">IF($BG179&gt;$BF$7,"",VLOOKUP($BG179,$BI$8:$BO$507,6,FALSE()))</f>
        <v/>
      </c>
      <c r="BV179" s="54"/>
    </row>
    <row r="180" customFormat="false" ht="15.75" hidden="false" customHeight="false" outlineLevel="0" collapsed="false">
      <c r="A180" s="5"/>
      <c r="B180" s="128"/>
      <c r="C180" s="129"/>
      <c r="D180" s="114"/>
      <c r="E180" s="134"/>
      <c r="F180" s="139"/>
      <c r="G180" s="93"/>
      <c r="H180" s="140"/>
      <c r="I180" s="95"/>
      <c r="J180" s="95"/>
      <c r="K180" s="93"/>
      <c r="L180" s="141"/>
      <c r="M180" s="95"/>
      <c r="N180" s="95"/>
      <c r="O180" s="93"/>
      <c r="P180" s="134"/>
      <c r="Q180" s="98"/>
      <c r="R180" s="99" t="str">
        <f aca="false">IF(ISBLANK($C180),"",IF(E180=Constants!$B$2, TRUE(), IF(E180=Constants!$B$3, FALSE(), TRUE())))</f>
        <v/>
      </c>
      <c r="S180" s="99" t="str">
        <f aca="false">IF(ISBLANK($C180),"",IF(F180=Constants!$B$2, TRUE(), IF(F180=Constants!$B$3, FALSE(), TRUE())))</f>
        <v/>
      </c>
      <c r="T180" s="99" t="str">
        <f aca="false">IF(ISBLANK($C180),"",IF(G180=Constants!$B$16,Constants!$B$9,IF(G180=Constants!$B$17,Constants!$B$10,Constants!$B$8)))</f>
        <v/>
      </c>
      <c r="U180" s="99" t="str">
        <f aca="false">IF(ISBLANK($C180),"",IF(H180=Constants!$B$19,Constants!$B$19,Constants!$B$18))</f>
        <v/>
      </c>
      <c r="V180" s="99" t="str">
        <f aca="false">IF(ISBLANK($C180),"",IF(ISNUMBER(I180),IF(I180&gt;=0,I180,""),""))</f>
        <v/>
      </c>
      <c r="W180" s="99" t="str">
        <f aca="false">IF(ISBLANK($C180),"",IF(J180=Constants!$B$2, TRUE(), IF(J180=Constants!$B$3, FALSE(), TRUE())))</f>
        <v/>
      </c>
      <c r="X180" s="99" t="str">
        <f aca="false">IF(ISBLANK($C180),"",IF(K180=Constants!$B$2, TRUE(), IF(K180=Constants!$B$3, FALSE(), TRUE())))</f>
        <v/>
      </c>
      <c r="Y180" s="99" t="str">
        <f aca="false">IF(ISBLANK($C180),"",IF(L180=Constants!$B$19,Constants!$B$19,Constants!$B$18))</f>
        <v/>
      </c>
      <c r="Z180" s="99" t="str">
        <f aca="false">IF(ISBLANK($C180),"",IF(ISNUMBER(M180),IF(M180&gt;=0,M180,""),""))</f>
        <v/>
      </c>
      <c r="AA180" s="99" t="str">
        <f aca="false">IF(ISBLANK($C180),"",IF(N180=Constants!$B$2, TRUE(), IF(N180=Constants!$B$3, FALSE(), TRUE())))</f>
        <v/>
      </c>
      <c r="AB180" s="99" t="str">
        <f aca="false">IF(ISBLANK($C180),"",IF(O180=Constants!$B$2, TRUE(), IF(O180=Constants!$B$3, FALSE(), TRUE())))</f>
        <v/>
      </c>
      <c r="AC180" s="99" t="str">
        <f aca="false">IF(ISBLANK($C180),"",IF(P180=Constants!$B$2, TRUE(), IF(P180=Constants!$B$3, FALSE(), FALSE())))</f>
        <v/>
      </c>
      <c r="AD180" s="99" t="str">
        <f aca="false">IF(ISBLANK($C180),"",AND(V180&lt;&gt;"",IF(U180=Constants!$B$19,S180,R180)))</f>
        <v/>
      </c>
      <c r="AE180" s="99" t="str">
        <f aca="false">IF(ISBLANK($C180),"",AND(Z180&lt;&gt;"",IF(Y180=Constants!$B$19,S180,R180)))</f>
        <v/>
      </c>
      <c r="AF180" s="99" t="str">
        <f aca="false">IF(ISBLANK($C180),"",IF(AC180,Constants!$B$4,IF(COUNTA(E180:O180)=0,Constants!$B$5,IF(AND(NOT(AD180),NOT(AE180)),Constants!$B$6,Constants!$B$7))))</f>
        <v/>
      </c>
      <c r="AG180" s="99" t="str">
        <f aca="false">IF(ISBLANK($C180),"",IF($AF180&lt;&gt;Constants!$B$7,$AF180,Constants!$B$20))</f>
        <v/>
      </c>
      <c r="AH180" s="99" t="str">
        <f aca="false">IF($AF180=Constants!$B$7,IF(AD180,V180,Constants!$B$13),"")</f>
        <v/>
      </c>
      <c r="AI180" s="99" t="str">
        <f aca="false">IF($AF180=Constants!$B$7,IF(AD180,T180*IF(W180, 1, Constants!$B$11)*IF(X180, 1, Constants!$B$12),Constants!$B$13),"")</f>
        <v/>
      </c>
      <c r="AJ180" s="99" t="str">
        <f aca="false">IF($AF180=Constants!$B$7,AH180*AI180,"")</f>
        <v/>
      </c>
      <c r="AK180" s="99" t="str">
        <f aca="false">IF($AF180=Constants!$B$7,IF(AE180,Z180,Constants!$B$13),"")</f>
        <v/>
      </c>
      <c r="AL180" s="99" t="str">
        <f aca="false">IF($AF180=Constants!$B$7,IF(AE180,T180*IF(AA180, 1, Constants!$B$11)*IF(AB180, 1, Constants!$B$12),Constants!$B$13),"")</f>
        <v/>
      </c>
      <c r="AM180" s="99" t="str">
        <f aca="false">IF($AF180=Constants!$B$7,AK180*AL180,"")</f>
        <v/>
      </c>
      <c r="AN180" s="99" t="str">
        <f aca="false">IF($AF180=Constants!$B$7,IF(AM180&gt;AJ180,2,1),"")</f>
        <v/>
      </c>
      <c r="AO180" s="99" t="str">
        <f aca="false">IF($AF180=Constants!$B$7,IF(AN180=1,2,1),"")</f>
        <v/>
      </c>
      <c r="AP180" s="99" t="str">
        <f aca="false">IF(ISBLANK($C180),"",IF($AF180&lt;&gt;Constants!$B$7,$AF180,IF(AN180=1,AJ180,AM180)))</f>
        <v/>
      </c>
      <c r="AQ180" s="99" t="str">
        <f aca="false">IF(ISBLANK($C180),"",IF($AF180=Constants!$B$7,IF(ISNUMBER(AP180),RANK(AP180,$AP$8:$AP$507),Constants!$B$14),$AF180))</f>
        <v/>
      </c>
      <c r="AR180" s="99" t="str">
        <f aca="false">IF(ISBLANK($C180),"",IF($AF180=Constants!$B$7,IF(AO180=1,AJ180,AM180),""))</f>
        <v/>
      </c>
      <c r="AS180" s="99" t="str">
        <f aca="false">IF(ISBLANK($C180),"",IF($AF180=Constants!$B$7,RANK(AR180,$AR$8:$AR$507),$AF180))</f>
        <v/>
      </c>
      <c r="AT180" s="99" t="str">
        <f aca="false">IF(ISBLANK($C180),"",IF($AF180=Constants!$B$7,IF(ISNUMBER(AQ180),COUNTIFS($AQ$8:$AQ$507,"&lt;"&amp;$AQ180)+COUNTIFS($AQ$8:$AQ$507,$AQ180,$AS$8:$AS$507,"&lt;"&amp;$AS180)+1,Constants!$B$14),$AF180))</f>
        <v/>
      </c>
      <c r="AU180" s="99" t="str">
        <f aca="false">IF(ISBLANK($C180),"",IF($AF180=Constants!$B$7,IF(ISNUMBER(AQ180),AQ180-AT180,Constants!$B$14),$AF180))</f>
        <v/>
      </c>
      <c r="AV180" s="100"/>
      <c r="AW180" s="101" t="str">
        <f aca="false">IF(ISBLANK($C180),"",IF($AF180&lt;&gt;Constants!$B$7,"",AN180))</f>
        <v/>
      </c>
      <c r="AX180" s="102" t="str">
        <f aca="false">IF(ISBLANK($C180),"",IF($AF180&lt;&gt;Constants!$B$7,"",IF(AN180=1,AH180,AK180)))</f>
        <v/>
      </c>
      <c r="AY180" s="103" t="str">
        <f aca="false">IF(ISBLANK($C180),"",IF($AF180&lt;&gt;Constants!$B$7,"",IF(AN180=1,AI180,AL180)))</f>
        <v/>
      </c>
      <c r="AZ180" s="104" t="str">
        <f aca="false">IF(ISBLANK($C180),"",IF($AF180&lt;&gt;Constants!$B$7,$AF180,AP180))</f>
        <v/>
      </c>
      <c r="BA180" s="105" t="str">
        <f aca="false">IF(ISBLANK($C180),"",IF($AF180&lt;&gt;Constants!$B$7,$AF180,AG180))</f>
        <v/>
      </c>
      <c r="BB180" s="106" t="str">
        <f aca="false">IF(ISBLANK($C180),"",AU180)</f>
        <v/>
      </c>
      <c r="BC180" s="106" t="str">
        <f aca="false">IF(ISBLANK($C180),"",AT180)</f>
        <v/>
      </c>
      <c r="BD180" s="107" t="str">
        <f aca="false">IF(ISBLANK($C180),"",IFERROR(_xlfn.SWITCH(BC180,Constants!$B$4,COUNTA($C$8:$C$507)+2,Constants!$B$5,COUNTA($C$8:$C$507)+1,Constants!$B$6,COUNTA($C$8:$C$507)),BC180))</f>
        <v/>
      </c>
      <c r="BE180" s="5"/>
      <c r="BF180" s="108" t="n">
        <f aca="false">IF(OR(ISNUMBER(BC180),BC180=Constants!$B$4,BC180=Constants!$B$6,BC180=Constants!$B$5),1,0)</f>
        <v>0</v>
      </c>
      <c r="BG180" s="108" t="n">
        <v>173</v>
      </c>
      <c r="BH180" s="108" t="str">
        <f aca="false">IF(ISBLANK($C180),"",IF(ISNUMBER(BD180),BD180+ROW($B180)/1000,""))</f>
        <v/>
      </c>
      <c r="BI180" s="108" t="str">
        <f aca="false">IF(ISNUMBER(BH180),RANK(BH180,$BH$8:$BH$507,1),"")</f>
        <v/>
      </c>
      <c r="BJ180" s="108" t="str">
        <f aca="false">IF(ISBLANK($C180),"",$B180)</f>
        <v/>
      </c>
      <c r="BK180" s="108" t="str">
        <f aca="false">IF(ISBLANK($C180),"",$C180)</f>
        <v/>
      </c>
      <c r="BL180" s="108" t="str">
        <f aca="false">IF(ISBLANK($C180),"",$D180)</f>
        <v/>
      </c>
      <c r="BM180" s="109" t="str">
        <f aca="false">BA180</f>
        <v/>
      </c>
      <c r="BN180" s="110" t="str">
        <f aca="false">AZ180</f>
        <v/>
      </c>
      <c r="BO180" s="108" t="str">
        <f aca="false">IF(ISBLANK($C180),"",BC180)</f>
        <v/>
      </c>
      <c r="BP180" s="111" t="str">
        <f aca="false">IF($BG180&gt;$BF$7,"",VLOOKUP($BG180,$BI$8:$BO$507,7,FALSE()))</f>
        <v/>
      </c>
      <c r="BQ180" s="112" t="str">
        <f aca="false">IF($BG180&gt;$BF$7,"",VLOOKUP($BG180,$BI$8:$BO$507,2,FALSE()))</f>
        <v/>
      </c>
      <c r="BR180" s="112" t="str">
        <f aca="false">IF($BG180&gt;$BF$7,"",VLOOKUP($BG180,$BI$8:$BO$507,3,FALSE()))</f>
        <v/>
      </c>
      <c r="BS180" s="112" t="str">
        <f aca="false">IF($BG180&gt;$BF$7,"",VLOOKUP($BG180,$BI$8:$BO$507,4,FALSE()))</f>
        <v/>
      </c>
      <c r="BT180" s="112" t="str">
        <f aca="false">IF($BG180&gt;$BF$7,"",VLOOKUP($BG180,$BI$8:$BO$507,5,FALSE()))</f>
        <v/>
      </c>
      <c r="BU180" s="113" t="str">
        <f aca="false">IF($BG180&gt;$BF$7,"",VLOOKUP($BG180,$BI$8:$BO$507,6,FALSE()))</f>
        <v/>
      </c>
      <c r="BV180" s="54"/>
    </row>
    <row r="181" customFormat="false" ht="15.75" hidden="false" customHeight="false" outlineLevel="0" collapsed="false">
      <c r="A181" s="5"/>
      <c r="B181" s="128"/>
      <c r="C181" s="129"/>
      <c r="D181" s="114"/>
      <c r="E181" s="134"/>
      <c r="F181" s="139"/>
      <c r="G181" s="93"/>
      <c r="H181" s="140"/>
      <c r="I181" s="95"/>
      <c r="J181" s="95"/>
      <c r="K181" s="93"/>
      <c r="L181" s="141"/>
      <c r="M181" s="95"/>
      <c r="N181" s="95"/>
      <c r="O181" s="93"/>
      <c r="P181" s="134"/>
      <c r="Q181" s="98"/>
      <c r="R181" s="99" t="str">
        <f aca="false">IF(ISBLANK($C181),"",IF(E181=Constants!$B$2, TRUE(), IF(E181=Constants!$B$3, FALSE(), TRUE())))</f>
        <v/>
      </c>
      <c r="S181" s="99" t="str">
        <f aca="false">IF(ISBLANK($C181),"",IF(F181=Constants!$B$2, TRUE(), IF(F181=Constants!$B$3, FALSE(), TRUE())))</f>
        <v/>
      </c>
      <c r="T181" s="99" t="str">
        <f aca="false">IF(ISBLANK($C181),"",IF(G181=Constants!$B$16,Constants!$B$9,IF(G181=Constants!$B$17,Constants!$B$10,Constants!$B$8)))</f>
        <v/>
      </c>
      <c r="U181" s="99" t="str">
        <f aca="false">IF(ISBLANK($C181),"",IF(H181=Constants!$B$19,Constants!$B$19,Constants!$B$18))</f>
        <v/>
      </c>
      <c r="V181" s="99" t="str">
        <f aca="false">IF(ISBLANK($C181),"",IF(ISNUMBER(I181),IF(I181&gt;=0,I181,""),""))</f>
        <v/>
      </c>
      <c r="W181" s="99" t="str">
        <f aca="false">IF(ISBLANK($C181),"",IF(J181=Constants!$B$2, TRUE(), IF(J181=Constants!$B$3, FALSE(), TRUE())))</f>
        <v/>
      </c>
      <c r="X181" s="99" t="str">
        <f aca="false">IF(ISBLANK($C181),"",IF(K181=Constants!$B$2, TRUE(), IF(K181=Constants!$B$3, FALSE(), TRUE())))</f>
        <v/>
      </c>
      <c r="Y181" s="99" t="str">
        <f aca="false">IF(ISBLANK($C181),"",IF(L181=Constants!$B$19,Constants!$B$19,Constants!$B$18))</f>
        <v/>
      </c>
      <c r="Z181" s="99" t="str">
        <f aca="false">IF(ISBLANK($C181),"",IF(ISNUMBER(M181),IF(M181&gt;=0,M181,""),""))</f>
        <v/>
      </c>
      <c r="AA181" s="99" t="str">
        <f aca="false">IF(ISBLANK($C181),"",IF(N181=Constants!$B$2, TRUE(), IF(N181=Constants!$B$3, FALSE(), TRUE())))</f>
        <v/>
      </c>
      <c r="AB181" s="99" t="str">
        <f aca="false">IF(ISBLANK($C181),"",IF(O181=Constants!$B$2, TRUE(), IF(O181=Constants!$B$3, FALSE(), TRUE())))</f>
        <v/>
      </c>
      <c r="AC181" s="99" t="str">
        <f aca="false">IF(ISBLANK($C181),"",IF(P181=Constants!$B$2, TRUE(), IF(P181=Constants!$B$3, FALSE(), FALSE())))</f>
        <v/>
      </c>
      <c r="AD181" s="99" t="str">
        <f aca="false">IF(ISBLANK($C181),"",AND(V181&lt;&gt;"",IF(U181=Constants!$B$19,S181,R181)))</f>
        <v/>
      </c>
      <c r="AE181" s="99" t="str">
        <f aca="false">IF(ISBLANK($C181),"",AND(Z181&lt;&gt;"",IF(Y181=Constants!$B$19,S181,R181)))</f>
        <v/>
      </c>
      <c r="AF181" s="99" t="str">
        <f aca="false">IF(ISBLANK($C181),"",IF(AC181,Constants!$B$4,IF(COUNTA(E181:O181)=0,Constants!$B$5,IF(AND(NOT(AD181),NOT(AE181)),Constants!$B$6,Constants!$B$7))))</f>
        <v/>
      </c>
      <c r="AG181" s="99" t="str">
        <f aca="false">IF(ISBLANK($C181),"",IF($AF181&lt;&gt;Constants!$B$7,$AF181,Constants!$B$20))</f>
        <v/>
      </c>
      <c r="AH181" s="99" t="str">
        <f aca="false">IF($AF181=Constants!$B$7,IF(AD181,V181,Constants!$B$13),"")</f>
        <v/>
      </c>
      <c r="AI181" s="99" t="str">
        <f aca="false">IF($AF181=Constants!$B$7,IF(AD181,T181*IF(W181, 1, Constants!$B$11)*IF(X181, 1, Constants!$B$12),Constants!$B$13),"")</f>
        <v/>
      </c>
      <c r="AJ181" s="99" t="str">
        <f aca="false">IF($AF181=Constants!$B$7,AH181*AI181,"")</f>
        <v/>
      </c>
      <c r="AK181" s="99" t="str">
        <f aca="false">IF($AF181=Constants!$B$7,IF(AE181,Z181,Constants!$B$13),"")</f>
        <v/>
      </c>
      <c r="AL181" s="99" t="str">
        <f aca="false">IF($AF181=Constants!$B$7,IF(AE181,T181*IF(AA181, 1, Constants!$B$11)*IF(AB181, 1, Constants!$B$12),Constants!$B$13),"")</f>
        <v/>
      </c>
      <c r="AM181" s="99" t="str">
        <f aca="false">IF($AF181=Constants!$B$7,AK181*AL181,"")</f>
        <v/>
      </c>
      <c r="AN181" s="99" t="str">
        <f aca="false">IF($AF181=Constants!$B$7,IF(AM181&gt;AJ181,2,1),"")</f>
        <v/>
      </c>
      <c r="AO181" s="99" t="str">
        <f aca="false">IF($AF181=Constants!$B$7,IF(AN181=1,2,1),"")</f>
        <v/>
      </c>
      <c r="AP181" s="99" t="str">
        <f aca="false">IF(ISBLANK($C181),"",IF($AF181&lt;&gt;Constants!$B$7,$AF181,IF(AN181=1,AJ181,AM181)))</f>
        <v/>
      </c>
      <c r="AQ181" s="99" t="str">
        <f aca="false">IF(ISBLANK($C181),"",IF($AF181=Constants!$B$7,IF(ISNUMBER(AP181),RANK(AP181,$AP$8:$AP$507),Constants!$B$14),$AF181))</f>
        <v/>
      </c>
      <c r="AR181" s="99" t="str">
        <f aca="false">IF(ISBLANK($C181),"",IF($AF181=Constants!$B$7,IF(AO181=1,AJ181,AM181),""))</f>
        <v/>
      </c>
      <c r="AS181" s="99" t="str">
        <f aca="false">IF(ISBLANK($C181),"",IF($AF181=Constants!$B$7,RANK(AR181,$AR$8:$AR$507),$AF181))</f>
        <v/>
      </c>
      <c r="AT181" s="99" t="str">
        <f aca="false">IF(ISBLANK($C181),"",IF($AF181=Constants!$B$7,IF(ISNUMBER(AQ181),COUNTIFS($AQ$8:$AQ$507,"&lt;"&amp;$AQ181)+COUNTIFS($AQ$8:$AQ$507,$AQ181,$AS$8:$AS$507,"&lt;"&amp;$AS181)+1,Constants!$B$14),$AF181))</f>
        <v/>
      </c>
      <c r="AU181" s="99" t="str">
        <f aca="false">IF(ISBLANK($C181),"",IF($AF181=Constants!$B$7,IF(ISNUMBER(AQ181),AQ181-AT181,Constants!$B$14),$AF181))</f>
        <v/>
      </c>
      <c r="AV181" s="100"/>
      <c r="AW181" s="101" t="str">
        <f aca="false">IF(ISBLANK($C181),"",IF($AF181&lt;&gt;Constants!$B$7,"",AN181))</f>
        <v/>
      </c>
      <c r="AX181" s="102" t="str">
        <f aca="false">IF(ISBLANK($C181),"",IF($AF181&lt;&gt;Constants!$B$7,"",IF(AN181=1,AH181,AK181)))</f>
        <v/>
      </c>
      <c r="AY181" s="103" t="str">
        <f aca="false">IF(ISBLANK($C181),"",IF($AF181&lt;&gt;Constants!$B$7,"",IF(AN181=1,AI181,AL181)))</f>
        <v/>
      </c>
      <c r="AZ181" s="104" t="str">
        <f aca="false">IF(ISBLANK($C181),"",IF($AF181&lt;&gt;Constants!$B$7,$AF181,AP181))</f>
        <v/>
      </c>
      <c r="BA181" s="105" t="str">
        <f aca="false">IF(ISBLANK($C181),"",IF($AF181&lt;&gt;Constants!$B$7,$AF181,AG181))</f>
        <v/>
      </c>
      <c r="BB181" s="106" t="str">
        <f aca="false">IF(ISBLANK($C181),"",AU181)</f>
        <v/>
      </c>
      <c r="BC181" s="106" t="str">
        <f aca="false">IF(ISBLANK($C181),"",AT181)</f>
        <v/>
      </c>
      <c r="BD181" s="107" t="str">
        <f aca="false">IF(ISBLANK($C181),"",IFERROR(_xlfn.SWITCH(BC181,Constants!$B$4,COUNTA($C$8:$C$507)+2,Constants!$B$5,COUNTA($C$8:$C$507)+1,Constants!$B$6,COUNTA($C$8:$C$507)),BC181))</f>
        <v/>
      </c>
      <c r="BE181" s="5"/>
      <c r="BF181" s="108" t="n">
        <f aca="false">IF(OR(ISNUMBER(BC181),BC181=Constants!$B$4,BC181=Constants!$B$6,BC181=Constants!$B$5),1,0)</f>
        <v>0</v>
      </c>
      <c r="BG181" s="108" t="n">
        <v>174</v>
      </c>
      <c r="BH181" s="108" t="str">
        <f aca="false">IF(ISBLANK($C181),"",IF(ISNUMBER(BD181),BD181+ROW($B181)/1000,""))</f>
        <v/>
      </c>
      <c r="BI181" s="108" t="str">
        <f aca="false">IF(ISNUMBER(BH181),RANK(BH181,$BH$8:$BH$507,1),"")</f>
        <v/>
      </c>
      <c r="BJ181" s="108" t="str">
        <f aca="false">IF(ISBLANK($C181),"",$B181)</f>
        <v/>
      </c>
      <c r="BK181" s="108" t="str">
        <f aca="false">IF(ISBLANK($C181),"",$C181)</f>
        <v/>
      </c>
      <c r="BL181" s="108" t="str">
        <f aca="false">IF(ISBLANK($C181),"",$D181)</f>
        <v/>
      </c>
      <c r="BM181" s="109" t="str">
        <f aca="false">BA181</f>
        <v/>
      </c>
      <c r="BN181" s="110" t="str">
        <f aca="false">AZ181</f>
        <v/>
      </c>
      <c r="BO181" s="108" t="str">
        <f aca="false">IF(ISBLANK($C181),"",BC181)</f>
        <v/>
      </c>
      <c r="BP181" s="111" t="str">
        <f aca="false">IF($BG181&gt;$BF$7,"",VLOOKUP($BG181,$BI$8:$BO$507,7,FALSE()))</f>
        <v/>
      </c>
      <c r="BQ181" s="112" t="str">
        <f aca="false">IF($BG181&gt;$BF$7,"",VLOOKUP($BG181,$BI$8:$BO$507,2,FALSE()))</f>
        <v/>
      </c>
      <c r="BR181" s="112" t="str">
        <f aca="false">IF($BG181&gt;$BF$7,"",VLOOKUP($BG181,$BI$8:$BO$507,3,FALSE()))</f>
        <v/>
      </c>
      <c r="BS181" s="112" t="str">
        <f aca="false">IF($BG181&gt;$BF$7,"",VLOOKUP($BG181,$BI$8:$BO$507,4,FALSE()))</f>
        <v/>
      </c>
      <c r="BT181" s="112" t="str">
        <f aca="false">IF($BG181&gt;$BF$7,"",VLOOKUP($BG181,$BI$8:$BO$507,5,FALSE()))</f>
        <v/>
      </c>
      <c r="BU181" s="113" t="str">
        <f aca="false">IF($BG181&gt;$BF$7,"",VLOOKUP($BG181,$BI$8:$BO$507,6,FALSE()))</f>
        <v/>
      </c>
      <c r="BV181" s="54"/>
    </row>
    <row r="182" customFormat="false" ht="15.75" hidden="false" customHeight="false" outlineLevel="0" collapsed="false">
      <c r="A182" s="5"/>
      <c r="B182" s="135"/>
      <c r="C182" s="56"/>
      <c r="D182" s="57"/>
      <c r="E182" s="84"/>
      <c r="F182" s="136"/>
      <c r="G182" s="60"/>
      <c r="H182" s="137"/>
      <c r="I182" s="62"/>
      <c r="J182" s="62"/>
      <c r="K182" s="60"/>
      <c r="L182" s="138"/>
      <c r="M182" s="62"/>
      <c r="N182" s="62"/>
      <c r="O182" s="60"/>
      <c r="P182" s="84"/>
      <c r="Q182" s="65"/>
      <c r="R182" s="67" t="str">
        <f aca="false">IF(ISBLANK($C182),"",IF(E182=Constants!$B$2, TRUE(), IF(E182=Constants!$B$3, FALSE(), TRUE())))</f>
        <v/>
      </c>
      <c r="S182" s="67" t="str">
        <f aca="false">IF(ISBLANK($C182),"",IF(F182=Constants!$B$2, TRUE(), IF(F182=Constants!$B$3, FALSE(), TRUE())))</f>
        <v/>
      </c>
      <c r="T182" s="67" t="str">
        <f aca="false">IF(ISBLANK($C182),"",IF(G182=Constants!$B$16,Constants!$B$9,IF(G182=Constants!$B$17,Constants!$B$10,Constants!$B$8)))</f>
        <v/>
      </c>
      <c r="U182" s="67" t="str">
        <f aca="false">IF(ISBLANK($C182),"",IF(H182=Constants!$B$19,Constants!$B$19,Constants!$B$18))</f>
        <v/>
      </c>
      <c r="V182" s="67" t="str">
        <f aca="false">IF(ISBLANK($C182),"",IF(ISNUMBER(I182),IF(I182&gt;=0,I182,""),""))</f>
        <v/>
      </c>
      <c r="W182" s="67" t="str">
        <f aca="false">IF(ISBLANK($C182),"",IF(J182=Constants!$B$2, TRUE(), IF(J182=Constants!$B$3, FALSE(), TRUE())))</f>
        <v/>
      </c>
      <c r="X182" s="67" t="str">
        <f aca="false">IF(ISBLANK($C182),"",IF(K182=Constants!$B$2, TRUE(), IF(K182=Constants!$B$3, FALSE(), TRUE())))</f>
        <v/>
      </c>
      <c r="Y182" s="67" t="str">
        <f aca="false">IF(ISBLANK($C182),"",IF(L182=Constants!$B$19,Constants!$B$19,Constants!$B$18))</f>
        <v/>
      </c>
      <c r="Z182" s="67" t="str">
        <f aca="false">IF(ISBLANK($C182),"",IF(ISNUMBER(M182),IF(M182&gt;=0,M182,""),""))</f>
        <v/>
      </c>
      <c r="AA182" s="67" t="str">
        <f aca="false">IF(ISBLANK($C182),"",IF(N182=Constants!$B$2, TRUE(), IF(N182=Constants!$B$3, FALSE(), TRUE())))</f>
        <v/>
      </c>
      <c r="AB182" s="67" t="str">
        <f aca="false">IF(ISBLANK($C182),"",IF(O182=Constants!$B$2, TRUE(), IF(O182=Constants!$B$3, FALSE(), TRUE())))</f>
        <v/>
      </c>
      <c r="AC182" s="67" t="str">
        <f aca="false">IF(ISBLANK($C182),"",IF(P182=Constants!$B$2, TRUE(), IF(P182=Constants!$B$3, FALSE(), FALSE())))</f>
        <v/>
      </c>
      <c r="AD182" s="67" t="str">
        <f aca="false">IF(ISBLANK($C182),"",AND(V182&lt;&gt;"",IF(U182=Constants!$B$19,S182,R182)))</f>
        <v/>
      </c>
      <c r="AE182" s="67" t="str">
        <f aca="false">IF(ISBLANK($C182),"",AND(Z182&lt;&gt;"",IF(Y182=Constants!$B$19,S182,R182)))</f>
        <v/>
      </c>
      <c r="AF182" s="67" t="str">
        <f aca="false">IF(ISBLANK($C182),"",IF(AC182,Constants!$B$4,IF(COUNTA(E182:O182)=0,Constants!$B$5,IF(AND(NOT(AD182),NOT(AE182)),Constants!$B$6,Constants!$B$7))))</f>
        <v/>
      </c>
      <c r="AG182" s="67" t="str">
        <f aca="false">IF(ISBLANK($C182),"",IF($AF182&lt;&gt;Constants!$B$7,$AF182,Constants!$B$20))</f>
        <v/>
      </c>
      <c r="AH182" s="67" t="str">
        <f aca="false">IF($AF182=Constants!$B$7,IF(AD182,V182,Constants!$B$13),"")</f>
        <v/>
      </c>
      <c r="AI182" s="67" t="str">
        <f aca="false">IF($AF182=Constants!$B$7,IF(AD182,T182*IF(W182, 1, Constants!$B$11)*IF(X182, 1, Constants!$B$12),Constants!$B$13),"")</f>
        <v/>
      </c>
      <c r="AJ182" s="67" t="str">
        <f aca="false">IF($AF182=Constants!$B$7,AH182*AI182,"")</f>
        <v/>
      </c>
      <c r="AK182" s="67" t="str">
        <f aca="false">IF($AF182=Constants!$B$7,IF(AE182,Z182,Constants!$B$13),"")</f>
        <v/>
      </c>
      <c r="AL182" s="67" t="str">
        <f aca="false">IF($AF182=Constants!$B$7,IF(AE182,T182*IF(AA182, 1, Constants!$B$11)*IF(AB182, 1, Constants!$B$12),Constants!$B$13),"")</f>
        <v/>
      </c>
      <c r="AM182" s="67" t="str">
        <f aca="false">IF($AF182=Constants!$B$7,AK182*AL182,"")</f>
        <v/>
      </c>
      <c r="AN182" s="67" t="str">
        <f aca="false">IF($AF182=Constants!$B$7,IF(AM182&gt;AJ182,2,1),"")</f>
        <v/>
      </c>
      <c r="AO182" s="67" t="str">
        <f aca="false">IF($AF182=Constants!$B$7,IF(AN182=1,2,1),"")</f>
        <v/>
      </c>
      <c r="AP182" s="67" t="str">
        <f aca="false">IF(ISBLANK($C182),"",IF($AF182&lt;&gt;Constants!$B$7,$AF182,IF(AN182=1,AJ182,AM182)))</f>
        <v/>
      </c>
      <c r="AQ182" s="67" t="str">
        <f aca="false">IF(ISBLANK($C182),"",IF($AF182=Constants!$B$7,IF(ISNUMBER(AP182),RANK(AP182,$AP$8:$AP$507),Constants!$B$14),$AF182))</f>
        <v/>
      </c>
      <c r="AR182" s="67" t="str">
        <f aca="false">IF(ISBLANK($C182),"",IF($AF182=Constants!$B$7,IF(AO182=1,AJ182,AM182),""))</f>
        <v/>
      </c>
      <c r="AS182" s="67" t="str">
        <f aca="false">IF(ISBLANK($C182),"",IF($AF182=Constants!$B$7,RANK(AR182,$AR$8:$AR$507),$AF182))</f>
        <v/>
      </c>
      <c r="AT182" s="67" t="str">
        <f aca="false">IF(ISBLANK($C182),"",IF($AF182=Constants!$B$7,IF(ISNUMBER(AQ182),COUNTIFS($AQ$8:$AQ$507,"&lt;"&amp;$AQ182)+COUNTIFS($AQ$8:$AQ$507,$AQ182,$AS$8:$AS$507,"&lt;"&amp;$AS182)+1,Constants!$B$14),$AF182))</f>
        <v/>
      </c>
      <c r="AU182" s="67" t="str">
        <f aca="false">IF(ISBLANK($C182),"",IF($AF182=Constants!$B$7,IF(ISNUMBER(AQ182),AQ182-AT182,Constants!$B$14),$AF182))</f>
        <v/>
      </c>
      <c r="AV182" s="69"/>
      <c r="AW182" s="70" t="str">
        <f aca="false">IF(ISBLANK($C182),"",IF($AF182&lt;&gt;Constants!$B$7,"",AN182))</f>
        <v/>
      </c>
      <c r="AX182" s="85" t="str">
        <f aca="false">IF(ISBLANK($C182),"",IF($AF182&lt;&gt;Constants!$B$7,"",IF(AN182=1,AH182,AK182)))</f>
        <v/>
      </c>
      <c r="AY182" s="72" t="str">
        <f aca="false">IF(ISBLANK($C182),"",IF($AF182&lt;&gt;Constants!$B$7,"",IF(AN182=1,AI182,AL182)))</f>
        <v/>
      </c>
      <c r="AZ182" s="73" t="str">
        <f aca="false">IF(ISBLANK($C182),"",IF($AF182&lt;&gt;Constants!$B$7,$AF182,AP182))</f>
        <v/>
      </c>
      <c r="BA182" s="74" t="str">
        <f aca="false">IF(ISBLANK($C182),"",IF($AF182&lt;&gt;Constants!$B$7,$AF182,AG182))</f>
        <v/>
      </c>
      <c r="BB182" s="75" t="str">
        <f aca="false">IF(ISBLANK($C182),"",AU182)</f>
        <v/>
      </c>
      <c r="BC182" s="75" t="str">
        <f aca="false">IF(ISBLANK($C182),"",AT182)</f>
        <v/>
      </c>
      <c r="BD182" s="76" t="str">
        <f aca="false">IF(ISBLANK($C182),"",IFERROR(_xlfn.SWITCH(BC182,Constants!$B$4,COUNTA($C$8:$C$507)+2,Constants!$B$5,COUNTA($C$8:$C$507)+1,Constants!$B$6,COUNTA($C$8:$C$507)),BC182))</f>
        <v/>
      </c>
      <c r="BE182" s="5"/>
      <c r="BF182" s="77" t="n">
        <f aca="false">IF(OR(ISNUMBER(BC182),BC182=Constants!$B$4,BC182=Constants!$B$6,BC182=Constants!$B$5),1,0)</f>
        <v>0</v>
      </c>
      <c r="BG182" s="77" t="n">
        <v>175</v>
      </c>
      <c r="BH182" s="77" t="str">
        <f aca="false">IF(ISBLANK($C182),"",IF(ISNUMBER(BD182),BD182+ROW($B182)/1000,""))</f>
        <v/>
      </c>
      <c r="BI182" s="77" t="str">
        <f aca="false">IF(ISNUMBER(BH182),RANK(BH182,$BH$8:$BH$507,1),"")</f>
        <v/>
      </c>
      <c r="BJ182" s="77" t="str">
        <f aca="false">IF(ISBLANK($C182),"",$B182)</f>
        <v/>
      </c>
      <c r="BK182" s="77" t="str">
        <f aca="false">IF(ISBLANK($C182),"",$C182)</f>
        <v/>
      </c>
      <c r="BL182" s="77" t="str">
        <f aca="false">IF(ISBLANK($C182),"",$D182)</f>
        <v/>
      </c>
      <c r="BM182" s="78" t="str">
        <f aca="false">BA182</f>
        <v/>
      </c>
      <c r="BN182" s="79" t="str">
        <f aca="false">AZ182</f>
        <v/>
      </c>
      <c r="BO182" s="77" t="str">
        <f aca="false">IF(ISBLANK($C182),"",BC182)</f>
        <v/>
      </c>
      <c r="BP182" s="80" t="str">
        <f aca="false">IF($BG182&gt;$BF$7,"",VLOOKUP($BG182,$BI$8:$BO$507,7,FALSE()))</f>
        <v/>
      </c>
      <c r="BQ182" s="81" t="str">
        <f aca="false">IF($BG182&gt;$BF$7,"",VLOOKUP($BG182,$BI$8:$BO$507,2,FALSE()))</f>
        <v/>
      </c>
      <c r="BR182" s="81" t="str">
        <f aca="false">IF($BG182&gt;$BF$7,"",VLOOKUP($BG182,$BI$8:$BO$507,3,FALSE()))</f>
        <v/>
      </c>
      <c r="BS182" s="81" t="str">
        <f aca="false">IF($BG182&gt;$BF$7,"",VLOOKUP($BG182,$BI$8:$BO$507,4,FALSE()))</f>
        <v/>
      </c>
      <c r="BT182" s="81" t="str">
        <f aca="false">IF($BG182&gt;$BF$7,"",VLOOKUP($BG182,$BI$8:$BO$507,5,FALSE()))</f>
        <v/>
      </c>
      <c r="BU182" s="82" t="str">
        <f aca="false">IF($BG182&gt;$BF$7,"",VLOOKUP($BG182,$BI$8:$BO$507,6,FALSE()))</f>
        <v/>
      </c>
      <c r="BV182" s="54"/>
    </row>
    <row r="183" customFormat="false" ht="15.75" hidden="false" customHeight="false" outlineLevel="0" collapsed="false">
      <c r="A183" s="5"/>
      <c r="B183" s="135"/>
      <c r="C183" s="56"/>
      <c r="D183" s="57"/>
      <c r="E183" s="84"/>
      <c r="F183" s="136"/>
      <c r="G183" s="60"/>
      <c r="H183" s="137"/>
      <c r="I183" s="62"/>
      <c r="J183" s="62"/>
      <c r="K183" s="60"/>
      <c r="L183" s="138"/>
      <c r="M183" s="62"/>
      <c r="N183" s="62"/>
      <c r="O183" s="60"/>
      <c r="P183" s="84"/>
      <c r="Q183" s="65"/>
      <c r="R183" s="67" t="str">
        <f aca="false">IF(ISBLANK($C183),"",IF(E183=Constants!$B$2, TRUE(), IF(E183=Constants!$B$3, FALSE(), TRUE())))</f>
        <v/>
      </c>
      <c r="S183" s="67" t="str">
        <f aca="false">IF(ISBLANK($C183),"",IF(F183=Constants!$B$2, TRUE(), IF(F183=Constants!$B$3, FALSE(), TRUE())))</f>
        <v/>
      </c>
      <c r="T183" s="67" t="str">
        <f aca="false">IF(ISBLANK($C183),"",IF(G183=Constants!$B$16,Constants!$B$9,IF(G183=Constants!$B$17,Constants!$B$10,Constants!$B$8)))</f>
        <v/>
      </c>
      <c r="U183" s="67" t="str">
        <f aca="false">IF(ISBLANK($C183),"",IF(H183=Constants!$B$19,Constants!$B$19,Constants!$B$18))</f>
        <v/>
      </c>
      <c r="V183" s="67" t="str">
        <f aca="false">IF(ISBLANK($C183),"",IF(ISNUMBER(I183),IF(I183&gt;=0,I183,""),""))</f>
        <v/>
      </c>
      <c r="W183" s="67" t="str">
        <f aca="false">IF(ISBLANK($C183),"",IF(J183=Constants!$B$2, TRUE(), IF(J183=Constants!$B$3, FALSE(), TRUE())))</f>
        <v/>
      </c>
      <c r="X183" s="67" t="str">
        <f aca="false">IF(ISBLANK($C183),"",IF(K183=Constants!$B$2, TRUE(), IF(K183=Constants!$B$3, FALSE(), TRUE())))</f>
        <v/>
      </c>
      <c r="Y183" s="67" t="str">
        <f aca="false">IF(ISBLANK($C183),"",IF(L183=Constants!$B$19,Constants!$B$19,Constants!$B$18))</f>
        <v/>
      </c>
      <c r="Z183" s="67" t="str">
        <f aca="false">IF(ISBLANK($C183),"",IF(ISNUMBER(M183),IF(M183&gt;=0,M183,""),""))</f>
        <v/>
      </c>
      <c r="AA183" s="67" t="str">
        <f aca="false">IF(ISBLANK($C183),"",IF(N183=Constants!$B$2, TRUE(), IF(N183=Constants!$B$3, FALSE(), TRUE())))</f>
        <v/>
      </c>
      <c r="AB183" s="67" t="str">
        <f aca="false">IF(ISBLANK($C183),"",IF(O183=Constants!$B$2, TRUE(), IF(O183=Constants!$B$3, FALSE(), TRUE())))</f>
        <v/>
      </c>
      <c r="AC183" s="67" t="str">
        <f aca="false">IF(ISBLANK($C183),"",IF(P183=Constants!$B$2, TRUE(), IF(P183=Constants!$B$3, FALSE(), FALSE())))</f>
        <v/>
      </c>
      <c r="AD183" s="67" t="str">
        <f aca="false">IF(ISBLANK($C183),"",AND(V183&lt;&gt;"",IF(U183=Constants!$B$19,S183,R183)))</f>
        <v/>
      </c>
      <c r="AE183" s="67" t="str">
        <f aca="false">IF(ISBLANK($C183),"",AND(Z183&lt;&gt;"",IF(Y183=Constants!$B$19,S183,R183)))</f>
        <v/>
      </c>
      <c r="AF183" s="67" t="str">
        <f aca="false">IF(ISBLANK($C183),"",IF(AC183,Constants!$B$4,IF(COUNTA(E183:O183)=0,Constants!$B$5,IF(AND(NOT(AD183),NOT(AE183)),Constants!$B$6,Constants!$B$7))))</f>
        <v/>
      </c>
      <c r="AG183" s="67" t="str">
        <f aca="false">IF(ISBLANK($C183),"",IF($AF183&lt;&gt;Constants!$B$7,$AF183,Constants!$B$20))</f>
        <v/>
      </c>
      <c r="AH183" s="67" t="str">
        <f aca="false">IF($AF183=Constants!$B$7,IF(AD183,V183,Constants!$B$13),"")</f>
        <v/>
      </c>
      <c r="AI183" s="67" t="str">
        <f aca="false">IF($AF183=Constants!$B$7,IF(AD183,T183*IF(W183, 1, Constants!$B$11)*IF(X183, 1, Constants!$B$12),Constants!$B$13),"")</f>
        <v/>
      </c>
      <c r="AJ183" s="67" t="str">
        <f aca="false">IF($AF183=Constants!$B$7,AH183*AI183,"")</f>
        <v/>
      </c>
      <c r="AK183" s="67" t="str">
        <f aca="false">IF($AF183=Constants!$B$7,IF(AE183,Z183,Constants!$B$13),"")</f>
        <v/>
      </c>
      <c r="AL183" s="67" t="str">
        <f aca="false">IF($AF183=Constants!$B$7,IF(AE183,T183*IF(AA183, 1, Constants!$B$11)*IF(AB183, 1, Constants!$B$12),Constants!$B$13),"")</f>
        <v/>
      </c>
      <c r="AM183" s="67" t="str">
        <f aca="false">IF($AF183=Constants!$B$7,AK183*AL183,"")</f>
        <v/>
      </c>
      <c r="AN183" s="67" t="str">
        <f aca="false">IF($AF183=Constants!$B$7,IF(AM183&gt;AJ183,2,1),"")</f>
        <v/>
      </c>
      <c r="AO183" s="67" t="str">
        <f aca="false">IF($AF183=Constants!$B$7,IF(AN183=1,2,1),"")</f>
        <v/>
      </c>
      <c r="AP183" s="67" t="str">
        <f aca="false">IF(ISBLANK($C183),"",IF($AF183&lt;&gt;Constants!$B$7,$AF183,IF(AN183=1,AJ183,AM183)))</f>
        <v/>
      </c>
      <c r="AQ183" s="67" t="str">
        <f aca="false">IF(ISBLANK($C183),"",IF($AF183=Constants!$B$7,IF(ISNUMBER(AP183),RANK(AP183,$AP$8:$AP$507),Constants!$B$14),$AF183))</f>
        <v/>
      </c>
      <c r="AR183" s="67" t="str">
        <f aca="false">IF(ISBLANK($C183),"",IF($AF183=Constants!$B$7,IF(AO183=1,AJ183,AM183),""))</f>
        <v/>
      </c>
      <c r="AS183" s="67" t="str">
        <f aca="false">IF(ISBLANK($C183),"",IF($AF183=Constants!$B$7,RANK(AR183,$AR$8:$AR$507),$AF183))</f>
        <v/>
      </c>
      <c r="AT183" s="67" t="str">
        <f aca="false">IF(ISBLANK($C183),"",IF($AF183=Constants!$B$7,IF(ISNUMBER(AQ183),COUNTIFS($AQ$8:$AQ$507,"&lt;"&amp;$AQ183)+COUNTIFS($AQ$8:$AQ$507,$AQ183,$AS$8:$AS$507,"&lt;"&amp;$AS183)+1,Constants!$B$14),$AF183))</f>
        <v/>
      </c>
      <c r="AU183" s="67" t="str">
        <f aca="false">IF(ISBLANK($C183),"",IF($AF183=Constants!$B$7,IF(ISNUMBER(AQ183),AQ183-AT183,Constants!$B$14),$AF183))</f>
        <v/>
      </c>
      <c r="AV183" s="69"/>
      <c r="AW183" s="70" t="str">
        <f aca="false">IF(ISBLANK($C183),"",IF($AF183&lt;&gt;Constants!$B$7,"",AN183))</f>
        <v/>
      </c>
      <c r="AX183" s="85" t="str">
        <f aca="false">IF(ISBLANK($C183),"",IF($AF183&lt;&gt;Constants!$B$7,"",IF(AN183=1,AH183,AK183)))</f>
        <v/>
      </c>
      <c r="AY183" s="72" t="str">
        <f aca="false">IF(ISBLANK($C183),"",IF($AF183&lt;&gt;Constants!$B$7,"",IF(AN183=1,AI183,AL183)))</f>
        <v/>
      </c>
      <c r="AZ183" s="73" t="str">
        <f aca="false">IF(ISBLANK($C183),"",IF($AF183&lt;&gt;Constants!$B$7,$AF183,AP183))</f>
        <v/>
      </c>
      <c r="BA183" s="74" t="str">
        <f aca="false">IF(ISBLANK($C183),"",IF($AF183&lt;&gt;Constants!$B$7,$AF183,AG183))</f>
        <v/>
      </c>
      <c r="BB183" s="75" t="str">
        <f aca="false">IF(ISBLANK($C183),"",AU183)</f>
        <v/>
      </c>
      <c r="BC183" s="75" t="str">
        <f aca="false">IF(ISBLANK($C183),"",AT183)</f>
        <v/>
      </c>
      <c r="BD183" s="76" t="str">
        <f aca="false">IF(ISBLANK($C183),"",IFERROR(_xlfn.SWITCH(BC183,Constants!$B$4,COUNTA($C$8:$C$507)+2,Constants!$B$5,COUNTA($C$8:$C$507)+1,Constants!$B$6,COUNTA($C$8:$C$507)),BC183))</f>
        <v/>
      </c>
      <c r="BE183" s="5"/>
      <c r="BF183" s="77" t="n">
        <f aca="false">IF(OR(ISNUMBER(BC183),BC183=Constants!$B$4,BC183=Constants!$B$6,BC183=Constants!$B$5),1,0)</f>
        <v>0</v>
      </c>
      <c r="BG183" s="77" t="n">
        <v>176</v>
      </c>
      <c r="BH183" s="77" t="str">
        <f aca="false">IF(ISBLANK($C183),"",IF(ISNUMBER(BD183),BD183+ROW($B183)/1000,""))</f>
        <v/>
      </c>
      <c r="BI183" s="77" t="str">
        <f aca="false">IF(ISNUMBER(BH183),RANK(BH183,$BH$8:$BH$507,1),"")</f>
        <v/>
      </c>
      <c r="BJ183" s="77" t="str">
        <f aca="false">IF(ISBLANK($C183),"",$B183)</f>
        <v/>
      </c>
      <c r="BK183" s="77" t="str">
        <f aca="false">IF(ISBLANK($C183),"",$C183)</f>
        <v/>
      </c>
      <c r="BL183" s="77" t="str">
        <f aca="false">IF(ISBLANK($C183),"",$D183)</f>
        <v/>
      </c>
      <c r="BM183" s="78" t="str">
        <f aca="false">BA183</f>
        <v/>
      </c>
      <c r="BN183" s="79" t="str">
        <f aca="false">AZ183</f>
        <v/>
      </c>
      <c r="BO183" s="77" t="str">
        <f aca="false">IF(ISBLANK($C183),"",BC183)</f>
        <v/>
      </c>
      <c r="BP183" s="80" t="str">
        <f aca="false">IF($BG183&gt;$BF$7,"",VLOOKUP($BG183,$BI$8:$BO$507,7,FALSE()))</f>
        <v/>
      </c>
      <c r="BQ183" s="81" t="str">
        <f aca="false">IF($BG183&gt;$BF$7,"",VLOOKUP($BG183,$BI$8:$BO$507,2,FALSE()))</f>
        <v/>
      </c>
      <c r="BR183" s="81" t="str">
        <f aca="false">IF($BG183&gt;$BF$7,"",VLOOKUP($BG183,$BI$8:$BO$507,3,FALSE()))</f>
        <v/>
      </c>
      <c r="BS183" s="81" t="str">
        <f aca="false">IF($BG183&gt;$BF$7,"",VLOOKUP($BG183,$BI$8:$BO$507,4,FALSE()))</f>
        <v/>
      </c>
      <c r="BT183" s="81" t="str">
        <f aca="false">IF($BG183&gt;$BF$7,"",VLOOKUP($BG183,$BI$8:$BO$507,5,FALSE()))</f>
        <v/>
      </c>
      <c r="BU183" s="82" t="str">
        <f aca="false">IF($BG183&gt;$BF$7,"",VLOOKUP($BG183,$BI$8:$BO$507,6,FALSE()))</f>
        <v/>
      </c>
      <c r="BV183" s="54"/>
    </row>
    <row r="184" customFormat="false" ht="15.75" hidden="false" customHeight="false" outlineLevel="0" collapsed="false">
      <c r="A184" s="5"/>
      <c r="B184" s="135"/>
      <c r="C184" s="56"/>
      <c r="D184" s="57"/>
      <c r="E184" s="84"/>
      <c r="F184" s="136"/>
      <c r="G184" s="60"/>
      <c r="H184" s="137"/>
      <c r="I184" s="62"/>
      <c r="J184" s="62"/>
      <c r="K184" s="60"/>
      <c r="L184" s="138"/>
      <c r="M184" s="62"/>
      <c r="N184" s="62"/>
      <c r="O184" s="60"/>
      <c r="P184" s="84"/>
      <c r="Q184" s="65"/>
      <c r="R184" s="67" t="str">
        <f aca="false">IF(ISBLANK($C184),"",IF(E184=Constants!$B$2, TRUE(), IF(E184=Constants!$B$3, FALSE(), TRUE())))</f>
        <v/>
      </c>
      <c r="S184" s="67" t="str">
        <f aca="false">IF(ISBLANK($C184),"",IF(F184=Constants!$B$2, TRUE(), IF(F184=Constants!$B$3, FALSE(), TRUE())))</f>
        <v/>
      </c>
      <c r="T184" s="67" t="str">
        <f aca="false">IF(ISBLANK($C184),"",IF(G184=Constants!$B$16,Constants!$B$9,IF(G184=Constants!$B$17,Constants!$B$10,Constants!$B$8)))</f>
        <v/>
      </c>
      <c r="U184" s="67" t="str">
        <f aca="false">IF(ISBLANK($C184),"",IF(H184=Constants!$B$19,Constants!$B$19,Constants!$B$18))</f>
        <v/>
      </c>
      <c r="V184" s="67" t="str">
        <f aca="false">IF(ISBLANK($C184),"",IF(ISNUMBER(I184),IF(I184&gt;=0,I184,""),""))</f>
        <v/>
      </c>
      <c r="W184" s="67" t="str">
        <f aca="false">IF(ISBLANK($C184),"",IF(J184=Constants!$B$2, TRUE(), IF(J184=Constants!$B$3, FALSE(), TRUE())))</f>
        <v/>
      </c>
      <c r="X184" s="67" t="str">
        <f aca="false">IF(ISBLANK($C184),"",IF(K184=Constants!$B$2, TRUE(), IF(K184=Constants!$B$3, FALSE(), TRUE())))</f>
        <v/>
      </c>
      <c r="Y184" s="67" t="str">
        <f aca="false">IF(ISBLANK($C184),"",IF(L184=Constants!$B$19,Constants!$B$19,Constants!$B$18))</f>
        <v/>
      </c>
      <c r="Z184" s="67" t="str">
        <f aca="false">IF(ISBLANK($C184),"",IF(ISNUMBER(M184),IF(M184&gt;=0,M184,""),""))</f>
        <v/>
      </c>
      <c r="AA184" s="67" t="str">
        <f aca="false">IF(ISBLANK($C184),"",IF(N184=Constants!$B$2, TRUE(), IF(N184=Constants!$B$3, FALSE(), TRUE())))</f>
        <v/>
      </c>
      <c r="AB184" s="67" t="str">
        <f aca="false">IF(ISBLANK($C184),"",IF(O184=Constants!$B$2, TRUE(), IF(O184=Constants!$B$3, FALSE(), TRUE())))</f>
        <v/>
      </c>
      <c r="AC184" s="67" t="str">
        <f aca="false">IF(ISBLANK($C184),"",IF(P184=Constants!$B$2, TRUE(), IF(P184=Constants!$B$3, FALSE(), FALSE())))</f>
        <v/>
      </c>
      <c r="AD184" s="67" t="str">
        <f aca="false">IF(ISBLANK($C184),"",AND(V184&lt;&gt;"",IF(U184=Constants!$B$19,S184,R184)))</f>
        <v/>
      </c>
      <c r="AE184" s="67" t="str">
        <f aca="false">IF(ISBLANK($C184),"",AND(Z184&lt;&gt;"",IF(Y184=Constants!$B$19,S184,R184)))</f>
        <v/>
      </c>
      <c r="AF184" s="67" t="str">
        <f aca="false">IF(ISBLANK($C184),"",IF(AC184,Constants!$B$4,IF(COUNTA(E184:O184)=0,Constants!$B$5,IF(AND(NOT(AD184),NOT(AE184)),Constants!$B$6,Constants!$B$7))))</f>
        <v/>
      </c>
      <c r="AG184" s="67" t="str">
        <f aca="false">IF(ISBLANK($C184),"",IF($AF184&lt;&gt;Constants!$B$7,$AF184,Constants!$B$20))</f>
        <v/>
      </c>
      <c r="AH184" s="67" t="str">
        <f aca="false">IF($AF184=Constants!$B$7,IF(AD184,V184,Constants!$B$13),"")</f>
        <v/>
      </c>
      <c r="AI184" s="67" t="str">
        <f aca="false">IF($AF184=Constants!$B$7,IF(AD184,T184*IF(W184, 1, Constants!$B$11)*IF(X184, 1, Constants!$B$12),Constants!$B$13),"")</f>
        <v/>
      </c>
      <c r="AJ184" s="67" t="str">
        <f aca="false">IF($AF184=Constants!$B$7,AH184*AI184,"")</f>
        <v/>
      </c>
      <c r="AK184" s="67" t="str">
        <f aca="false">IF($AF184=Constants!$B$7,IF(AE184,Z184,Constants!$B$13),"")</f>
        <v/>
      </c>
      <c r="AL184" s="67" t="str">
        <f aca="false">IF($AF184=Constants!$B$7,IF(AE184,T184*IF(AA184, 1, Constants!$B$11)*IF(AB184, 1, Constants!$B$12),Constants!$B$13),"")</f>
        <v/>
      </c>
      <c r="AM184" s="67" t="str">
        <f aca="false">IF($AF184=Constants!$B$7,AK184*AL184,"")</f>
        <v/>
      </c>
      <c r="AN184" s="67" t="str">
        <f aca="false">IF($AF184=Constants!$B$7,IF(AM184&gt;AJ184,2,1),"")</f>
        <v/>
      </c>
      <c r="AO184" s="67" t="str">
        <f aca="false">IF($AF184=Constants!$B$7,IF(AN184=1,2,1),"")</f>
        <v/>
      </c>
      <c r="AP184" s="67" t="str">
        <f aca="false">IF(ISBLANK($C184),"",IF($AF184&lt;&gt;Constants!$B$7,$AF184,IF(AN184=1,AJ184,AM184)))</f>
        <v/>
      </c>
      <c r="AQ184" s="67" t="str">
        <f aca="false">IF(ISBLANK($C184),"",IF($AF184=Constants!$B$7,IF(ISNUMBER(AP184),RANK(AP184,$AP$8:$AP$507),Constants!$B$14),$AF184))</f>
        <v/>
      </c>
      <c r="AR184" s="67" t="str">
        <f aca="false">IF(ISBLANK($C184),"",IF($AF184=Constants!$B$7,IF(AO184=1,AJ184,AM184),""))</f>
        <v/>
      </c>
      <c r="AS184" s="67" t="str">
        <f aca="false">IF(ISBLANK($C184),"",IF($AF184=Constants!$B$7,RANK(AR184,$AR$8:$AR$507),$AF184))</f>
        <v/>
      </c>
      <c r="AT184" s="67" t="str">
        <f aca="false">IF(ISBLANK($C184),"",IF($AF184=Constants!$B$7,IF(ISNUMBER(AQ184),COUNTIFS($AQ$8:$AQ$507,"&lt;"&amp;$AQ184)+COUNTIFS($AQ$8:$AQ$507,$AQ184,$AS$8:$AS$507,"&lt;"&amp;$AS184)+1,Constants!$B$14),$AF184))</f>
        <v/>
      </c>
      <c r="AU184" s="67" t="str">
        <f aca="false">IF(ISBLANK($C184),"",IF($AF184=Constants!$B$7,IF(ISNUMBER(AQ184),AQ184-AT184,Constants!$B$14),$AF184))</f>
        <v/>
      </c>
      <c r="AV184" s="69"/>
      <c r="AW184" s="70" t="str">
        <f aca="false">IF(ISBLANK($C184),"",IF($AF184&lt;&gt;Constants!$B$7,"",AN184))</f>
        <v/>
      </c>
      <c r="AX184" s="85" t="str">
        <f aca="false">IF(ISBLANK($C184),"",IF($AF184&lt;&gt;Constants!$B$7,"",IF(AN184=1,AH184,AK184)))</f>
        <v/>
      </c>
      <c r="AY184" s="72" t="str">
        <f aca="false">IF(ISBLANK($C184),"",IF($AF184&lt;&gt;Constants!$B$7,"",IF(AN184=1,AI184,AL184)))</f>
        <v/>
      </c>
      <c r="AZ184" s="73" t="str">
        <f aca="false">IF(ISBLANK($C184),"",IF($AF184&lt;&gt;Constants!$B$7,$AF184,AP184))</f>
        <v/>
      </c>
      <c r="BA184" s="74" t="str">
        <f aca="false">IF(ISBLANK($C184),"",IF($AF184&lt;&gt;Constants!$B$7,$AF184,AG184))</f>
        <v/>
      </c>
      <c r="BB184" s="75" t="str">
        <f aca="false">IF(ISBLANK($C184),"",AU184)</f>
        <v/>
      </c>
      <c r="BC184" s="75" t="str">
        <f aca="false">IF(ISBLANK($C184),"",AT184)</f>
        <v/>
      </c>
      <c r="BD184" s="76" t="str">
        <f aca="false">IF(ISBLANK($C184),"",IFERROR(_xlfn.SWITCH(BC184,Constants!$B$4,COUNTA($C$8:$C$507)+2,Constants!$B$5,COUNTA($C$8:$C$507)+1,Constants!$B$6,COUNTA($C$8:$C$507)),BC184))</f>
        <v/>
      </c>
      <c r="BE184" s="5"/>
      <c r="BF184" s="77" t="n">
        <f aca="false">IF(OR(ISNUMBER(BC184),BC184=Constants!$B$4,BC184=Constants!$B$6,BC184=Constants!$B$5),1,0)</f>
        <v>0</v>
      </c>
      <c r="BG184" s="77" t="n">
        <v>177</v>
      </c>
      <c r="BH184" s="77" t="str">
        <f aca="false">IF(ISBLANK($C184),"",IF(ISNUMBER(BD184),BD184+ROW($B184)/1000,""))</f>
        <v/>
      </c>
      <c r="BI184" s="77" t="str">
        <f aca="false">IF(ISNUMBER(BH184),RANK(BH184,$BH$8:$BH$507,1),"")</f>
        <v/>
      </c>
      <c r="BJ184" s="77" t="str">
        <f aca="false">IF(ISBLANK($C184),"",$B184)</f>
        <v/>
      </c>
      <c r="BK184" s="77" t="str">
        <f aca="false">IF(ISBLANK($C184),"",$C184)</f>
        <v/>
      </c>
      <c r="BL184" s="77" t="str">
        <f aca="false">IF(ISBLANK($C184),"",$D184)</f>
        <v/>
      </c>
      <c r="BM184" s="78" t="str">
        <f aca="false">BA184</f>
        <v/>
      </c>
      <c r="BN184" s="79" t="str">
        <f aca="false">AZ184</f>
        <v/>
      </c>
      <c r="BO184" s="77" t="str">
        <f aca="false">IF(ISBLANK($C184),"",BC184)</f>
        <v/>
      </c>
      <c r="BP184" s="80" t="str">
        <f aca="false">IF($BG184&gt;$BF$7,"",VLOOKUP($BG184,$BI$8:$BO$507,7,FALSE()))</f>
        <v/>
      </c>
      <c r="BQ184" s="81" t="str">
        <f aca="false">IF($BG184&gt;$BF$7,"",VLOOKUP($BG184,$BI$8:$BO$507,2,FALSE()))</f>
        <v/>
      </c>
      <c r="BR184" s="81" t="str">
        <f aca="false">IF($BG184&gt;$BF$7,"",VLOOKUP($BG184,$BI$8:$BO$507,3,FALSE()))</f>
        <v/>
      </c>
      <c r="BS184" s="81" t="str">
        <f aca="false">IF($BG184&gt;$BF$7,"",VLOOKUP($BG184,$BI$8:$BO$507,4,FALSE()))</f>
        <v/>
      </c>
      <c r="BT184" s="81" t="str">
        <f aca="false">IF($BG184&gt;$BF$7,"",VLOOKUP($BG184,$BI$8:$BO$507,5,FALSE()))</f>
        <v/>
      </c>
      <c r="BU184" s="82" t="str">
        <f aca="false">IF($BG184&gt;$BF$7,"",VLOOKUP($BG184,$BI$8:$BO$507,6,FALSE()))</f>
        <v/>
      </c>
      <c r="BV184" s="54"/>
    </row>
    <row r="185" customFormat="false" ht="15.75" hidden="false" customHeight="false" outlineLevel="0" collapsed="false">
      <c r="A185" s="5"/>
      <c r="B185" s="128"/>
      <c r="C185" s="129"/>
      <c r="D185" s="114"/>
      <c r="E185" s="134"/>
      <c r="F185" s="139"/>
      <c r="G185" s="93"/>
      <c r="H185" s="140"/>
      <c r="I185" s="95"/>
      <c r="J185" s="95"/>
      <c r="K185" s="93"/>
      <c r="L185" s="141"/>
      <c r="M185" s="95"/>
      <c r="N185" s="95"/>
      <c r="O185" s="93"/>
      <c r="P185" s="134"/>
      <c r="Q185" s="98"/>
      <c r="R185" s="99" t="str">
        <f aca="false">IF(ISBLANK($C185),"",IF(E185=Constants!$B$2, TRUE(), IF(E185=Constants!$B$3, FALSE(), TRUE())))</f>
        <v/>
      </c>
      <c r="S185" s="99" t="str">
        <f aca="false">IF(ISBLANK($C185),"",IF(F185=Constants!$B$2, TRUE(), IF(F185=Constants!$B$3, FALSE(), TRUE())))</f>
        <v/>
      </c>
      <c r="T185" s="99" t="str">
        <f aca="false">IF(ISBLANK($C185),"",IF(G185=Constants!$B$16,Constants!$B$9,IF(G185=Constants!$B$17,Constants!$B$10,Constants!$B$8)))</f>
        <v/>
      </c>
      <c r="U185" s="99" t="str">
        <f aca="false">IF(ISBLANK($C185),"",IF(H185=Constants!$B$19,Constants!$B$19,Constants!$B$18))</f>
        <v/>
      </c>
      <c r="V185" s="99" t="str">
        <f aca="false">IF(ISBLANK($C185),"",IF(ISNUMBER(I185),IF(I185&gt;=0,I185,""),""))</f>
        <v/>
      </c>
      <c r="W185" s="99" t="str">
        <f aca="false">IF(ISBLANK($C185),"",IF(J185=Constants!$B$2, TRUE(), IF(J185=Constants!$B$3, FALSE(), TRUE())))</f>
        <v/>
      </c>
      <c r="X185" s="99" t="str">
        <f aca="false">IF(ISBLANK($C185),"",IF(K185=Constants!$B$2, TRUE(), IF(K185=Constants!$B$3, FALSE(), TRUE())))</f>
        <v/>
      </c>
      <c r="Y185" s="99" t="str">
        <f aca="false">IF(ISBLANK($C185),"",IF(L185=Constants!$B$19,Constants!$B$19,Constants!$B$18))</f>
        <v/>
      </c>
      <c r="Z185" s="99" t="str">
        <f aca="false">IF(ISBLANK($C185),"",IF(ISNUMBER(M185),IF(M185&gt;=0,M185,""),""))</f>
        <v/>
      </c>
      <c r="AA185" s="99" t="str">
        <f aca="false">IF(ISBLANK($C185),"",IF(N185=Constants!$B$2, TRUE(), IF(N185=Constants!$B$3, FALSE(), TRUE())))</f>
        <v/>
      </c>
      <c r="AB185" s="99" t="str">
        <f aca="false">IF(ISBLANK($C185),"",IF(O185=Constants!$B$2, TRUE(), IF(O185=Constants!$B$3, FALSE(), TRUE())))</f>
        <v/>
      </c>
      <c r="AC185" s="99" t="str">
        <f aca="false">IF(ISBLANK($C185),"",IF(P185=Constants!$B$2, TRUE(), IF(P185=Constants!$B$3, FALSE(), FALSE())))</f>
        <v/>
      </c>
      <c r="AD185" s="99" t="str">
        <f aca="false">IF(ISBLANK($C185),"",AND(V185&lt;&gt;"",IF(U185=Constants!$B$19,S185,R185)))</f>
        <v/>
      </c>
      <c r="AE185" s="99" t="str">
        <f aca="false">IF(ISBLANK($C185),"",AND(Z185&lt;&gt;"",IF(Y185=Constants!$B$19,S185,R185)))</f>
        <v/>
      </c>
      <c r="AF185" s="99" t="str">
        <f aca="false">IF(ISBLANK($C185),"",IF(AC185,Constants!$B$4,IF(COUNTA(E185:O185)=0,Constants!$B$5,IF(AND(NOT(AD185),NOT(AE185)),Constants!$B$6,Constants!$B$7))))</f>
        <v/>
      </c>
      <c r="AG185" s="99" t="str">
        <f aca="false">IF(ISBLANK($C185),"",IF($AF185&lt;&gt;Constants!$B$7,$AF185,Constants!$B$20))</f>
        <v/>
      </c>
      <c r="AH185" s="99" t="str">
        <f aca="false">IF($AF185=Constants!$B$7,IF(AD185,V185,Constants!$B$13),"")</f>
        <v/>
      </c>
      <c r="AI185" s="99" t="str">
        <f aca="false">IF($AF185=Constants!$B$7,IF(AD185,T185*IF(W185, 1, Constants!$B$11)*IF(X185, 1, Constants!$B$12),Constants!$B$13),"")</f>
        <v/>
      </c>
      <c r="AJ185" s="99" t="str">
        <f aca="false">IF($AF185=Constants!$B$7,AH185*AI185,"")</f>
        <v/>
      </c>
      <c r="AK185" s="99" t="str">
        <f aca="false">IF($AF185=Constants!$B$7,IF(AE185,Z185,Constants!$B$13),"")</f>
        <v/>
      </c>
      <c r="AL185" s="99" t="str">
        <f aca="false">IF($AF185=Constants!$B$7,IF(AE185,T185*IF(AA185, 1, Constants!$B$11)*IF(AB185, 1, Constants!$B$12),Constants!$B$13),"")</f>
        <v/>
      </c>
      <c r="AM185" s="99" t="str">
        <f aca="false">IF($AF185=Constants!$B$7,AK185*AL185,"")</f>
        <v/>
      </c>
      <c r="AN185" s="99" t="str">
        <f aca="false">IF($AF185=Constants!$B$7,IF(AM185&gt;AJ185,2,1),"")</f>
        <v/>
      </c>
      <c r="AO185" s="99" t="str">
        <f aca="false">IF($AF185=Constants!$B$7,IF(AN185=1,2,1),"")</f>
        <v/>
      </c>
      <c r="AP185" s="99" t="str">
        <f aca="false">IF(ISBLANK($C185),"",IF($AF185&lt;&gt;Constants!$B$7,$AF185,IF(AN185=1,AJ185,AM185)))</f>
        <v/>
      </c>
      <c r="AQ185" s="99" t="str">
        <f aca="false">IF(ISBLANK($C185),"",IF($AF185=Constants!$B$7,IF(ISNUMBER(AP185),RANK(AP185,$AP$8:$AP$507),Constants!$B$14),$AF185))</f>
        <v/>
      </c>
      <c r="AR185" s="99" t="str">
        <f aca="false">IF(ISBLANK($C185),"",IF($AF185=Constants!$B$7,IF(AO185=1,AJ185,AM185),""))</f>
        <v/>
      </c>
      <c r="AS185" s="99" t="str">
        <f aca="false">IF(ISBLANK($C185),"",IF($AF185=Constants!$B$7,RANK(AR185,$AR$8:$AR$507),$AF185))</f>
        <v/>
      </c>
      <c r="AT185" s="99" t="str">
        <f aca="false">IF(ISBLANK($C185),"",IF($AF185=Constants!$B$7,IF(ISNUMBER(AQ185),COUNTIFS($AQ$8:$AQ$507,"&lt;"&amp;$AQ185)+COUNTIFS($AQ$8:$AQ$507,$AQ185,$AS$8:$AS$507,"&lt;"&amp;$AS185)+1,Constants!$B$14),$AF185))</f>
        <v/>
      </c>
      <c r="AU185" s="99" t="str">
        <f aca="false">IF(ISBLANK($C185),"",IF($AF185=Constants!$B$7,IF(ISNUMBER(AQ185),AQ185-AT185,Constants!$B$14),$AF185))</f>
        <v/>
      </c>
      <c r="AV185" s="100"/>
      <c r="AW185" s="101" t="str">
        <f aca="false">IF(ISBLANK($C185),"",IF($AF185&lt;&gt;Constants!$B$7,"",AN185))</f>
        <v/>
      </c>
      <c r="AX185" s="102" t="str">
        <f aca="false">IF(ISBLANK($C185),"",IF($AF185&lt;&gt;Constants!$B$7,"",IF(AN185=1,AH185,AK185)))</f>
        <v/>
      </c>
      <c r="AY185" s="103" t="str">
        <f aca="false">IF(ISBLANK($C185),"",IF($AF185&lt;&gt;Constants!$B$7,"",IF(AN185=1,AI185,AL185)))</f>
        <v/>
      </c>
      <c r="AZ185" s="104" t="str">
        <f aca="false">IF(ISBLANK($C185),"",IF($AF185&lt;&gt;Constants!$B$7,$AF185,AP185))</f>
        <v/>
      </c>
      <c r="BA185" s="105" t="str">
        <f aca="false">IF(ISBLANK($C185),"",IF($AF185&lt;&gt;Constants!$B$7,$AF185,AG185))</f>
        <v/>
      </c>
      <c r="BB185" s="106" t="str">
        <f aca="false">IF(ISBLANK($C185),"",AU185)</f>
        <v/>
      </c>
      <c r="BC185" s="106" t="str">
        <f aca="false">IF(ISBLANK($C185),"",AT185)</f>
        <v/>
      </c>
      <c r="BD185" s="107" t="str">
        <f aca="false">IF(ISBLANK($C185),"",IFERROR(_xlfn.SWITCH(BC185,Constants!$B$4,COUNTA($C$8:$C$507)+2,Constants!$B$5,COUNTA($C$8:$C$507)+1,Constants!$B$6,COUNTA($C$8:$C$507)),BC185))</f>
        <v/>
      </c>
      <c r="BE185" s="5"/>
      <c r="BF185" s="108" t="n">
        <f aca="false">IF(OR(ISNUMBER(BC185),BC185=Constants!$B$4,BC185=Constants!$B$6,BC185=Constants!$B$5),1,0)</f>
        <v>0</v>
      </c>
      <c r="BG185" s="108" t="n">
        <v>178</v>
      </c>
      <c r="BH185" s="108" t="str">
        <f aca="false">IF(ISBLANK($C185),"",IF(ISNUMBER(BD185),BD185+ROW($B185)/1000,""))</f>
        <v/>
      </c>
      <c r="BI185" s="108" t="str">
        <f aca="false">IF(ISNUMBER(BH185),RANK(BH185,$BH$8:$BH$507,1),"")</f>
        <v/>
      </c>
      <c r="BJ185" s="108" t="str">
        <f aca="false">IF(ISBLANK($C185),"",$B185)</f>
        <v/>
      </c>
      <c r="BK185" s="108" t="str">
        <f aca="false">IF(ISBLANK($C185),"",$C185)</f>
        <v/>
      </c>
      <c r="BL185" s="108" t="str">
        <f aca="false">IF(ISBLANK($C185),"",$D185)</f>
        <v/>
      </c>
      <c r="BM185" s="109" t="str">
        <f aca="false">BA185</f>
        <v/>
      </c>
      <c r="BN185" s="110" t="str">
        <f aca="false">AZ185</f>
        <v/>
      </c>
      <c r="BO185" s="108" t="str">
        <f aca="false">IF(ISBLANK($C185),"",BC185)</f>
        <v/>
      </c>
      <c r="BP185" s="111" t="str">
        <f aca="false">IF($BG185&gt;$BF$7,"",VLOOKUP($BG185,$BI$8:$BO$507,7,FALSE()))</f>
        <v/>
      </c>
      <c r="BQ185" s="112" t="str">
        <f aca="false">IF($BG185&gt;$BF$7,"",VLOOKUP($BG185,$BI$8:$BO$507,2,FALSE()))</f>
        <v/>
      </c>
      <c r="BR185" s="112" t="str">
        <f aca="false">IF($BG185&gt;$BF$7,"",VLOOKUP($BG185,$BI$8:$BO$507,3,FALSE()))</f>
        <v/>
      </c>
      <c r="BS185" s="112" t="str">
        <f aca="false">IF($BG185&gt;$BF$7,"",VLOOKUP($BG185,$BI$8:$BO$507,4,FALSE()))</f>
        <v/>
      </c>
      <c r="BT185" s="112" t="str">
        <f aca="false">IF($BG185&gt;$BF$7,"",VLOOKUP($BG185,$BI$8:$BO$507,5,FALSE()))</f>
        <v/>
      </c>
      <c r="BU185" s="113" t="str">
        <f aca="false">IF($BG185&gt;$BF$7,"",VLOOKUP($BG185,$BI$8:$BO$507,6,FALSE()))</f>
        <v/>
      </c>
      <c r="BV185" s="54"/>
    </row>
    <row r="186" customFormat="false" ht="15.75" hidden="false" customHeight="false" outlineLevel="0" collapsed="false">
      <c r="A186" s="5"/>
      <c r="B186" s="128"/>
      <c r="C186" s="129"/>
      <c r="D186" s="114"/>
      <c r="E186" s="134"/>
      <c r="F186" s="139"/>
      <c r="G186" s="93"/>
      <c r="H186" s="140"/>
      <c r="I186" s="95"/>
      <c r="J186" s="95"/>
      <c r="K186" s="93"/>
      <c r="L186" s="141"/>
      <c r="M186" s="95"/>
      <c r="N186" s="95"/>
      <c r="O186" s="93"/>
      <c r="P186" s="134"/>
      <c r="Q186" s="98"/>
      <c r="R186" s="99" t="str">
        <f aca="false">IF(ISBLANK($C186),"",IF(E186=Constants!$B$2, TRUE(), IF(E186=Constants!$B$3, FALSE(), TRUE())))</f>
        <v/>
      </c>
      <c r="S186" s="99" t="str">
        <f aca="false">IF(ISBLANK($C186),"",IF(F186=Constants!$B$2, TRUE(), IF(F186=Constants!$B$3, FALSE(), TRUE())))</f>
        <v/>
      </c>
      <c r="T186" s="99" t="str">
        <f aca="false">IF(ISBLANK($C186),"",IF(G186=Constants!$B$16,Constants!$B$9,IF(G186=Constants!$B$17,Constants!$B$10,Constants!$B$8)))</f>
        <v/>
      </c>
      <c r="U186" s="99" t="str">
        <f aca="false">IF(ISBLANK($C186),"",IF(H186=Constants!$B$19,Constants!$B$19,Constants!$B$18))</f>
        <v/>
      </c>
      <c r="V186" s="99" t="str">
        <f aca="false">IF(ISBLANK($C186),"",IF(ISNUMBER(I186),IF(I186&gt;=0,I186,""),""))</f>
        <v/>
      </c>
      <c r="W186" s="99" t="str">
        <f aca="false">IF(ISBLANK($C186),"",IF(J186=Constants!$B$2, TRUE(), IF(J186=Constants!$B$3, FALSE(), TRUE())))</f>
        <v/>
      </c>
      <c r="X186" s="99" t="str">
        <f aca="false">IF(ISBLANK($C186),"",IF(K186=Constants!$B$2, TRUE(), IF(K186=Constants!$B$3, FALSE(), TRUE())))</f>
        <v/>
      </c>
      <c r="Y186" s="99" t="str">
        <f aca="false">IF(ISBLANK($C186),"",IF(L186=Constants!$B$19,Constants!$B$19,Constants!$B$18))</f>
        <v/>
      </c>
      <c r="Z186" s="99" t="str">
        <f aca="false">IF(ISBLANK($C186),"",IF(ISNUMBER(M186),IF(M186&gt;=0,M186,""),""))</f>
        <v/>
      </c>
      <c r="AA186" s="99" t="str">
        <f aca="false">IF(ISBLANK($C186),"",IF(N186=Constants!$B$2, TRUE(), IF(N186=Constants!$B$3, FALSE(), TRUE())))</f>
        <v/>
      </c>
      <c r="AB186" s="99" t="str">
        <f aca="false">IF(ISBLANK($C186),"",IF(O186=Constants!$B$2, TRUE(), IF(O186=Constants!$B$3, FALSE(), TRUE())))</f>
        <v/>
      </c>
      <c r="AC186" s="99" t="str">
        <f aca="false">IF(ISBLANK($C186),"",IF(P186=Constants!$B$2, TRUE(), IF(P186=Constants!$B$3, FALSE(), FALSE())))</f>
        <v/>
      </c>
      <c r="AD186" s="99" t="str">
        <f aca="false">IF(ISBLANK($C186),"",AND(V186&lt;&gt;"",IF(U186=Constants!$B$19,S186,R186)))</f>
        <v/>
      </c>
      <c r="AE186" s="99" t="str">
        <f aca="false">IF(ISBLANK($C186),"",AND(Z186&lt;&gt;"",IF(Y186=Constants!$B$19,S186,R186)))</f>
        <v/>
      </c>
      <c r="AF186" s="99" t="str">
        <f aca="false">IF(ISBLANK($C186),"",IF(AC186,Constants!$B$4,IF(COUNTA(E186:O186)=0,Constants!$B$5,IF(AND(NOT(AD186),NOT(AE186)),Constants!$B$6,Constants!$B$7))))</f>
        <v/>
      </c>
      <c r="AG186" s="99" t="str">
        <f aca="false">IF(ISBLANK($C186),"",IF($AF186&lt;&gt;Constants!$B$7,$AF186,Constants!$B$20))</f>
        <v/>
      </c>
      <c r="AH186" s="99" t="str">
        <f aca="false">IF($AF186=Constants!$B$7,IF(AD186,V186,Constants!$B$13),"")</f>
        <v/>
      </c>
      <c r="AI186" s="99" t="str">
        <f aca="false">IF($AF186=Constants!$B$7,IF(AD186,T186*IF(W186, 1, Constants!$B$11)*IF(X186, 1, Constants!$B$12),Constants!$B$13),"")</f>
        <v/>
      </c>
      <c r="AJ186" s="99" t="str">
        <f aca="false">IF($AF186=Constants!$B$7,AH186*AI186,"")</f>
        <v/>
      </c>
      <c r="AK186" s="99" t="str">
        <f aca="false">IF($AF186=Constants!$B$7,IF(AE186,Z186,Constants!$B$13),"")</f>
        <v/>
      </c>
      <c r="AL186" s="99" t="str">
        <f aca="false">IF($AF186=Constants!$B$7,IF(AE186,T186*IF(AA186, 1, Constants!$B$11)*IF(AB186, 1, Constants!$B$12),Constants!$B$13),"")</f>
        <v/>
      </c>
      <c r="AM186" s="99" t="str">
        <f aca="false">IF($AF186=Constants!$B$7,AK186*AL186,"")</f>
        <v/>
      </c>
      <c r="AN186" s="99" t="str">
        <f aca="false">IF($AF186=Constants!$B$7,IF(AM186&gt;AJ186,2,1),"")</f>
        <v/>
      </c>
      <c r="AO186" s="99" t="str">
        <f aca="false">IF($AF186=Constants!$B$7,IF(AN186=1,2,1),"")</f>
        <v/>
      </c>
      <c r="AP186" s="99" t="str">
        <f aca="false">IF(ISBLANK($C186),"",IF($AF186&lt;&gt;Constants!$B$7,$AF186,IF(AN186=1,AJ186,AM186)))</f>
        <v/>
      </c>
      <c r="AQ186" s="99" t="str">
        <f aca="false">IF(ISBLANK($C186),"",IF($AF186=Constants!$B$7,IF(ISNUMBER(AP186),RANK(AP186,$AP$8:$AP$507),Constants!$B$14),$AF186))</f>
        <v/>
      </c>
      <c r="AR186" s="99" t="str">
        <f aca="false">IF(ISBLANK($C186),"",IF($AF186=Constants!$B$7,IF(AO186=1,AJ186,AM186),""))</f>
        <v/>
      </c>
      <c r="AS186" s="99" t="str">
        <f aca="false">IF(ISBLANK($C186),"",IF($AF186=Constants!$B$7,RANK(AR186,$AR$8:$AR$507),$AF186))</f>
        <v/>
      </c>
      <c r="AT186" s="99" t="str">
        <f aca="false">IF(ISBLANK($C186),"",IF($AF186=Constants!$B$7,IF(ISNUMBER(AQ186),COUNTIFS($AQ$8:$AQ$507,"&lt;"&amp;$AQ186)+COUNTIFS($AQ$8:$AQ$507,$AQ186,$AS$8:$AS$507,"&lt;"&amp;$AS186)+1,Constants!$B$14),$AF186))</f>
        <v/>
      </c>
      <c r="AU186" s="99" t="str">
        <f aca="false">IF(ISBLANK($C186),"",IF($AF186=Constants!$B$7,IF(ISNUMBER(AQ186),AQ186-AT186,Constants!$B$14),$AF186))</f>
        <v/>
      </c>
      <c r="AV186" s="100"/>
      <c r="AW186" s="101" t="str">
        <f aca="false">IF(ISBLANK($C186),"",IF($AF186&lt;&gt;Constants!$B$7,"",AN186))</f>
        <v/>
      </c>
      <c r="AX186" s="102" t="str">
        <f aca="false">IF(ISBLANK($C186),"",IF($AF186&lt;&gt;Constants!$B$7,"",IF(AN186=1,AH186,AK186)))</f>
        <v/>
      </c>
      <c r="AY186" s="103" t="str">
        <f aca="false">IF(ISBLANK($C186),"",IF($AF186&lt;&gt;Constants!$B$7,"",IF(AN186=1,AI186,AL186)))</f>
        <v/>
      </c>
      <c r="AZ186" s="104" t="str">
        <f aca="false">IF(ISBLANK($C186),"",IF($AF186&lt;&gt;Constants!$B$7,$AF186,AP186))</f>
        <v/>
      </c>
      <c r="BA186" s="105" t="str">
        <f aca="false">IF(ISBLANK($C186),"",IF($AF186&lt;&gt;Constants!$B$7,$AF186,AG186))</f>
        <v/>
      </c>
      <c r="BB186" s="106" t="str">
        <f aca="false">IF(ISBLANK($C186),"",AU186)</f>
        <v/>
      </c>
      <c r="BC186" s="106" t="str">
        <f aca="false">IF(ISBLANK($C186),"",AT186)</f>
        <v/>
      </c>
      <c r="BD186" s="107" t="str">
        <f aca="false">IF(ISBLANK($C186),"",IFERROR(_xlfn.SWITCH(BC186,Constants!$B$4,COUNTA($C$8:$C$507)+2,Constants!$B$5,COUNTA($C$8:$C$507)+1,Constants!$B$6,COUNTA($C$8:$C$507)),BC186))</f>
        <v/>
      </c>
      <c r="BE186" s="5"/>
      <c r="BF186" s="108" t="n">
        <f aca="false">IF(OR(ISNUMBER(BC186),BC186=Constants!$B$4,BC186=Constants!$B$6,BC186=Constants!$B$5),1,0)</f>
        <v>0</v>
      </c>
      <c r="BG186" s="108" t="n">
        <v>179</v>
      </c>
      <c r="BH186" s="108" t="str">
        <f aca="false">IF(ISBLANK($C186),"",IF(ISNUMBER(BD186),BD186+ROW($B186)/1000,""))</f>
        <v/>
      </c>
      <c r="BI186" s="108" t="str">
        <f aca="false">IF(ISNUMBER(BH186),RANK(BH186,$BH$8:$BH$507,1),"")</f>
        <v/>
      </c>
      <c r="BJ186" s="108" t="str">
        <f aca="false">IF(ISBLANK($C186),"",$B186)</f>
        <v/>
      </c>
      <c r="BK186" s="108" t="str">
        <f aca="false">IF(ISBLANK($C186),"",$C186)</f>
        <v/>
      </c>
      <c r="BL186" s="108" t="str">
        <f aca="false">IF(ISBLANK($C186),"",$D186)</f>
        <v/>
      </c>
      <c r="BM186" s="109" t="str">
        <f aca="false">BA186</f>
        <v/>
      </c>
      <c r="BN186" s="110" t="str">
        <f aca="false">AZ186</f>
        <v/>
      </c>
      <c r="BO186" s="108" t="str">
        <f aca="false">IF(ISBLANK($C186),"",BC186)</f>
        <v/>
      </c>
      <c r="BP186" s="111" t="str">
        <f aca="false">IF($BG186&gt;$BF$7,"",VLOOKUP($BG186,$BI$8:$BO$507,7,FALSE()))</f>
        <v/>
      </c>
      <c r="BQ186" s="112" t="str">
        <f aca="false">IF($BG186&gt;$BF$7,"",VLOOKUP($BG186,$BI$8:$BO$507,2,FALSE()))</f>
        <v/>
      </c>
      <c r="BR186" s="112" t="str">
        <f aca="false">IF($BG186&gt;$BF$7,"",VLOOKUP($BG186,$BI$8:$BO$507,3,FALSE()))</f>
        <v/>
      </c>
      <c r="BS186" s="112" t="str">
        <f aca="false">IF($BG186&gt;$BF$7,"",VLOOKUP($BG186,$BI$8:$BO$507,4,FALSE()))</f>
        <v/>
      </c>
      <c r="BT186" s="112" t="str">
        <f aca="false">IF($BG186&gt;$BF$7,"",VLOOKUP($BG186,$BI$8:$BO$507,5,FALSE()))</f>
        <v/>
      </c>
      <c r="BU186" s="113" t="str">
        <f aca="false">IF($BG186&gt;$BF$7,"",VLOOKUP($BG186,$BI$8:$BO$507,6,FALSE()))</f>
        <v/>
      </c>
      <c r="BV186" s="54"/>
    </row>
    <row r="187" customFormat="false" ht="15.75" hidden="false" customHeight="false" outlineLevel="0" collapsed="false">
      <c r="A187" s="5"/>
      <c r="B187" s="128"/>
      <c r="C187" s="129"/>
      <c r="D187" s="114"/>
      <c r="E187" s="134"/>
      <c r="F187" s="139"/>
      <c r="G187" s="93"/>
      <c r="H187" s="140"/>
      <c r="I187" s="95"/>
      <c r="J187" s="95"/>
      <c r="K187" s="93"/>
      <c r="L187" s="141"/>
      <c r="M187" s="95"/>
      <c r="N187" s="95"/>
      <c r="O187" s="93"/>
      <c r="P187" s="134"/>
      <c r="Q187" s="98"/>
      <c r="R187" s="99" t="str">
        <f aca="false">IF(ISBLANK($C187),"",IF(E187=Constants!$B$2, TRUE(), IF(E187=Constants!$B$3, FALSE(), TRUE())))</f>
        <v/>
      </c>
      <c r="S187" s="99" t="str">
        <f aca="false">IF(ISBLANK($C187),"",IF(F187=Constants!$B$2, TRUE(), IF(F187=Constants!$B$3, FALSE(), TRUE())))</f>
        <v/>
      </c>
      <c r="T187" s="99" t="str">
        <f aca="false">IF(ISBLANK($C187),"",IF(G187=Constants!$B$16,Constants!$B$9,IF(G187=Constants!$B$17,Constants!$B$10,Constants!$B$8)))</f>
        <v/>
      </c>
      <c r="U187" s="99" t="str">
        <f aca="false">IF(ISBLANK($C187),"",IF(H187=Constants!$B$19,Constants!$B$19,Constants!$B$18))</f>
        <v/>
      </c>
      <c r="V187" s="99" t="str">
        <f aca="false">IF(ISBLANK($C187),"",IF(ISNUMBER(I187),IF(I187&gt;=0,I187,""),""))</f>
        <v/>
      </c>
      <c r="W187" s="99" t="str">
        <f aca="false">IF(ISBLANK($C187),"",IF(J187=Constants!$B$2, TRUE(), IF(J187=Constants!$B$3, FALSE(), TRUE())))</f>
        <v/>
      </c>
      <c r="X187" s="99" t="str">
        <f aca="false">IF(ISBLANK($C187),"",IF(K187=Constants!$B$2, TRUE(), IF(K187=Constants!$B$3, FALSE(), TRUE())))</f>
        <v/>
      </c>
      <c r="Y187" s="99" t="str">
        <f aca="false">IF(ISBLANK($C187),"",IF(L187=Constants!$B$19,Constants!$B$19,Constants!$B$18))</f>
        <v/>
      </c>
      <c r="Z187" s="99" t="str">
        <f aca="false">IF(ISBLANK($C187),"",IF(ISNUMBER(M187),IF(M187&gt;=0,M187,""),""))</f>
        <v/>
      </c>
      <c r="AA187" s="99" t="str">
        <f aca="false">IF(ISBLANK($C187),"",IF(N187=Constants!$B$2, TRUE(), IF(N187=Constants!$B$3, FALSE(), TRUE())))</f>
        <v/>
      </c>
      <c r="AB187" s="99" t="str">
        <f aca="false">IF(ISBLANK($C187),"",IF(O187=Constants!$B$2, TRUE(), IF(O187=Constants!$B$3, FALSE(), TRUE())))</f>
        <v/>
      </c>
      <c r="AC187" s="99" t="str">
        <f aca="false">IF(ISBLANK($C187),"",IF(P187=Constants!$B$2, TRUE(), IF(P187=Constants!$B$3, FALSE(), FALSE())))</f>
        <v/>
      </c>
      <c r="AD187" s="99" t="str">
        <f aca="false">IF(ISBLANK($C187),"",AND(V187&lt;&gt;"",IF(U187=Constants!$B$19,S187,R187)))</f>
        <v/>
      </c>
      <c r="AE187" s="99" t="str">
        <f aca="false">IF(ISBLANK($C187),"",AND(Z187&lt;&gt;"",IF(Y187=Constants!$B$19,S187,R187)))</f>
        <v/>
      </c>
      <c r="AF187" s="99" t="str">
        <f aca="false">IF(ISBLANK($C187),"",IF(AC187,Constants!$B$4,IF(COUNTA(E187:O187)=0,Constants!$B$5,IF(AND(NOT(AD187),NOT(AE187)),Constants!$B$6,Constants!$B$7))))</f>
        <v/>
      </c>
      <c r="AG187" s="99" t="str">
        <f aca="false">IF(ISBLANK($C187),"",IF($AF187&lt;&gt;Constants!$B$7,$AF187,Constants!$B$20))</f>
        <v/>
      </c>
      <c r="AH187" s="99" t="str">
        <f aca="false">IF($AF187=Constants!$B$7,IF(AD187,V187,Constants!$B$13),"")</f>
        <v/>
      </c>
      <c r="AI187" s="99" t="str">
        <f aca="false">IF($AF187=Constants!$B$7,IF(AD187,T187*IF(W187, 1, Constants!$B$11)*IF(X187, 1, Constants!$B$12),Constants!$B$13),"")</f>
        <v/>
      </c>
      <c r="AJ187" s="99" t="str">
        <f aca="false">IF($AF187=Constants!$B$7,AH187*AI187,"")</f>
        <v/>
      </c>
      <c r="AK187" s="99" t="str">
        <f aca="false">IF($AF187=Constants!$B$7,IF(AE187,Z187,Constants!$B$13),"")</f>
        <v/>
      </c>
      <c r="AL187" s="99" t="str">
        <f aca="false">IF($AF187=Constants!$B$7,IF(AE187,T187*IF(AA187, 1, Constants!$B$11)*IF(AB187, 1, Constants!$B$12),Constants!$B$13),"")</f>
        <v/>
      </c>
      <c r="AM187" s="99" t="str">
        <f aca="false">IF($AF187=Constants!$B$7,AK187*AL187,"")</f>
        <v/>
      </c>
      <c r="AN187" s="99" t="str">
        <f aca="false">IF($AF187=Constants!$B$7,IF(AM187&gt;AJ187,2,1),"")</f>
        <v/>
      </c>
      <c r="AO187" s="99" t="str">
        <f aca="false">IF($AF187=Constants!$B$7,IF(AN187=1,2,1),"")</f>
        <v/>
      </c>
      <c r="AP187" s="99" t="str">
        <f aca="false">IF(ISBLANK($C187),"",IF($AF187&lt;&gt;Constants!$B$7,$AF187,IF(AN187=1,AJ187,AM187)))</f>
        <v/>
      </c>
      <c r="AQ187" s="99" t="str">
        <f aca="false">IF(ISBLANK($C187),"",IF($AF187=Constants!$B$7,IF(ISNUMBER(AP187),RANK(AP187,$AP$8:$AP$507),Constants!$B$14),$AF187))</f>
        <v/>
      </c>
      <c r="AR187" s="99" t="str">
        <f aca="false">IF(ISBLANK($C187),"",IF($AF187=Constants!$B$7,IF(AO187=1,AJ187,AM187),""))</f>
        <v/>
      </c>
      <c r="AS187" s="99" t="str">
        <f aca="false">IF(ISBLANK($C187),"",IF($AF187=Constants!$B$7,RANK(AR187,$AR$8:$AR$507),$AF187))</f>
        <v/>
      </c>
      <c r="AT187" s="99" t="str">
        <f aca="false">IF(ISBLANK($C187),"",IF($AF187=Constants!$B$7,IF(ISNUMBER(AQ187),COUNTIFS($AQ$8:$AQ$507,"&lt;"&amp;$AQ187)+COUNTIFS($AQ$8:$AQ$507,$AQ187,$AS$8:$AS$507,"&lt;"&amp;$AS187)+1,Constants!$B$14),$AF187))</f>
        <v/>
      </c>
      <c r="AU187" s="99" t="str">
        <f aca="false">IF(ISBLANK($C187),"",IF($AF187=Constants!$B$7,IF(ISNUMBER(AQ187),AQ187-AT187,Constants!$B$14),$AF187))</f>
        <v/>
      </c>
      <c r="AV187" s="100"/>
      <c r="AW187" s="101" t="str">
        <f aca="false">IF(ISBLANK($C187),"",IF($AF187&lt;&gt;Constants!$B$7,"",AN187))</f>
        <v/>
      </c>
      <c r="AX187" s="102" t="str">
        <f aca="false">IF(ISBLANK($C187),"",IF($AF187&lt;&gt;Constants!$B$7,"",IF(AN187=1,AH187,AK187)))</f>
        <v/>
      </c>
      <c r="AY187" s="103" t="str">
        <f aca="false">IF(ISBLANK($C187),"",IF($AF187&lt;&gt;Constants!$B$7,"",IF(AN187=1,AI187,AL187)))</f>
        <v/>
      </c>
      <c r="AZ187" s="104" t="str">
        <f aca="false">IF(ISBLANK($C187),"",IF($AF187&lt;&gt;Constants!$B$7,$AF187,AP187))</f>
        <v/>
      </c>
      <c r="BA187" s="105" t="str">
        <f aca="false">IF(ISBLANK($C187),"",IF($AF187&lt;&gt;Constants!$B$7,$AF187,AG187))</f>
        <v/>
      </c>
      <c r="BB187" s="106" t="str">
        <f aca="false">IF(ISBLANK($C187),"",AU187)</f>
        <v/>
      </c>
      <c r="BC187" s="106" t="str">
        <f aca="false">IF(ISBLANK($C187),"",AT187)</f>
        <v/>
      </c>
      <c r="BD187" s="107" t="str">
        <f aca="false">IF(ISBLANK($C187),"",IFERROR(_xlfn.SWITCH(BC187,Constants!$B$4,COUNTA($C$8:$C$507)+2,Constants!$B$5,COUNTA($C$8:$C$507)+1,Constants!$B$6,COUNTA($C$8:$C$507)),BC187))</f>
        <v/>
      </c>
      <c r="BE187" s="5"/>
      <c r="BF187" s="108" t="n">
        <f aca="false">IF(OR(ISNUMBER(BC187),BC187=Constants!$B$4,BC187=Constants!$B$6,BC187=Constants!$B$5),1,0)</f>
        <v>0</v>
      </c>
      <c r="BG187" s="108" t="n">
        <v>180</v>
      </c>
      <c r="BH187" s="108" t="str">
        <f aca="false">IF(ISBLANK($C187),"",IF(ISNUMBER(BD187),BD187+ROW($B187)/1000,""))</f>
        <v/>
      </c>
      <c r="BI187" s="108" t="str">
        <f aca="false">IF(ISNUMBER(BH187),RANK(BH187,$BH$8:$BH$507,1),"")</f>
        <v/>
      </c>
      <c r="BJ187" s="108" t="str">
        <f aca="false">IF(ISBLANK($C187),"",$B187)</f>
        <v/>
      </c>
      <c r="BK187" s="108" t="str">
        <f aca="false">IF(ISBLANK($C187),"",$C187)</f>
        <v/>
      </c>
      <c r="BL187" s="108" t="str">
        <f aca="false">IF(ISBLANK($C187),"",$D187)</f>
        <v/>
      </c>
      <c r="BM187" s="109" t="str">
        <f aca="false">BA187</f>
        <v/>
      </c>
      <c r="BN187" s="110" t="str">
        <f aca="false">AZ187</f>
        <v/>
      </c>
      <c r="BO187" s="108" t="str">
        <f aca="false">IF(ISBLANK($C187),"",BC187)</f>
        <v/>
      </c>
      <c r="BP187" s="111" t="str">
        <f aca="false">IF($BG187&gt;$BF$7,"",VLOOKUP($BG187,$BI$8:$BO$507,7,FALSE()))</f>
        <v/>
      </c>
      <c r="BQ187" s="112" t="str">
        <f aca="false">IF($BG187&gt;$BF$7,"",VLOOKUP($BG187,$BI$8:$BO$507,2,FALSE()))</f>
        <v/>
      </c>
      <c r="BR187" s="112" t="str">
        <f aca="false">IF($BG187&gt;$BF$7,"",VLOOKUP($BG187,$BI$8:$BO$507,3,FALSE()))</f>
        <v/>
      </c>
      <c r="BS187" s="112" t="str">
        <f aca="false">IF($BG187&gt;$BF$7,"",VLOOKUP($BG187,$BI$8:$BO$507,4,FALSE()))</f>
        <v/>
      </c>
      <c r="BT187" s="112" t="str">
        <f aca="false">IF($BG187&gt;$BF$7,"",VLOOKUP($BG187,$BI$8:$BO$507,5,FALSE()))</f>
        <v/>
      </c>
      <c r="BU187" s="113" t="str">
        <f aca="false">IF($BG187&gt;$BF$7,"",VLOOKUP($BG187,$BI$8:$BO$507,6,FALSE()))</f>
        <v/>
      </c>
      <c r="BV187" s="54"/>
    </row>
    <row r="188" customFormat="false" ht="15.75" hidden="false" customHeight="false" outlineLevel="0" collapsed="false">
      <c r="A188" s="5"/>
      <c r="B188" s="135"/>
      <c r="C188" s="56"/>
      <c r="D188" s="57"/>
      <c r="E188" s="84"/>
      <c r="F188" s="136"/>
      <c r="G188" s="60"/>
      <c r="H188" s="137"/>
      <c r="I188" s="62"/>
      <c r="J188" s="62"/>
      <c r="K188" s="60"/>
      <c r="L188" s="138"/>
      <c r="M188" s="62"/>
      <c r="N188" s="62"/>
      <c r="O188" s="60"/>
      <c r="P188" s="84"/>
      <c r="Q188" s="65"/>
      <c r="R188" s="67" t="str">
        <f aca="false">IF(ISBLANK($C188),"",IF(E188=Constants!$B$2, TRUE(), IF(E188=Constants!$B$3, FALSE(), TRUE())))</f>
        <v/>
      </c>
      <c r="S188" s="67" t="str">
        <f aca="false">IF(ISBLANK($C188),"",IF(F188=Constants!$B$2, TRUE(), IF(F188=Constants!$B$3, FALSE(), TRUE())))</f>
        <v/>
      </c>
      <c r="T188" s="67" t="str">
        <f aca="false">IF(ISBLANK($C188),"",IF(G188=Constants!$B$16,Constants!$B$9,IF(G188=Constants!$B$17,Constants!$B$10,Constants!$B$8)))</f>
        <v/>
      </c>
      <c r="U188" s="67" t="str">
        <f aca="false">IF(ISBLANK($C188),"",IF(H188=Constants!$B$19,Constants!$B$19,Constants!$B$18))</f>
        <v/>
      </c>
      <c r="V188" s="67" t="str">
        <f aca="false">IF(ISBLANK($C188),"",IF(ISNUMBER(I188),IF(I188&gt;=0,I188,""),""))</f>
        <v/>
      </c>
      <c r="W188" s="67" t="str">
        <f aca="false">IF(ISBLANK($C188),"",IF(J188=Constants!$B$2, TRUE(), IF(J188=Constants!$B$3, FALSE(), TRUE())))</f>
        <v/>
      </c>
      <c r="X188" s="67" t="str">
        <f aca="false">IF(ISBLANK($C188),"",IF(K188=Constants!$B$2, TRUE(), IF(K188=Constants!$B$3, FALSE(), TRUE())))</f>
        <v/>
      </c>
      <c r="Y188" s="67" t="str">
        <f aca="false">IF(ISBLANK($C188),"",IF(L188=Constants!$B$19,Constants!$B$19,Constants!$B$18))</f>
        <v/>
      </c>
      <c r="Z188" s="67" t="str">
        <f aca="false">IF(ISBLANK($C188),"",IF(ISNUMBER(M188),IF(M188&gt;=0,M188,""),""))</f>
        <v/>
      </c>
      <c r="AA188" s="67" t="str">
        <f aca="false">IF(ISBLANK($C188),"",IF(N188=Constants!$B$2, TRUE(), IF(N188=Constants!$B$3, FALSE(), TRUE())))</f>
        <v/>
      </c>
      <c r="AB188" s="67" t="str">
        <f aca="false">IF(ISBLANK($C188),"",IF(O188=Constants!$B$2, TRUE(), IF(O188=Constants!$B$3, FALSE(), TRUE())))</f>
        <v/>
      </c>
      <c r="AC188" s="67" t="str">
        <f aca="false">IF(ISBLANK($C188),"",IF(P188=Constants!$B$2, TRUE(), IF(P188=Constants!$B$3, FALSE(), FALSE())))</f>
        <v/>
      </c>
      <c r="AD188" s="67" t="str">
        <f aca="false">IF(ISBLANK($C188),"",AND(V188&lt;&gt;"",IF(U188=Constants!$B$19,S188,R188)))</f>
        <v/>
      </c>
      <c r="AE188" s="67" t="str">
        <f aca="false">IF(ISBLANK($C188),"",AND(Z188&lt;&gt;"",IF(Y188=Constants!$B$19,S188,R188)))</f>
        <v/>
      </c>
      <c r="AF188" s="67" t="str">
        <f aca="false">IF(ISBLANK($C188),"",IF(AC188,Constants!$B$4,IF(COUNTA(E188:O188)=0,Constants!$B$5,IF(AND(NOT(AD188),NOT(AE188)),Constants!$B$6,Constants!$B$7))))</f>
        <v/>
      </c>
      <c r="AG188" s="67" t="str">
        <f aca="false">IF(ISBLANK($C188),"",IF($AF188&lt;&gt;Constants!$B$7,$AF188,Constants!$B$20))</f>
        <v/>
      </c>
      <c r="AH188" s="67" t="str">
        <f aca="false">IF($AF188=Constants!$B$7,IF(AD188,V188,Constants!$B$13),"")</f>
        <v/>
      </c>
      <c r="AI188" s="67" t="str">
        <f aca="false">IF($AF188=Constants!$B$7,IF(AD188,T188*IF(W188, 1, Constants!$B$11)*IF(X188, 1, Constants!$B$12),Constants!$B$13),"")</f>
        <v/>
      </c>
      <c r="AJ188" s="67" t="str">
        <f aca="false">IF($AF188=Constants!$B$7,AH188*AI188,"")</f>
        <v/>
      </c>
      <c r="AK188" s="67" t="str">
        <f aca="false">IF($AF188=Constants!$B$7,IF(AE188,Z188,Constants!$B$13),"")</f>
        <v/>
      </c>
      <c r="AL188" s="67" t="str">
        <f aca="false">IF($AF188=Constants!$B$7,IF(AE188,T188*IF(AA188, 1, Constants!$B$11)*IF(AB188, 1, Constants!$B$12),Constants!$B$13),"")</f>
        <v/>
      </c>
      <c r="AM188" s="67" t="str">
        <f aca="false">IF($AF188=Constants!$B$7,AK188*AL188,"")</f>
        <v/>
      </c>
      <c r="AN188" s="67" t="str">
        <f aca="false">IF($AF188=Constants!$B$7,IF(AM188&gt;AJ188,2,1),"")</f>
        <v/>
      </c>
      <c r="AO188" s="67" t="str">
        <f aca="false">IF($AF188=Constants!$B$7,IF(AN188=1,2,1),"")</f>
        <v/>
      </c>
      <c r="AP188" s="67" t="str">
        <f aca="false">IF(ISBLANK($C188),"",IF($AF188&lt;&gt;Constants!$B$7,$AF188,IF(AN188=1,AJ188,AM188)))</f>
        <v/>
      </c>
      <c r="AQ188" s="67" t="str">
        <f aca="false">IF(ISBLANK($C188),"",IF($AF188=Constants!$B$7,IF(ISNUMBER(AP188),RANK(AP188,$AP$8:$AP$507),Constants!$B$14),$AF188))</f>
        <v/>
      </c>
      <c r="AR188" s="67" t="str">
        <f aca="false">IF(ISBLANK($C188),"",IF($AF188=Constants!$B$7,IF(AO188=1,AJ188,AM188),""))</f>
        <v/>
      </c>
      <c r="AS188" s="67" t="str">
        <f aca="false">IF(ISBLANK($C188),"",IF($AF188=Constants!$B$7,RANK(AR188,$AR$8:$AR$507),$AF188))</f>
        <v/>
      </c>
      <c r="AT188" s="67" t="str">
        <f aca="false">IF(ISBLANK($C188),"",IF($AF188=Constants!$B$7,IF(ISNUMBER(AQ188),COUNTIFS($AQ$8:$AQ$507,"&lt;"&amp;$AQ188)+COUNTIFS($AQ$8:$AQ$507,$AQ188,$AS$8:$AS$507,"&lt;"&amp;$AS188)+1,Constants!$B$14),$AF188))</f>
        <v/>
      </c>
      <c r="AU188" s="67" t="str">
        <f aca="false">IF(ISBLANK($C188),"",IF($AF188=Constants!$B$7,IF(ISNUMBER(AQ188),AQ188-AT188,Constants!$B$14),$AF188))</f>
        <v/>
      </c>
      <c r="AV188" s="69"/>
      <c r="AW188" s="70" t="str">
        <f aca="false">IF(ISBLANK($C188),"",IF($AF188&lt;&gt;Constants!$B$7,"",AN188))</f>
        <v/>
      </c>
      <c r="AX188" s="85" t="str">
        <f aca="false">IF(ISBLANK($C188),"",IF($AF188&lt;&gt;Constants!$B$7,"",IF(AN188=1,AH188,AK188)))</f>
        <v/>
      </c>
      <c r="AY188" s="72" t="str">
        <f aca="false">IF(ISBLANK($C188),"",IF($AF188&lt;&gt;Constants!$B$7,"",IF(AN188=1,AI188,AL188)))</f>
        <v/>
      </c>
      <c r="AZ188" s="73" t="str">
        <f aca="false">IF(ISBLANK($C188),"",IF($AF188&lt;&gt;Constants!$B$7,$AF188,AP188))</f>
        <v/>
      </c>
      <c r="BA188" s="74" t="str">
        <f aca="false">IF(ISBLANK($C188),"",IF($AF188&lt;&gt;Constants!$B$7,$AF188,AG188))</f>
        <v/>
      </c>
      <c r="BB188" s="75" t="str">
        <f aca="false">IF(ISBLANK($C188),"",AU188)</f>
        <v/>
      </c>
      <c r="BC188" s="75" t="str">
        <f aca="false">IF(ISBLANK($C188),"",AT188)</f>
        <v/>
      </c>
      <c r="BD188" s="76" t="str">
        <f aca="false">IF(ISBLANK($C188),"",IFERROR(_xlfn.SWITCH(BC188,Constants!$B$4,COUNTA($C$8:$C$507)+2,Constants!$B$5,COUNTA($C$8:$C$507)+1,Constants!$B$6,COUNTA($C$8:$C$507)),BC188))</f>
        <v/>
      </c>
      <c r="BE188" s="5"/>
      <c r="BF188" s="77" t="n">
        <f aca="false">IF(OR(ISNUMBER(BC188),BC188=Constants!$B$4,BC188=Constants!$B$6,BC188=Constants!$B$5),1,0)</f>
        <v>0</v>
      </c>
      <c r="BG188" s="77" t="n">
        <v>181</v>
      </c>
      <c r="BH188" s="77" t="str">
        <f aca="false">IF(ISBLANK($C188),"",IF(ISNUMBER(BD188),BD188+ROW($B188)/1000,""))</f>
        <v/>
      </c>
      <c r="BI188" s="77" t="str">
        <f aca="false">IF(ISNUMBER(BH188),RANK(BH188,$BH$8:$BH$507,1),"")</f>
        <v/>
      </c>
      <c r="BJ188" s="77" t="str">
        <f aca="false">IF(ISBLANK($C188),"",$B188)</f>
        <v/>
      </c>
      <c r="BK188" s="77" t="str">
        <f aca="false">IF(ISBLANK($C188),"",$C188)</f>
        <v/>
      </c>
      <c r="BL188" s="77" t="str">
        <f aca="false">IF(ISBLANK($C188),"",$D188)</f>
        <v/>
      </c>
      <c r="BM188" s="78" t="str">
        <f aca="false">BA188</f>
        <v/>
      </c>
      <c r="BN188" s="79" t="str">
        <f aca="false">AZ188</f>
        <v/>
      </c>
      <c r="BO188" s="77" t="str">
        <f aca="false">IF(ISBLANK($C188),"",BC188)</f>
        <v/>
      </c>
      <c r="BP188" s="80" t="str">
        <f aca="false">IF($BG188&gt;$BF$7,"",VLOOKUP($BG188,$BI$8:$BO$507,7,FALSE()))</f>
        <v/>
      </c>
      <c r="BQ188" s="81" t="str">
        <f aca="false">IF($BG188&gt;$BF$7,"",VLOOKUP($BG188,$BI$8:$BO$507,2,FALSE()))</f>
        <v/>
      </c>
      <c r="BR188" s="81" t="str">
        <f aca="false">IF($BG188&gt;$BF$7,"",VLOOKUP($BG188,$BI$8:$BO$507,3,FALSE()))</f>
        <v/>
      </c>
      <c r="BS188" s="81" t="str">
        <f aca="false">IF($BG188&gt;$BF$7,"",VLOOKUP($BG188,$BI$8:$BO$507,4,FALSE()))</f>
        <v/>
      </c>
      <c r="BT188" s="81" t="str">
        <f aca="false">IF($BG188&gt;$BF$7,"",VLOOKUP($BG188,$BI$8:$BO$507,5,FALSE()))</f>
        <v/>
      </c>
      <c r="BU188" s="82" t="str">
        <f aca="false">IF($BG188&gt;$BF$7,"",VLOOKUP($BG188,$BI$8:$BO$507,6,FALSE()))</f>
        <v/>
      </c>
      <c r="BV188" s="54"/>
    </row>
    <row r="189" customFormat="false" ht="15.75" hidden="false" customHeight="false" outlineLevel="0" collapsed="false">
      <c r="A189" s="5"/>
      <c r="B189" s="135"/>
      <c r="C189" s="56"/>
      <c r="D189" s="57"/>
      <c r="E189" s="84"/>
      <c r="F189" s="136"/>
      <c r="G189" s="60"/>
      <c r="H189" s="137"/>
      <c r="I189" s="62"/>
      <c r="J189" s="62"/>
      <c r="K189" s="60"/>
      <c r="L189" s="138"/>
      <c r="M189" s="62"/>
      <c r="N189" s="62"/>
      <c r="O189" s="60"/>
      <c r="P189" s="84"/>
      <c r="Q189" s="65"/>
      <c r="R189" s="67" t="str">
        <f aca="false">IF(ISBLANK($C189),"",IF(E189=Constants!$B$2, TRUE(), IF(E189=Constants!$B$3, FALSE(), TRUE())))</f>
        <v/>
      </c>
      <c r="S189" s="67" t="str">
        <f aca="false">IF(ISBLANK($C189),"",IF(F189=Constants!$B$2, TRUE(), IF(F189=Constants!$B$3, FALSE(), TRUE())))</f>
        <v/>
      </c>
      <c r="T189" s="67" t="str">
        <f aca="false">IF(ISBLANK($C189),"",IF(G189=Constants!$B$16,Constants!$B$9,IF(G189=Constants!$B$17,Constants!$B$10,Constants!$B$8)))</f>
        <v/>
      </c>
      <c r="U189" s="67" t="str">
        <f aca="false">IF(ISBLANK($C189),"",IF(H189=Constants!$B$19,Constants!$B$19,Constants!$B$18))</f>
        <v/>
      </c>
      <c r="V189" s="67" t="str">
        <f aca="false">IF(ISBLANK($C189),"",IF(ISNUMBER(I189),IF(I189&gt;=0,I189,""),""))</f>
        <v/>
      </c>
      <c r="W189" s="67" t="str">
        <f aca="false">IF(ISBLANK($C189),"",IF(J189=Constants!$B$2, TRUE(), IF(J189=Constants!$B$3, FALSE(), TRUE())))</f>
        <v/>
      </c>
      <c r="X189" s="67" t="str">
        <f aca="false">IF(ISBLANK($C189),"",IF(K189=Constants!$B$2, TRUE(), IF(K189=Constants!$B$3, FALSE(), TRUE())))</f>
        <v/>
      </c>
      <c r="Y189" s="67" t="str">
        <f aca="false">IF(ISBLANK($C189),"",IF(L189=Constants!$B$19,Constants!$B$19,Constants!$B$18))</f>
        <v/>
      </c>
      <c r="Z189" s="67" t="str">
        <f aca="false">IF(ISBLANK($C189),"",IF(ISNUMBER(M189),IF(M189&gt;=0,M189,""),""))</f>
        <v/>
      </c>
      <c r="AA189" s="67" t="str">
        <f aca="false">IF(ISBLANK($C189),"",IF(N189=Constants!$B$2, TRUE(), IF(N189=Constants!$B$3, FALSE(), TRUE())))</f>
        <v/>
      </c>
      <c r="AB189" s="67" t="str">
        <f aca="false">IF(ISBLANK($C189),"",IF(O189=Constants!$B$2, TRUE(), IF(O189=Constants!$B$3, FALSE(), TRUE())))</f>
        <v/>
      </c>
      <c r="AC189" s="67" t="str">
        <f aca="false">IF(ISBLANK($C189),"",IF(P189=Constants!$B$2, TRUE(), IF(P189=Constants!$B$3, FALSE(), FALSE())))</f>
        <v/>
      </c>
      <c r="AD189" s="67" t="str">
        <f aca="false">IF(ISBLANK($C189),"",AND(V189&lt;&gt;"",IF(U189=Constants!$B$19,S189,R189)))</f>
        <v/>
      </c>
      <c r="AE189" s="67" t="str">
        <f aca="false">IF(ISBLANK($C189),"",AND(Z189&lt;&gt;"",IF(Y189=Constants!$B$19,S189,R189)))</f>
        <v/>
      </c>
      <c r="AF189" s="67" t="str">
        <f aca="false">IF(ISBLANK($C189),"",IF(AC189,Constants!$B$4,IF(COUNTA(E189:O189)=0,Constants!$B$5,IF(AND(NOT(AD189),NOT(AE189)),Constants!$B$6,Constants!$B$7))))</f>
        <v/>
      </c>
      <c r="AG189" s="67" t="str">
        <f aca="false">IF(ISBLANK($C189),"",IF($AF189&lt;&gt;Constants!$B$7,$AF189,Constants!$B$20))</f>
        <v/>
      </c>
      <c r="AH189" s="67" t="str">
        <f aca="false">IF($AF189=Constants!$B$7,IF(AD189,V189,Constants!$B$13),"")</f>
        <v/>
      </c>
      <c r="AI189" s="67" t="str">
        <f aca="false">IF($AF189=Constants!$B$7,IF(AD189,T189*IF(W189, 1, Constants!$B$11)*IF(X189, 1, Constants!$B$12),Constants!$B$13),"")</f>
        <v/>
      </c>
      <c r="AJ189" s="67" t="str">
        <f aca="false">IF($AF189=Constants!$B$7,AH189*AI189,"")</f>
        <v/>
      </c>
      <c r="AK189" s="67" t="str">
        <f aca="false">IF($AF189=Constants!$B$7,IF(AE189,Z189,Constants!$B$13),"")</f>
        <v/>
      </c>
      <c r="AL189" s="67" t="str">
        <f aca="false">IF($AF189=Constants!$B$7,IF(AE189,T189*IF(AA189, 1, Constants!$B$11)*IF(AB189, 1, Constants!$B$12),Constants!$B$13),"")</f>
        <v/>
      </c>
      <c r="AM189" s="67" t="str">
        <f aca="false">IF($AF189=Constants!$B$7,AK189*AL189,"")</f>
        <v/>
      </c>
      <c r="AN189" s="67" t="str">
        <f aca="false">IF($AF189=Constants!$B$7,IF(AM189&gt;AJ189,2,1),"")</f>
        <v/>
      </c>
      <c r="AO189" s="67" t="str">
        <f aca="false">IF($AF189=Constants!$B$7,IF(AN189=1,2,1),"")</f>
        <v/>
      </c>
      <c r="AP189" s="67" t="str">
        <f aca="false">IF(ISBLANK($C189),"",IF($AF189&lt;&gt;Constants!$B$7,$AF189,IF(AN189=1,AJ189,AM189)))</f>
        <v/>
      </c>
      <c r="AQ189" s="67" t="str">
        <f aca="false">IF(ISBLANK($C189),"",IF($AF189=Constants!$B$7,IF(ISNUMBER(AP189),RANK(AP189,$AP$8:$AP$507),Constants!$B$14),$AF189))</f>
        <v/>
      </c>
      <c r="AR189" s="67" t="str">
        <f aca="false">IF(ISBLANK($C189),"",IF($AF189=Constants!$B$7,IF(AO189=1,AJ189,AM189),""))</f>
        <v/>
      </c>
      <c r="AS189" s="67" t="str">
        <f aca="false">IF(ISBLANK($C189),"",IF($AF189=Constants!$B$7,RANK(AR189,$AR$8:$AR$507),$AF189))</f>
        <v/>
      </c>
      <c r="AT189" s="67" t="str">
        <f aca="false">IF(ISBLANK($C189),"",IF($AF189=Constants!$B$7,IF(ISNUMBER(AQ189),COUNTIFS($AQ$8:$AQ$507,"&lt;"&amp;$AQ189)+COUNTIFS($AQ$8:$AQ$507,$AQ189,$AS$8:$AS$507,"&lt;"&amp;$AS189)+1,Constants!$B$14),$AF189))</f>
        <v/>
      </c>
      <c r="AU189" s="67" t="str">
        <f aca="false">IF(ISBLANK($C189),"",IF($AF189=Constants!$B$7,IF(ISNUMBER(AQ189),AQ189-AT189,Constants!$B$14),$AF189))</f>
        <v/>
      </c>
      <c r="AV189" s="69"/>
      <c r="AW189" s="70" t="str">
        <f aca="false">IF(ISBLANK($C189),"",IF($AF189&lt;&gt;Constants!$B$7,"",AN189))</f>
        <v/>
      </c>
      <c r="AX189" s="85" t="str">
        <f aca="false">IF(ISBLANK($C189),"",IF($AF189&lt;&gt;Constants!$B$7,"",IF(AN189=1,AH189,AK189)))</f>
        <v/>
      </c>
      <c r="AY189" s="72" t="str">
        <f aca="false">IF(ISBLANK($C189),"",IF($AF189&lt;&gt;Constants!$B$7,"",IF(AN189=1,AI189,AL189)))</f>
        <v/>
      </c>
      <c r="AZ189" s="73" t="str">
        <f aca="false">IF(ISBLANK($C189),"",IF($AF189&lt;&gt;Constants!$B$7,$AF189,AP189))</f>
        <v/>
      </c>
      <c r="BA189" s="74" t="str">
        <f aca="false">IF(ISBLANK($C189),"",IF($AF189&lt;&gt;Constants!$B$7,$AF189,AG189))</f>
        <v/>
      </c>
      <c r="BB189" s="75" t="str">
        <f aca="false">IF(ISBLANK($C189),"",AU189)</f>
        <v/>
      </c>
      <c r="BC189" s="75" t="str">
        <f aca="false">IF(ISBLANK($C189),"",AT189)</f>
        <v/>
      </c>
      <c r="BD189" s="76" t="str">
        <f aca="false">IF(ISBLANK($C189),"",IFERROR(_xlfn.SWITCH(BC189,Constants!$B$4,COUNTA($C$8:$C$507)+2,Constants!$B$5,COUNTA($C$8:$C$507)+1,Constants!$B$6,COUNTA($C$8:$C$507)),BC189))</f>
        <v/>
      </c>
      <c r="BE189" s="5"/>
      <c r="BF189" s="77" t="n">
        <f aca="false">IF(OR(ISNUMBER(BC189),BC189=Constants!$B$4,BC189=Constants!$B$6,BC189=Constants!$B$5),1,0)</f>
        <v>0</v>
      </c>
      <c r="BG189" s="77" t="n">
        <v>182</v>
      </c>
      <c r="BH189" s="77" t="str">
        <f aca="false">IF(ISBLANK($C189),"",IF(ISNUMBER(BD189),BD189+ROW($B189)/1000,""))</f>
        <v/>
      </c>
      <c r="BI189" s="77" t="str">
        <f aca="false">IF(ISNUMBER(BH189),RANK(BH189,$BH$8:$BH$507,1),"")</f>
        <v/>
      </c>
      <c r="BJ189" s="77" t="str">
        <f aca="false">IF(ISBLANK($C189),"",$B189)</f>
        <v/>
      </c>
      <c r="BK189" s="77" t="str">
        <f aca="false">IF(ISBLANK($C189),"",$C189)</f>
        <v/>
      </c>
      <c r="BL189" s="77" t="str">
        <f aca="false">IF(ISBLANK($C189),"",$D189)</f>
        <v/>
      </c>
      <c r="BM189" s="78" t="str">
        <f aca="false">BA189</f>
        <v/>
      </c>
      <c r="BN189" s="79" t="str">
        <f aca="false">AZ189</f>
        <v/>
      </c>
      <c r="BO189" s="77" t="str">
        <f aca="false">IF(ISBLANK($C189),"",BC189)</f>
        <v/>
      </c>
      <c r="BP189" s="80" t="str">
        <f aca="false">IF($BG189&gt;$BF$7,"",VLOOKUP($BG189,$BI$8:$BO$507,7,FALSE()))</f>
        <v/>
      </c>
      <c r="BQ189" s="81" t="str">
        <f aca="false">IF($BG189&gt;$BF$7,"",VLOOKUP($BG189,$BI$8:$BO$507,2,FALSE()))</f>
        <v/>
      </c>
      <c r="BR189" s="81" t="str">
        <f aca="false">IF($BG189&gt;$BF$7,"",VLOOKUP($BG189,$BI$8:$BO$507,3,FALSE()))</f>
        <v/>
      </c>
      <c r="BS189" s="81" t="str">
        <f aca="false">IF($BG189&gt;$BF$7,"",VLOOKUP($BG189,$BI$8:$BO$507,4,FALSE()))</f>
        <v/>
      </c>
      <c r="BT189" s="81" t="str">
        <f aca="false">IF($BG189&gt;$BF$7,"",VLOOKUP($BG189,$BI$8:$BO$507,5,FALSE()))</f>
        <v/>
      </c>
      <c r="BU189" s="82" t="str">
        <f aca="false">IF($BG189&gt;$BF$7,"",VLOOKUP($BG189,$BI$8:$BO$507,6,FALSE()))</f>
        <v/>
      </c>
      <c r="BV189" s="54"/>
    </row>
    <row r="190" customFormat="false" ht="15.75" hidden="false" customHeight="false" outlineLevel="0" collapsed="false">
      <c r="A190" s="5"/>
      <c r="B190" s="135"/>
      <c r="C190" s="56"/>
      <c r="D190" s="57"/>
      <c r="E190" s="84"/>
      <c r="F190" s="136"/>
      <c r="G190" s="60"/>
      <c r="H190" s="137"/>
      <c r="I190" s="62"/>
      <c r="J190" s="62"/>
      <c r="K190" s="60"/>
      <c r="L190" s="138"/>
      <c r="M190" s="62"/>
      <c r="N190" s="62"/>
      <c r="O190" s="60"/>
      <c r="P190" s="84"/>
      <c r="Q190" s="65"/>
      <c r="R190" s="67" t="str">
        <f aca="false">IF(ISBLANK($C190),"",IF(E190=Constants!$B$2, TRUE(), IF(E190=Constants!$B$3, FALSE(), TRUE())))</f>
        <v/>
      </c>
      <c r="S190" s="67" t="str">
        <f aca="false">IF(ISBLANK($C190),"",IF(F190=Constants!$B$2, TRUE(), IF(F190=Constants!$B$3, FALSE(), TRUE())))</f>
        <v/>
      </c>
      <c r="T190" s="67" t="str">
        <f aca="false">IF(ISBLANK($C190),"",IF(G190=Constants!$B$16,Constants!$B$9,IF(G190=Constants!$B$17,Constants!$B$10,Constants!$B$8)))</f>
        <v/>
      </c>
      <c r="U190" s="67" t="str">
        <f aca="false">IF(ISBLANK($C190),"",IF(H190=Constants!$B$19,Constants!$B$19,Constants!$B$18))</f>
        <v/>
      </c>
      <c r="V190" s="67" t="str">
        <f aca="false">IF(ISBLANK($C190),"",IF(ISNUMBER(I190),IF(I190&gt;=0,I190,""),""))</f>
        <v/>
      </c>
      <c r="W190" s="67" t="str">
        <f aca="false">IF(ISBLANK($C190),"",IF(J190=Constants!$B$2, TRUE(), IF(J190=Constants!$B$3, FALSE(), TRUE())))</f>
        <v/>
      </c>
      <c r="X190" s="67" t="str">
        <f aca="false">IF(ISBLANK($C190),"",IF(K190=Constants!$B$2, TRUE(), IF(K190=Constants!$B$3, FALSE(), TRUE())))</f>
        <v/>
      </c>
      <c r="Y190" s="67" t="str">
        <f aca="false">IF(ISBLANK($C190),"",IF(L190=Constants!$B$19,Constants!$B$19,Constants!$B$18))</f>
        <v/>
      </c>
      <c r="Z190" s="67" t="str">
        <f aca="false">IF(ISBLANK($C190),"",IF(ISNUMBER(M190),IF(M190&gt;=0,M190,""),""))</f>
        <v/>
      </c>
      <c r="AA190" s="67" t="str">
        <f aca="false">IF(ISBLANK($C190),"",IF(N190=Constants!$B$2, TRUE(), IF(N190=Constants!$B$3, FALSE(), TRUE())))</f>
        <v/>
      </c>
      <c r="AB190" s="67" t="str">
        <f aca="false">IF(ISBLANK($C190),"",IF(O190=Constants!$B$2, TRUE(), IF(O190=Constants!$B$3, FALSE(), TRUE())))</f>
        <v/>
      </c>
      <c r="AC190" s="67" t="str">
        <f aca="false">IF(ISBLANK($C190),"",IF(P190=Constants!$B$2, TRUE(), IF(P190=Constants!$B$3, FALSE(), FALSE())))</f>
        <v/>
      </c>
      <c r="AD190" s="67" t="str">
        <f aca="false">IF(ISBLANK($C190),"",AND(V190&lt;&gt;"",IF(U190=Constants!$B$19,S190,R190)))</f>
        <v/>
      </c>
      <c r="AE190" s="67" t="str">
        <f aca="false">IF(ISBLANK($C190),"",AND(Z190&lt;&gt;"",IF(Y190=Constants!$B$19,S190,R190)))</f>
        <v/>
      </c>
      <c r="AF190" s="67" t="str">
        <f aca="false">IF(ISBLANK($C190),"",IF(AC190,Constants!$B$4,IF(COUNTA(E190:O190)=0,Constants!$B$5,IF(AND(NOT(AD190),NOT(AE190)),Constants!$B$6,Constants!$B$7))))</f>
        <v/>
      </c>
      <c r="AG190" s="67" t="str">
        <f aca="false">IF(ISBLANK($C190),"",IF($AF190&lt;&gt;Constants!$B$7,$AF190,Constants!$B$20))</f>
        <v/>
      </c>
      <c r="AH190" s="67" t="str">
        <f aca="false">IF($AF190=Constants!$B$7,IF(AD190,V190,Constants!$B$13),"")</f>
        <v/>
      </c>
      <c r="AI190" s="67" t="str">
        <f aca="false">IF($AF190=Constants!$B$7,IF(AD190,T190*IF(W190, 1, Constants!$B$11)*IF(X190, 1, Constants!$B$12),Constants!$B$13),"")</f>
        <v/>
      </c>
      <c r="AJ190" s="67" t="str">
        <f aca="false">IF($AF190=Constants!$B$7,AH190*AI190,"")</f>
        <v/>
      </c>
      <c r="AK190" s="67" t="str">
        <f aca="false">IF($AF190=Constants!$B$7,IF(AE190,Z190,Constants!$B$13),"")</f>
        <v/>
      </c>
      <c r="AL190" s="67" t="str">
        <f aca="false">IF($AF190=Constants!$B$7,IF(AE190,T190*IF(AA190, 1, Constants!$B$11)*IF(AB190, 1, Constants!$B$12),Constants!$B$13),"")</f>
        <v/>
      </c>
      <c r="AM190" s="67" t="str">
        <f aca="false">IF($AF190=Constants!$B$7,AK190*AL190,"")</f>
        <v/>
      </c>
      <c r="AN190" s="67" t="str">
        <f aca="false">IF($AF190=Constants!$B$7,IF(AM190&gt;AJ190,2,1),"")</f>
        <v/>
      </c>
      <c r="AO190" s="67" t="str">
        <f aca="false">IF($AF190=Constants!$B$7,IF(AN190=1,2,1),"")</f>
        <v/>
      </c>
      <c r="AP190" s="67" t="str">
        <f aca="false">IF(ISBLANK($C190),"",IF($AF190&lt;&gt;Constants!$B$7,$AF190,IF(AN190=1,AJ190,AM190)))</f>
        <v/>
      </c>
      <c r="AQ190" s="67" t="str">
        <f aca="false">IF(ISBLANK($C190),"",IF($AF190=Constants!$B$7,IF(ISNUMBER(AP190),RANK(AP190,$AP$8:$AP$507),Constants!$B$14),$AF190))</f>
        <v/>
      </c>
      <c r="AR190" s="67" t="str">
        <f aca="false">IF(ISBLANK($C190),"",IF($AF190=Constants!$B$7,IF(AO190=1,AJ190,AM190),""))</f>
        <v/>
      </c>
      <c r="AS190" s="67" t="str">
        <f aca="false">IF(ISBLANK($C190),"",IF($AF190=Constants!$B$7,RANK(AR190,$AR$8:$AR$507),$AF190))</f>
        <v/>
      </c>
      <c r="AT190" s="67" t="str">
        <f aca="false">IF(ISBLANK($C190),"",IF($AF190=Constants!$B$7,IF(ISNUMBER(AQ190),COUNTIFS($AQ$8:$AQ$507,"&lt;"&amp;$AQ190)+COUNTIFS($AQ$8:$AQ$507,$AQ190,$AS$8:$AS$507,"&lt;"&amp;$AS190)+1,Constants!$B$14),$AF190))</f>
        <v/>
      </c>
      <c r="AU190" s="67" t="str">
        <f aca="false">IF(ISBLANK($C190),"",IF($AF190=Constants!$B$7,IF(ISNUMBER(AQ190),AQ190-AT190,Constants!$B$14),$AF190))</f>
        <v/>
      </c>
      <c r="AV190" s="69"/>
      <c r="AW190" s="70" t="str">
        <f aca="false">IF(ISBLANK($C190),"",IF($AF190&lt;&gt;Constants!$B$7,"",AN190))</f>
        <v/>
      </c>
      <c r="AX190" s="85" t="str">
        <f aca="false">IF(ISBLANK($C190),"",IF($AF190&lt;&gt;Constants!$B$7,"",IF(AN190=1,AH190,AK190)))</f>
        <v/>
      </c>
      <c r="AY190" s="72" t="str">
        <f aca="false">IF(ISBLANK($C190),"",IF($AF190&lt;&gt;Constants!$B$7,"",IF(AN190=1,AI190,AL190)))</f>
        <v/>
      </c>
      <c r="AZ190" s="73" t="str">
        <f aca="false">IF(ISBLANK($C190),"",IF($AF190&lt;&gt;Constants!$B$7,$AF190,AP190))</f>
        <v/>
      </c>
      <c r="BA190" s="74" t="str">
        <f aca="false">IF(ISBLANK($C190),"",IF($AF190&lt;&gt;Constants!$B$7,$AF190,AG190))</f>
        <v/>
      </c>
      <c r="BB190" s="75" t="str">
        <f aca="false">IF(ISBLANK($C190),"",AU190)</f>
        <v/>
      </c>
      <c r="BC190" s="75" t="str">
        <f aca="false">IF(ISBLANK($C190),"",AT190)</f>
        <v/>
      </c>
      <c r="BD190" s="76" t="str">
        <f aca="false">IF(ISBLANK($C190),"",IFERROR(_xlfn.SWITCH(BC190,Constants!$B$4,COUNTA($C$8:$C$507)+2,Constants!$B$5,COUNTA($C$8:$C$507)+1,Constants!$B$6,COUNTA($C$8:$C$507)),BC190))</f>
        <v/>
      </c>
      <c r="BE190" s="5"/>
      <c r="BF190" s="77" t="n">
        <f aca="false">IF(OR(ISNUMBER(BC190),BC190=Constants!$B$4,BC190=Constants!$B$6,BC190=Constants!$B$5),1,0)</f>
        <v>0</v>
      </c>
      <c r="BG190" s="77" t="n">
        <v>183</v>
      </c>
      <c r="BH190" s="77" t="str">
        <f aca="false">IF(ISBLANK($C190),"",IF(ISNUMBER(BD190),BD190+ROW($B190)/1000,""))</f>
        <v/>
      </c>
      <c r="BI190" s="77" t="str">
        <f aca="false">IF(ISNUMBER(BH190),RANK(BH190,$BH$8:$BH$507,1),"")</f>
        <v/>
      </c>
      <c r="BJ190" s="77" t="str">
        <f aca="false">IF(ISBLANK($C190),"",$B190)</f>
        <v/>
      </c>
      <c r="BK190" s="77" t="str">
        <f aca="false">IF(ISBLANK($C190),"",$C190)</f>
        <v/>
      </c>
      <c r="BL190" s="77" t="str">
        <f aca="false">IF(ISBLANK($C190),"",$D190)</f>
        <v/>
      </c>
      <c r="BM190" s="78" t="str">
        <f aca="false">BA190</f>
        <v/>
      </c>
      <c r="BN190" s="79" t="str">
        <f aca="false">AZ190</f>
        <v/>
      </c>
      <c r="BO190" s="77" t="str">
        <f aca="false">IF(ISBLANK($C190),"",BC190)</f>
        <v/>
      </c>
      <c r="BP190" s="80" t="str">
        <f aca="false">IF($BG190&gt;$BF$7,"",VLOOKUP($BG190,$BI$8:$BO$507,7,FALSE()))</f>
        <v/>
      </c>
      <c r="BQ190" s="81" t="str">
        <f aca="false">IF($BG190&gt;$BF$7,"",VLOOKUP($BG190,$BI$8:$BO$507,2,FALSE()))</f>
        <v/>
      </c>
      <c r="BR190" s="81" t="str">
        <f aca="false">IF($BG190&gt;$BF$7,"",VLOOKUP($BG190,$BI$8:$BO$507,3,FALSE()))</f>
        <v/>
      </c>
      <c r="BS190" s="81" t="str">
        <f aca="false">IF($BG190&gt;$BF$7,"",VLOOKUP($BG190,$BI$8:$BO$507,4,FALSE()))</f>
        <v/>
      </c>
      <c r="BT190" s="81" t="str">
        <f aca="false">IF($BG190&gt;$BF$7,"",VLOOKUP($BG190,$BI$8:$BO$507,5,FALSE()))</f>
        <v/>
      </c>
      <c r="BU190" s="82" t="str">
        <f aca="false">IF($BG190&gt;$BF$7,"",VLOOKUP($BG190,$BI$8:$BO$507,6,FALSE()))</f>
        <v/>
      </c>
      <c r="BV190" s="54"/>
    </row>
    <row r="191" customFormat="false" ht="15.75" hidden="false" customHeight="false" outlineLevel="0" collapsed="false">
      <c r="A191" s="5"/>
      <c r="B191" s="128"/>
      <c r="C191" s="129"/>
      <c r="D191" s="114"/>
      <c r="E191" s="134"/>
      <c r="F191" s="139"/>
      <c r="G191" s="93"/>
      <c r="H191" s="140"/>
      <c r="I191" s="95"/>
      <c r="J191" s="95"/>
      <c r="K191" s="93"/>
      <c r="L191" s="141"/>
      <c r="M191" s="95"/>
      <c r="N191" s="95"/>
      <c r="O191" s="93"/>
      <c r="P191" s="134"/>
      <c r="Q191" s="98"/>
      <c r="R191" s="99" t="str">
        <f aca="false">IF(ISBLANK($C191),"",IF(E191=Constants!$B$2, TRUE(), IF(E191=Constants!$B$3, FALSE(), TRUE())))</f>
        <v/>
      </c>
      <c r="S191" s="99" t="str">
        <f aca="false">IF(ISBLANK($C191),"",IF(F191=Constants!$B$2, TRUE(), IF(F191=Constants!$B$3, FALSE(), TRUE())))</f>
        <v/>
      </c>
      <c r="T191" s="99" t="str">
        <f aca="false">IF(ISBLANK($C191),"",IF(G191=Constants!$B$16,Constants!$B$9,IF(G191=Constants!$B$17,Constants!$B$10,Constants!$B$8)))</f>
        <v/>
      </c>
      <c r="U191" s="99" t="str">
        <f aca="false">IF(ISBLANK($C191),"",IF(H191=Constants!$B$19,Constants!$B$19,Constants!$B$18))</f>
        <v/>
      </c>
      <c r="V191" s="99" t="str">
        <f aca="false">IF(ISBLANK($C191),"",IF(ISNUMBER(I191),IF(I191&gt;=0,I191,""),""))</f>
        <v/>
      </c>
      <c r="W191" s="99" t="str">
        <f aca="false">IF(ISBLANK($C191),"",IF(J191=Constants!$B$2, TRUE(), IF(J191=Constants!$B$3, FALSE(), TRUE())))</f>
        <v/>
      </c>
      <c r="X191" s="99" t="str">
        <f aca="false">IF(ISBLANK($C191),"",IF(K191=Constants!$B$2, TRUE(), IF(K191=Constants!$B$3, FALSE(), TRUE())))</f>
        <v/>
      </c>
      <c r="Y191" s="99" t="str">
        <f aca="false">IF(ISBLANK($C191),"",IF(L191=Constants!$B$19,Constants!$B$19,Constants!$B$18))</f>
        <v/>
      </c>
      <c r="Z191" s="99" t="str">
        <f aca="false">IF(ISBLANK($C191),"",IF(ISNUMBER(M191),IF(M191&gt;=0,M191,""),""))</f>
        <v/>
      </c>
      <c r="AA191" s="99" t="str">
        <f aca="false">IF(ISBLANK($C191),"",IF(N191=Constants!$B$2, TRUE(), IF(N191=Constants!$B$3, FALSE(), TRUE())))</f>
        <v/>
      </c>
      <c r="AB191" s="99" t="str">
        <f aca="false">IF(ISBLANK($C191),"",IF(O191=Constants!$B$2, TRUE(), IF(O191=Constants!$B$3, FALSE(), TRUE())))</f>
        <v/>
      </c>
      <c r="AC191" s="99" t="str">
        <f aca="false">IF(ISBLANK($C191),"",IF(P191=Constants!$B$2, TRUE(), IF(P191=Constants!$B$3, FALSE(), FALSE())))</f>
        <v/>
      </c>
      <c r="AD191" s="99" t="str">
        <f aca="false">IF(ISBLANK($C191),"",AND(V191&lt;&gt;"",IF(U191=Constants!$B$19,S191,R191)))</f>
        <v/>
      </c>
      <c r="AE191" s="99" t="str">
        <f aca="false">IF(ISBLANK($C191),"",AND(Z191&lt;&gt;"",IF(Y191=Constants!$B$19,S191,R191)))</f>
        <v/>
      </c>
      <c r="AF191" s="99" t="str">
        <f aca="false">IF(ISBLANK($C191),"",IF(AC191,Constants!$B$4,IF(COUNTA(E191:O191)=0,Constants!$B$5,IF(AND(NOT(AD191),NOT(AE191)),Constants!$B$6,Constants!$B$7))))</f>
        <v/>
      </c>
      <c r="AG191" s="99" t="str">
        <f aca="false">IF(ISBLANK($C191),"",IF($AF191&lt;&gt;Constants!$B$7,$AF191,Constants!$B$20))</f>
        <v/>
      </c>
      <c r="AH191" s="99" t="str">
        <f aca="false">IF($AF191=Constants!$B$7,IF(AD191,V191,Constants!$B$13),"")</f>
        <v/>
      </c>
      <c r="AI191" s="99" t="str">
        <f aca="false">IF($AF191=Constants!$B$7,IF(AD191,T191*IF(W191, 1, Constants!$B$11)*IF(X191, 1, Constants!$B$12),Constants!$B$13),"")</f>
        <v/>
      </c>
      <c r="AJ191" s="99" t="str">
        <f aca="false">IF($AF191=Constants!$B$7,AH191*AI191,"")</f>
        <v/>
      </c>
      <c r="AK191" s="99" t="str">
        <f aca="false">IF($AF191=Constants!$B$7,IF(AE191,Z191,Constants!$B$13),"")</f>
        <v/>
      </c>
      <c r="AL191" s="99" t="str">
        <f aca="false">IF($AF191=Constants!$B$7,IF(AE191,T191*IF(AA191, 1, Constants!$B$11)*IF(AB191, 1, Constants!$B$12),Constants!$B$13),"")</f>
        <v/>
      </c>
      <c r="AM191" s="99" t="str">
        <f aca="false">IF($AF191=Constants!$B$7,AK191*AL191,"")</f>
        <v/>
      </c>
      <c r="AN191" s="99" t="str">
        <f aca="false">IF($AF191=Constants!$B$7,IF(AM191&gt;AJ191,2,1),"")</f>
        <v/>
      </c>
      <c r="AO191" s="99" t="str">
        <f aca="false">IF($AF191=Constants!$B$7,IF(AN191=1,2,1),"")</f>
        <v/>
      </c>
      <c r="AP191" s="99" t="str">
        <f aca="false">IF(ISBLANK($C191),"",IF($AF191&lt;&gt;Constants!$B$7,$AF191,IF(AN191=1,AJ191,AM191)))</f>
        <v/>
      </c>
      <c r="AQ191" s="99" t="str">
        <f aca="false">IF(ISBLANK($C191),"",IF($AF191=Constants!$B$7,IF(ISNUMBER(AP191),RANK(AP191,$AP$8:$AP$507),Constants!$B$14),$AF191))</f>
        <v/>
      </c>
      <c r="AR191" s="99" t="str">
        <f aca="false">IF(ISBLANK($C191),"",IF($AF191=Constants!$B$7,IF(AO191=1,AJ191,AM191),""))</f>
        <v/>
      </c>
      <c r="AS191" s="99" t="str">
        <f aca="false">IF(ISBLANK($C191),"",IF($AF191=Constants!$B$7,RANK(AR191,$AR$8:$AR$507),$AF191))</f>
        <v/>
      </c>
      <c r="AT191" s="99" t="str">
        <f aca="false">IF(ISBLANK($C191),"",IF($AF191=Constants!$B$7,IF(ISNUMBER(AQ191),COUNTIFS($AQ$8:$AQ$507,"&lt;"&amp;$AQ191)+COUNTIFS($AQ$8:$AQ$507,$AQ191,$AS$8:$AS$507,"&lt;"&amp;$AS191)+1,Constants!$B$14),$AF191))</f>
        <v/>
      </c>
      <c r="AU191" s="99" t="str">
        <f aca="false">IF(ISBLANK($C191),"",IF($AF191=Constants!$B$7,IF(ISNUMBER(AQ191),AQ191-AT191,Constants!$B$14),$AF191))</f>
        <v/>
      </c>
      <c r="AV191" s="100"/>
      <c r="AW191" s="101" t="str">
        <f aca="false">IF(ISBLANK($C191),"",IF($AF191&lt;&gt;Constants!$B$7,"",AN191))</f>
        <v/>
      </c>
      <c r="AX191" s="102" t="str">
        <f aca="false">IF(ISBLANK($C191),"",IF($AF191&lt;&gt;Constants!$B$7,"",IF(AN191=1,AH191,AK191)))</f>
        <v/>
      </c>
      <c r="AY191" s="103" t="str">
        <f aca="false">IF(ISBLANK($C191),"",IF($AF191&lt;&gt;Constants!$B$7,"",IF(AN191=1,AI191,AL191)))</f>
        <v/>
      </c>
      <c r="AZ191" s="104" t="str">
        <f aca="false">IF(ISBLANK($C191),"",IF($AF191&lt;&gt;Constants!$B$7,$AF191,AP191))</f>
        <v/>
      </c>
      <c r="BA191" s="105" t="str">
        <f aca="false">IF(ISBLANK($C191),"",IF($AF191&lt;&gt;Constants!$B$7,$AF191,AG191))</f>
        <v/>
      </c>
      <c r="BB191" s="106" t="str">
        <f aca="false">IF(ISBLANK($C191),"",AU191)</f>
        <v/>
      </c>
      <c r="BC191" s="106" t="str">
        <f aca="false">IF(ISBLANK($C191),"",AT191)</f>
        <v/>
      </c>
      <c r="BD191" s="107" t="str">
        <f aca="false">IF(ISBLANK($C191),"",IFERROR(_xlfn.SWITCH(BC191,Constants!$B$4,COUNTA($C$8:$C$507)+2,Constants!$B$5,COUNTA($C$8:$C$507)+1,Constants!$B$6,COUNTA($C$8:$C$507)),BC191))</f>
        <v/>
      </c>
      <c r="BE191" s="5"/>
      <c r="BF191" s="108" t="n">
        <f aca="false">IF(OR(ISNUMBER(BC191),BC191=Constants!$B$4,BC191=Constants!$B$6,BC191=Constants!$B$5),1,0)</f>
        <v>0</v>
      </c>
      <c r="BG191" s="108" t="n">
        <v>184</v>
      </c>
      <c r="BH191" s="108" t="str">
        <f aca="false">IF(ISBLANK($C191),"",IF(ISNUMBER(BD191),BD191+ROW($B191)/1000,""))</f>
        <v/>
      </c>
      <c r="BI191" s="108" t="str">
        <f aca="false">IF(ISNUMBER(BH191),RANK(BH191,$BH$8:$BH$507,1),"")</f>
        <v/>
      </c>
      <c r="BJ191" s="108" t="str">
        <f aca="false">IF(ISBLANK($C191),"",$B191)</f>
        <v/>
      </c>
      <c r="BK191" s="108" t="str">
        <f aca="false">IF(ISBLANK($C191),"",$C191)</f>
        <v/>
      </c>
      <c r="BL191" s="108" t="str">
        <f aca="false">IF(ISBLANK($C191),"",$D191)</f>
        <v/>
      </c>
      <c r="BM191" s="109" t="str">
        <f aca="false">BA191</f>
        <v/>
      </c>
      <c r="BN191" s="110" t="str">
        <f aca="false">AZ191</f>
        <v/>
      </c>
      <c r="BO191" s="108" t="str">
        <f aca="false">IF(ISBLANK($C191),"",BC191)</f>
        <v/>
      </c>
      <c r="BP191" s="111" t="str">
        <f aca="false">IF($BG191&gt;$BF$7,"",VLOOKUP($BG191,$BI$8:$BO$507,7,FALSE()))</f>
        <v/>
      </c>
      <c r="BQ191" s="112" t="str">
        <f aca="false">IF($BG191&gt;$BF$7,"",VLOOKUP($BG191,$BI$8:$BO$507,2,FALSE()))</f>
        <v/>
      </c>
      <c r="BR191" s="112" t="str">
        <f aca="false">IF($BG191&gt;$BF$7,"",VLOOKUP($BG191,$BI$8:$BO$507,3,FALSE()))</f>
        <v/>
      </c>
      <c r="BS191" s="112" t="str">
        <f aca="false">IF($BG191&gt;$BF$7,"",VLOOKUP($BG191,$BI$8:$BO$507,4,FALSE()))</f>
        <v/>
      </c>
      <c r="BT191" s="112" t="str">
        <f aca="false">IF($BG191&gt;$BF$7,"",VLOOKUP($BG191,$BI$8:$BO$507,5,FALSE()))</f>
        <v/>
      </c>
      <c r="BU191" s="113" t="str">
        <f aca="false">IF($BG191&gt;$BF$7,"",VLOOKUP($BG191,$BI$8:$BO$507,6,FALSE()))</f>
        <v/>
      </c>
      <c r="BV191" s="54"/>
    </row>
    <row r="192" customFormat="false" ht="15.75" hidden="false" customHeight="false" outlineLevel="0" collapsed="false">
      <c r="A192" s="5"/>
      <c r="B192" s="128"/>
      <c r="C192" s="129"/>
      <c r="D192" s="114"/>
      <c r="E192" s="134"/>
      <c r="F192" s="139"/>
      <c r="G192" s="93"/>
      <c r="H192" s="140"/>
      <c r="I192" s="95"/>
      <c r="J192" s="95"/>
      <c r="K192" s="93"/>
      <c r="L192" s="141"/>
      <c r="M192" s="95"/>
      <c r="N192" s="95"/>
      <c r="O192" s="93"/>
      <c r="P192" s="134"/>
      <c r="Q192" s="98"/>
      <c r="R192" s="99" t="str">
        <f aca="false">IF(ISBLANK($C192),"",IF(E192=Constants!$B$2, TRUE(), IF(E192=Constants!$B$3, FALSE(), TRUE())))</f>
        <v/>
      </c>
      <c r="S192" s="99" t="str">
        <f aca="false">IF(ISBLANK($C192),"",IF(F192=Constants!$B$2, TRUE(), IF(F192=Constants!$B$3, FALSE(), TRUE())))</f>
        <v/>
      </c>
      <c r="T192" s="99" t="str">
        <f aca="false">IF(ISBLANK($C192),"",IF(G192=Constants!$B$16,Constants!$B$9,IF(G192=Constants!$B$17,Constants!$B$10,Constants!$B$8)))</f>
        <v/>
      </c>
      <c r="U192" s="99" t="str">
        <f aca="false">IF(ISBLANK($C192),"",IF(H192=Constants!$B$19,Constants!$B$19,Constants!$B$18))</f>
        <v/>
      </c>
      <c r="V192" s="99" t="str">
        <f aca="false">IF(ISBLANK($C192),"",IF(ISNUMBER(I192),IF(I192&gt;=0,I192,""),""))</f>
        <v/>
      </c>
      <c r="W192" s="99" t="str">
        <f aca="false">IF(ISBLANK($C192),"",IF(J192=Constants!$B$2, TRUE(), IF(J192=Constants!$B$3, FALSE(), TRUE())))</f>
        <v/>
      </c>
      <c r="X192" s="99" t="str">
        <f aca="false">IF(ISBLANK($C192),"",IF(K192=Constants!$B$2, TRUE(), IF(K192=Constants!$B$3, FALSE(), TRUE())))</f>
        <v/>
      </c>
      <c r="Y192" s="99" t="str">
        <f aca="false">IF(ISBLANK($C192),"",IF(L192=Constants!$B$19,Constants!$B$19,Constants!$B$18))</f>
        <v/>
      </c>
      <c r="Z192" s="99" t="str">
        <f aca="false">IF(ISBLANK($C192),"",IF(ISNUMBER(M192),IF(M192&gt;=0,M192,""),""))</f>
        <v/>
      </c>
      <c r="AA192" s="99" t="str">
        <f aca="false">IF(ISBLANK($C192),"",IF(N192=Constants!$B$2, TRUE(), IF(N192=Constants!$B$3, FALSE(), TRUE())))</f>
        <v/>
      </c>
      <c r="AB192" s="99" t="str">
        <f aca="false">IF(ISBLANK($C192),"",IF(O192=Constants!$B$2, TRUE(), IF(O192=Constants!$B$3, FALSE(), TRUE())))</f>
        <v/>
      </c>
      <c r="AC192" s="99" t="str">
        <f aca="false">IF(ISBLANK($C192),"",IF(P192=Constants!$B$2, TRUE(), IF(P192=Constants!$B$3, FALSE(), FALSE())))</f>
        <v/>
      </c>
      <c r="AD192" s="99" t="str">
        <f aca="false">IF(ISBLANK($C192),"",AND(V192&lt;&gt;"",IF(U192=Constants!$B$19,S192,R192)))</f>
        <v/>
      </c>
      <c r="AE192" s="99" t="str">
        <f aca="false">IF(ISBLANK($C192),"",AND(Z192&lt;&gt;"",IF(Y192=Constants!$B$19,S192,R192)))</f>
        <v/>
      </c>
      <c r="AF192" s="99" t="str">
        <f aca="false">IF(ISBLANK($C192),"",IF(AC192,Constants!$B$4,IF(COUNTA(E192:O192)=0,Constants!$B$5,IF(AND(NOT(AD192),NOT(AE192)),Constants!$B$6,Constants!$B$7))))</f>
        <v/>
      </c>
      <c r="AG192" s="99" t="str">
        <f aca="false">IF(ISBLANK($C192),"",IF($AF192&lt;&gt;Constants!$B$7,$AF192,Constants!$B$20))</f>
        <v/>
      </c>
      <c r="AH192" s="99" t="str">
        <f aca="false">IF($AF192=Constants!$B$7,IF(AD192,V192,Constants!$B$13),"")</f>
        <v/>
      </c>
      <c r="AI192" s="99" t="str">
        <f aca="false">IF($AF192=Constants!$B$7,IF(AD192,T192*IF(W192, 1, Constants!$B$11)*IF(X192, 1, Constants!$B$12),Constants!$B$13),"")</f>
        <v/>
      </c>
      <c r="AJ192" s="99" t="str">
        <f aca="false">IF($AF192=Constants!$B$7,AH192*AI192,"")</f>
        <v/>
      </c>
      <c r="AK192" s="99" t="str">
        <f aca="false">IF($AF192=Constants!$B$7,IF(AE192,Z192,Constants!$B$13),"")</f>
        <v/>
      </c>
      <c r="AL192" s="99" t="str">
        <f aca="false">IF($AF192=Constants!$B$7,IF(AE192,T192*IF(AA192, 1, Constants!$B$11)*IF(AB192, 1, Constants!$B$12),Constants!$B$13),"")</f>
        <v/>
      </c>
      <c r="AM192" s="99" t="str">
        <f aca="false">IF($AF192=Constants!$B$7,AK192*AL192,"")</f>
        <v/>
      </c>
      <c r="AN192" s="99" t="str">
        <f aca="false">IF($AF192=Constants!$B$7,IF(AM192&gt;AJ192,2,1),"")</f>
        <v/>
      </c>
      <c r="AO192" s="99" t="str">
        <f aca="false">IF($AF192=Constants!$B$7,IF(AN192=1,2,1),"")</f>
        <v/>
      </c>
      <c r="AP192" s="99" t="str">
        <f aca="false">IF(ISBLANK($C192),"",IF($AF192&lt;&gt;Constants!$B$7,$AF192,IF(AN192=1,AJ192,AM192)))</f>
        <v/>
      </c>
      <c r="AQ192" s="99" t="str">
        <f aca="false">IF(ISBLANK($C192),"",IF($AF192=Constants!$B$7,IF(ISNUMBER(AP192),RANK(AP192,$AP$8:$AP$507),Constants!$B$14),$AF192))</f>
        <v/>
      </c>
      <c r="AR192" s="99" t="str">
        <f aca="false">IF(ISBLANK($C192),"",IF($AF192=Constants!$B$7,IF(AO192=1,AJ192,AM192),""))</f>
        <v/>
      </c>
      <c r="AS192" s="99" t="str">
        <f aca="false">IF(ISBLANK($C192),"",IF($AF192=Constants!$B$7,RANK(AR192,$AR$8:$AR$507),$AF192))</f>
        <v/>
      </c>
      <c r="AT192" s="99" t="str">
        <f aca="false">IF(ISBLANK($C192),"",IF($AF192=Constants!$B$7,IF(ISNUMBER(AQ192),COUNTIFS($AQ$8:$AQ$507,"&lt;"&amp;$AQ192)+COUNTIFS($AQ$8:$AQ$507,$AQ192,$AS$8:$AS$507,"&lt;"&amp;$AS192)+1,Constants!$B$14),$AF192))</f>
        <v/>
      </c>
      <c r="AU192" s="99" t="str">
        <f aca="false">IF(ISBLANK($C192),"",IF($AF192=Constants!$B$7,IF(ISNUMBER(AQ192),AQ192-AT192,Constants!$B$14),$AF192))</f>
        <v/>
      </c>
      <c r="AV192" s="100"/>
      <c r="AW192" s="101" t="str">
        <f aca="false">IF(ISBLANK($C192),"",IF($AF192&lt;&gt;Constants!$B$7,"",AN192))</f>
        <v/>
      </c>
      <c r="AX192" s="102" t="str">
        <f aca="false">IF(ISBLANK($C192),"",IF($AF192&lt;&gt;Constants!$B$7,"",IF(AN192=1,AH192,AK192)))</f>
        <v/>
      </c>
      <c r="AY192" s="103" t="str">
        <f aca="false">IF(ISBLANK($C192),"",IF($AF192&lt;&gt;Constants!$B$7,"",IF(AN192=1,AI192,AL192)))</f>
        <v/>
      </c>
      <c r="AZ192" s="104" t="str">
        <f aca="false">IF(ISBLANK($C192),"",IF($AF192&lt;&gt;Constants!$B$7,$AF192,AP192))</f>
        <v/>
      </c>
      <c r="BA192" s="105" t="str">
        <f aca="false">IF(ISBLANK($C192),"",IF($AF192&lt;&gt;Constants!$B$7,$AF192,AG192))</f>
        <v/>
      </c>
      <c r="BB192" s="106" t="str">
        <f aca="false">IF(ISBLANK($C192),"",AU192)</f>
        <v/>
      </c>
      <c r="BC192" s="106" t="str">
        <f aca="false">IF(ISBLANK($C192),"",AT192)</f>
        <v/>
      </c>
      <c r="BD192" s="107" t="str">
        <f aca="false">IF(ISBLANK($C192),"",IFERROR(_xlfn.SWITCH(BC192,Constants!$B$4,COUNTA($C$8:$C$507)+2,Constants!$B$5,COUNTA($C$8:$C$507)+1,Constants!$B$6,COUNTA($C$8:$C$507)),BC192))</f>
        <v/>
      </c>
      <c r="BE192" s="5"/>
      <c r="BF192" s="108" t="n">
        <f aca="false">IF(OR(ISNUMBER(BC192),BC192=Constants!$B$4,BC192=Constants!$B$6,BC192=Constants!$B$5),1,0)</f>
        <v>0</v>
      </c>
      <c r="BG192" s="108" t="n">
        <v>185</v>
      </c>
      <c r="BH192" s="108" t="str">
        <f aca="false">IF(ISBLANK($C192),"",IF(ISNUMBER(BD192),BD192+ROW($B192)/1000,""))</f>
        <v/>
      </c>
      <c r="BI192" s="108" t="str">
        <f aca="false">IF(ISNUMBER(BH192),RANK(BH192,$BH$8:$BH$507,1),"")</f>
        <v/>
      </c>
      <c r="BJ192" s="108" t="str">
        <f aca="false">IF(ISBLANK($C192),"",$B192)</f>
        <v/>
      </c>
      <c r="BK192" s="108" t="str">
        <f aca="false">IF(ISBLANK($C192),"",$C192)</f>
        <v/>
      </c>
      <c r="BL192" s="108" t="str">
        <f aca="false">IF(ISBLANK($C192),"",$D192)</f>
        <v/>
      </c>
      <c r="BM192" s="109" t="str">
        <f aca="false">BA192</f>
        <v/>
      </c>
      <c r="BN192" s="110" t="str">
        <f aca="false">AZ192</f>
        <v/>
      </c>
      <c r="BO192" s="108" t="str">
        <f aca="false">IF(ISBLANK($C192),"",BC192)</f>
        <v/>
      </c>
      <c r="BP192" s="111" t="str">
        <f aca="false">IF($BG192&gt;$BF$7,"",VLOOKUP($BG192,$BI$8:$BO$507,7,FALSE()))</f>
        <v/>
      </c>
      <c r="BQ192" s="112" t="str">
        <f aca="false">IF($BG192&gt;$BF$7,"",VLOOKUP($BG192,$BI$8:$BO$507,2,FALSE()))</f>
        <v/>
      </c>
      <c r="BR192" s="112" t="str">
        <f aca="false">IF($BG192&gt;$BF$7,"",VLOOKUP($BG192,$BI$8:$BO$507,3,FALSE()))</f>
        <v/>
      </c>
      <c r="BS192" s="112" t="str">
        <f aca="false">IF($BG192&gt;$BF$7,"",VLOOKUP($BG192,$BI$8:$BO$507,4,FALSE()))</f>
        <v/>
      </c>
      <c r="BT192" s="112" t="str">
        <f aca="false">IF($BG192&gt;$BF$7,"",VLOOKUP($BG192,$BI$8:$BO$507,5,FALSE()))</f>
        <v/>
      </c>
      <c r="BU192" s="113" t="str">
        <f aca="false">IF($BG192&gt;$BF$7,"",VLOOKUP($BG192,$BI$8:$BO$507,6,FALSE()))</f>
        <v/>
      </c>
      <c r="BV192" s="54"/>
    </row>
    <row r="193" customFormat="false" ht="15.75" hidden="false" customHeight="false" outlineLevel="0" collapsed="false">
      <c r="A193" s="5"/>
      <c r="B193" s="128"/>
      <c r="C193" s="129"/>
      <c r="D193" s="114"/>
      <c r="E193" s="134"/>
      <c r="F193" s="139"/>
      <c r="G193" s="93"/>
      <c r="H193" s="140"/>
      <c r="I193" s="95"/>
      <c r="J193" s="95"/>
      <c r="K193" s="93"/>
      <c r="L193" s="141"/>
      <c r="M193" s="95"/>
      <c r="N193" s="95"/>
      <c r="O193" s="93"/>
      <c r="P193" s="134"/>
      <c r="Q193" s="98"/>
      <c r="R193" s="99" t="str">
        <f aca="false">IF(ISBLANK($C193),"",IF(E193=Constants!$B$2, TRUE(), IF(E193=Constants!$B$3, FALSE(), TRUE())))</f>
        <v/>
      </c>
      <c r="S193" s="99" t="str">
        <f aca="false">IF(ISBLANK($C193),"",IF(F193=Constants!$B$2, TRUE(), IF(F193=Constants!$B$3, FALSE(), TRUE())))</f>
        <v/>
      </c>
      <c r="T193" s="99" t="str">
        <f aca="false">IF(ISBLANK($C193),"",IF(G193=Constants!$B$16,Constants!$B$9,IF(G193=Constants!$B$17,Constants!$B$10,Constants!$B$8)))</f>
        <v/>
      </c>
      <c r="U193" s="99" t="str">
        <f aca="false">IF(ISBLANK($C193),"",IF(H193=Constants!$B$19,Constants!$B$19,Constants!$B$18))</f>
        <v/>
      </c>
      <c r="V193" s="99" t="str">
        <f aca="false">IF(ISBLANK($C193),"",IF(ISNUMBER(I193),IF(I193&gt;=0,I193,""),""))</f>
        <v/>
      </c>
      <c r="W193" s="99" t="str">
        <f aca="false">IF(ISBLANK($C193),"",IF(J193=Constants!$B$2, TRUE(), IF(J193=Constants!$B$3, FALSE(), TRUE())))</f>
        <v/>
      </c>
      <c r="X193" s="99" t="str">
        <f aca="false">IF(ISBLANK($C193),"",IF(K193=Constants!$B$2, TRUE(), IF(K193=Constants!$B$3, FALSE(), TRUE())))</f>
        <v/>
      </c>
      <c r="Y193" s="99" t="str">
        <f aca="false">IF(ISBLANK($C193),"",IF(L193=Constants!$B$19,Constants!$B$19,Constants!$B$18))</f>
        <v/>
      </c>
      <c r="Z193" s="99" t="str">
        <f aca="false">IF(ISBLANK($C193),"",IF(ISNUMBER(M193),IF(M193&gt;=0,M193,""),""))</f>
        <v/>
      </c>
      <c r="AA193" s="99" t="str">
        <f aca="false">IF(ISBLANK($C193),"",IF(N193=Constants!$B$2, TRUE(), IF(N193=Constants!$B$3, FALSE(), TRUE())))</f>
        <v/>
      </c>
      <c r="AB193" s="99" t="str">
        <f aca="false">IF(ISBLANK($C193),"",IF(O193=Constants!$B$2, TRUE(), IF(O193=Constants!$B$3, FALSE(), TRUE())))</f>
        <v/>
      </c>
      <c r="AC193" s="99" t="str">
        <f aca="false">IF(ISBLANK($C193),"",IF(P193=Constants!$B$2, TRUE(), IF(P193=Constants!$B$3, FALSE(), FALSE())))</f>
        <v/>
      </c>
      <c r="AD193" s="99" t="str">
        <f aca="false">IF(ISBLANK($C193),"",AND(V193&lt;&gt;"",IF(U193=Constants!$B$19,S193,R193)))</f>
        <v/>
      </c>
      <c r="AE193" s="99" t="str">
        <f aca="false">IF(ISBLANK($C193),"",AND(Z193&lt;&gt;"",IF(Y193=Constants!$B$19,S193,R193)))</f>
        <v/>
      </c>
      <c r="AF193" s="99" t="str">
        <f aca="false">IF(ISBLANK($C193),"",IF(AC193,Constants!$B$4,IF(COUNTA(E193:O193)=0,Constants!$B$5,IF(AND(NOT(AD193),NOT(AE193)),Constants!$B$6,Constants!$B$7))))</f>
        <v/>
      </c>
      <c r="AG193" s="99" t="str">
        <f aca="false">IF(ISBLANK($C193),"",IF($AF193&lt;&gt;Constants!$B$7,$AF193,Constants!$B$20))</f>
        <v/>
      </c>
      <c r="AH193" s="99" t="str">
        <f aca="false">IF($AF193=Constants!$B$7,IF(AD193,V193,Constants!$B$13),"")</f>
        <v/>
      </c>
      <c r="AI193" s="99" t="str">
        <f aca="false">IF($AF193=Constants!$B$7,IF(AD193,T193*IF(W193, 1, Constants!$B$11)*IF(X193, 1, Constants!$B$12),Constants!$B$13),"")</f>
        <v/>
      </c>
      <c r="AJ193" s="99" t="str">
        <f aca="false">IF($AF193=Constants!$B$7,AH193*AI193,"")</f>
        <v/>
      </c>
      <c r="AK193" s="99" t="str">
        <f aca="false">IF($AF193=Constants!$B$7,IF(AE193,Z193,Constants!$B$13),"")</f>
        <v/>
      </c>
      <c r="AL193" s="99" t="str">
        <f aca="false">IF($AF193=Constants!$B$7,IF(AE193,T193*IF(AA193, 1, Constants!$B$11)*IF(AB193, 1, Constants!$B$12),Constants!$B$13),"")</f>
        <v/>
      </c>
      <c r="AM193" s="99" t="str">
        <f aca="false">IF($AF193=Constants!$B$7,AK193*AL193,"")</f>
        <v/>
      </c>
      <c r="AN193" s="99" t="str">
        <f aca="false">IF($AF193=Constants!$B$7,IF(AM193&gt;AJ193,2,1),"")</f>
        <v/>
      </c>
      <c r="AO193" s="99" t="str">
        <f aca="false">IF($AF193=Constants!$B$7,IF(AN193=1,2,1),"")</f>
        <v/>
      </c>
      <c r="AP193" s="99" t="str">
        <f aca="false">IF(ISBLANK($C193),"",IF($AF193&lt;&gt;Constants!$B$7,$AF193,IF(AN193=1,AJ193,AM193)))</f>
        <v/>
      </c>
      <c r="AQ193" s="99" t="str">
        <f aca="false">IF(ISBLANK($C193),"",IF($AF193=Constants!$B$7,IF(ISNUMBER(AP193),RANK(AP193,$AP$8:$AP$507),Constants!$B$14),$AF193))</f>
        <v/>
      </c>
      <c r="AR193" s="99" t="str">
        <f aca="false">IF(ISBLANK($C193),"",IF($AF193=Constants!$B$7,IF(AO193=1,AJ193,AM193),""))</f>
        <v/>
      </c>
      <c r="AS193" s="99" t="str">
        <f aca="false">IF(ISBLANK($C193),"",IF($AF193=Constants!$B$7,RANK(AR193,$AR$8:$AR$507),$AF193))</f>
        <v/>
      </c>
      <c r="AT193" s="99" t="str">
        <f aca="false">IF(ISBLANK($C193),"",IF($AF193=Constants!$B$7,IF(ISNUMBER(AQ193),COUNTIFS($AQ$8:$AQ$507,"&lt;"&amp;$AQ193)+COUNTIFS($AQ$8:$AQ$507,$AQ193,$AS$8:$AS$507,"&lt;"&amp;$AS193)+1,Constants!$B$14),$AF193))</f>
        <v/>
      </c>
      <c r="AU193" s="99" t="str">
        <f aca="false">IF(ISBLANK($C193),"",IF($AF193=Constants!$B$7,IF(ISNUMBER(AQ193),AQ193-AT193,Constants!$B$14),$AF193))</f>
        <v/>
      </c>
      <c r="AV193" s="100"/>
      <c r="AW193" s="101" t="str">
        <f aca="false">IF(ISBLANK($C193),"",IF($AF193&lt;&gt;Constants!$B$7,"",AN193))</f>
        <v/>
      </c>
      <c r="AX193" s="102" t="str">
        <f aca="false">IF(ISBLANK($C193),"",IF($AF193&lt;&gt;Constants!$B$7,"",IF(AN193=1,AH193,AK193)))</f>
        <v/>
      </c>
      <c r="AY193" s="103" t="str">
        <f aca="false">IF(ISBLANK($C193),"",IF($AF193&lt;&gt;Constants!$B$7,"",IF(AN193=1,AI193,AL193)))</f>
        <v/>
      </c>
      <c r="AZ193" s="104" t="str">
        <f aca="false">IF(ISBLANK($C193),"",IF($AF193&lt;&gt;Constants!$B$7,$AF193,AP193))</f>
        <v/>
      </c>
      <c r="BA193" s="105" t="str">
        <f aca="false">IF(ISBLANK($C193),"",IF($AF193&lt;&gt;Constants!$B$7,$AF193,AG193))</f>
        <v/>
      </c>
      <c r="BB193" s="106" t="str">
        <f aca="false">IF(ISBLANK($C193),"",AU193)</f>
        <v/>
      </c>
      <c r="BC193" s="106" t="str">
        <f aca="false">IF(ISBLANK($C193),"",AT193)</f>
        <v/>
      </c>
      <c r="BD193" s="107" t="str">
        <f aca="false">IF(ISBLANK($C193),"",IFERROR(_xlfn.SWITCH(BC193,Constants!$B$4,COUNTA($C$8:$C$507)+2,Constants!$B$5,COUNTA($C$8:$C$507)+1,Constants!$B$6,COUNTA($C$8:$C$507)),BC193))</f>
        <v/>
      </c>
      <c r="BE193" s="5"/>
      <c r="BF193" s="108" t="n">
        <f aca="false">IF(OR(ISNUMBER(BC193),BC193=Constants!$B$4,BC193=Constants!$B$6,BC193=Constants!$B$5),1,0)</f>
        <v>0</v>
      </c>
      <c r="BG193" s="108" t="n">
        <v>186</v>
      </c>
      <c r="BH193" s="108" t="str">
        <f aca="false">IF(ISBLANK($C193),"",IF(ISNUMBER(BD193),BD193+ROW($B193)/1000,""))</f>
        <v/>
      </c>
      <c r="BI193" s="108" t="str">
        <f aca="false">IF(ISNUMBER(BH193),RANK(BH193,$BH$8:$BH$507,1),"")</f>
        <v/>
      </c>
      <c r="BJ193" s="108" t="str">
        <f aca="false">IF(ISBLANK($C193),"",$B193)</f>
        <v/>
      </c>
      <c r="BK193" s="108" t="str">
        <f aca="false">IF(ISBLANK($C193),"",$C193)</f>
        <v/>
      </c>
      <c r="BL193" s="108" t="str">
        <f aca="false">IF(ISBLANK($C193),"",$D193)</f>
        <v/>
      </c>
      <c r="BM193" s="109" t="str">
        <f aca="false">BA193</f>
        <v/>
      </c>
      <c r="BN193" s="110" t="str">
        <f aca="false">AZ193</f>
        <v/>
      </c>
      <c r="BO193" s="108" t="str">
        <f aca="false">IF(ISBLANK($C193),"",BC193)</f>
        <v/>
      </c>
      <c r="BP193" s="111" t="str">
        <f aca="false">IF($BG193&gt;$BF$7,"",VLOOKUP($BG193,$BI$8:$BO$507,7,FALSE()))</f>
        <v/>
      </c>
      <c r="BQ193" s="112" t="str">
        <f aca="false">IF($BG193&gt;$BF$7,"",VLOOKUP($BG193,$BI$8:$BO$507,2,FALSE()))</f>
        <v/>
      </c>
      <c r="BR193" s="112" t="str">
        <f aca="false">IF($BG193&gt;$BF$7,"",VLOOKUP($BG193,$BI$8:$BO$507,3,FALSE()))</f>
        <v/>
      </c>
      <c r="BS193" s="112" t="str">
        <f aca="false">IF($BG193&gt;$BF$7,"",VLOOKUP($BG193,$BI$8:$BO$507,4,FALSE()))</f>
        <v/>
      </c>
      <c r="BT193" s="112" t="str">
        <f aca="false">IF($BG193&gt;$BF$7,"",VLOOKUP($BG193,$BI$8:$BO$507,5,FALSE()))</f>
        <v/>
      </c>
      <c r="BU193" s="113" t="str">
        <f aca="false">IF($BG193&gt;$BF$7,"",VLOOKUP($BG193,$BI$8:$BO$507,6,FALSE()))</f>
        <v/>
      </c>
      <c r="BV193" s="54"/>
    </row>
    <row r="194" customFormat="false" ht="15.75" hidden="false" customHeight="false" outlineLevel="0" collapsed="false">
      <c r="A194" s="5"/>
      <c r="B194" s="135"/>
      <c r="C194" s="56"/>
      <c r="D194" s="57"/>
      <c r="E194" s="84"/>
      <c r="F194" s="136"/>
      <c r="G194" s="60"/>
      <c r="H194" s="137"/>
      <c r="I194" s="62"/>
      <c r="J194" s="62"/>
      <c r="K194" s="60"/>
      <c r="L194" s="138"/>
      <c r="M194" s="62"/>
      <c r="N194" s="62"/>
      <c r="O194" s="60"/>
      <c r="P194" s="84"/>
      <c r="Q194" s="65"/>
      <c r="R194" s="67" t="str">
        <f aca="false">IF(ISBLANK($C194),"",IF(E194=Constants!$B$2, TRUE(), IF(E194=Constants!$B$3, FALSE(), TRUE())))</f>
        <v/>
      </c>
      <c r="S194" s="67" t="str">
        <f aca="false">IF(ISBLANK($C194),"",IF(F194=Constants!$B$2, TRUE(), IF(F194=Constants!$B$3, FALSE(), TRUE())))</f>
        <v/>
      </c>
      <c r="T194" s="67" t="str">
        <f aca="false">IF(ISBLANK($C194),"",IF(G194=Constants!$B$16,Constants!$B$9,IF(G194=Constants!$B$17,Constants!$B$10,Constants!$B$8)))</f>
        <v/>
      </c>
      <c r="U194" s="67" t="str">
        <f aca="false">IF(ISBLANK($C194),"",IF(H194=Constants!$B$19,Constants!$B$19,Constants!$B$18))</f>
        <v/>
      </c>
      <c r="V194" s="67" t="str">
        <f aca="false">IF(ISBLANK($C194),"",IF(ISNUMBER(I194),IF(I194&gt;=0,I194,""),""))</f>
        <v/>
      </c>
      <c r="W194" s="67" t="str">
        <f aca="false">IF(ISBLANK($C194),"",IF(J194=Constants!$B$2, TRUE(), IF(J194=Constants!$B$3, FALSE(), TRUE())))</f>
        <v/>
      </c>
      <c r="X194" s="67" t="str">
        <f aca="false">IF(ISBLANK($C194),"",IF(K194=Constants!$B$2, TRUE(), IF(K194=Constants!$B$3, FALSE(), TRUE())))</f>
        <v/>
      </c>
      <c r="Y194" s="67" t="str">
        <f aca="false">IF(ISBLANK($C194),"",IF(L194=Constants!$B$19,Constants!$B$19,Constants!$B$18))</f>
        <v/>
      </c>
      <c r="Z194" s="67" t="str">
        <f aca="false">IF(ISBLANK($C194),"",IF(ISNUMBER(M194),IF(M194&gt;=0,M194,""),""))</f>
        <v/>
      </c>
      <c r="AA194" s="67" t="str">
        <f aca="false">IF(ISBLANK($C194),"",IF(N194=Constants!$B$2, TRUE(), IF(N194=Constants!$B$3, FALSE(), TRUE())))</f>
        <v/>
      </c>
      <c r="AB194" s="67" t="str">
        <f aca="false">IF(ISBLANK($C194),"",IF(O194=Constants!$B$2, TRUE(), IF(O194=Constants!$B$3, FALSE(), TRUE())))</f>
        <v/>
      </c>
      <c r="AC194" s="67" t="str">
        <f aca="false">IF(ISBLANK($C194),"",IF(P194=Constants!$B$2, TRUE(), IF(P194=Constants!$B$3, FALSE(), FALSE())))</f>
        <v/>
      </c>
      <c r="AD194" s="67" t="str">
        <f aca="false">IF(ISBLANK($C194),"",AND(V194&lt;&gt;"",IF(U194=Constants!$B$19,S194,R194)))</f>
        <v/>
      </c>
      <c r="AE194" s="67" t="str">
        <f aca="false">IF(ISBLANK($C194),"",AND(Z194&lt;&gt;"",IF(Y194=Constants!$B$19,S194,R194)))</f>
        <v/>
      </c>
      <c r="AF194" s="67" t="str">
        <f aca="false">IF(ISBLANK($C194),"",IF(AC194,Constants!$B$4,IF(COUNTA(E194:O194)=0,Constants!$B$5,IF(AND(NOT(AD194),NOT(AE194)),Constants!$B$6,Constants!$B$7))))</f>
        <v/>
      </c>
      <c r="AG194" s="67" t="str">
        <f aca="false">IF(ISBLANK($C194),"",IF($AF194&lt;&gt;Constants!$B$7,$AF194,Constants!$B$20))</f>
        <v/>
      </c>
      <c r="AH194" s="67" t="str">
        <f aca="false">IF($AF194=Constants!$B$7,IF(AD194,V194,Constants!$B$13),"")</f>
        <v/>
      </c>
      <c r="AI194" s="67" t="str">
        <f aca="false">IF($AF194=Constants!$B$7,IF(AD194,T194*IF(W194, 1, Constants!$B$11)*IF(X194, 1, Constants!$B$12),Constants!$B$13),"")</f>
        <v/>
      </c>
      <c r="AJ194" s="67" t="str">
        <f aca="false">IF($AF194=Constants!$B$7,AH194*AI194,"")</f>
        <v/>
      </c>
      <c r="AK194" s="67" t="str">
        <f aca="false">IF($AF194=Constants!$B$7,IF(AE194,Z194,Constants!$B$13),"")</f>
        <v/>
      </c>
      <c r="AL194" s="67" t="str">
        <f aca="false">IF($AF194=Constants!$B$7,IF(AE194,T194*IF(AA194, 1, Constants!$B$11)*IF(AB194, 1, Constants!$B$12),Constants!$B$13),"")</f>
        <v/>
      </c>
      <c r="AM194" s="67" t="str">
        <f aca="false">IF($AF194=Constants!$B$7,AK194*AL194,"")</f>
        <v/>
      </c>
      <c r="AN194" s="67" t="str">
        <f aca="false">IF($AF194=Constants!$B$7,IF(AM194&gt;AJ194,2,1),"")</f>
        <v/>
      </c>
      <c r="AO194" s="67" t="str">
        <f aca="false">IF($AF194=Constants!$B$7,IF(AN194=1,2,1),"")</f>
        <v/>
      </c>
      <c r="AP194" s="67" t="str">
        <f aca="false">IF(ISBLANK($C194),"",IF($AF194&lt;&gt;Constants!$B$7,$AF194,IF(AN194=1,AJ194,AM194)))</f>
        <v/>
      </c>
      <c r="AQ194" s="67" t="str">
        <f aca="false">IF(ISBLANK($C194),"",IF($AF194=Constants!$B$7,IF(ISNUMBER(AP194),RANK(AP194,$AP$8:$AP$507),Constants!$B$14),$AF194))</f>
        <v/>
      </c>
      <c r="AR194" s="67" t="str">
        <f aca="false">IF(ISBLANK($C194),"",IF($AF194=Constants!$B$7,IF(AO194=1,AJ194,AM194),""))</f>
        <v/>
      </c>
      <c r="AS194" s="67" t="str">
        <f aca="false">IF(ISBLANK($C194),"",IF($AF194=Constants!$B$7,RANK(AR194,$AR$8:$AR$507),$AF194))</f>
        <v/>
      </c>
      <c r="AT194" s="67" t="str">
        <f aca="false">IF(ISBLANK($C194),"",IF($AF194=Constants!$B$7,IF(ISNUMBER(AQ194),COUNTIFS($AQ$8:$AQ$507,"&lt;"&amp;$AQ194)+COUNTIFS($AQ$8:$AQ$507,$AQ194,$AS$8:$AS$507,"&lt;"&amp;$AS194)+1,Constants!$B$14),$AF194))</f>
        <v/>
      </c>
      <c r="AU194" s="67" t="str">
        <f aca="false">IF(ISBLANK($C194),"",IF($AF194=Constants!$B$7,IF(ISNUMBER(AQ194),AQ194-AT194,Constants!$B$14),$AF194))</f>
        <v/>
      </c>
      <c r="AV194" s="69"/>
      <c r="AW194" s="70" t="str">
        <f aca="false">IF(ISBLANK($C194),"",IF($AF194&lt;&gt;Constants!$B$7,"",AN194))</f>
        <v/>
      </c>
      <c r="AX194" s="85" t="str">
        <f aca="false">IF(ISBLANK($C194),"",IF($AF194&lt;&gt;Constants!$B$7,"",IF(AN194=1,AH194,AK194)))</f>
        <v/>
      </c>
      <c r="AY194" s="72" t="str">
        <f aca="false">IF(ISBLANK($C194),"",IF($AF194&lt;&gt;Constants!$B$7,"",IF(AN194=1,AI194,AL194)))</f>
        <v/>
      </c>
      <c r="AZ194" s="73" t="str">
        <f aca="false">IF(ISBLANK($C194),"",IF($AF194&lt;&gt;Constants!$B$7,$AF194,AP194))</f>
        <v/>
      </c>
      <c r="BA194" s="74" t="str">
        <f aca="false">IF(ISBLANK($C194),"",IF($AF194&lt;&gt;Constants!$B$7,$AF194,AG194))</f>
        <v/>
      </c>
      <c r="BB194" s="75" t="str">
        <f aca="false">IF(ISBLANK($C194),"",AU194)</f>
        <v/>
      </c>
      <c r="BC194" s="75" t="str">
        <f aca="false">IF(ISBLANK($C194),"",AT194)</f>
        <v/>
      </c>
      <c r="BD194" s="76" t="str">
        <f aca="false">IF(ISBLANK($C194),"",IFERROR(_xlfn.SWITCH(BC194,Constants!$B$4,COUNTA($C$8:$C$507)+2,Constants!$B$5,COUNTA($C$8:$C$507)+1,Constants!$B$6,COUNTA($C$8:$C$507)),BC194))</f>
        <v/>
      </c>
      <c r="BE194" s="5"/>
      <c r="BF194" s="77" t="n">
        <f aca="false">IF(OR(ISNUMBER(BC194),BC194=Constants!$B$4,BC194=Constants!$B$6,BC194=Constants!$B$5),1,0)</f>
        <v>0</v>
      </c>
      <c r="BG194" s="77" t="n">
        <v>187</v>
      </c>
      <c r="BH194" s="77" t="str">
        <f aca="false">IF(ISBLANK($C194),"",IF(ISNUMBER(BD194),BD194+ROW($B194)/1000,""))</f>
        <v/>
      </c>
      <c r="BI194" s="77" t="str">
        <f aca="false">IF(ISNUMBER(BH194),RANK(BH194,$BH$8:$BH$507,1),"")</f>
        <v/>
      </c>
      <c r="BJ194" s="77" t="str">
        <f aca="false">IF(ISBLANK($C194),"",$B194)</f>
        <v/>
      </c>
      <c r="BK194" s="77" t="str">
        <f aca="false">IF(ISBLANK($C194),"",$C194)</f>
        <v/>
      </c>
      <c r="BL194" s="77" t="str">
        <f aca="false">IF(ISBLANK($C194),"",$D194)</f>
        <v/>
      </c>
      <c r="BM194" s="78" t="str">
        <f aca="false">BA194</f>
        <v/>
      </c>
      <c r="BN194" s="79" t="str">
        <f aca="false">AZ194</f>
        <v/>
      </c>
      <c r="BO194" s="77" t="str">
        <f aca="false">IF(ISBLANK($C194),"",BC194)</f>
        <v/>
      </c>
      <c r="BP194" s="80" t="str">
        <f aca="false">IF($BG194&gt;$BF$7,"",VLOOKUP($BG194,$BI$8:$BO$507,7,FALSE()))</f>
        <v/>
      </c>
      <c r="BQ194" s="81" t="str">
        <f aca="false">IF($BG194&gt;$BF$7,"",VLOOKUP($BG194,$BI$8:$BO$507,2,FALSE()))</f>
        <v/>
      </c>
      <c r="BR194" s="81" t="str">
        <f aca="false">IF($BG194&gt;$BF$7,"",VLOOKUP($BG194,$BI$8:$BO$507,3,FALSE()))</f>
        <v/>
      </c>
      <c r="BS194" s="81" t="str">
        <f aca="false">IF($BG194&gt;$BF$7,"",VLOOKUP($BG194,$BI$8:$BO$507,4,FALSE()))</f>
        <v/>
      </c>
      <c r="BT194" s="81" t="str">
        <f aca="false">IF($BG194&gt;$BF$7,"",VLOOKUP($BG194,$BI$8:$BO$507,5,FALSE()))</f>
        <v/>
      </c>
      <c r="BU194" s="82" t="str">
        <f aca="false">IF($BG194&gt;$BF$7,"",VLOOKUP($BG194,$BI$8:$BO$507,6,FALSE()))</f>
        <v/>
      </c>
      <c r="BV194" s="54"/>
    </row>
    <row r="195" customFormat="false" ht="15.75" hidden="false" customHeight="false" outlineLevel="0" collapsed="false">
      <c r="A195" s="5"/>
      <c r="B195" s="135"/>
      <c r="C195" s="56"/>
      <c r="D195" s="57"/>
      <c r="E195" s="84"/>
      <c r="F195" s="136"/>
      <c r="G195" s="60"/>
      <c r="H195" s="137"/>
      <c r="I195" s="62"/>
      <c r="J195" s="62"/>
      <c r="K195" s="60"/>
      <c r="L195" s="138"/>
      <c r="M195" s="62"/>
      <c r="N195" s="62"/>
      <c r="O195" s="60"/>
      <c r="P195" s="84"/>
      <c r="Q195" s="65"/>
      <c r="R195" s="67" t="str">
        <f aca="false">IF(ISBLANK($C195),"",IF(E195=Constants!$B$2, TRUE(), IF(E195=Constants!$B$3, FALSE(), TRUE())))</f>
        <v/>
      </c>
      <c r="S195" s="67" t="str">
        <f aca="false">IF(ISBLANK($C195),"",IF(F195=Constants!$B$2, TRUE(), IF(F195=Constants!$B$3, FALSE(), TRUE())))</f>
        <v/>
      </c>
      <c r="T195" s="67" t="str">
        <f aca="false">IF(ISBLANK($C195),"",IF(G195=Constants!$B$16,Constants!$B$9,IF(G195=Constants!$B$17,Constants!$B$10,Constants!$B$8)))</f>
        <v/>
      </c>
      <c r="U195" s="67" t="str">
        <f aca="false">IF(ISBLANK($C195),"",IF(H195=Constants!$B$19,Constants!$B$19,Constants!$B$18))</f>
        <v/>
      </c>
      <c r="V195" s="67" t="str">
        <f aca="false">IF(ISBLANK($C195),"",IF(ISNUMBER(I195),IF(I195&gt;=0,I195,""),""))</f>
        <v/>
      </c>
      <c r="W195" s="67" t="str">
        <f aca="false">IF(ISBLANK($C195),"",IF(J195=Constants!$B$2, TRUE(), IF(J195=Constants!$B$3, FALSE(), TRUE())))</f>
        <v/>
      </c>
      <c r="X195" s="67" t="str">
        <f aca="false">IF(ISBLANK($C195),"",IF(K195=Constants!$B$2, TRUE(), IF(K195=Constants!$B$3, FALSE(), TRUE())))</f>
        <v/>
      </c>
      <c r="Y195" s="67" t="str">
        <f aca="false">IF(ISBLANK($C195),"",IF(L195=Constants!$B$19,Constants!$B$19,Constants!$B$18))</f>
        <v/>
      </c>
      <c r="Z195" s="67" t="str">
        <f aca="false">IF(ISBLANK($C195),"",IF(ISNUMBER(M195),IF(M195&gt;=0,M195,""),""))</f>
        <v/>
      </c>
      <c r="AA195" s="67" t="str">
        <f aca="false">IF(ISBLANK($C195),"",IF(N195=Constants!$B$2, TRUE(), IF(N195=Constants!$B$3, FALSE(), TRUE())))</f>
        <v/>
      </c>
      <c r="AB195" s="67" t="str">
        <f aca="false">IF(ISBLANK($C195),"",IF(O195=Constants!$B$2, TRUE(), IF(O195=Constants!$B$3, FALSE(), TRUE())))</f>
        <v/>
      </c>
      <c r="AC195" s="67" t="str">
        <f aca="false">IF(ISBLANK($C195),"",IF(P195=Constants!$B$2, TRUE(), IF(P195=Constants!$B$3, FALSE(), FALSE())))</f>
        <v/>
      </c>
      <c r="AD195" s="67" t="str">
        <f aca="false">IF(ISBLANK($C195),"",AND(V195&lt;&gt;"",IF(U195=Constants!$B$19,S195,R195)))</f>
        <v/>
      </c>
      <c r="AE195" s="67" t="str">
        <f aca="false">IF(ISBLANK($C195),"",AND(Z195&lt;&gt;"",IF(Y195=Constants!$B$19,S195,R195)))</f>
        <v/>
      </c>
      <c r="AF195" s="67" t="str">
        <f aca="false">IF(ISBLANK($C195),"",IF(AC195,Constants!$B$4,IF(COUNTA(E195:O195)=0,Constants!$B$5,IF(AND(NOT(AD195),NOT(AE195)),Constants!$B$6,Constants!$B$7))))</f>
        <v/>
      </c>
      <c r="AG195" s="67" t="str">
        <f aca="false">IF(ISBLANK($C195),"",IF($AF195&lt;&gt;Constants!$B$7,$AF195,Constants!$B$20))</f>
        <v/>
      </c>
      <c r="AH195" s="67" t="str">
        <f aca="false">IF($AF195=Constants!$B$7,IF(AD195,V195,Constants!$B$13),"")</f>
        <v/>
      </c>
      <c r="AI195" s="67" t="str">
        <f aca="false">IF($AF195=Constants!$B$7,IF(AD195,T195*IF(W195, 1, Constants!$B$11)*IF(X195, 1, Constants!$B$12),Constants!$B$13),"")</f>
        <v/>
      </c>
      <c r="AJ195" s="67" t="str">
        <f aca="false">IF($AF195=Constants!$B$7,AH195*AI195,"")</f>
        <v/>
      </c>
      <c r="AK195" s="67" t="str">
        <f aca="false">IF($AF195=Constants!$B$7,IF(AE195,Z195,Constants!$B$13),"")</f>
        <v/>
      </c>
      <c r="AL195" s="67" t="str">
        <f aca="false">IF($AF195=Constants!$B$7,IF(AE195,T195*IF(AA195, 1, Constants!$B$11)*IF(AB195, 1, Constants!$B$12),Constants!$B$13),"")</f>
        <v/>
      </c>
      <c r="AM195" s="67" t="str">
        <f aca="false">IF($AF195=Constants!$B$7,AK195*AL195,"")</f>
        <v/>
      </c>
      <c r="AN195" s="67" t="str">
        <f aca="false">IF($AF195=Constants!$B$7,IF(AM195&gt;AJ195,2,1),"")</f>
        <v/>
      </c>
      <c r="AO195" s="67" t="str">
        <f aca="false">IF($AF195=Constants!$B$7,IF(AN195=1,2,1),"")</f>
        <v/>
      </c>
      <c r="AP195" s="67" t="str">
        <f aca="false">IF(ISBLANK($C195),"",IF($AF195&lt;&gt;Constants!$B$7,$AF195,IF(AN195=1,AJ195,AM195)))</f>
        <v/>
      </c>
      <c r="AQ195" s="67" t="str">
        <f aca="false">IF(ISBLANK($C195),"",IF($AF195=Constants!$B$7,IF(ISNUMBER(AP195),RANK(AP195,$AP$8:$AP$507),Constants!$B$14),$AF195))</f>
        <v/>
      </c>
      <c r="AR195" s="67" t="str">
        <f aca="false">IF(ISBLANK($C195),"",IF($AF195=Constants!$B$7,IF(AO195=1,AJ195,AM195),""))</f>
        <v/>
      </c>
      <c r="AS195" s="67" t="str">
        <f aca="false">IF(ISBLANK($C195),"",IF($AF195=Constants!$B$7,RANK(AR195,$AR$8:$AR$507),$AF195))</f>
        <v/>
      </c>
      <c r="AT195" s="67" t="str">
        <f aca="false">IF(ISBLANK($C195),"",IF($AF195=Constants!$B$7,IF(ISNUMBER(AQ195),COUNTIFS($AQ$8:$AQ$507,"&lt;"&amp;$AQ195)+COUNTIFS($AQ$8:$AQ$507,$AQ195,$AS$8:$AS$507,"&lt;"&amp;$AS195)+1,Constants!$B$14),$AF195))</f>
        <v/>
      </c>
      <c r="AU195" s="67" t="str">
        <f aca="false">IF(ISBLANK($C195),"",IF($AF195=Constants!$B$7,IF(ISNUMBER(AQ195),AQ195-AT195,Constants!$B$14),$AF195))</f>
        <v/>
      </c>
      <c r="AV195" s="69"/>
      <c r="AW195" s="70" t="str">
        <f aca="false">IF(ISBLANK($C195),"",IF($AF195&lt;&gt;Constants!$B$7,"",AN195))</f>
        <v/>
      </c>
      <c r="AX195" s="85" t="str">
        <f aca="false">IF(ISBLANK($C195),"",IF($AF195&lt;&gt;Constants!$B$7,"",IF(AN195=1,AH195,AK195)))</f>
        <v/>
      </c>
      <c r="AY195" s="72" t="str">
        <f aca="false">IF(ISBLANK($C195),"",IF($AF195&lt;&gt;Constants!$B$7,"",IF(AN195=1,AI195,AL195)))</f>
        <v/>
      </c>
      <c r="AZ195" s="73" t="str">
        <f aca="false">IF(ISBLANK($C195),"",IF($AF195&lt;&gt;Constants!$B$7,$AF195,AP195))</f>
        <v/>
      </c>
      <c r="BA195" s="74" t="str">
        <f aca="false">IF(ISBLANK($C195),"",IF($AF195&lt;&gt;Constants!$B$7,$AF195,AG195))</f>
        <v/>
      </c>
      <c r="BB195" s="75" t="str">
        <f aca="false">IF(ISBLANK($C195),"",AU195)</f>
        <v/>
      </c>
      <c r="BC195" s="75" t="str">
        <f aca="false">IF(ISBLANK($C195),"",AT195)</f>
        <v/>
      </c>
      <c r="BD195" s="76" t="str">
        <f aca="false">IF(ISBLANK($C195),"",IFERROR(_xlfn.SWITCH(BC195,Constants!$B$4,COUNTA($C$8:$C$507)+2,Constants!$B$5,COUNTA($C$8:$C$507)+1,Constants!$B$6,COUNTA($C$8:$C$507)),BC195))</f>
        <v/>
      </c>
      <c r="BE195" s="5"/>
      <c r="BF195" s="77" t="n">
        <f aca="false">IF(OR(ISNUMBER(BC195),BC195=Constants!$B$4,BC195=Constants!$B$6,BC195=Constants!$B$5),1,0)</f>
        <v>0</v>
      </c>
      <c r="BG195" s="77" t="n">
        <v>188</v>
      </c>
      <c r="BH195" s="77" t="str">
        <f aca="false">IF(ISBLANK($C195),"",IF(ISNUMBER(BD195),BD195+ROW($B195)/1000,""))</f>
        <v/>
      </c>
      <c r="BI195" s="77" t="str">
        <f aca="false">IF(ISNUMBER(BH195),RANK(BH195,$BH$8:$BH$507,1),"")</f>
        <v/>
      </c>
      <c r="BJ195" s="77" t="str">
        <f aca="false">IF(ISBLANK($C195),"",$B195)</f>
        <v/>
      </c>
      <c r="BK195" s="77" t="str">
        <f aca="false">IF(ISBLANK($C195),"",$C195)</f>
        <v/>
      </c>
      <c r="BL195" s="77" t="str">
        <f aca="false">IF(ISBLANK($C195),"",$D195)</f>
        <v/>
      </c>
      <c r="BM195" s="78" t="str">
        <f aca="false">BA195</f>
        <v/>
      </c>
      <c r="BN195" s="79" t="str">
        <f aca="false">AZ195</f>
        <v/>
      </c>
      <c r="BO195" s="77" t="str">
        <f aca="false">IF(ISBLANK($C195),"",BC195)</f>
        <v/>
      </c>
      <c r="BP195" s="80" t="str">
        <f aca="false">IF($BG195&gt;$BF$7,"",VLOOKUP($BG195,$BI$8:$BO$507,7,FALSE()))</f>
        <v/>
      </c>
      <c r="BQ195" s="81" t="str">
        <f aca="false">IF($BG195&gt;$BF$7,"",VLOOKUP($BG195,$BI$8:$BO$507,2,FALSE()))</f>
        <v/>
      </c>
      <c r="BR195" s="81" t="str">
        <f aca="false">IF($BG195&gt;$BF$7,"",VLOOKUP($BG195,$BI$8:$BO$507,3,FALSE()))</f>
        <v/>
      </c>
      <c r="BS195" s="81" t="str">
        <f aca="false">IF($BG195&gt;$BF$7,"",VLOOKUP($BG195,$BI$8:$BO$507,4,FALSE()))</f>
        <v/>
      </c>
      <c r="BT195" s="81" t="str">
        <f aca="false">IF($BG195&gt;$BF$7,"",VLOOKUP($BG195,$BI$8:$BO$507,5,FALSE()))</f>
        <v/>
      </c>
      <c r="BU195" s="82" t="str">
        <f aca="false">IF($BG195&gt;$BF$7,"",VLOOKUP($BG195,$BI$8:$BO$507,6,FALSE()))</f>
        <v/>
      </c>
      <c r="BV195" s="54"/>
    </row>
    <row r="196" customFormat="false" ht="15.75" hidden="false" customHeight="false" outlineLevel="0" collapsed="false">
      <c r="A196" s="5"/>
      <c r="B196" s="135"/>
      <c r="C196" s="56"/>
      <c r="D196" s="57"/>
      <c r="E196" s="84"/>
      <c r="F196" s="136"/>
      <c r="G196" s="60"/>
      <c r="H196" s="137"/>
      <c r="I196" s="62"/>
      <c r="J196" s="62"/>
      <c r="K196" s="60"/>
      <c r="L196" s="138"/>
      <c r="M196" s="62"/>
      <c r="N196" s="62"/>
      <c r="O196" s="60"/>
      <c r="P196" s="84"/>
      <c r="Q196" s="65"/>
      <c r="R196" s="67" t="str">
        <f aca="false">IF(ISBLANK($C196),"",IF(E196=Constants!$B$2, TRUE(), IF(E196=Constants!$B$3, FALSE(), TRUE())))</f>
        <v/>
      </c>
      <c r="S196" s="67" t="str">
        <f aca="false">IF(ISBLANK($C196),"",IF(F196=Constants!$B$2, TRUE(), IF(F196=Constants!$B$3, FALSE(), TRUE())))</f>
        <v/>
      </c>
      <c r="T196" s="67" t="str">
        <f aca="false">IF(ISBLANK($C196),"",IF(G196=Constants!$B$16,Constants!$B$9,IF(G196=Constants!$B$17,Constants!$B$10,Constants!$B$8)))</f>
        <v/>
      </c>
      <c r="U196" s="67" t="str">
        <f aca="false">IF(ISBLANK($C196),"",IF(H196=Constants!$B$19,Constants!$B$19,Constants!$B$18))</f>
        <v/>
      </c>
      <c r="V196" s="67" t="str">
        <f aca="false">IF(ISBLANK($C196),"",IF(ISNUMBER(I196),IF(I196&gt;=0,I196,""),""))</f>
        <v/>
      </c>
      <c r="W196" s="67" t="str">
        <f aca="false">IF(ISBLANK($C196),"",IF(J196=Constants!$B$2, TRUE(), IF(J196=Constants!$B$3, FALSE(), TRUE())))</f>
        <v/>
      </c>
      <c r="X196" s="67" t="str">
        <f aca="false">IF(ISBLANK($C196),"",IF(K196=Constants!$B$2, TRUE(), IF(K196=Constants!$B$3, FALSE(), TRUE())))</f>
        <v/>
      </c>
      <c r="Y196" s="67" t="str">
        <f aca="false">IF(ISBLANK($C196),"",IF(L196=Constants!$B$19,Constants!$B$19,Constants!$B$18))</f>
        <v/>
      </c>
      <c r="Z196" s="67" t="str">
        <f aca="false">IF(ISBLANK($C196),"",IF(ISNUMBER(M196),IF(M196&gt;=0,M196,""),""))</f>
        <v/>
      </c>
      <c r="AA196" s="67" t="str">
        <f aca="false">IF(ISBLANK($C196),"",IF(N196=Constants!$B$2, TRUE(), IF(N196=Constants!$B$3, FALSE(), TRUE())))</f>
        <v/>
      </c>
      <c r="AB196" s="67" t="str">
        <f aca="false">IF(ISBLANK($C196),"",IF(O196=Constants!$B$2, TRUE(), IF(O196=Constants!$B$3, FALSE(), TRUE())))</f>
        <v/>
      </c>
      <c r="AC196" s="67" t="str">
        <f aca="false">IF(ISBLANK($C196),"",IF(P196=Constants!$B$2, TRUE(), IF(P196=Constants!$B$3, FALSE(), FALSE())))</f>
        <v/>
      </c>
      <c r="AD196" s="67" t="str">
        <f aca="false">IF(ISBLANK($C196),"",AND(V196&lt;&gt;"",IF(U196=Constants!$B$19,S196,R196)))</f>
        <v/>
      </c>
      <c r="AE196" s="67" t="str">
        <f aca="false">IF(ISBLANK($C196),"",AND(Z196&lt;&gt;"",IF(Y196=Constants!$B$19,S196,R196)))</f>
        <v/>
      </c>
      <c r="AF196" s="67" t="str">
        <f aca="false">IF(ISBLANK($C196),"",IF(AC196,Constants!$B$4,IF(COUNTA(E196:O196)=0,Constants!$B$5,IF(AND(NOT(AD196),NOT(AE196)),Constants!$B$6,Constants!$B$7))))</f>
        <v/>
      </c>
      <c r="AG196" s="67" t="str">
        <f aca="false">IF(ISBLANK($C196),"",IF($AF196&lt;&gt;Constants!$B$7,$AF196,Constants!$B$20))</f>
        <v/>
      </c>
      <c r="AH196" s="67" t="str">
        <f aca="false">IF($AF196=Constants!$B$7,IF(AD196,V196,Constants!$B$13),"")</f>
        <v/>
      </c>
      <c r="AI196" s="67" t="str">
        <f aca="false">IF($AF196=Constants!$B$7,IF(AD196,T196*IF(W196, 1, Constants!$B$11)*IF(X196, 1, Constants!$B$12),Constants!$B$13),"")</f>
        <v/>
      </c>
      <c r="AJ196" s="67" t="str">
        <f aca="false">IF($AF196=Constants!$B$7,AH196*AI196,"")</f>
        <v/>
      </c>
      <c r="AK196" s="67" t="str">
        <f aca="false">IF($AF196=Constants!$B$7,IF(AE196,Z196,Constants!$B$13),"")</f>
        <v/>
      </c>
      <c r="AL196" s="67" t="str">
        <f aca="false">IF($AF196=Constants!$B$7,IF(AE196,T196*IF(AA196, 1, Constants!$B$11)*IF(AB196, 1, Constants!$B$12),Constants!$B$13),"")</f>
        <v/>
      </c>
      <c r="AM196" s="67" t="str">
        <f aca="false">IF($AF196=Constants!$B$7,AK196*AL196,"")</f>
        <v/>
      </c>
      <c r="AN196" s="67" t="str">
        <f aca="false">IF($AF196=Constants!$B$7,IF(AM196&gt;AJ196,2,1),"")</f>
        <v/>
      </c>
      <c r="AO196" s="67" t="str">
        <f aca="false">IF($AF196=Constants!$B$7,IF(AN196=1,2,1),"")</f>
        <v/>
      </c>
      <c r="AP196" s="67" t="str">
        <f aca="false">IF(ISBLANK($C196),"",IF($AF196&lt;&gt;Constants!$B$7,$AF196,IF(AN196=1,AJ196,AM196)))</f>
        <v/>
      </c>
      <c r="AQ196" s="67" t="str">
        <f aca="false">IF(ISBLANK($C196),"",IF($AF196=Constants!$B$7,IF(ISNUMBER(AP196),RANK(AP196,$AP$8:$AP$507),Constants!$B$14),$AF196))</f>
        <v/>
      </c>
      <c r="AR196" s="67" t="str">
        <f aca="false">IF(ISBLANK($C196),"",IF($AF196=Constants!$B$7,IF(AO196=1,AJ196,AM196),""))</f>
        <v/>
      </c>
      <c r="AS196" s="67" t="str">
        <f aca="false">IF(ISBLANK($C196),"",IF($AF196=Constants!$B$7,RANK(AR196,$AR$8:$AR$507),$AF196))</f>
        <v/>
      </c>
      <c r="AT196" s="67" t="str">
        <f aca="false">IF(ISBLANK($C196),"",IF($AF196=Constants!$B$7,IF(ISNUMBER(AQ196),COUNTIFS($AQ$8:$AQ$507,"&lt;"&amp;$AQ196)+COUNTIFS($AQ$8:$AQ$507,$AQ196,$AS$8:$AS$507,"&lt;"&amp;$AS196)+1,Constants!$B$14),$AF196))</f>
        <v/>
      </c>
      <c r="AU196" s="67" t="str">
        <f aca="false">IF(ISBLANK($C196),"",IF($AF196=Constants!$B$7,IF(ISNUMBER(AQ196),AQ196-AT196,Constants!$B$14),$AF196))</f>
        <v/>
      </c>
      <c r="AV196" s="69"/>
      <c r="AW196" s="70" t="str">
        <f aca="false">IF(ISBLANK($C196),"",IF($AF196&lt;&gt;Constants!$B$7,"",AN196))</f>
        <v/>
      </c>
      <c r="AX196" s="85" t="str">
        <f aca="false">IF(ISBLANK($C196),"",IF($AF196&lt;&gt;Constants!$B$7,"",IF(AN196=1,AH196,AK196)))</f>
        <v/>
      </c>
      <c r="AY196" s="72" t="str">
        <f aca="false">IF(ISBLANK($C196),"",IF($AF196&lt;&gt;Constants!$B$7,"",IF(AN196=1,AI196,AL196)))</f>
        <v/>
      </c>
      <c r="AZ196" s="73" t="str">
        <f aca="false">IF(ISBLANK($C196),"",IF($AF196&lt;&gt;Constants!$B$7,$AF196,AP196))</f>
        <v/>
      </c>
      <c r="BA196" s="74" t="str">
        <f aca="false">IF(ISBLANK($C196),"",IF($AF196&lt;&gt;Constants!$B$7,$AF196,AG196))</f>
        <v/>
      </c>
      <c r="BB196" s="75" t="str">
        <f aca="false">IF(ISBLANK($C196),"",AU196)</f>
        <v/>
      </c>
      <c r="BC196" s="75" t="str">
        <f aca="false">IF(ISBLANK($C196),"",AT196)</f>
        <v/>
      </c>
      <c r="BD196" s="76" t="str">
        <f aca="false">IF(ISBLANK($C196),"",IFERROR(_xlfn.SWITCH(BC196,Constants!$B$4,COUNTA($C$8:$C$507)+2,Constants!$B$5,COUNTA($C$8:$C$507)+1,Constants!$B$6,COUNTA($C$8:$C$507)),BC196))</f>
        <v/>
      </c>
      <c r="BE196" s="5"/>
      <c r="BF196" s="77" t="n">
        <f aca="false">IF(OR(ISNUMBER(BC196),BC196=Constants!$B$4,BC196=Constants!$B$6,BC196=Constants!$B$5),1,0)</f>
        <v>0</v>
      </c>
      <c r="BG196" s="77" t="n">
        <v>189</v>
      </c>
      <c r="BH196" s="77" t="str">
        <f aca="false">IF(ISBLANK($C196),"",IF(ISNUMBER(BD196),BD196+ROW($B196)/1000,""))</f>
        <v/>
      </c>
      <c r="BI196" s="77" t="str">
        <f aca="false">IF(ISNUMBER(BH196),RANK(BH196,$BH$8:$BH$507,1),"")</f>
        <v/>
      </c>
      <c r="BJ196" s="77" t="str">
        <f aca="false">IF(ISBLANK($C196),"",$B196)</f>
        <v/>
      </c>
      <c r="BK196" s="77" t="str">
        <f aca="false">IF(ISBLANK($C196),"",$C196)</f>
        <v/>
      </c>
      <c r="BL196" s="77" t="str">
        <f aca="false">IF(ISBLANK($C196),"",$D196)</f>
        <v/>
      </c>
      <c r="BM196" s="78" t="str">
        <f aca="false">BA196</f>
        <v/>
      </c>
      <c r="BN196" s="79" t="str">
        <f aca="false">AZ196</f>
        <v/>
      </c>
      <c r="BO196" s="77" t="str">
        <f aca="false">IF(ISBLANK($C196),"",BC196)</f>
        <v/>
      </c>
      <c r="BP196" s="80" t="str">
        <f aca="false">IF($BG196&gt;$BF$7,"",VLOOKUP($BG196,$BI$8:$BO$507,7,FALSE()))</f>
        <v/>
      </c>
      <c r="BQ196" s="81" t="str">
        <f aca="false">IF($BG196&gt;$BF$7,"",VLOOKUP($BG196,$BI$8:$BO$507,2,FALSE()))</f>
        <v/>
      </c>
      <c r="BR196" s="81" t="str">
        <f aca="false">IF($BG196&gt;$BF$7,"",VLOOKUP($BG196,$BI$8:$BO$507,3,FALSE()))</f>
        <v/>
      </c>
      <c r="BS196" s="81" t="str">
        <f aca="false">IF($BG196&gt;$BF$7,"",VLOOKUP($BG196,$BI$8:$BO$507,4,FALSE()))</f>
        <v/>
      </c>
      <c r="BT196" s="81" t="str">
        <f aca="false">IF($BG196&gt;$BF$7,"",VLOOKUP($BG196,$BI$8:$BO$507,5,FALSE()))</f>
        <v/>
      </c>
      <c r="BU196" s="82" t="str">
        <f aca="false">IF($BG196&gt;$BF$7,"",VLOOKUP($BG196,$BI$8:$BO$507,6,FALSE()))</f>
        <v/>
      </c>
      <c r="BV196" s="54"/>
    </row>
    <row r="197" customFormat="false" ht="15.75" hidden="false" customHeight="false" outlineLevel="0" collapsed="false">
      <c r="A197" s="5"/>
      <c r="B197" s="128"/>
      <c r="C197" s="129"/>
      <c r="D197" s="114"/>
      <c r="E197" s="134"/>
      <c r="F197" s="139"/>
      <c r="G197" s="93"/>
      <c r="H197" s="140"/>
      <c r="I197" s="95"/>
      <c r="J197" s="95"/>
      <c r="K197" s="93"/>
      <c r="L197" s="141"/>
      <c r="M197" s="95"/>
      <c r="N197" s="95"/>
      <c r="O197" s="93"/>
      <c r="P197" s="134"/>
      <c r="Q197" s="98"/>
      <c r="R197" s="99" t="str">
        <f aca="false">IF(ISBLANK($C197),"",IF(E197=Constants!$B$2, TRUE(), IF(E197=Constants!$B$3, FALSE(), TRUE())))</f>
        <v/>
      </c>
      <c r="S197" s="99" t="str">
        <f aca="false">IF(ISBLANK($C197),"",IF(F197=Constants!$B$2, TRUE(), IF(F197=Constants!$B$3, FALSE(), TRUE())))</f>
        <v/>
      </c>
      <c r="T197" s="99" t="str">
        <f aca="false">IF(ISBLANK($C197),"",IF(G197=Constants!$B$16,Constants!$B$9,IF(G197=Constants!$B$17,Constants!$B$10,Constants!$B$8)))</f>
        <v/>
      </c>
      <c r="U197" s="99" t="str">
        <f aca="false">IF(ISBLANK($C197),"",IF(H197=Constants!$B$19,Constants!$B$19,Constants!$B$18))</f>
        <v/>
      </c>
      <c r="V197" s="99" t="str">
        <f aca="false">IF(ISBLANK($C197),"",IF(ISNUMBER(I197),IF(I197&gt;=0,I197,""),""))</f>
        <v/>
      </c>
      <c r="W197" s="99" t="str">
        <f aca="false">IF(ISBLANK($C197),"",IF(J197=Constants!$B$2, TRUE(), IF(J197=Constants!$B$3, FALSE(), TRUE())))</f>
        <v/>
      </c>
      <c r="X197" s="99" t="str">
        <f aca="false">IF(ISBLANK($C197),"",IF(K197=Constants!$B$2, TRUE(), IF(K197=Constants!$B$3, FALSE(), TRUE())))</f>
        <v/>
      </c>
      <c r="Y197" s="99" t="str">
        <f aca="false">IF(ISBLANK($C197),"",IF(L197=Constants!$B$19,Constants!$B$19,Constants!$B$18))</f>
        <v/>
      </c>
      <c r="Z197" s="99" t="str">
        <f aca="false">IF(ISBLANK($C197),"",IF(ISNUMBER(M197),IF(M197&gt;=0,M197,""),""))</f>
        <v/>
      </c>
      <c r="AA197" s="99" t="str">
        <f aca="false">IF(ISBLANK($C197),"",IF(N197=Constants!$B$2, TRUE(), IF(N197=Constants!$B$3, FALSE(), TRUE())))</f>
        <v/>
      </c>
      <c r="AB197" s="99" t="str">
        <f aca="false">IF(ISBLANK($C197),"",IF(O197=Constants!$B$2, TRUE(), IF(O197=Constants!$B$3, FALSE(), TRUE())))</f>
        <v/>
      </c>
      <c r="AC197" s="99" t="str">
        <f aca="false">IF(ISBLANK($C197),"",IF(P197=Constants!$B$2, TRUE(), IF(P197=Constants!$B$3, FALSE(), FALSE())))</f>
        <v/>
      </c>
      <c r="AD197" s="99" t="str">
        <f aca="false">IF(ISBLANK($C197),"",AND(V197&lt;&gt;"",IF(U197=Constants!$B$19,S197,R197)))</f>
        <v/>
      </c>
      <c r="AE197" s="99" t="str">
        <f aca="false">IF(ISBLANK($C197),"",AND(Z197&lt;&gt;"",IF(Y197=Constants!$B$19,S197,R197)))</f>
        <v/>
      </c>
      <c r="AF197" s="99" t="str">
        <f aca="false">IF(ISBLANK($C197),"",IF(AC197,Constants!$B$4,IF(COUNTA(E197:O197)=0,Constants!$B$5,IF(AND(NOT(AD197),NOT(AE197)),Constants!$B$6,Constants!$B$7))))</f>
        <v/>
      </c>
      <c r="AG197" s="99" t="str">
        <f aca="false">IF(ISBLANK($C197),"",IF($AF197&lt;&gt;Constants!$B$7,$AF197,Constants!$B$20))</f>
        <v/>
      </c>
      <c r="AH197" s="99" t="str">
        <f aca="false">IF($AF197=Constants!$B$7,IF(AD197,V197,Constants!$B$13),"")</f>
        <v/>
      </c>
      <c r="AI197" s="99" t="str">
        <f aca="false">IF($AF197=Constants!$B$7,IF(AD197,T197*IF(W197, 1, Constants!$B$11)*IF(X197, 1, Constants!$B$12),Constants!$B$13),"")</f>
        <v/>
      </c>
      <c r="AJ197" s="99" t="str">
        <f aca="false">IF($AF197=Constants!$B$7,AH197*AI197,"")</f>
        <v/>
      </c>
      <c r="AK197" s="99" t="str">
        <f aca="false">IF($AF197=Constants!$B$7,IF(AE197,Z197,Constants!$B$13),"")</f>
        <v/>
      </c>
      <c r="AL197" s="99" t="str">
        <f aca="false">IF($AF197=Constants!$B$7,IF(AE197,T197*IF(AA197, 1, Constants!$B$11)*IF(AB197, 1, Constants!$B$12),Constants!$B$13),"")</f>
        <v/>
      </c>
      <c r="AM197" s="99" t="str">
        <f aca="false">IF($AF197=Constants!$B$7,AK197*AL197,"")</f>
        <v/>
      </c>
      <c r="AN197" s="99" t="str">
        <f aca="false">IF($AF197=Constants!$B$7,IF(AM197&gt;AJ197,2,1),"")</f>
        <v/>
      </c>
      <c r="AO197" s="99" t="str">
        <f aca="false">IF($AF197=Constants!$B$7,IF(AN197=1,2,1),"")</f>
        <v/>
      </c>
      <c r="AP197" s="99" t="str">
        <f aca="false">IF(ISBLANK($C197),"",IF($AF197&lt;&gt;Constants!$B$7,$AF197,IF(AN197=1,AJ197,AM197)))</f>
        <v/>
      </c>
      <c r="AQ197" s="99" t="str">
        <f aca="false">IF(ISBLANK($C197),"",IF($AF197=Constants!$B$7,IF(ISNUMBER(AP197),RANK(AP197,$AP$8:$AP$507),Constants!$B$14),$AF197))</f>
        <v/>
      </c>
      <c r="AR197" s="99" t="str">
        <f aca="false">IF(ISBLANK($C197),"",IF($AF197=Constants!$B$7,IF(AO197=1,AJ197,AM197),""))</f>
        <v/>
      </c>
      <c r="AS197" s="99" t="str">
        <f aca="false">IF(ISBLANK($C197),"",IF($AF197=Constants!$B$7,RANK(AR197,$AR$8:$AR$507),$AF197))</f>
        <v/>
      </c>
      <c r="AT197" s="99" t="str">
        <f aca="false">IF(ISBLANK($C197),"",IF($AF197=Constants!$B$7,IF(ISNUMBER(AQ197),COUNTIFS($AQ$8:$AQ$507,"&lt;"&amp;$AQ197)+COUNTIFS($AQ$8:$AQ$507,$AQ197,$AS$8:$AS$507,"&lt;"&amp;$AS197)+1,Constants!$B$14),$AF197))</f>
        <v/>
      </c>
      <c r="AU197" s="99" t="str">
        <f aca="false">IF(ISBLANK($C197),"",IF($AF197=Constants!$B$7,IF(ISNUMBER(AQ197),AQ197-AT197,Constants!$B$14),$AF197))</f>
        <v/>
      </c>
      <c r="AV197" s="100"/>
      <c r="AW197" s="101" t="str">
        <f aca="false">IF(ISBLANK($C197),"",IF($AF197&lt;&gt;Constants!$B$7,"",AN197))</f>
        <v/>
      </c>
      <c r="AX197" s="102" t="str">
        <f aca="false">IF(ISBLANK($C197),"",IF($AF197&lt;&gt;Constants!$B$7,"",IF(AN197=1,AH197,AK197)))</f>
        <v/>
      </c>
      <c r="AY197" s="103" t="str">
        <f aca="false">IF(ISBLANK($C197),"",IF($AF197&lt;&gt;Constants!$B$7,"",IF(AN197=1,AI197,AL197)))</f>
        <v/>
      </c>
      <c r="AZ197" s="104" t="str">
        <f aca="false">IF(ISBLANK($C197),"",IF($AF197&lt;&gt;Constants!$B$7,$AF197,AP197))</f>
        <v/>
      </c>
      <c r="BA197" s="105" t="str">
        <f aca="false">IF(ISBLANK($C197),"",IF($AF197&lt;&gt;Constants!$B$7,$AF197,AG197))</f>
        <v/>
      </c>
      <c r="BB197" s="106" t="str">
        <f aca="false">IF(ISBLANK($C197),"",AU197)</f>
        <v/>
      </c>
      <c r="BC197" s="106" t="str">
        <f aca="false">IF(ISBLANK($C197),"",AT197)</f>
        <v/>
      </c>
      <c r="BD197" s="107" t="str">
        <f aca="false">IF(ISBLANK($C197),"",IFERROR(_xlfn.SWITCH(BC197,Constants!$B$4,COUNTA($C$8:$C$507)+2,Constants!$B$5,COUNTA($C$8:$C$507)+1,Constants!$B$6,COUNTA($C$8:$C$507)),BC197))</f>
        <v/>
      </c>
      <c r="BE197" s="5"/>
      <c r="BF197" s="108" t="n">
        <f aca="false">IF(OR(ISNUMBER(BC197),BC197=Constants!$B$4,BC197=Constants!$B$6,BC197=Constants!$B$5),1,0)</f>
        <v>0</v>
      </c>
      <c r="BG197" s="108" t="n">
        <v>190</v>
      </c>
      <c r="BH197" s="108" t="str">
        <f aca="false">IF(ISBLANK($C197),"",IF(ISNUMBER(BD197),BD197+ROW($B197)/1000,""))</f>
        <v/>
      </c>
      <c r="BI197" s="108" t="str">
        <f aca="false">IF(ISNUMBER(BH197),RANK(BH197,$BH$8:$BH$507,1),"")</f>
        <v/>
      </c>
      <c r="BJ197" s="108" t="str">
        <f aca="false">IF(ISBLANK($C197),"",$B197)</f>
        <v/>
      </c>
      <c r="BK197" s="108" t="str">
        <f aca="false">IF(ISBLANK($C197),"",$C197)</f>
        <v/>
      </c>
      <c r="BL197" s="108" t="str">
        <f aca="false">IF(ISBLANK($C197),"",$D197)</f>
        <v/>
      </c>
      <c r="BM197" s="109" t="str">
        <f aca="false">BA197</f>
        <v/>
      </c>
      <c r="BN197" s="110" t="str">
        <f aca="false">AZ197</f>
        <v/>
      </c>
      <c r="BO197" s="108" t="str">
        <f aca="false">IF(ISBLANK($C197),"",BC197)</f>
        <v/>
      </c>
      <c r="BP197" s="111" t="str">
        <f aca="false">IF($BG197&gt;$BF$7,"",VLOOKUP($BG197,$BI$8:$BO$507,7,FALSE()))</f>
        <v/>
      </c>
      <c r="BQ197" s="112" t="str">
        <f aca="false">IF($BG197&gt;$BF$7,"",VLOOKUP($BG197,$BI$8:$BO$507,2,FALSE()))</f>
        <v/>
      </c>
      <c r="BR197" s="112" t="str">
        <f aca="false">IF($BG197&gt;$BF$7,"",VLOOKUP($BG197,$BI$8:$BO$507,3,FALSE()))</f>
        <v/>
      </c>
      <c r="BS197" s="112" t="str">
        <f aca="false">IF($BG197&gt;$BF$7,"",VLOOKUP($BG197,$BI$8:$BO$507,4,FALSE()))</f>
        <v/>
      </c>
      <c r="BT197" s="112" t="str">
        <f aca="false">IF($BG197&gt;$BF$7,"",VLOOKUP($BG197,$BI$8:$BO$507,5,FALSE()))</f>
        <v/>
      </c>
      <c r="BU197" s="113" t="str">
        <f aca="false">IF($BG197&gt;$BF$7,"",VLOOKUP($BG197,$BI$8:$BO$507,6,FALSE()))</f>
        <v/>
      </c>
      <c r="BV197" s="54"/>
    </row>
    <row r="198" customFormat="false" ht="15.75" hidden="false" customHeight="false" outlineLevel="0" collapsed="false">
      <c r="A198" s="5"/>
      <c r="B198" s="128"/>
      <c r="C198" s="129"/>
      <c r="D198" s="114"/>
      <c r="E198" s="134"/>
      <c r="F198" s="139"/>
      <c r="G198" s="93"/>
      <c r="H198" s="140"/>
      <c r="I198" s="95"/>
      <c r="J198" s="95"/>
      <c r="K198" s="93"/>
      <c r="L198" s="141"/>
      <c r="M198" s="95"/>
      <c r="N198" s="95"/>
      <c r="O198" s="93"/>
      <c r="P198" s="134"/>
      <c r="Q198" s="98"/>
      <c r="R198" s="99" t="str">
        <f aca="false">IF(ISBLANK($C198),"",IF(E198=Constants!$B$2, TRUE(), IF(E198=Constants!$B$3, FALSE(), TRUE())))</f>
        <v/>
      </c>
      <c r="S198" s="99" t="str">
        <f aca="false">IF(ISBLANK($C198),"",IF(F198=Constants!$B$2, TRUE(), IF(F198=Constants!$B$3, FALSE(), TRUE())))</f>
        <v/>
      </c>
      <c r="T198" s="99" t="str">
        <f aca="false">IF(ISBLANK($C198),"",IF(G198=Constants!$B$16,Constants!$B$9,IF(G198=Constants!$B$17,Constants!$B$10,Constants!$B$8)))</f>
        <v/>
      </c>
      <c r="U198" s="99" t="str">
        <f aca="false">IF(ISBLANK($C198),"",IF(H198=Constants!$B$19,Constants!$B$19,Constants!$B$18))</f>
        <v/>
      </c>
      <c r="V198" s="99" t="str">
        <f aca="false">IF(ISBLANK($C198),"",IF(ISNUMBER(I198),IF(I198&gt;=0,I198,""),""))</f>
        <v/>
      </c>
      <c r="W198" s="99" t="str">
        <f aca="false">IF(ISBLANK($C198),"",IF(J198=Constants!$B$2, TRUE(), IF(J198=Constants!$B$3, FALSE(), TRUE())))</f>
        <v/>
      </c>
      <c r="X198" s="99" t="str">
        <f aca="false">IF(ISBLANK($C198),"",IF(K198=Constants!$B$2, TRUE(), IF(K198=Constants!$B$3, FALSE(), TRUE())))</f>
        <v/>
      </c>
      <c r="Y198" s="99" t="str">
        <f aca="false">IF(ISBLANK($C198),"",IF(L198=Constants!$B$19,Constants!$B$19,Constants!$B$18))</f>
        <v/>
      </c>
      <c r="Z198" s="99" t="str">
        <f aca="false">IF(ISBLANK($C198),"",IF(ISNUMBER(M198),IF(M198&gt;=0,M198,""),""))</f>
        <v/>
      </c>
      <c r="AA198" s="99" t="str">
        <f aca="false">IF(ISBLANK($C198),"",IF(N198=Constants!$B$2, TRUE(), IF(N198=Constants!$B$3, FALSE(), TRUE())))</f>
        <v/>
      </c>
      <c r="AB198" s="99" t="str">
        <f aca="false">IF(ISBLANK($C198),"",IF(O198=Constants!$B$2, TRUE(), IF(O198=Constants!$B$3, FALSE(), TRUE())))</f>
        <v/>
      </c>
      <c r="AC198" s="99" t="str">
        <f aca="false">IF(ISBLANK($C198),"",IF(P198=Constants!$B$2, TRUE(), IF(P198=Constants!$B$3, FALSE(), FALSE())))</f>
        <v/>
      </c>
      <c r="AD198" s="99" t="str">
        <f aca="false">IF(ISBLANK($C198),"",AND(V198&lt;&gt;"",IF(U198=Constants!$B$19,S198,R198)))</f>
        <v/>
      </c>
      <c r="AE198" s="99" t="str">
        <f aca="false">IF(ISBLANK($C198),"",AND(Z198&lt;&gt;"",IF(Y198=Constants!$B$19,S198,R198)))</f>
        <v/>
      </c>
      <c r="AF198" s="99" t="str">
        <f aca="false">IF(ISBLANK($C198),"",IF(AC198,Constants!$B$4,IF(COUNTA(E198:O198)=0,Constants!$B$5,IF(AND(NOT(AD198),NOT(AE198)),Constants!$B$6,Constants!$B$7))))</f>
        <v/>
      </c>
      <c r="AG198" s="99" t="str">
        <f aca="false">IF(ISBLANK($C198),"",IF($AF198&lt;&gt;Constants!$B$7,$AF198,Constants!$B$20))</f>
        <v/>
      </c>
      <c r="AH198" s="99" t="str">
        <f aca="false">IF($AF198=Constants!$B$7,IF(AD198,V198,Constants!$B$13),"")</f>
        <v/>
      </c>
      <c r="AI198" s="99" t="str">
        <f aca="false">IF($AF198=Constants!$B$7,IF(AD198,T198*IF(W198, 1, Constants!$B$11)*IF(X198, 1, Constants!$B$12),Constants!$B$13),"")</f>
        <v/>
      </c>
      <c r="AJ198" s="99" t="str">
        <f aca="false">IF($AF198=Constants!$B$7,AH198*AI198,"")</f>
        <v/>
      </c>
      <c r="AK198" s="99" t="str">
        <f aca="false">IF($AF198=Constants!$B$7,IF(AE198,Z198,Constants!$B$13),"")</f>
        <v/>
      </c>
      <c r="AL198" s="99" t="str">
        <f aca="false">IF($AF198=Constants!$B$7,IF(AE198,T198*IF(AA198, 1, Constants!$B$11)*IF(AB198, 1, Constants!$B$12),Constants!$B$13),"")</f>
        <v/>
      </c>
      <c r="AM198" s="99" t="str">
        <f aca="false">IF($AF198=Constants!$B$7,AK198*AL198,"")</f>
        <v/>
      </c>
      <c r="AN198" s="99" t="str">
        <f aca="false">IF($AF198=Constants!$B$7,IF(AM198&gt;AJ198,2,1),"")</f>
        <v/>
      </c>
      <c r="AO198" s="99" t="str">
        <f aca="false">IF($AF198=Constants!$B$7,IF(AN198=1,2,1),"")</f>
        <v/>
      </c>
      <c r="AP198" s="99" t="str">
        <f aca="false">IF(ISBLANK($C198),"",IF($AF198&lt;&gt;Constants!$B$7,$AF198,IF(AN198=1,AJ198,AM198)))</f>
        <v/>
      </c>
      <c r="AQ198" s="99" t="str">
        <f aca="false">IF(ISBLANK($C198),"",IF($AF198=Constants!$B$7,IF(ISNUMBER(AP198),RANK(AP198,$AP$8:$AP$507),Constants!$B$14),$AF198))</f>
        <v/>
      </c>
      <c r="AR198" s="99" t="str">
        <f aca="false">IF(ISBLANK($C198),"",IF($AF198=Constants!$B$7,IF(AO198=1,AJ198,AM198),""))</f>
        <v/>
      </c>
      <c r="AS198" s="99" t="str">
        <f aca="false">IF(ISBLANK($C198),"",IF($AF198=Constants!$B$7,RANK(AR198,$AR$8:$AR$507),$AF198))</f>
        <v/>
      </c>
      <c r="AT198" s="99" t="str">
        <f aca="false">IF(ISBLANK($C198),"",IF($AF198=Constants!$B$7,IF(ISNUMBER(AQ198),COUNTIFS($AQ$8:$AQ$507,"&lt;"&amp;$AQ198)+COUNTIFS($AQ$8:$AQ$507,$AQ198,$AS$8:$AS$507,"&lt;"&amp;$AS198)+1,Constants!$B$14),$AF198))</f>
        <v/>
      </c>
      <c r="AU198" s="99" t="str">
        <f aca="false">IF(ISBLANK($C198),"",IF($AF198=Constants!$B$7,IF(ISNUMBER(AQ198),AQ198-AT198,Constants!$B$14),$AF198))</f>
        <v/>
      </c>
      <c r="AV198" s="100"/>
      <c r="AW198" s="101" t="str">
        <f aca="false">IF(ISBLANK($C198),"",IF($AF198&lt;&gt;Constants!$B$7,"",AN198))</f>
        <v/>
      </c>
      <c r="AX198" s="102" t="str">
        <f aca="false">IF(ISBLANK($C198),"",IF($AF198&lt;&gt;Constants!$B$7,"",IF(AN198=1,AH198,AK198)))</f>
        <v/>
      </c>
      <c r="AY198" s="103" t="str">
        <f aca="false">IF(ISBLANK($C198),"",IF($AF198&lt;&gt;Constants!$B$7,"",IF(AN198=1,AI198,AL198)))</f>
        <v/>
      </c>
      <c r="AZ198" s="104" t="str">
        <f aca="false">IF(ISBLANK($C198),"",IF($AF198&lt;&gt;Constants!$B$7,$AF198,AP198))</f>
        <v/>
      </c>
      <c r="BA198" s="105" t="str">
        <f aca="false">IF(ISBLANK($C198),"",IF($AF198&lt;&gt;Constants!$B$7,$AF198,AG198))</f>
        <v/>
      </c>
      <c r="BB198" s="106" t="str">
        <f aca="false">IF(ISBLANK($C198),"",AU198)</f>
        <v/>
      </c>
      <c r="BC198" s="106" t="str">
        <f aca="false">IF(ISBLANK($C198),"",AT198)</f>
        <v/>
      </c>
      <c r="BD198" s="107" t="str">
        <f aca="false">IF(ISBLANK($C198),"",IFERROR(_xlfn.SWITCH(BC198,Constants!$B$4,COUNTA($C$8:$C$507)+2,Constants!$B$5,COUNTA($C$8:$C$507)+1,Constants!$B$6,COUNTA($C$8:$C$507)),BC198))</f>
        <v/>
      </c>
      <c r="BE198" s="5"/>
      <c r="BF198" s="108" t="n">
        <f aca="false">IF(OR(ISNUMBER(BC198),BC198=Constants!$B$4,BC198=Constants!$B$6,BC198=Constants!$B$5),1,0)</f>
        <v>0</v>
      </c>
      <c r="BG198" s="108" t="n">
        <v>191</v>
      </c>
      <c r="BH198" s="108" t="str">
        <f aca="false">IF(ISBLANK($C198),"",IF(ISNUMBER(BD198),BD198+ROW($B198)/1000,""))</f>
        <v/>
      </c>
      <c r="BI198" s="108" t="str">
        <f aca="false">IF(ISNUMBER(BH198),RANK(BH198,$BH$8:$BH$507,1),"")</f>
        <v/>
      </c>
      <c r="BJ198" s="108" t="str">
        <f aca="false">IF(ISBLANK($C198),"",$B198)</f>
        <v/>
      </c>
      <c r="BK198" s="108" t="str">
        <f aca="false">IF(ISBLANK($C198),"",$C198)</f>
        <v/>
      </c>
      <c r="BL198" s="108" t="str">
        <f aca="false">IF(ISBLANK($C198),"",$D198)</f>
        <v/>
      </c>
      <c r="BM198" s="109" t="str">
        <f aca="false">BA198</f>
        <v/>
      </c>
      <c r="BN198" s="110" t="str">
        <f aca="false">AZ198</f>
        <v/>
      </c>
      <c r="BO198" s="108" t="str">
        <f aca="false">IF(ISBLANK($C198),"",BC198)</f>
        <v/>
      </c>
      <c r="BP198" s="111" t="str">
        <f aca="false">IF($BG198&gt;$BF$7,"",VLOOKUP($BG198,$BI$8:$BO$507,7,FALSE()))</f>
        <v/>
      </c>
      <c r="BQ198" s="112" t="str">
        <f aca="false">IF($BG198&gt;$BF$7,"",VLOOKUP($BG198,$BI$8:$BO$507,2,FALSE()))</f>
        <v/>
      </c>
      <c r="BR198" s="112" t="str">
        <f aca="false">IF($BG198&gt;$BF$7,"",VLOOKUP($BG198,$BI$8:$BO$507,3,FALSE()))</f>
        <v/>
      </c>
      <c r="BS198" s="112" t="str">
        <f aca="false">IF($BG198&gt;$BF$7,"",VLOOKUP($BG198,$BI$8:$BO$507,4,FALSE()))</f>
        <v/>
      </c>
      <c r="BT198" s="112" t="str">
        <f aca="false">IF($BG198&gt;$BF$7,"",VLOOKUP($BG198,$BI$8:$BO$507,5,FALSE()))</f>
        <v/>
      </c>
      <c r="BU198" s="113" t="str">
        <f aca="false">IF($BG198&gt;$BF$7,"",VLOOKUP($BG198,$BI$8:$BO$507,6,FALSE()))</f>
        <v/>
      </c>
      <c r="BV198" s="54"/>
    </row>
    <row r="199" customFormat="false" ht="15.75" hidden="false" customHeight="false" outlineLevel="0" collapsed="false">
      <c r="A199" s="5"/>
      <c r="B199" s="128"/>
      <c r="C199" s="129"/>
      <c r="D199" s="114"/>
      <c r="E199" s="134"/>
      <c r="F199" s="139"/>
      <c r="G199" s="93"/>
      <c r="H199" s="140"/>
      <c r="I199" s="95"/>
      <c r="J199" s="95"/>
      <c r="K199" s="93"/>
      <c r="L199" s="141"/>
      <c r="M199" s="95"/>
      <c r="N199" s="95"/>
      <c r="O199" s="93"/>
      <c r="P199" s="134"/>
      <c r="Q199" s="98"/>
      <c r="R199" s="99" t="str">
        <f aca="false">IF(ISBLANK($C199),"",IF(E199=Constants!$B$2, TRUE(), IF(E199=Constants!$B$3, FALSE(), TRUE())))</f>
        <v/>
      </c>
      <c r="S199" s="99" t="str">
        <f aca="false">IF(ISBLANK($C199),"",IF(F199=Constants!$B$2, TRUE(), IF(F199=Constants!$B$3, FALSE(), TRUE())))</f>
        <v/>
      </c>
      <c r="T199" s="99" t="str">
        <f aca="false">IF(ISBLANK($C199),"",IF(G199=Constants!$B$16,Constants!$B$9,IF(G199=Constants!$B$17,Constants!$B$10,Constants!$B$8)))</f>
        <v/>
      </c>
      <c r="U199" s="99" t="str">
        <f aca="false">IF(ISBLANK($C199),"",IF(H199=Constants!$B$19,Constants!$B$19,Constants!$B$18))</f>
        <v/>
      </c>
      <c r="V199" s="99" t="str">
        <f aca="false">IF(ISBLANK($C199),"",IF(ISNUMBER(I199),IF(I199&gt;=0,I199,""),""))</f>
        <v/>
      </c>
      <c r="W199" s="99" t="str">
        <f aca="false">IF(ISBLANK($C199),"",IF(J199=Constants!$B$2, TRUE(), IF(J199=Constants!$B$3, FALSE(), TRUE())))</f>
        <v/>
      </c>
      <c r="X199" s="99" t="str">
        <f aca="false">IF(ISBLANK($C199),"",IF(K199=Constants!$B$2, TRUE(), IF(K199=Constants!$B$3, FALSE(), TRUE())))</f>
        <v/>
      </c>
      <c r="Y199" s="99" t="str">
        <f aca="false">IF(ISBLANK($C199),"",IF(L199=Constants!$B$19,Constants!$B$19,Constants!$B$18))</f>
        <v/>
      </c>
      <c r="Z199" s="99" t="str">
        <f aca="false">IF(ISBLANK($C199),"",IF(ISNUMBER(M199),IF(M199&gt;=0,M199,""),""))</f>
        <v/>
      </c>
      <c r="AA199" s="99" t="str">
        <f aca="false">IF(ISBLANK($C199),"",IF(N199=Constants!$B$2, TRUE(), IF(N199=Constants!$B$3, FALSE(), TRUE())))</f>
        <v/>
      </c>
      <c r="AB199" s="99" t="str">
        <f aca="false">IF(ISBLANK($C199),"",IF(O199=Constants!$B$2, TRUE(), IF(O199=Constants!$B$3, FALSE(), TRUE())))</f>
        <v/>
      </c>
      <c r="AC199" s="99" t="str">
        <f aca="false">IF(ISBLANK($C199),"",IF(P199=Constants!$B$2, TRUE(), IF(P199=Constants!$B$3, FALSE(), FALSE())))</f>
        <v/>
      </c>
      <c r="AD199" s="99" t="str">
        <f aca="false">IF(ISBLANK($C199),"",AND(V199&lt;&gt;"",IF(U199=Constants!$B$19,S199,R199)))</f>
        <v/>
      </c>
      <c r="AE199" s="99" t="str">
        <f aca="false">IF(ISBLANK($C199),"",AND(Z199&lt;&gt;"",IF(Y199=Constants!$B$19,S199,R199)))</f>
        <v/>
      </c>
      <c r="AF199" s="99" t="str">
        <f aca="false">IF(ISBLANK($C199),"",IF(AC199,Constants!$B$4,IF(COUNTA(E199:O199)=0,Constants!$B$5,IF(AND(NOT(AD199),NOT(AE199)),Constants!$B$6,Constants!$B$7))))</f>
        <v/>
      </c>
      <c r="AG199" s="99" t="str">
        <f aca="false">IF(ISBLANK($C199),"",IF($AF199&lt;&gt;Constants!$B$7,$AF199,Constants!$B$20))</f>
        <v/>
      </c>
      <c r="AH199" s="99" t="str">
        <f aca="false">IF($AF199=Constants!$B$7,IF(AD199,V199,Constants!$B$13),"")</f>
        <v/>
      </c>
      <c r="AI199" s="99" t="str">
        <f aca="false">IF($AF199=Constants!$B$7,IF(AD199,T199*IF(W199, 1, Constants!$B$11)*IF(X199, 1, Constants!$B$12),Constants!$B$13),"")</f>
        <v/>
      </c>
      <c r="AJ199" s="99" t="str">
        <f aca="false">IF($AF199=Constants!$B$7,AH199*AI199,"")</f>
        <v/>
      </c>
      <c r="AK199" s="99" t="str">
        <f aca="false">IF($AF199=Constants!$B$7,IF(AE199,Z199,Constants!$B$13),"")</f>
        <v/>
      </c>
      <c r="AL199" s="99" t="str">
        <f aca="false">IF($AF199=Constants!$B$7,IF(AE199,T199*IF(AA199, 1, Constants!$B$11)*IF(AB199, 1, Constants!$B$12),Constants!$B$13),"")</f>
        <v/>
      </c>
      <c r="AM199" s="99" t="str">
        <f aca="false">IF($AF199=Constants!$B$7,AK199*AL199,"")</f>
        <v/>
      </c>
      <c r="AN199" s="99" t="str">
        <f aca="false">IF($AF199=Constants!$B$7,IF(AM199&gt;AJ199,2,1),"")</f>
        <v/>
      </c>
      <c r="AO199" s="99" t="str">
        <f aca="false">IF($AF199=Constants!$B$7,IF(AN199=1,2,1),"")</f>
        <v/>
      </c>
      <c r="AP199" s="99" t="str">
        <f aca="false">IF(ISBLANK($C199),"",IF($AF199&lt;&gt;Constants!$B$7,$AF199,IF(AN199=1,AJ199,AM199)))</f>
        <v/>
      </c>
      <c r="AQ199" s="99" t="str">
        <f aca="false">IF(ISBLANK($C199),"",IF($AF199=Constants!$B$7,IF(ISNUMBER(AP199),RANK(AP199,$AP$8:$AP$507),Constants!$B$14),$AF199))</f>
        <v/>
      </c>
      <c r="AR199" s="99" t="str">
        <f aca="false">IF(ISBLANK($C199),"",IF($AF199=Constants!$B$7,IF(AO199=1,AJ199,AM199),""))</f>
        <v/>
      </c>
      <c r="AS199" s="99" t="str">
        <f aca="false">IF(ISBLANK($C199),"",IF($AF199=Constants!$B$7,RANK(AR199,$AR$8:$AR$507),$AF199))</f>
        <v/>
      </c>
      <c r="AT199" s="99" t="str">
        <f aca="false">IF(ISBLANK($C199),"",IF($AF199=Constants!$B$7,IF(ISNUMBER(AQ199),COUNTIFS($AQ$8:$AQ$507,"&lt;"&amp;$AQ199)+COUNTIFS($AQ$8:$AQ$507,$AQ199,$AS$8:$AS$507,"&lt;"&amp;$AS199)+1,Constants!$B$14),$AF199))</f>
        <v/>
      </c>
      <c r="AU199" s="99" t="str">
        <f aca="false">IF(ISBLANK($C199),"",IF($AF199=Constants!$B$7,IF(ISNUMBER(AQ199),AQ199-AT199,Constants!$B$14),$AF199))</f>
        <v/>
      </c>
      <c r="AV199" s="100"/>
      <c r="AW199" s="101" t="str">
        <f aca="false">IF(ISBLANK($C199),"",IF($AF199&lt;&gt;Constants!$B$7,"",AN199))</f>
        <v/>
      </c>
      <c r="AX199" s="102" t="str">
        <f aca="false">IF(ISBLANK($C199),"",IF($AF199&lt;&gt;Constants!$B$7,"",IF(AN199=1,AH199,AK199)))</f>
        <v/>
      </c>
      <c r="AY199" s="103" t="str">
        <f aca="false">IF(ISBLANK($C199),"",IF($AF199&lt;&gt;Constants!$B$7,"",IF(AN199=1,AI199,AL199)))</f>
        <v/>
      </c>
      <c r="AZ199" s="104" t="str">
        <f aca="false">IF(ISBLANK($C199),"",IF($AF199&lt;&gt;Constants!$B$7,$AF199,AP199))</f>
        <v/>
      </c>
      <c r="BA199" s="105" t="str">
        <f aca="false">IF(ISBLANK($C199),"",IF($AF199&lt;&gt;Constants!$B$7,$AF199,AG199))</f>
        <v/>
      </c>
      <c r="BB199" s="106" t="str">
        <f aca="false">IF(ISBLANK($C199),"",AU199)</f>
        <v/>
      </c>
      <c r="BC199" s="106" t="str">
        <f aca="false">IF(ISBLANK($C199),"",AT199)</f>
        <v/>
      </c>
      <c r="BD199" s="107" t="str">
        <f aca="false">IF(ISBLANK($C199),"",IFERROR(_xlfn.SWITCH(BC199,Constants!$B$4,COUNTA($C$8:$C$507)+2,Constants!$B$5,COUNTA($C$8:$C$507)+1,Constants!$B$6,COUNTA($C$8:$C$507)),BC199))</f>
        <v/>
      </c>
      <c r="BE199" s="5"/>
      <c r="BF199" s="108" t="n">
        <f aca="false">IF(OR(ISNUMBER(BC199),BC199=Constants!$B$4,BC199=Constants!$B$6,BC199=Constants!$B$5),1,0)</f>
        <v>0</v>
      </c>
      <c r="BG199" s="108" t="n">
        <v>192</v>
      </c>
      <c r="BH199" s="108" t="str">
        <f aca="false">IF(ISBLANK($C199),"",IF(ISNUMBER(BD199),BD199+ROW($B199)/1000,""))</f>
        <v/>
      </c>
      <c r="BI199" s="108" t="str">
        <f aca="false">IF(ISNUMBER(BH199),RANK(BH199,$BH$8:$BH$507,1),"")</f>
        <v/>
      </c>
      <c r="BJ199" s="108" t="str">
        <f aca="false">IF(ISBLANK($C199),"",$B199)</f>
        <v/>
      </c>
      <c r="BK199" s="108" t="str">
        <f aca="false">IF(ISBLANK($C199),"",$C199)</f>
        <v/>
      </c>
      <c r="BL199" s="108" t="str">
        <f aca="false">IF(ISBLANK($C199),"",$D199)</f>
        <v/>
      </c>
      <c r="BM199" s="109" t="str">
        <f aca="false">BA199</f>
        <v/>
      </c>
      <c r="BN199" s="110" t="str">
        <f aca="false">AZ199</f>
        <v/>
      </c>
      <c r="BO199" s="108" t="str">
        <f aca="false">IF(ISBLANK($C199),"",BC199)</f>
        <v/>
      </c>
      <c r="BP199" s="111" t="str">
        <f aca="false">IF($BG199&gt;$BF$7,"",VLOOKUP($BG199,$BI$8:$BO$507,7,FALSE()))</f>
        <v/>
      </c>
      <c r="BQ199" s="112" t="str">
        <f aca="false">IF($BG199&gt;$BF$7,"",VLOOKUP($BG199,$BI$8:$BO$507,2,FALSE()))</f>
        <v/>
      </c>
      <c r="BR199" s="112" t="str">
        <f aca="false">IF($BG199&gt;$BF$7,"",VLOOKUP($BG199,$BI$8:$BO$507,3,FALSE()))</f>
        <v/>
      </c>
      <c r="BS199" s="112" t="str">
        <f aca="false">IF($BG199&gt;$BF$7,"",VLOOKUP($BG199,$BI$8:$BO$507,4,FALSE()))</f>
        <v/>
      </c>
      <c r="BT199" s="112" t="str">
        <f aca="false">IF($BG199&gt;$BF$7,"",VLOOKUP($BG199,$BI$8:$BO$507,5,FALSE()))</f>
        <v/>
      </c>
      <c r="BU199" s="113" t="str">
        <f aca="false">IF($BG199&gt;$BF$7,"",VLOOKUP($BG199,$BI$8:$BO$507,6,FALSE()))</f>
        <v/>
      </c>
      <c r="BV199" s="54"/>
    </row>
    <row r="200" customFormat="false" ht="15.75" hidden="false" customHeight="false" outlineLevel="0" collapsed="false">
      <c r="A200" s="5"/>
      <c r="B200" s="135"/>
      <c r="C200" s="56"/>
      <c r="D200" s="57"/>
      <c r="E200" s="84"/>
      <c r="F200" s="136"/>
      <c r="G200" s="60"/>
      <c r="H200" s="137"/>
      <c r="I200" s="62"/>
      <c r="J200" s="62"/>
      <c r="K200" s="60"/>
      <c r="L200" s="138"/>
      <c r="M200" s="62"/>
      <c r="N200" s="62"/>
      <c r="O200" s="60"/>
      <c r="P200" s="84"/>
      <c r="Q200" s="65"/>
      <c r="R200" s="67" t="str">
        <f aca="false">IF(ISBLANK($C200),"",IF(E200=Constants!$B$2, TRUE(), IF(E200=Constants!$B$3, FALSE(), TRUE())))</f>
        <v/>
      </c>
      <c r="S200" s="67" t="str">
        <f aca="false">IF(ISBLANK($C200),"",IF(F200=Constants!$B$2, TRUE(), IF(F200=Constants!$B$3, FALSE(), TRUE())))</f>
        <v/>
      </c>
      <c r="T200" s="67" t="str">
        <f aca="false">IF(ISBLANK($C200),"",IF(G200=Constants!$B$16,Constants!$B$9,IF(G200=Constants!$B$17,Constants!$B$10,Constants!$B$8)))</f>
        <v/>
      </c>
      <c r="U200" s="67" t="str">
        <f aca="false">IF(ISBLANK($C200),"",IF(H200=Constants!$B$19,Constants!$B$19,Constants!$B$18))</f>
        <v/>
      </c>
      <c r="V200" s="67" t="str">
        <f aca="false">IF(ISBLANK($C200),"",IF(ISNUMBER(I200),IF(I200&gt;=0,I200,""),""))</f>
        <v/>
      </c>
      <c r="W200" s="67" t="str">
        <f aca="false">IF(ISBLANK($C200),"",IF(J200=Constants!$B$2, TRUE(), IF(J200=Constants!$B$3, FALSE(), TRUE())))</f>
        <v/>
      </c>
      <c r="X200" s="67" t="str">
        <f aca="false">IF(ISBLANK($C200),"",IF(K200=Constants!$B$2, TRUE(), IF(K200=Constants!$B$3, FALSE(), TRUE())))</f>
        <v/>
      </c>
      <c r="Y200" s="67" t="str">
        <f aca="false">IF(ISBLANK($C200),"",IF(L200=Constants!$B$19,Constants!$B$19,Constants!$B$18))</f>
        <v/>
      </c>
      <c r="Z200" s="67" t="str">
        <f aca="false">IF(ISBLANK($C200),"",IF(ISNUMBER(M200),IF(M200&gt;=0,M200,""),""))</f>
        <v/>
      </c>
      <c r="AA200" s="67" t="str">
        <f aca="false">IF(ISBLANK($C200),"",IF(N200=Constants!$B$2, TRUE(), IF(N200=Constants!$B$3, FALSE(), TRUE())))</f>
        <v/>
      </c>
      <c r="AB200" s="67" t="str">
        <f aca="false">IF(ISBLANK($C200),"",IF(O200=Constants!$B$2, TRUE(), IF(O200=Constants!$B$3, FALSE(), TRUE())))</f>
        <v/>
      </c>
      <c r="AC200" s="67" t="str">
        <f aca="false">IF(ISBLANK($C200),"",IF(P200=Constants!$B$2, TRUE(), IF(P200=Constants!$B$3, FALSE(), FALSE())))</f>
        <v/>
      </c>
      <c r="AD200" s="67" t="str">
        <f aca="false">IF(ISBLANK($C200),"",AND(V200&lt;&gt;"",IF(U200=Constants!$B$19,S200,R200)))</f>
        <v/>
      </c>
      <c r="AE200" s="67" t="str">
        <f aca="false">IF(ISBLANK($C200),"",AND(Z200&lt;&gt;"",IF(Y200=Constants!$B$19,S200,R200)))</f>
        <v/>
      </c>
      <c r="AF200" s="67" t="str">
        <f aca="false">IF(ISBLANK($C200),"",IF(AC200,Constants!$B$4,IF(COUNTA(E200:O200)=0,Constants!$B$5,IF(AND(NOT(AD200),NOT(AE200)),Constants!$B$6,Constants!$B$7))))</f>
        <v/>
      </c>
      <c r="AG200" s="67" t="str">
        <f aca="false">IF(ISBLANK($C200),"",IF($AF200&lt;&gt;Constants!$B$7,$AF200,Constants!$B$20))</f>
        <v/>
      </c>
      <c r="AH200" s="67" t="str">
        <f aca="false">IF($AF200=Constants!$B$7,IF(AD200,V200,Constants!$B$13),"")</f>
        <v/>
      </c>
      <c r="AI200" s="67" t="str">
        <f aca="false">IF($AF200=Constants!$B$7,IF(AD200,T200*IF(W200, 1, Constants!$B$11)*IF(X200, 1, Constants!$B$12),Constants!$B$13),"")</f>
        <v/>
      </c>
      <c r="AJ200" s="67" t="str">
        <f aca="false">IF($AF200=Constants!$B$7,AH200*AI200,"")</f>
        <v/>
      </c>
      <c r="AK200" s="67" t="str">
        <f aca="false">IF($AF200=Constants!$B$7,IF(AE200,Z200,Constants!$B$13),"")</f>
        <v/>
      </c>
      <c r="AL200" s="67" t="str">
        <f aca="false">IF($AF200=Constants!$B$7,IF(AE200,T200*IF(AA200, 1, Constants!$B$11)*IF(AB200, 1, Constants!$B$12),Constants!$B$13),"")</f>
        <v/>
      </c>
      <c r="AM200" s="67" t="str">
        <f aca="false">IF($AF200=Constants!$B$7,AK200*AL200,"")</f>
        <v/>
      </c>
      <c r="AN200" s="67" t="str">
        <f aca="false">IF($AF200=Constants!$B$7,IF(AM200&gt;AJ200,2,1),"")</f>
        <v/>
      </c>
      <c r="AO200" s="67" t="str">
        <f aca="false">IF($AF200=Constants!$B$7,IF(AN200=1,2,1),"")</f>
        <v/>
      </c>
      <c r="AP200" s="67" t="str">
        <f aca="false">IF(ISBLANK($C200),"",IF($AF200&lt;&gt;Constants!$B$7,$AF200,IF(AN200=1,AJ200,AM200)))</f>
        <v/>
      </c>
      <c r="AQ200" s="67" t="str">
        <f aca="false">IF(ISBLANK($C200),"",IF($AF200=Constants!$B$7,IF(ISNUMBER(AP200),RANK(AP200,$AP$8:$AP$507),Constants!$B$14),$AF200))</f>
        <v/>
      </c>
      <c r="AR200" s="67" t="str">
        <f aca="false">IF(ISBLANK($C200),"",IF($AF200=Constants!$B$7,IF(AO200=1,AJ200,AM200),""))</f>
        <v/>
      </c>
      <c r="AS200" s="67" t="str">
        <f aca="false">IF(ISBLANK($C200),"",IF($AF200=Constants!$B$7,RANK(AR200,$AR$8:$AR$507),$AF200))</f>
        <v/>
      </c>
      <c r="AT200" s="67" t="str">
        <f aca="false">IF(ISBLANK($C200),"",IF($AF200=Constants!$B$7,IF(ISNUMBER(AQ200),COUNTIFS($AQ$8:$AQ$507,"&lt;"&amp;$AQ200)+COUNTIFS($AQ$8:$AQ$507,$AQ200,$AS$8:$AS$507,"&lt;"&amp;$AS200)+1,Constants!$B$14),$AF200))</f>
        <v/>
      </c>
      <c r="AU200" s="67" t="str">
        <f aca="false">IF(ISBLANK($C200),"",IF($AF200=Constants!$B$7,IF(ISNUMBER(AQ200),AQ200-AT200,Constants!$B$14),$AF200))</f>
        <v/>
      </c>
      <c r="AV200" s="69"/>
      <c r="AW200" s="70" t="str">
        <f aca="false">IF(ISBLANK($C200),"",IF($AF200&lt;&gt;Constants!$B$7,"",AN200))</f>
        <v/>
      </c>
      <c r="AX200" s="85" t="str">
        <f aca="false">IF(ISBLANK($C200),"",IF($AF200&lt;&gt;Constants!$B$7,"",IF(AN200=1,AH200,AK200)))</f>
        <v/>
      </c>
      <c r="AY200" s="72" t="str">
        <f aca="false">IF(ISBLANK($C200),"",IF($AF200&lt;&gt;Constants!$B$7,"",IF(AN200=1,AI200,AL200)))</f>
        <v/>
      </c>
      <c r="AZ200" s="73" t="str">
        <f aca="false">IF(ISBLANK($C200),"",IF($AF200&lt;&gt;Constants!$B$7,$AF200,AP200))</f>
        <v/>
      </c>
      <c r="BA200" s="74" t="str">
        <f aca="false">IF(ISBLANK($C200),"",IF($AF200&lt;&gt;Constants!$B$7,$AF200,AG200))</f>
        <v/>
      </c>
      <c r="BB200" s="75" t="str">
        <f aca="false">IF(ISBLANK($C200),"",AU200)</f>
        <v/>
      </c>
      <c r="BC200" s="75" t="str">
        <f aca="false">IF(ISBLANK($C200),"",AT200)</f>
        <v/>
      </c>
      <c r="BD200" s="76" t="str">
        <f aca="false">IF(ISBLANK($C200),"",IFERROR(_xlfn.SWITCH(BC200,Constants!$B$4,COUNTA($C$8:$C$507)+2,Constants!$B$5,COUNTA($C$8:$C$507)+1,Constants!$B$6,COUNTA($C$8:$C$507)),BC200))</f>
        <v/>
      </c>
      <c r="BE200" s="5"/>
      <c r="BF200" s="77" t="n">
        <f aca="false">IF(OR(ISNUMBER(BC200),BC200=Constants!$B$4,BC200=Constants!$B$6,BC200=Constants!$B$5),1,0)</f>
        <v>0</v>
      </c>
      <c r="BG200" s="77" t="n">
        <v>193</v>
      </c>
      <c r="BH200" s="77" t="str">
        <f aca="false">IF(ISBLANK($C200),"",IF(ISNUMBER(BD200),BD200+ROW($B200)/1000,""))</f>
        <v/>
      </c>
      <c r="BI200" s="77" t="str">
        <f aca="false">IF(ISNUMBER(BH200),RANK(BH200,$BH$8:$BH$507,1),"")</f>
        <v/>
      </c>
      <c r="BJ200" s="77" t="str">
        <f aca="false">IF(ISBLANK($C200),"",$B200)</f>
        <v/>
      </c>
      <c r="BK200" s="77" t="str">
        <f aca="false">IF(ISBLANK($C200),"",$C200)</f>
        <v/>
      </c>
      <c r="BL200" s="77" t="str">
        <f aca="false">IF(ISBLANK($C200),"",$D200)</f>
        <v/>
      </c>
      <c r="BM200" s="78" t="str">
        <f aca="false">BA200</f>
        <v/>
      </c>
      <c r="BN200" s="79" t="str">
        <f aca="false">AZ200</f>
        <v/>
      </c>
      <c r="BO200" s="77" t="str">
        <f aca="false">IF(ISBLANK($C200),"",BC200)</f>
        <v/>
      </c>
      <c r="BP200" s="80" t="str">
        <f aca="false">IF($BG200&gt;$BF$7,"",VLOOKUP($BG200,$BI$8:$BO$507,7,FALSE()))</f>
        <v/>
      </c>
      <c r="BQ200" s="81" t="str">
        <f aca="false">IF($BG200&gt;$BF$7,"",VLOOKUP($BG200,$BI$8:$BO$507,2,FALSE()))</f>
        <v/>
      </c>
      <c r="BR200" s="81" t="str">
        <f aca="false">IF($BG200&gt;$BF$7,"",VLOOKUP($BG200,$BI$8:$BO$507,3,FALSE()))</f>
        <v/>
      </c>
      <c r="BS200" s="81" t="str">
        <f aca="false">IF($BG200&gt;$BF$7,"",VLOOKUP($BG200,$BI$8:$BO$507,4,FALSE()))</f>
        <v/>
      </c>
      <c r="BT200" s="81" t="str">
        <f aca="false">IF($BG200&gt;$BF$7,"",VLOOKUP($BG200,$BI$8:$BO$507,5,FALSE()))</f>
        <v/>
      </c>
      <c r="BU200" s="82" t="str">
        <f aca="false">IF($BG200&gt;$BF$7,"",VLOOKUP($BG200,$BI$8:$BO$507,6,FALSE()))</f>
        <v/>
      </c>
      <c r="BV200" s="54"/>
    </row>
    <row r="201" customFormat="false" ht="15.75" hidden="false" customHeight="false" outlineLevel="0" collapsed="false">
      <c r="A201" s="5"/>
      <c r="B201" s="135"/>
      <c r="C201" s="56"/>
      <c r="D201" s="57"/>
      <c r="E201" s="84"/>
      <c r="F201" s="136"/>
      <c r="G201" s="60"/>
      <c r="H201" s="137"/>
      <c r="I201" s="62"/>
      <c r="J201" s="62"/>
      <c r="K201" s="60"/>
      <c r="L201" s="138"/>
      <c r="M201" s="62"/>
      <c r="N201" s="62"/>
      <c r="O201" s="60"/>
      <c r="P201" s="84"/>
      <c r="Q201" s="65"/>
      <c r="R201" s="67" t="str">
        <f aca="false">IF(ISBLANK($C201),"",IF(E201=Constants!$B$2, TRUE(), IF(E201=Constants!$B$3, FALSE(), TRUE())))</f>
        <v/>
      </c>
      <c r="S201" s="67" t="str">
        <f aca="false">IF(ISBLANK($C201),"",IF(F201=Constants!$B$2, TRUE(), IF(F201=Constants!$B$3, FALSE(), TRUE())))</f>
        <v/>
      </c>
      <c r="T201" s="67" t="str">
        <f aca="false">IF(ISBLANK($C201),"",IF(G201=Constants!$B$16,Constants!$B$9,IF(G201=Constants!$B$17,Constants!$B$10,Constants!$B$8)))</f>
        <v/>
      </c>
      <c r="U201" s="67" t="str">
        <f aca="false">IF(ISBLANK($C201),"",IF(H201=Constants!$B$19,Constants!$B$19,Constants!$B$18))</f>
        <v/>
      </c>
      <c r="V201" s="67" t="str">
        <f aca="false">IF(ISBLANK($C201),"",IF(ISNUMBER(I201),IF(I201&gt;=0,I201,""),""))</f>
        <v/>
      </c>
      <c r="W201" s="67" t="str">
        <f aca="false">IF(ISBLANK($C201),"",IF(J201=Constants!$B$2, TRUE(), IF(J201=Constants!$B$3, FALSE(), TRUE())))</f>
        <v/>
      </c>
      <c r="X201" s="67" t="str">
        <f aca="false">IF(ISBLANK($C201),"",IF(K201=Constants!$B$2, TRUE(), IF(K201=Constants!$B$3, FALSE(), TRUE())))</f>
        <v/>
      </c>
      <c r="Y201" s="67" t="str">
        <f aca="false">IF(ISBLANK($C201),"",IF(L201=Constants!$B$19,Constants!$B$19,Constants!$B$18))</f>
        <v/>
      </c>
      <c r="Z201" s="67" t="str">
        <f aca="false">IF(ISBLANK($C201),"",IF(ISNUMBER(M201),IF(M201&gt;=0,M201,""),""))</f>
        <v/>
      </c>
      <c r="AA201" s="67" t="str">
        <f aca="false">IF(ISBLANK($C201),"",IF(N201=Constants!$B$2, TRUE(), IF(N201=Constants!$B$3, FALSE(), TRUE())))</f>
        <v/>
      </c>
      <c r="AB201" s="67" t="str">
        <f aca="false">IF(ISBLANK($C201),"",IF(O201=Constants!$B$2, TRUE(), IF(O201=Constants!$B$3, FALSE(), TRUE())))</f>
        <v/>
      </c>
      <c r="AC201" s="67" t="str">
        <f aca="false">IF(ISBLANK($C201),"",IF(P201=Constants!$B$2, TRUE(), IF(P201=Constants!$B$3, FALSE(), FALSE())))</f>
        <v/>
      </c>
      <c r="AD201" s="67" t="str">
        <f aca="false">IF(ISBLANK($C201),"",AND(V201&lt;&gt;"",IF(U201=Constants!$B$19,S201,R201)))</f>
        <v/>
      </c>
      <c r="AE201" s="67" t="str">
        <f aca="false">IF(ISBLANK($C201),"",AND(Z201&lt;&gt;"",IF(Y201=Constants!$B$19,S201,R201)))</f>
        <v/>
      </c>
      <c r="AF201" s="67" t="str">
        <f aca="false">IF(ISBLANK($C201),"",IF(AC201,Constants!$B$4,IF(COUNTA(E201:O201)=0,Constants!$B$5,IF(AND(NOT(AD201),NOT(AE201)),Constants!$B$6,Constants!$B$7))))</f>
        <v/>
      </c>
      <c r="AG201" s="67" t="str">
        <f aca="false">IF(ISBLANK($C201),"",IF($AF201&lt;&gt;Constants!$B$7,$AF201,Constants!$B$20))</f>
        <v/>
      </c>
      <c r="AH201" s="67" t="str">
        <f aca="false">IF($AF201=Constants!$B$7,IF(AD201,V201,Constants!$B$13),"")</f>
        <v/>
      </c>
      <c r="AI201" s="67" t="str">
        <f aca="false">IF($AF201=Constants!$B$7,IF(AD201,T201*IF(W201, 1, Constants!$B$11)*IF(X201, 1, Constants!$B$12),Constants!$B$13),"")</f>
        <v/>
      </c>
      <c r="AJ201" s="67" t="str">
        <f aca="false">IF($AF201=Constants!$B$7,AH201*AI201,"")</f>
        <v/>
      </c>
      <c r="AK201" s="67" t="str">
        <f aca="false">IF($AF201=Constants!$B$7,IF(AE201,Z201,Constants!$B$13),"")</f>
        <v/>
      </c>
      <c r="AL201" s="67" t="str">
        <f aca="false">IF($AF201=Constants!$B$7,IF(AE201,T201*IF(AA201, 1, Constants!$B$11)*IF(AB201, 1, Constants!$B$12),Constants!$B$13),"")</f>
        <v/>
      </c>
      <c r="AM201" s="67" t="str">
        <f aca="false">IF($AF201=Constants!$B$7,AK201*AL201,"")</f>
        <v/>
      </c>
      <c r="AN201" s="67" t="str">
        <f aca="false">IF($AF201=Constants!$B$7,IF(AM201&gt;AJ201,2,1),"")</f>
        <v/>
      </c>
      <c r="AO201" s="67" t="str">
        <f aca="false">IF($AF201=Constants!$B$7,IF(AN201=1,2,1),"")</f>
        <v/>
      </c>
      <c r="AP201" s="67" t="str">
        <f aca="false">IF(ISBLANK($C201),"",IF($AF201&lt;&gt;Constants!$B$7,$AF201,IF(AN201=1,AJ201,AM201)))</f>
        <v/>
      </c>
      <c r="AQ201" s="67" t="str">
        <f aca="false">IF(ISBLANK($C201),"",IF($AF201=Constants!$B$7,IF(ISNUMBER(AP201),RANK(AP201,$AP$8:$AP$507),Constants!$B$14),$AF201))</f>
        <v/>
      </c>
      <c r="AR201" s="67" t="str">
        <f aca="false">IF(ISBLANK($C201),"",IF($AF201=Constants!$B$7,IF(AO201=1,AJ201,AM201),""))</f>
        <v/>
      </c>
      <c r="AS201" s="67" t="str">
        <f aca="false">IF(ISBLANK($C201),"",IF($AF201=Constants!$B$7,RANK(AR201,$AR$8:$AR$507),$AF201))</f>
        <v/>
      </c>
      <c r="AT201" s="67" t="str">
        <f aca="false">IF(ISBLANK($C201),"",IF($AF201=Constants!$B$7,IF(ISNUMBER(AQ201),COUNTIFS($AQ$8:$AQ$507,"&lt;"&amp;$AQ201)+COUNTIFS($AQ$8:$AQ$507,$AQ201,$AS$8:$AS$507,"&lt;"&amp;$AS201)+1,Constants!$B$14),$AF201))</f>
        <v/>
      </c>
      <c r="AU201" s="67" t="str">
        <f aca="false">IF(ISBLANK($C201),"",IF($AF201=Constants!$B$7,IF(ISNUMBER(AQ201),AQ201-AT201,Constants!$B$14),$AF201))</f>
        <v/>
      </c>
      <c r="AV201" s="69"/>
      <c r="AW201" s="70" t="str">
        <f aca="false">IF(ISBLANK($C201),"",IF($AF201&lt;&gt;Constants!$B$7,"",AN201))</f>
        <v/>
      </c>
      <c r="AX201" s="85" t="str">
        <f aca="false">IF(ISBLANK($C201),"",IF($AF201&lt;&gt;Constants!$B$7,"",IF(AN201=1,AH201,AK201)))</f>
        <v/>
      </c>
      <c r="AY201" s="72" t="str">
        <f aca="false">IF(ISBLANK($C201),"",IF($AF201&lt;&gt;Constants!$B$7,"",IF(AN201=1,AI201,AL201)))</f>
        <v/>
      </c>
      <c r="AZ201" s="73" t="str">
        <f aca="false">IF(ISBLANK($C201),"",IF($AF201&lt;&gt;Constants!$B$7,$AF201,AP201))</f>
        <v/>
      </c>
      <c r="BA201" s="74" t="str">
        <f aca="false">IF(ISBLANK($C201),"",IF($AF201&lt;&gt;Constants!$B$7,$AF201,AG201))</f>
        <v/>
      </c>
      <c r="BB201" s="75" t="str">
        <f aca="false">IF(ISBLANK($C201),"",AU201)</f>
        <v/>
      </c>
      <c r="BC201" s="75" t="str">
        <f aca="false">IF(ISBLANK($C201),"",AT201)</f>
        <v/>
      </c>
      <c r="BD201" s="76" t="str">
        <f aca="false">IF(ISBLANK($C201),"",IFERROR(_xlfn.SWITCH(BC201,Constants!$B$4,COUNTA($C$8:$C$507)+2,Constants!$B$5,COUNTA($C$8:$C$507)+1,Constants!$B$6,COUNTA($C$8:$C$507)),BC201))</f>
        <v/>
      </c>
      <c r="BE201" s="5"/>
      <c r="BF201" s="77" t="n">
        <f aca="false">IF(OR(ISNUMBER(BC201),BC201=Constants!$B$4,BC201=Constants!$B$6,BC201=Constants!$B$5),1,0)</f>
        <v>0</v>
      </c>
      <c r="BG201" s="77" t="n">
        <v>194</v>
      </c>
      <c r="BH201" s="77" t="str">
        <f aca="false">IF(ISBLANK($C201),"",IF(ISNUMBER(BD201),BD201+ROW($B201)/1000,""))</f>
        <v/>
      </c>
      <c r="BI201" s="77" t="str">
        <f aca="false">IF(ISNUMBER(BH201),RANK(BH201,$BH$8:$BH$507,1),"")</f>
        <v/>
      </c>
      <c r="BJ201" s="77" t="str">
        <f aca="false">IF(ISBLANK($C201),"",$B201)</f>
        <v/>
      </c>
      <c r="BK201" s="77" t="str">
        <f aca="false">IF(ISBLANK($C201),"",$C201)</f>
        <v/>
      </c>
      <c r="BL201" s="77" t="str">
        <f aca="false">IF(ISBLANK($C201),"",$D201)</f>
        <v/>
      </c>
      <c r="BM201" s="78" t="str">
        <f aca="false">BA201</f>
        <v/>
      </c>
      <c r="BN201" s="79" t="str">
        <f aca="false">AZ201</f>
        <v/>
      </c>
      <c r="BO201" s="77" t="str">
        <f aca="false">IF(ISBLANK($C201),"",BC201)</f>
        <v/>
      </c>
      <c r="BP201" s="80" t="str">
        <f aca="false">IF($BG201&gt;$BF$7,"",VLOOKUP($BG201,$BI$8:$BO$507,7,FALSE()))</f>
        <v/>
      </c>
      <c r="BQ201" s="81" t="str">
        <f aca="false">IF($BG201&gt;$BF$7,"",VLOOKUP($BG201,$BI$8:$BO$507,2,FALSE()))</f>
        <v/>
      </c>
      <c r="BR201" s="81" t="str">
        <f aca="false">IF($BG201&gt;$BF$7,"",VLOOKUP($BG201,$BI$8:$BO$507,3,FALSE()))</f>
        <v/>
      </c>
      <c r="BS201" s="81" t="str">
        <f aca="false">IF($BG201&gt;$BF$7,"",VLOOKUP($BG201,$BI$8:$BO$507,4,FALSE()))</f>
        <v/>
      </c>
      <c r="BT201" s="81" t="str">
        <f aca="false">IF($BG201&gt;$BF$7,"",VLOOKUP($BG201,$BI$8:$BO$507,5,FALSE()))</f>
        <v/>
      </c>
      <c r="BU201" s="82" t="str">
        <f aca="false">IF($BG201&gt;$BF$7,"",VLOOKUP($BG201,$BI$8:$BO$507,6,FALSE()))</f>
        <v/>
      </c>
      <c r="BV201" s="54"/>
    </row>
    <row r="202" customFormat="false" ht="15.75" hidden="false" customHeight="false" outlineLevel="0" collapsed="false">
      <c r="A202" s="5"/>
      <c r="B202" s="135"/>
      <c r="C202" s="56"/>
      <c r="D202" s="57"/>
      <c r="E202" s="84"/>
      <c r="F202" s="136"/>
      <c r="G202" s="60"/>
      <c r="H202" s="137"/>
      <c r="I202" s="62"/>
      <c r="J202" s="62"/>
      <c r="K202" s="60"/>
      <c r="L202" s="138"/>
      <c r="M202" s="62"/>
      <c r="N202" s="62"/>
      <c r="O202" s="60"/>
      <c r="P202" s="84"/>
      <c r="Q202" s="65"/>
      <c r="R202" s="67" t="str">
        <f aca="false">IF(ISBLANK($C202),"",IF(E202=Constants!$B$2, TRUE(), IF(E202=Constants!$B$3, FALSE(), TRUE())))</f>
        <v/>
      </c>
      <c r="S202" s="67" t="str">
        <f aca="false">IF(ISBLANK($C202),"",IF(F202=Constants!$B$2, TRUE(), IF(F202=Constants!$B$3, FALSE(), TRUE())))</f>
        <v/>
      </c>
      <c r="T202" s="67" t="str">
        <f aca="false">IF(ISBLANK($C202),"",IF(G202=Constants!$B$16,Constants!$B$9,IF(G202=Constants!$B$17,Constants!$B$10,Constants!$B$8)))</f>
        <v/>
      </c>
      <c r="U202" s="67" t="str">
        <f aca="false">IF(ISBLANK($C202),"",IF(H202=Constants!$B$19,Constants!$B$19,Constants!$B$18))</f>
        <v/>
      </c>
      <c r="V202" s="67" t="str">
        <f aca="false">IF(ISBLANK($C202),"",IF(ISNUMBER(I202),IF(I202&gt;=0,I202,""),""))</f>
        <v/>
      </c>
      <c r="W202" s="67" t="str">
        <f aca="false">IF(ISBLANK($C202),"",IF(J202=Constants!$B$2, TRUE(), IF(J202=Constants!$B$3, FALSE(), TRUE())))</f>
        <v/>
      </c>
      <c r="X202" s="67" t="str">
        <f aca="false">IF(ISBLANK($C202),"",IF(K202=Constants!$B$2, TRUE(), IF(K202=Constants!$B$3, FALSE(), TRUE())))</f>
        <v/>
      </c>
      <c r="Y202" s="67" t="str">
        <f aca="false">IF(ISBLANK($C202),"",IF(L202=Constants!$B$19,Constants!$B$19,Constants!$B$18))</f>
        <v/>
      </c>
      <c r="Z202" s="67" t="str">
        <f aca="false">IF(ISBLANK($C202),"",IF(ISNUMBER(M202),IF(M202&gt;=0,M202,""),""))</f>
        <v/>
      </c>
      <c r="AA202" s="67" t="str">
        <f aca="false">IF(ISBLANK($C202),"",IF(N202=Constants!$B$2, TRUE(), IF(N202=Constants!$B$3, FALSE(), TRUE())))</f>
        <v/>
      </c>
      <c r="AB202" s="67" t="str">
        <f aca="false">IF(ISBLANK($C202),"",IF(O202=Constants!$B$2, TRUE(), IF(O202=Constants!$B$3, FALSE(), TRUE())))</f>
        <v/>
      </c>
      <c r="AC202" s="67" t="str">
        <f aca="false">IF(ISBLANK($C202),"",IF(P202=Constants!$B$2, TRUE(), IF(P202=Constants!$B$3, FALSE(), FALSE())))</f>
        <v/>
      </c>
      <c r="AD202" s="67" t="str">
        <f aca="false">IF(ISBLANK($C202),"",AND(V202&lt;&gt;"",IF(U202=Constants!$B$19,S202,R202)))</f>
        <v/>
      </c>
      <c r="AE202" s="67" t="str">
        <f aca="false">IF(ISBLANK($C202),"",AND(Z202&lt;&gt;"",IF(Y202=Constants!$B$19,S202,R202)))</f>
        <v/>
      </c>
      <c r="AF202" s="67" t="str">
        <f aca="false">IF(ISBLANK($C202),"",IF(AC202,Constants!$B$4,IF(COUNTA(E202:O202)=0,Constants!$B$5,IF(AND(NOT(AD202),NOT(AE202)),Constants!$B$6,Constants!$B$7))))</f>
        <v/>
      </c>
      <c r="AG202" s="67" t="str">
        <f aca="false">IF(ISBLANK($C202),"",IF($AF202&lt;&gt;Constants!$B$7,$AF202,Constants!$B$20))</f>
        <v/>
      </c>
      <c r="AH202" s="67" t="str">
        <f aca="false">IF($AF202=Constants!$B$7,IF(AD202,V202,Constants!$B$13),"")</f>
        <v/>
      </c>
      <c r="AI202" s="67" t="str">
        <f aca="false">IF($AF202=Constants!$B$7,IF(AD202,T202*IF(W202, 1, Constants!$B$11)*IF(X202, 1, Constants!$B$12),Constants!$B$13),"")</f>
        <v/>
      </c>
      <c r="AJ202" s="67" t="str">
        <f aca="false">IF($AF202=Constants!$B$7,AH202*AI202,"")</f>
        <v/>
      </c>
      <c r="AK202" s="67" t="str">
        <f aca="false">IF($AF202=Constants!$B$7,IF(AE202,Z202,Constants!$B$13),"")</f>
        <v/>
      </c>
      <c r="AL202" s="67" t="str">
        <f aca="false">IF($AF202=Constants!$B$7,IF(AE202,T202*IF(AA202, 1, Constants!$B$11)*IF(AB202, 1, Constants!$B$12),Constants!$B$13),"")</f>
        <v/>
      </c>
      <c r="AM202" s="67" t="str">
        <f aca="false">IF($AF202=Constants!$B$7,AK202*AL202,"")</f>
        <v/>
      </c>
      <c r="AN202" s="67" t="str">
        <f aca="false">IF($AF202=Constants!$B$7,IF(AM202&gt;AJ202,2,1),"")</f>
        <v/>
      </c>
      <c r="AO202" s="67" t="str">
        <f aca="false">IF($AF202=Constants!$B$7,IF(AN202=1,2,1),"")</f>
        <v/>
      </c>
      <c r="AP202" s="67" t="str">
        <f aca="false">IF(ISBLANK($C202),"",IF($AF202&lt;&gt;Constants!$B$7,$AF202,IF(AN202=1,AJ202,AM202)))</f>
        <v/>
      </c>
      <c r="AQ202" s="67" t="str">
        <f aca="false">IF(ISBLANK($C202),"",IF($AF202=Constants!$B$7,IF(ISNUMBER(AP202),RANK(AP202,$AP$8:$AP$507),Constants!$B$14),$AF202))</f>
        <v/>
      </c>
      <c r="AR202" s="67" t="str">
        <f aca="false">IF(ISBLANK($C202),"",IF($AF202=Constants!$B$7,IF(AO202=1,AJ202,AM202),""))</f>
        <v/>
      </c>
      <c r="AS202" s="67" t="str">
        <f aca="false">IF(ISBLANK($C202),"",IF($AF202=Constants!$B$7,RANK(AR202,$AR$8:$AR$507),$AF202))</f>
        <v/>
      </c>
      <c r="AT202" s="67" t="str">
        <f aca="false">IF(ISBLANK($C202),"",IF($AF202=Constants!$B$7,IF(ISNUMBER(AQ202),COUNTIFS($AQ$8:$AQ$507,"&lt;"&amp;$AQ202)+COUNTIFS($AQ$8:$AQ$507,$AQ202,$AS$8:$AS$507,"&lt;"&amp;$AS202)+1,Constants!$B$14),$AF202))</f>
        <v/>
      </c>
      <c r="AU202" s="67" t="str">
        <f aca="false">IF(ISBLANK($C202),"",IF($AF202=Constants!$B$7,IF(ISNUMBER(AQ202),AQ202-AT202,Constants!$B$14),$AF202))</f>
        <v/>
      </c>
      <c r="AV202" s="69"/>
      <c r="AW202" s="70" t="str">
        <f aca="false">IF(ISBLANK($C202),"",IF($AF202&lt;&gt;Constants!$B$7,"",AN202))</f>
        <v/>
      </c>
      <c r="AX202" s="85" t="str">
        <f aca="false">IF(ISBLANK($C202),"",IF($AF202&lt;&gt;Constants!$B$7,"",IF(AN202=1,AH202,AK202)))</f>
        <v/>
      </c>
      <c r="AY202" s="72" t="str">
        <f aca="false">IF(ISBLANK($C202),"",IF($AF202&lt;&gt;Constants!$B$7,"",IF(AN202=1,AI202,AL202)))</f>
        <v/>
      </c>
      <c r="AZ202" s="73" t="str">
        <f aca="false">IF(ISBLANK($C202),"",IF($AF202&lt;&gt;Constants!$B$7,$AF202,AP202))</f>
        <v/>
      </c>
      <c r="BA202" s="74" t="str">
        <f aca="false">IF(ISBLANK($C202),"",IF($AF202&lt;&gt;Constants!$B$7,$AF202,AG202))</f>
        <v/>
      </c>
      <c r="BB202" s="75" t="str">
        <f aca="false">IF(ISBLANK($C202),"",AU202)</f>
        <v/>
      </c>
      <c r="BC202" s="75" t="str">
        <f aca="false">IF(ISBLANK($C202),"",AT202)</f>
        <v/>
      </c>
      <c r="BD202" s="76" t="str">
        <f aca="false">IF(ISBLANK($C202),"",IFERROR(_xlfn.SWITCH(BC202,Constants!$B$4,COUNTA($C$8:$C$507)+2,Constants!$B$5,COUNTA($C$8:$C$507)+1,Constants!$B$6,COUNTA($C$8:$C$507)),BC202))</f>
        <v/>
      </c>
      <c r="BE202" s="5"/>
      <c r="BF202" s="77" t="n">
        <f aca="false">IF(OR(ISNUMBER(BC202),BC202=Constants!$B$4,BC202=Constants!$B$6,BC202=Constants!$B$5),1,0)</f>
        <v>0</v>
      </c>
      <c r="BG202" s="77" t="n">
        <v>195</v>
      </c>
      <c r="BH202" s="77" t="str">
        <f aca="false">IF(ISBLANK($C202),"",IF(ISNUMBER(BD202),BD202+ROW($B202)/1000,""))</f>
        <v/>
      </c>
      <c r="BI202" s="77" t="str">
        <f aca="false">IF(ISNUMBER(BH202),RANK(BH202,$BH$8:$BH$507,1),"")</f>
        <v/>
      </c>
      <c r="BJ202" s="77" t="str">
        <f aca="false">IF(ISBLANK($C202),"",$B202)</f>
        <v/>
      </c>
      <c r="BK202" s="77" t="str">
        <f aca="false">IF(ISBLANK($C202),"",$C202)</f>
        <v/>
      </c>
      <c r="BL202" s="77" t="str">
        <f aca="false">IF(ISBLANK($C202),"",$D202)</f>
        <v/>
      </c>
      <c r="BM202" s="78" t="str">
        <f aca="false">BA202</f>
        <v/>
      </c>
      <c r="BN202" s="79" t="str">
        <f aca="false">AZ202</f>
        <v/>
      </c>
      <c r="BO202" s="77" t="str">
        <f aca="false">IF(ISBLANK($C202),"",BC202)</f>
        <v/>
      </c>
      <c r="BP202" s="80" t="str">
        <f aca="false">IF($BG202&gt;$BF$7,"",VLOOKUP($BG202,$BI$8:$BO$507,7,FALSE()))</f>
        <v/>
      </c>
      <c r="BQ202" s="81" t="str">
        <f aca="false">IF($BG202&gt;$BF$7,"",VLOOKUP($BG202,$BI$8:$BO$507,2,FALSE()))</f>
        <v/>
      </c>
      <c r="BR202" s="81" t="str">
        <f aca="false">IF($BG202&gt;$BF$7,"",VLOOKUP($BG202,$BI$8:$BO$507,3,FALSE()))</f>
        <v/>
      </c>
      <c r="BS202" s="81" t="str">
        <f aca="false">IF($BG202&gt;$BF$7,"",VLOOKUP($BG202,$BI$8:$BO$507,4,FALSE()))</f>
        <v/>
      </c>
      <c r="BT202" s="81" t="str">
        <f aca="false">IF($BG202&gt;$BF$7,"",VLOOKUP($BG202,$BI$8:$BO$507,5,FALSE()))</f>
        <v/>
      </c>
      <c r="BU202" s="82" t="str">
        <f aca="false">IF($BG202&gt;$BF$7,"",VLOOKUP($BG202,$BI$8:$BO$507,6,FALSE()))</f>
        <v/>
      </c>
      <c r="BV202" s="54"/>
    </row>
    <row r="203" customFormat="false" ht="15.75" hidden="false" customHeight="false" outlineLevel="0" collapsed="false">
      <c r="A203" s="5"/>
      <c r="B203" s="128"/>
      <c r="C203" s="129"/>
      <c r="D203" s="114"/>
      <c r="E203" s="134"/>
      <c r="F203" s="139"/>
      <c r="G203" s="93"/>
      <c r="H203" s="140"/>
      <c r="I203" s="95"/>
      <c r="J203" s="95"/>
      <c r="K203" s="93"/>
      <c r="L203" s="141"/>
      <c r="M203" s="95"/>
      <c r="N203" s="95"/>
      <c r="O203" s="93"/>
      <c r="P203" s="134"/>
      <c r="Q203" s="98"/>
      <c r="R203" s="99" t="str">
        <f aca="false">IF(ISBLANK($C203),"",IF(E203=Constants!$B$2, TRUE(), IF(E203=Constants!$B$3, FALSE(), TRUE())))</f>
        <v/>
      </c>
      <c r="S203" s="99" t="str">
        <f aca="false">IF(ISBLANK($C203),"",IF(F203=Constants!$B$2, TRUE(), IF(F203=Constants!$B$3, FALSE(), TRUE())))</f>
        <v/>
      </c>
      <c r="T203" s="99" t="str">
        <f aca="false">IF(ISBLANK($C203),"",IF(G203=Constants!$B$16,Constants!$B$9,IF(G203=Constants!$B$17,Constants!$B$10,Constants!$B$8)))</f>
        <v/>
      </c>
      <c r="U203" s="99" t="str">
        <f aca="false">IF(ISBLANK($C203),"",IF(H203=Constants!$B$19,Constants!$B$19,Constants!$B$18))</f>
        <v/>
      </c>
      <c r="V203" s="99" t="str">
        <f aca="false">IF(ISBLANK($C203),"",IF(ISNUMBER(I203),IF(I203&gt;=0,I203,""),""))</f>
        <v/>
      </c>
      <c r="W203" s="99" t="str">
        <f aca="false">IF(ISBLANK($C203),"",IF(J203=Constants!$B$2, TRUE(), IF(J203=Constants!$B$3, FALSE(), TRUE())))</f>
        <v/>
      </c>
      <c r="X203" s="99" t="str">
        <f aca="false">IF(ISBLANK($C203),"",IF(K203=Constants!$B$2, TRUE(), IF(K203=Constants!$B$3, FALSE(), TRUE())))</f>
        <v/>
      </c>
      <c r="Y203" s="99" t="str">
        <f aca="false">IF(ISBLANK($C203),"",IF(L203=Constants!$B$19,Constants!$B$19,Constants!$B$18))</f>
        <v/>
      </c>
      <c r="Z203" s="99" t="str">
        <f aca="false">IF(ISBLANK($C203),"",IF(ISNUMBER(M203),IF(M203&gt;=0,M203,""),""))</f>
        <v/>
      </c>
      <c r="AA203" s="99" t="str">
        <f aca="false">IF(ISBLANK($C203),"",IF(N203=Constants!$B$2, TRUE(), IF(N203=Constants!$B$3, FALSE(), TRUE())))</f>
        <v/>
      </c>
      <c r="AB203" s="99" t="str">
        <f aca="false">IF(ISBLANK($C203),"",IF(O203=Constants!$B$2, TRUE(), IF(O203=Constants!$B$3, FALSE(), TRUE())))</f>
        <v/>
      </c>
      <c r="AC203" s="99" t="str">
        <f aca="false">IF(ISBLANK($C203),"",IF(P203=Constants!$B$2, TRUE(), IF(P203=Constants!$B$3, FALSE(), FALSE())))</f>
        <v/>
      </c>
      <c r="AD203" s="99" t="str">
        <f aca="false">IF(ISBLANK($C203),"",AND(V203&lt;&gt;"",IF(U203=Constants!$B$19,S203,R203)))</f>
        <v/>
      </c>
      <c r="AE203" s="99" t="str">
        <f aca="false">IF(ISBLANK($C203),"",AND(Z203&lt;&gt;"",IF(Y203=Constants!$B$19,S203,R203)))</f>
        <v/>
      </c>
      <c r="AF203" s="99" t="str">
        <f aca="false">IF(ISBLANK($C203),"",IF(AC203,Constants!$B$4,IF(COUNTA(E203:O203)=0,Constants!$B$5,IF(AND(NOT(AD203),NOT(AE203)),Constants!$B$6,Constants!$B$7))))</f>
        <v/>
      </c>
      <c r="AG203" s="99" t="str">
        <f aca="false">IF(ISBLANK($C203),"",IF($AF203&lt;&gt;Constants!$B$7,$AF203,Constants!$B$20))</f>
        <v/>
      </c>
      <c r="AH203" s="99" t="str">
        <f aca="false">IF($AF203=Constants!$B$7,IF(AD203,V203,Constants!$B$13),"")</f>
        <v/>
      </c>
      <c r="AI203" s="99" t="str">
        <f aca="false">IF($AF203=Constants!$B$7,IF(AD203,T203*IF(W203, 1, Constants!$B$11)*IF(X203, 1, Constants!$B$12),Constants!$B$13),"")</f>
        <v/>
      </c>
      <c r="AJ203" s="99" t="str">
        <f aca="false">IF($AF203=Constants!$B$7,AH203*AI203,"")</f>
        <v/>
      </c>
      <c r="AK203" s="99" t="str">
        <f aca="false">IF($AF203=Constants!$B$7,IF(AE203,Z203,Constants!$B$13),"")</f>
        <v/>
      </c>
      <c r="AL203" s="99" t="str">
        <f aca="false">IF($AF203=Constants!$B$7,IF(AE203,T203*IF(AA203, 1, Constants!$B$11)*IF(AB203, 1, Constants!$B$12),Constants!$B$13),"")</f>
        <v/>
      </c>
      <c r="AM203" s="99" t="str">
        <f aca="false">IF($AF203=Constants!$B$7,AK203*AL203,"")</f>
        <v/>
      </c>
      <c r="AN203" s="99" t="str">
        <f aca="false">IF($AF203=Constants!$B$7,IF(AM203&gt;AJ203,2,1),"")</f>
        <v/>
      </c>
      <c r="AO203" s="99" t="str">
        <f aca="false">IF($AF203=Constants!$B$7,IF(AN203=1,2,1),"")</f>
        <v/>
      </c>
      <c r="AP203" s="99" t="str">
        <f aca="false">IF(ISBLANK($C203),"",IF($AF203&lt;&gt;Constants!$B$7,$AF203,IF(AN203=1,AJ203,AM203)))</f>
        <v/>
      </c>
      <c r="AQ203" s="99" t="str">
        <f aca="false">IF(ISBLANK($C203),"",IF($AF203=Constants!$B$7,IF(ISNUMBER(AP203),RANK(AP203,$AP$8:$AP$507),Constants!$B$14),$AF203))</f>
        <v/>
      </c>
      <c r="AR203" s="99" t="str">
        <f aca="false">IF(ISBLANK($C203),"",IF($AF203=Constants!$B$7,IF(AO203=1,AJ203,AM203),""))</f>
        <v/>
      </c>
      <c r="AS203" s="99" t="str">
        <f aca="false">IF(ISBLANK($C203),"",IF($AF203=Constants!$B$7,RANK(AR203,$AR$8:$AR$507),$AF203))</f>
        <v/>
      </c>
      <c r="AT203" s="99" t="str">
        <f aca="false">IF(ISBLANK($C203),"",IF($AF203=Constants!$B$7,IF(ISNUMBER(AQ203),COUNTIFS($AQ$8:$AQ$507,"&lt;"&amp;$AQ203)+COUNTIFS($AQ$8:$AQ$507,$AQ203,$AS$8:$AS$507,"&lt;"&amp;$AS203)+1,Constants!$B$14),$AF203))</f>
        <v/>
      </c>
      <c r="AU203" s="99" t="str">
        <f aca="false">IF(ISBLANK($C203),"",IF($AF203=Constants!$B$7,IF(ISNUMBER(AQ203),AQ203-AT203,Constants!$B$14),$AF203))</f>
        <v/>
      </c>
      <c r="AV203" s="100"/>
      <c r="AW203" s="101" t="str">
        <f aca="false">IF(ISBLANK($C203),"",IF($AF203&lt;&gt;Constants!$B$7,"",AN203))</f>
        <v/>
      </c>
      <c r="AX203" s="102" t="str">
        <f aca="false">IF(ISBLANK($C203),"",IF($AF203&lt;&gt;Constants!$B$7,"",IF(AN203=1,AH203,AK203)))</f>
        <v/>
      </c>
      <c r="AY203" s="103" t="str">
        <f aca="false">IF(ISBLANK($C203),"",IF($AF203&lt;&gt;Constants!$B$7,"",IF(AN203=1,AI203,AL203)))</f>
        <v/>
      </c>
      <c r="AZ203" s="104" t="str">
        <f aca="false">IF(ISBLANK($C203),"",IF($AF203&lt;&gt;Constants!$B$7,$AF203,AP203))</f>
        <v/>
      </c>
      <c r="BA203" s="105" t="str">
        <f aca="false">IF(ISBLANK($C203),"",IF($AF203&lt;&gt;Constants!$B$7,$AF203,AG203))</f>
        <v/>
      </c>
      <c r="BB203" s="106" t="str">
        <f aca="false">IF(ISBLANK($C203),"",AU203)</f>
        <v/>
      </c>
      <c r="BC203" s="106" t="str">
        <f aca="false">IF(ISBLANK($C203),"",AT203)</f>
        <v/>
      </c>
      <c r="BD203" s="107" t="str">
        <f aca="false">IF(ISBLANK($C203),"",IFERROR(_xlfn.SWITCH(BC203,Constants!$B$4,COUNTA($C$8:$C$507)+2,Constants!$B$5,COUNTA($C$8:$C$507)+1,Constants!$B$6,COUNTA($C$8:$C$507)),BC203))</f>
        <v/>
      </c>
      <c r="BE203" s="5"/>
      <c r="BF203" s="108" t="n">
        <f aca="false">IF(OR(ISNUMBER(BC203),BC203=Constants!$B$4,BC203=Constants!$B$6,BC203=Constants!$B$5),1,0)</f>
        <v>0</v>
      </c>
      <c r="BG203" s="108" t="n">
        <v>196</v>
      </c>
      <c r="BH203" s="108" t="str">
        <f aca="false">IF(ISBLANK($C203),"",IF(ISNUMBER(BD203),BD203+ROW($B203)/1000,""))</f>
        <v/>
      </c>
      <c r="BI203" s="108" t="str">
        <f aca="false">IF(ISNUMBER(BH203),RANK(BH203,$BH$8:$BH$507,1),"")</f>
        <v/>
      </c>
      <c r="BJ203" s="108" t="str">
        <f aca="false">IF(ISBLANK($C203),"",$B203)</f>
        <v/>
      </c>
      <c r="BK203" s="108" t="str">
        <f aca="false">IF(ISBLANK($C203),"",$C203)</f>
        <v/>
      </c>
      <c r="BL203" s="108" t="str">
        <f aca="false">IF(ISBLANK($C203),"",$D203)</f>
        <v/>
      </c>
      <c r="BM203" s="109" t="str">
        <f aca="false">BA203</f>
        <v/>
      </c>
      <c r="BN203" s="110" t="str">
        <f aca="false">AZ203</f>
        <v/>
      </c>
      <c r="BO203" s="108" t="str">
        <f aca="false">IF(ISBLANK($C203),"",BC203)</f>
        <v/>
      </c>
      <c r="BP203" s="111" t="str">
        <f aca="false">IF($BG203&gt;$BF$7,"",VLOOKUP($BG203,$BI$8:$BO$507,7,FALSE()))</f>
        <v/>
      </c>
      <c r="BQ203" s="112" t="str">
        <f aca="false">IF($BG203&gt;$BF$7,"",VLOOKUP($BG203,$BI$8:$BO$507,2,FALSE()))</f>
        <v/>
      </c>
      <c r="BR203" s="112" t="str">
        <f aca="false">IF($BG203&gt;$BF$7,"",VLOOKUP($BG203,$BI$8:$BO$507,3,FALSE()))</f>
        <v/>
      </c>
      <c r="BS203" s="112" t="str">
        <f aca="false">IF($BG203&gt;$BF$7,"",VLOOKUP($BG203,$BI$8:$BO$507,4,FALSE()))</f>
        <v/>
      </c>
      <c r="BT203" s="112" t="str">
        <f aca="false">IF($BG203&gt;$BF$7,"",VLOOKUP($BG203,$BI$8:$BO$507,5,FALSE()))</f>
        <v/>
      </c>
      <c r="BU203" s="113" t="str">
        <f aca="false">IF($BG203&gt;$BF$7,"",VLOOKUP($BG203,$BI$8:$BO$507,6,FALSE()))</f>
        <v/>
      </c>
      <c r="BV203" s="54"/>
    </row>
    <row r="204" customFormat="false" ht="15.75" hidden="false" customHeight="false" outlineLevel="0" collapsed="false">
      <c r="A204" s="5"/>
      <c r="B204" s="128"/>
      <c r="C204" s="129"/>
      <c r="D204" s="114"/>
      <c r="E204" s="134"/>
      <c r="F204" s="139"/>
      <c r="G204" s="93"/>
      <c r="H204" s="140"/>
      <c r="I204" s="95"/>
      <c r="J204" s="95"/>
      <c r="K204" s="93"/>
      <c r="L204" s="141"/>
      <c r="M204" s="95"/>
      <c r="N204" s="95"/>
      <c r="O204" s="93"/>
      <c r="P204" s="134"/>
      <c r="Q204" s="98"/>
      <c r="R204" s="99" t="str">
        <f aca="false">IF(ISBLANK($C204),"",IF(E204=Constants!$B$2, TRUE(), IF(E204=Constants!$B$3, FALSE(), TRUE())))</f>
        <v/>
      </c>
      <c r="S204" s="99" t="str">
        <f aca="false">IF(ISBLANK($C204),"",IF(F204=Constants!$B$2, TRUE(), IF(F204=Constants!$B$3, FALSE(), TRUE())))</f>
        <v/>
      </c>
      <c r="T204" s="99" t="str">
        <f aca="false">IF(ISBLANK($C204),"",IF(G204=Constants!$B$16,Constants!$B$9,IF(G204=Constants!$B$17,Constants!$B$10,Constants!$B$8)))</f>
        <v/>
      </c>
      <c r="U204" s="99" t="str">
        <f aca="false">IF(ISBLANK($C204),"",IF(H204=Constants!$B$19,Constants!$B$19,Constants!$B$18))</f>
        <v/>
      </c>
      <c r="V204" s="99" t="str">
        <f aca="false">IF(ISBLANK($C204),"",IF(ISNUMBER(I204),IF(I204&gt;=0,I204,""),""))</f>
        <v/>
      </c>
      <c r="W204" s="99" t="str">
        <f aca="false">IF(ISBLANK($C204),"",IF(J204=Constants!$B$2, TRUE(), IF(J204=Constants!$B$3, FALSE(), TRUE())))</f>
        <v/>
      </c>
      <c r="X204" s="99" t="str">
        <f aca="false">IF(ISBLANK($C204),"",IF(K204=Constants!$B$2, TRUE(), IF(K204=Constants!$B$3, FALSE(), TRUE())))</f>
        <v/>
      </c>
      <c r="Y204" s="99" t="str">
        <f aca="false">IF(ISBLANK($C204),"",IF(L204=Constants!$B$19,Constants!$B$19,Constants!$B$18))</f>
        <v/>
      </c>
      <c r="Z204" s="99" t="str">
        <f aca="false">IF(ISBLANK($C204),"",IF(ISNUMBER(M204),IF(M204&gt;=0,M204,""),""))</f>
        <v/>
      </c>
      <c r="AA204" s="99" t="str">
        <f aca="false">IF(ISBLANK($C204),"",IF(N204=Constants!$B$2, TRUE(), IF(N204=Constants!$B$3, FALSE(), TRUE())))</f>
        <v/>
      </c>
      <c r="AB204" s="99" t="str">
        <f aca="false">IF(ISBLANK($C204),"",IF(O204=Constants!$B$2, TRUE(), IF(O204=Constants!$B$3, FALSE(), TRUE())))</f>
        <v/>
      </c>
      <c r="AC204" s="99" t="str">
        <f aca="false">IF(ISBLANK($C204),"",IF(P204=Constants!$B$2, TRUE(), IF(P204=Constants!$B$3, FALSE(), FALSE())))</f>
        <v/>
      </c>
      <c r="AD204" s="99" t="str">
        <f aca="false">IF(ISBLANK($C204),"",AND(V204&lt;&gt;"",IF(U204=Constants!$B$19,S204,R204)))</f>
        <v/>
      </c>
      <c r="AE204" s="99" t="str">
        <f aca="false">IF(ISBLANK($C204),"",AND(Z204&lt;&gt;"",IF(Y204=Constants!$B$19,S204,R204)))</f>
        <v/>
      </c>
      <c r="AF204" s="99" t="str">
        <f aca="false">IF(ISBLANK($C204),"",IF(AC204,Constants!$B$4,IF(COUNTA(E204:O204)=0,Constants!$B$5,IF(AND(NOT(AD204),NOT(AE204)),Constants!$B$6,Constants!$B$7))))</f>
        <v/>
      </c>
      <c r="AG204" s="99" t="str">
        <f aca="false">IF(ISBLANK($C204),"",IF($AF204&lt;&gt;Constants!$B$7,$AF204,Constants!$B$20))</f>
        <v/>
      </c>
      <c r="AH204" s="99" t="str">
        <f aca="false">IF($AF204=Constants!$B$7,IF(AD204,V204,Constants!$B$13),"")</f>
        <v/>
      </c>
      <c r="AI204" s="99" t="str">
        <f aca="false">IF($AF204=Constants!$B$7,IF(AD204,T204*IF(W204, 1, Constants!$B$11)*IF(X204, 1, Constants!$B$12),Constants!$B$13),"")</f>
        <v/>
      </c>
      <c r="AJ204" s="99" t="str">
        <f aca="false">IF($AF204=Constants!$B$7,AH204*AI204,"")</f>
        <v/>
      </c>
      <c r="AK204" s="99" t="str">
        <f aca="false">IF($AF204=Constants!$B$7,IF(AE204,Z204,Constants!$B$13),"")</f>
        <v/>
      </c>
      <c r="AL204" s="99" t="str">
        <f aca="false">IF($AF204=Constants!$B$7,IF(AE204,T204*IF(AA204, 1, Constants!$B$11)*IF(AB204, 1, Constants!$B$12),Constants!$B$13),"")</f>
        <v/>
      </c>
      <c r="AM204" s="99" t="str">
        <f aca="false">IF($AF204=Constants!$B$7,AK204*AL204,"")</f>
        <v/>
      </c>
      <c r="AN204" s="99" t="str">
        <f aca="false">IF($AF204=Constants!$B$7,IF(AM204&gt;AJ204,2,1),"")</f>
        <v/>
      </c>
      <c r="AO204" s="99" t="str">
        <f aca="false">IF($AF204=Constants!$B$7,IF(AN204=1,2,1),"")</f>
        <v/>
      </c>
      <c r="AP204" s="99" t="str">
        <f aca="false">IF(ISBLANK($C204),"",IF($AF204&lt;&gt;Constants!$B$7,$AF204,IF(AN204=1,AJ204,AM204)))</f>
        <v/>
      </c>
      <c r="AQ204" s="99" t="str">
        <f aca="false">IF(ISBLANK($C204),"",IF($AF204=Constants!$B$7,IF(ISNUMBER(AP204),RANK(AP204,$AP$8:$AP$507),Constants!$B$14),$AF204))</f>
        <v/>
      </c>
      <c r="AR204" s="99" t="str">
        <f aca="false">IF(ISBLANK($C204),"",IF($AF204=Constants!$B$7,IF(AO204=1,AJ204,AM204),""))</f>
        <v/>
      </c>
      <c r="AS204" s="99" t="str">
        <f aca="false">IF(ISBLANK($C204),"",IF($AF204=Constants!$B$7,RANK(AR204,$AR$8:$AR$507),$AF204))</f>
        <v/>
      </c>
      <c r="AT204" s="99" t="str">
        <f aca="false">IF(ISBLANK($C204),"",IF($AF204=Constants!$B$7,IF(ISNUMBER(AQ204),COUNTIFS($AQ$8:$AQ$507,"&lt;"&amp;$AQ204)+COUNTIFS($AQ$8:$AQ$507,$AQ204,$AS$8:$AS$507,"&lt;"&amp;$AS204)+1,Constants!$B$14),$AF204))</f>
        <v/>
      </c>
      <c r="AU204" s="99" t="str">
        <f aca="false">IF(ISBLANK($C204),"",IF($AF204=Constants!$B$7,IF(ISNUMBER(AQ204),AQ204-AT204,Constants!$B$14),$AF204))</f>
        <v/>
      </c>
      <c r="AV204" s="100"/>
      <c r="AW204" s="101" t="str">
        <f aca="false">IF(ISBLANK($C204),"",IF($AF204&lt;&gt;Constants!$B$7,"",AN204))</f>
        <v/>
      </c>
      <c r="AX204" s="102" t="str">
        <f aca="false">IF(ISBLANK($C204),"",IF($AF204&lt;&gt;Constants!$B$7,"",IF(AN204=1,AH204,AK204)))</f>
        <v/>
      </c>
      <c r="AY204" s="103" t="str">
        <f aca="false">IF(ISBLANK($C204),"",IF($AF204&lt;&gt;Constants!$B$7,"",IF(AN204=1,AI204,AL204)))</f>
        <v/>
      </c>
      <c r="AZ204" s="104" t="str">
        <f aca="false">IF(ISBLANK($C204),"",IF($AF204&lt;&gt;Constants!$B$7,$AF204,AP204))</f>
        <v/>
      </c>
      <c r="BA204" s="105" t="str">
        <f aca="false">IF(ISBLANK($C204),"",IF($AF204&lt;&gt;Constants!$B$7,$AF204,AG204))</f>
        <v/>
      </c>
      <c r="BB204" s="106" t="str">
        <f aca="false">IF(ISBLANK($C204),"",AU204)</f>
        <v/>
      </c>
      <c r="BC204" s="106" t="str">
        <f aca="false">IF(ISBLANK($C204),"",AT204)</f>
        <v/>
      </c>
      <c r="BD204" s="107" t="str">
        <f aca="false">IF(ISBLANK($C204),"",IFERROR(_xlfn.SWITCH(BC204,Constants!$B$4,COUNTA($C$8:$C$507)+2,Constants!$B$5,COUNTA($C$8:$C$507)+1,Constants!$B$6,COUNTA($C$8:$C$507)),BC204))</f>
        <v/>
      </c>
      <c r="BE204" s="5"/>
      <c r="BF204" s="108" t="n">
        <f aca="false">IF(OR(ISNUMBER(BC204),BC204=Constants!$B$4,BC204=Constants!$B$6,BC204=Constants!$B$5),1,0)</f>
        <v>0</v>
      </c>
      <c r="BG204" s="108" t="n">
        <v>197</v>
      </c>
      <c r="BH204" s="108" t="str">
        <f aca="false">IF(ISBLANK($C204),"",IF(ISNUMBER(BD204),BD204+ROW($B204)/1000,""))</f>
        <v/>
      </c>
      <c r="BI204" s="108" t="str">
        <f aca="false">IF(ISNUMBER(BH204),RANK(BH204,$BH$8:$BH$507,1),"")</f>
        <v/>
      </c>
      <c r="BJ204" s="108" t="str">
        <f aca="false">IF(ISBLANK($C204),"",$B204)</f>
        <v/>
      </c>
      <c r="BK204" s="108" t="str">
        <f aca="false">IF(ISBLANK($C204),"",$C204)</f>
        <v/>
      </c>
      <c r="BL204" s="108" t="str">
        <f aca="false">IF(ISBLANK($C204),"",$D204)</f>
        <v/>
      </c>
      <c r="BM204" s="109" t="str">
        <f aca="false">BA204</f>
        <v/>
      </c>
      <c r="BN204" s="110" t="str">
        <f aca="false">AZ204</f>
        <v/>
      </c>
      <c r="BO204" s="108" t="str">
        <f aca="false">IF(ISBLANK($C204),"",BC204)</f>
        <v/>
      </c>
      <c r="BP204" s="111" t="str">
        <f aca="false">IF($BG204&gt;$BF$7,"",VLOOKUP($BG204,$BI$8:$BO$507,7,FALSE()))</f>
        <v/>
      </c>
      <c r="BQ204" s="112" t="str">
        <f aca="false">IF($BG204&gt;$BF$7,"",VLOOKUP($BG204,$BI$8:$BO$507,2,FALSE()))</f>
        <v/>
      </c>
      <c r="BR204" s="112" t="str">
        <f aca="false">IF($BG204&gt;$BF$7,"",VLOOKUP($BG204,$BI$8:$BO$507,3,FALSE()))</f>
        <v/>
      </c>
      <c r="BS204" s="112" t="str">
        <f aca="false">IF($BG204&gt;$BF$7,"",VLOOKUP($BG204,$BI$8:$BO$507,4,FALSE()))</f>
        <v/>
      </c>
      <c r="BT204" s="112" t="str">
        <f aca="false">IF($BG204&gt;$BF$7,"",VLOOKUP($BG204,$BI$8:$BO$507,5,FALSE()))</f>
        <v/>
      </c>
      <c r="BU204" s="113" t="str">
        <f aca="false">IF($BG204&gt;$BF$7,"",VLOOKUP($BG204,$BI$8:$BO$507,6,FALSE()))</f>
        <v/>
      </c>
      <c r="BV204" s="54"/>
    </row>
    <row r="205" customFormat="false" ht="15.75" hidden="false" customHeight="false" outlineLevel="0" collapsed="false">
      <c r="A205" s="5"/>
      <c r="B205" s="128"/>
      <c r="C205" s="129"/>
      <c r="D205" s="114"/>
      <c r="E205" s="134"/>
      <c r="F205" s="139"/>
      <c r="G205" s="93"/>
      <c r="H205" s="140"/>
      <c r="I205" s="95"/>
      <c r="J205" s="95"/>
      <c r="K205" s="93"/>
      <c r="L205" s="141"/>
      <c r="M205" s="95"/>
      <c r="N205" s="95"/>
      <c r="O205" s="93"/>
      <c r="P205" s="134"/>
      <c r="Q205" s="98"/>
      <c r="R205" s="99" t="str">
        <f aca="false">IF(ISBLANK($C205),"",IF(E205=Constants!$B$2, TRUE(), IF(E205=Constants!$B$3, FALSE(), TRUE())))</f>
        <v/>
      </c>
      <c r="S205" s="99" t="str">
        <f aca="false">IF(ISBLANK($C205),"",IF(F205=Constants!$B$2, TRUE(), IF(F205=Constants!$B$3, FALSE(), TRUE())))</f>
        <v/>
      </c>
      <c r="T205" s="99" t="str">
        <f aca="false">IF(ISBLANK($C205),"",IF(G205=Constants!$B$16,Constants!$B$9,IF(G205=Constants!$B$17,Constants!$B$10,Constants!$B$8)))</f>
        <v/>
      </c>
      <c r="U205" s="99" t="str">
        <f aca="false">IF(ISBLANK($C205),"",IF(H205=Constants!$B$19,Constants!$B$19,Constants!$B$18))</f>
        <v/>
      </c>
      <c r="V205" s="99" t="str">
        <f aca="false">IF(ISBLANK($C205),"",IF(ISNUMBER(I205),IF(I205&gt;=0,I205,""),""))</f>
        <v/>
      </c>
      <c r="W205" s="99" t="str">
        <f aca="false">IF(ISBLANK($C205),"",IF(J205=Constants!$B$2, TRUE(), IF(J205=Constants!$B$3, FALSE(), TRUE())))</f>
        <v/>
      </c>
      <c r="X205" s="99" t="str">
        <f aca="false">IF(ISBLANK($C205),"",IF(K205=Constants!$B$2, TRUE(), IF(K205=Constants!$B$3, FALSE(), TRUE())))</f>
        <v/>
      </c>
      <c r="Y205" s="99" t="str">
        <f aca="false">IF(ISBLANK($C205),"",IF(L205=Constants!$B$19,Constants!$B$19,Constants!$B$18))</f>
        <v/>
      </c>
      <c r="Z205" s="99" t="str">
        <f aca="false">IF(ISBLANK($C205),"",IF(ISNUMBER(M205),IF(M205&gt;=0,M205,""),""))</f>
        <v/>
      </c>
      <c r="AA205" s="99" t="str">
        <f aca="false">IF(ISBLANK($C205),"",IF(N205=Constants!$B$2, TRUE(), IF(N205=Constants!$B$3, FALSE(), TRUE())))</f>
        <v/>
      </c>
      <c r="AB205" s="99" t="str">
        <f aca="false">IF(ISBLANK($C205),"",IF(O205=Constants!$B$2, TRUE(), IF(O205=Constants!$B$3, FALSE(), TRUE())))</f>
        <v/>
      </c>
      <c r="AC205" s="99" t="str">
        <f aca="false">IF(ISBLANK($C205),"",IF(P205=Constants!$B$2, TRUE(), IF(P205=Constants!$B$3, FALSE(), FALSE())))</f>
        <v/>
      </c>
      <c r="AD205" s="99" t="str">
        <f aca="false">IF(ISBLANK($C205),"",AND(V205&lt;&gt;"",IF(U205=Constants!$B$19,S205,R205)))</f>
        <v/>
      </c>
      <c r="AE205" s="99" t="str">
        <f aca="false">IF(ISBLANK($C205),"",AND(Z205&lt;&gt;"",IF(Y205=Constants!$B$19,S205,R205)))</f>
        <v/>
      </c>
      <c r="AF205" s="99" t="str">
        <f aca="false">IF(ISBLANK($C205),"",IF(AC205,Constants!$B$4,IF(COUNTA(E205:O205)=0,Constants!$B$5,IF(AND(NOT(AD205),NOT(AE205)),Constants!$B$6,Constants!$B$7))))</f>
        <v/>
      </c>
      <c r="AG205" s="99" t="str">
        <f aca="false">IF(ISBLANK($C205),"",IF($AF205&lt;&gt;Constants!$B$7,$AF205,Constants!$B$20))</f>
        <v/>
      </c>
      <c r="AH205" s="99" t="str">
        <f aca="false">IF($AF205=Constants!$B$7,IF(AD205,V205,Constants!$B$13),"")</f>
        <v/>
      </c>
      <c r="AI205" s="99" t="str">
        <f aca="false">IF($AF205=Constants!$B$7,IF(AD205,T205*IF(W205, 1, Constants!$B$11)*IF(X205, 1, Constants!$B$12),Constants!$B$13),"")</f>
        <v/>
      </c>
      <c r="AJ205" s="99" t="str">
        <f aca="false">IF($AF205=Constants!$B$7,AH205*AI205,"")</f>
        <v/>
      </c>
      <c r="AK205" s="99" t="str">
        <f aca="false">IF($AF205=Constants!$B$7,IF(AE205,Z205,Constants!$B$13),"")</f>
        <v/>
      </c>
      <c r="AL205" s="99" t="str">
        <f aca="false">IF($AF205=Constants!$B$7,IF(AE205,T205*IF(AA205, 1, Constants!$B$11)*IF(AB205, 1, Constants!$B$12),Constants!$B$13),"")</f>
        <v/>
      </c>
      <c r="AM205" s="99" t="str">
        <f aca="false">IF($AF205=Constants!$B$7,AK205*AL205,"")</f>
        <v/>
      </c>
      <c r="AN205" s="99" t="str">
        <f aca="false">IF($AF205=Constants!$B$7,IF(AM205&gt;AJ205,2,1),"")</f>
        <v/>
      </c>
      <c r="AO205" s="99" t="str">
        <f aca="false">IF($AF205=Constants!$B$7,IF(AN205=1,2,1),"")</f>
        <v/>
      </c>
      <c r="AP205" s="99" t="str">
        <f aca="false">IF(ISBLANK($C205),"",IF($AF205&lt;&gt;Constants!$B$7,$AF205,IF(AN205=1,AJ205,AM205)))</f>
        <v/>
      </c>
      <c r="AQ205" s="99" t="str">
        <f aca="false">IF(ISBLANK($C205),"",IF($AF205=Constants!$B$7,IF(ISNUMBER(AP205),RANK(AP205,$AP$8:$AP$507),Constants!$B$14),$AF205))</f>
        <v/>
      </c>
      <c r="AR205" s="99" t="str">
        <f aca="false">IF(ISBLANK($C205),"",IF($AF205=Constants!$B$7,IF(AO205=1,AJ205,AM205),""))</f>
        <v/>
      </c>
      <c r="AS205" s="99" t="str">
        <f aca="false">IF(ISBLANK($C205),"",IF($AF205=Constants!$B$7,RANK(AR205,$AR$8:$AR$507),$AF205))</f>
        <v/>
      </c>
      <c r="AT205" s="99" t="str">
        <f aca="false">IF(ISBLANK($C205),"",IF($AF205=Constants!$B$7,IF(ISNUMBER(AQ205),COUNTIFS($AQ$8:$AQ$507,"&lt;"&amp;$AQ205)+COUNTIFS($AQ$8:$AQ$507,$AQ205,$AS$8:$AS$507,"&lt;"&amp;$AS205)+1,Constants!$B$14),$AF205))</f>
        <v/>
      </c>
      <c r="AU205" s="99" t="str">
        <f aca="false">IF(ISBLANK($C205),"",IF($AF205=Constants!$B$7,IF(ISNUMBER(AQ205),AQ205-AT205,Constants!$B$14),$AF205))</f>
        <v/>
      </c>
      <c r="AV205" s="100"/>
      <c r="AW205" s="101" t="str">
        <f aca="false">IF(ISBLANK($C205),"",IF($AF205&lt;&gt;Constants!$B$7,"",AN205))</f>
        <v/>
      </c>
      <c r="AX205" s="102" t="str">
        <f aca="false">IF(ISBLANK($C205),"",IF($AF205&lt;&gt;Constants!$B$7,"",IF(AN205=1,AH205,AK205)))</f>
        <v/>
      </c>
      <c r="AY205" s="103" t="str">
        <f aca="false">IF(ISBLANK($C205),"",IF($AF205&lt;&gt;Constants!$B$7,"",IF(AN205=1,AI205,AL205)))</f>
        <v/>
      </c>
      <c r="AZ205" s="104" t="str">
        <f aca="false">IF(ISBLANK($C205),"",IF($AF205&lt;&gt;Constants!$B$7,$AF205,AP205))</f>
        <v/>
      </c>
      <c r="BA205" s="105" t="str">
        <f aca="false">IF(ISBLANK($C205),"",IF($AF205&lt;&gt;Constants!$B$7,$AF205,AG205))</f>
        <v/>
      </c>
      <c r="BB205" s="106" t="str">
        <f aca="false">IF(ISBLANK($C205),"",AU205)</f>
        <v/>
      </c>
      <c r="BC205" s="106" t="str">
        <f aca="false">IF(ISBLANK($C205),"",AT205)</f>
        <v/>
      </c>
      <c r="BD205" s="107" t="str">
        <f aca="false">IF(ISBLANK($C205),"",IFERROR(_xlfn.SWITCH(BC205,Constants!$B$4,COUNTA($C$8:$C$507)+2,Constants!$B$5,COUNTA($C$8:$C$507)+1,Constants!$B$6,COUNTA($C$8:$C$507)),BC205))</f>
        <v/>
      </c>
      <c r="BE205" s="5"/>
      <c r="BF205" s="108" t="n">
        <f aca="false">IF(OR(ISNUMBER(BC205),BC205=Constants!$B$4,BC205=Constants!$B$6,BC205=Constants!$B$5),1,0)</f>
        <v>0</v>
      </c>
      <c r="BG205" s="108" t="n">
        <v>198</v>
      </c>
      <c r="BH205" s="108" t="str">
        <f aca="false">IF(ISBLANK($C205),"",IF(ISNUMBER(BD205),BD205+ROW($B205)/1000,""))</f>
        <v/>
      </c>
      <c r="BI205" s="108" t="str">
        <f aca="false">IF(ISNUMBER(BH205),RANK(BH205,$BH$8:$BH$507,1),"")</f>
        <v/>
      </c>
      <c r="BJ205" s="108" t="str">
        <f aca="false">IF(ISBLANK($C205),"",$B205)</f>
        <v/>
      </c>
      <c r="BK205" s="108" t="str">
        <f aca="false">IF(ISBLANK($C205),"",$C205)</f>
        <v/>
      </c>
      <c r="BL205" s="108" t="str">
        <f aca="false">IF(ISBLANK($C205),"",$D205)</f>
        <v/>
      </c>
      <c r="BM205" s="109" t="str">
        <f aca="false">BA205</f>
        <v/>
      </c>
      <c r="BN205" s="110" t="str">
        <f aca="false">AZ205</f>
        <v/>
      </c>
      <c r="BO205" s="108" t="str">
        <f aca="false">IF(ISBLANK($C205),"",BC205)</f>
        <v/>
      </c>
      <c r="BP205" s="111" t="str">
        <f aca="false">IF($BG205&gt;$BF$7,"",VLOOKUP($BG205,$BI$8:$BO$507,7,FALSE()))</f>
        <v/>
      </c>
      <c r="BQ205" s="112" t="str">
        <f aca="false">IF($BG205&gt;$BF$7,"",VLOOKUP($BG205,$BI$8:$BO$507,2,FALSE()))</f>
        <v/>
      </c>
      <c r="BR205" s="112" t="str">
        <f aca="false">IF($BG205&gt;$BF$7,"",VLOOKUP($BG205,$BI$8:$BO$507,3,FALSE()))</f>
        <v/>
      </c>
      <c r="BS205" s="112" t="str">
        <f aca="false">IF($BG205&gt;$BF$7,"",VLOOKUP($BG205,$BI$8:$BO$507,4,FALSE()))</f>
        <v/>
      </c>
      <c r="BT205" s="112" t="str">
        <f aca="false">IF($BG205&gt;$BF$7,"",VLOOKUP($BG205,$BI$8:$BO$507,5,FALSE()))</f>
        <v/>
      </c>
      <c r="BU205" s="113" t="str">
        <f aca="false">IF($BG205&gt;$BF$7,"",VLOOKUP($BG205,$BI$8:$BO$507,6,FALSE()))</f>
        <v/>
      </c>
      <c r="BV205" s="54"/>
    </row>
    <row r="206" customFormat="false" ht="15.75" hidden="false" customHeight="false" outlineLevel="0" collapsed="false">
      <c r="A206" s="5"/>
      <c r="B206" s="135"/>
      <c r="C206" s="56"/>
      <c r="D206" s="57"/>
      <c r="E206" s="84"/>
      <c r="F206" s="136"/>
      <c r="G206" s="60"/>
      <c r="H206" s="137"/>
      <c r="I206" s="62"/>
      <c r="J206" s="62"/>
      <c r="K206" s="60"/>
      <c r="L206" s="138"/>
      <c r="M206" s="62"/>
      <c r="N206" s="62"/>
      <c r="O206" s="60"/>
      <c r="P206" s="84"/>
      <c r="Q206" s="65"/>
      <c r="R206" s="67" t="str">
        <f aca="false">IF(ISBLANK($C206),"",IF(E206=Constants!$B$2, TRUE(), IF(E206=Constants!$B$3, FALSE(), TRUE())))</f>
        <v/>
      </c>
      <c r="S206" s="67" t="str">
        <f aca="false">IF(ISBLANK($C206),"",IF(F206=Constants!$B$2, TRUE(), IF(F206=Constants!$B$3, FALSE(), TRUE())))</f>
        <v/>
      </c>
      <c r="T206" s="67" t="str">
        <f aca="false">IF(ISBLANK($C206),"",IF(G206=Constants!$B$16,Constants!$B$9,IF(G206=Constants!$B$17,Constants!$B$10,Constants!$B$8)))</f>
        <v/>
      </c>
      <c r="U206" s="67" t="str">
        <f aca="false">IF(ISBLANK($C206),"",IF(H206=Constants!$B$19,Constants!$B$19,Constants!$B$18))</f>
        <v/>
      </c>
      <c r="V206" s="67" t="str">
        <f aca="false">IF(ISBLANK($C206),"",IF(ISNUMBER(I206),IF(I206&gt;=0,I206,""),""))</f>
        <v/>
      </c>
      <c r="W206" s="67" t="str">
        <f aca="false">IF(ISBLANK($C206),"",IF(J206=Constants!$B$2, TRUE(), IF(J206=Constants!$B$3, FALSE(), TRUE())))</f>
        <v/>
      </c>
      <c r="X206" s="67" t="str">
        <f aca="false">IF(ISBLANK($C206),"",IF(K206=Constants!$B$2, TRUE(), IF(K206=Constants!$B$3, FALSE(), TRUE())))</f>
        <v/>
      </c>
      <c r="Y206" s="67" t="str">
        <f aca="false">IF(ISBLANK($C206),"",IF(L206=Constants!$B$19,Constants!$B$19,Constants!$B$18))</f>
        <v/>
      </c>
      <c r="Z206" s="67" t="str">
        <f aca="false">IF(ISBLANK($C206),"",IF(ISNUMBER(M206),IF(M206&gt;=0,M206,""),""))</f>
        <v/>
      </c>
      <c r="AA206" s="67" t="str">
        <f aca="false">IF(ISBLANK($C206),"",IF(N206=Constants!$B$2, TRUE(), IF(N206=Constants!$B$3, FALSE(), TRUE())))</f>
        <v/>
      </c>
      <c r="AB206" s="67" t="str">
        <f aca="false">IF(ISBLANK($C206),"",IF(O206=Constants!$B$2, TRUE(), IF(O206=Constants!$B$3, FALSE(), TRUE())))</f>
        <v/>
      </c>
      <c r="AC206" s="67" t="str">
        <f aca="false">IF(ISBLANK($C206),"",IF(P206=Constants!$B$2, TRUE(), IF(P206=Constants!$B$3, FALSE(), FALSE())))</f>
        <v/>
      </c>
      <c r="AD206" s="67" t="str">
        <f aca="false">IF(ISBLANK($C206),"",AND(V206&lt;&gt;"",IF(U206=Constants!$B$19,S206,R206)))</f>
        <v/>
      </c>
      <c r="AE206" s="67" t="str">
        <f aca="false">IF(ISBLANK($C206),"",AND(Z206&lt;&gt;"",IF(Y206=Constants!$B$19,S206,R206)))</f>
        <v/>
      </c>
      <c r="AF206" s="67" t="str">
        <f aca="false">IF(ISBLANK($C206),"",IF(AC206,Constants!$B$4,IF(COUNTA(E206:O206)=0,Constants!$B$5,IF(AND(NOT(AD206),NOT(AE206)),Constants!$B$6,Constants!$B$7))))</f>
        <v/>
      </c>
      <c r="AG206" s="67" t="str">
        <f aca="false">IF(ISBLANK($C206),"",IF($AF206&lt;&gt;Constants!$B$7,$AF206,Constants!$B$20))</f>
        <v/>
      </c>
      <c r="AH206" s="67" t="str">
        <f aca="false">IF($AF206=Constants!$B$7,IF(AD206,V206,Constants!$B$13),"")</f>
        <v/>
      </c>
      <c r="AI206" s="67" t="str">
        <f aca="false">IF($AF206=Constants!$B$7,IF(AD206,T206*IF(W206, 1, Constants!$B$11)*IF(X206, 1, Constants!$B$12),Constants!$B$13),"")</f>
        <v/>
      </c>
      <c r="AJ206" s="67" t="str">
        <f aca="false">IF($AF206=Constants!$B$7,AH206*AI206,"")</f>
        <v/>
      </c>
      <c r="AK206" s="67" t="str">
        <f aca="false">IF($AF206=Constants!$B$7,IF(AE206,Z206,Constants!$B$13),"")</f>
        <v/>
      </c>
      <c r="AL206" s="67" t="str">
        <f aca="false">IF($AF206=Constants!$B$7,IF(AE206,T206*IF(AA206, 1, Constants!$B$11)*IF(AB206, 1, Constants!$B$12),Constants!$B$13),"")</f>
        <v/>
      </c>
      <c r="AM206" s="67" t="str">
        <f aca="false">IF($AF206=Constants!$B$7,AK206*AL206,"")</f>
        <v/>
      </c>
      <c r="AN206" s="67" t="str">
        <f aca="false">IF($AF206=Constants!$B$7,IF(AM206&gt;AJ206,2,1),"")</f>
        <v/>
      </c>
      <c r="AO206" s="67" t="str">
        <f aca="false">IF($AF206=Constants!$B$7,IF(AN206=1,2,1),"")</f>
        <v/>
      </c>
      <c r="AP206" s="67" t="str">
        <f aca="false">IF(ISBLANK($C206),"",IF($AF206&lt;&gt;Constants!$B$7,$AF206,IF(AN206=1,AJ206,AM206)))</f>
        <v/>
      </c>
      <c r="AQ206" s="67" t="str">
        <f aca="false">IF(ISBLANK($C206),"",IF($AF206=Constants!$B$7,IF(ISNUMBER(AP206),RANK(AP206,$AP$8:$AP$507),Constants!$B$14),$AF206))</f>
        <v/>
      </c>
      <c r="AR206" s="67" t="str">
        <f aca="false">IF(ISBLANK($C206),"",IF($AF206=Constants!$B$7,IF(AO206=1,AJ206,AM206),""))</f>
        <v/>
      </c>
      <c r="AS206" s="67" t="str">
        <f aca="false">IF(ISBLANK($C206),"",IF($AF206=Constants!$B$7,RANK(AR206,$AR$8:$AR$507),$AF206))</f>
        <v/>
      </c>
      <c r="AT206" s="67" t="str">
        <f aca="false">IF(ISBLANK($C206),"",IF($AF206=Constants!$B$7,IF(ISNUMBER(AQ206),COUNTIFS($AQ$8:$AQ$507,"&lt;"&amp;$AQ206)+COUNTIFS($AQ$8:$AQ$507,$AQ206,$AS$8:$AS$507,"&lt;"&amp;$AS206)+1,Constants!$B$14),$AF206))</f>
        <v/>
      </c>
      <c r="AU206" s="67" t="str">
        <f aca="false">IF(ISBLANK($C206),"",IF($AF206=Constants!$B$7,IF(ISNUMBER(AQ206),AQ206-AT206,Constants!$B$14),$AF206))</f>
        <v/>
      </c>
      <c r="AV206" s="69"/>
      <c r="AW206" s="70" t="str">
        <f aca="false">IF(ISBLANK($C206),"",IF($AF206&lt;&gt;Constants!$B$7,"",AN206))</f>
        <v/>
      </c>
      <c r="AX206" s="85" t="str">
        <f aca="false">IF(ISBLANK($C206),"",IF($AF206&lt;&gt;Constants!$B$7,"",IF(AN206=1,AH206,AK206)))</f>
        <v/>
      </c>
      <c r="AY206" s="72" t="str">
        <f aca="false">IF(ISBLANK($C206),"",IF($AF206&lt;&gt;Constants!$B$7,"",IF(AN206=1,AI206,AL206)))</f>
        <v/>
      </c>
      <c r="AZ206" s="73" t="str">
        <f aca="false">IF(ISBLANK($C206),"",IF($AF206&lt;&gt;Constants!$B$7,$AF206,AP206))</f>
        <v/>
      </c>
      <c r="BA206" s="74" t="str">
        <f aca="false">IF(ISBLANK($C206),"",IF($AF206&lt;&gt;Constants!$B$7,$AF206,AG206))</f>
        <v/>
      </c>
      <c r="BB206" s="75" t="str">
        <f aca="false">IF(ISBLANK($C206),"",AU206)</f>
        <v/>
      </c>
      <c r="BC206" s="75" t="str">
        <f aca="false">IF(ISBLANK($C206),"",AT206)</f>
        <v/>
      </c>
      <c r="BD206" s="76" t="str">
        <f aca="false">IF(ISBLANK($C206),"",IFERROR(_xlfn.SWITCH(BC206,Constants!$B$4,COUNTA($C$8:$C$507)+2,Constants!$B$5,COUNTA($C$8:$C$507)+1,Constants!$B$6,COUNTA($C$8:$C$507)),BC206))</f>
        <v/>
      </c>
      <c r="BE206" s="5"/>
      <c r="BF206" s="77" t="n">
        <f aca="false">IF(OR(ISNUMBER(BC206),BC206=Constants!$B$4,BC206=Constants!$B$6,BC206=Constants!$B$5),1,0)</f>
        <v>0</v>
      </c>
      <c r="BG206" s="77" t="n">
        <v>199</v>
      </c>
      <c r="BH206" s="77" t="str">
        <f aca="false">IF(ISBLANK($C206),"",IF(ISNUMBER(BD206),BD206+ROW($B206)/1000,""))</f>
        <v/>
      </c>
      <c r="BI206" s="77" t="str">
        <f aca="false">IF(ISNUMBER(BH206),RANK(BH206,$BH$8:$BH$507,1),"")</f>
        <v/>
      </c>
      <c r="BJ206" s="77" t="str">
        <f aca="false">IF(ISBLANK($C206),"",$B206)</f>
        <v/>
      </c>
      <c r="BK206" s="77" t="str">
        <f aca="false">IF(ISBLANK($C206),"",$C206)</f>
        <v/>
      </c>
      <c r="BL206" s="77" t="str">
        <f aca="false">IF(ISBLANK($C206),"",$D206)</f>
        <v/>
      </c>
      <c r="BM206" s="78" t="str">
        <f aca="false">BA206</f>
        <v/>
      </c>
      <c r="BN206" s="79" t="str">
        <f aca="false">AZ206</f>
        <v/>
      </c>
      <c r="BO206" s="77" t="str">
        <f aca="false">IF(ISBLANK($C206),"",BC206)</f>
        <v/>
      </c>
      <c r="BP206" s="80" t="str">
        <f aca="false">IF($BG206&gt;$BF$7,"",VLOOKUP($BG206,$BI$8:$BO$507,7,FALSE()))</f>
        <v/>
      </c>
      <c r="BQ206" s="81" t="str">
        <f aca="false">IF($BG206&gt;$BF$7,"",VLOOKUP($BG206,$BI$8:$BO$507,2,FALSE()))</f>
        <v/>
      </c>
      <c r="BR206" s="81" t="str">
        <f aca="false">IF($BG206&gt;$BF$7,"",VLOOKUP($BG206,$BI$8:$BO$507,3,FALSE()))</f>
        <v/>
      </c>
      <c r="BS206" s="81" t="str">
        <f aca="false">IF($BG206&gt;$BF$7,"",VLOOKUP($BG206,$BI$8:$BO$507,4,FALSE()))</f>
        <v/>
      </c>
      <c r="BT206" s="81" t="str">
        <f aca="false">IF($BG206&gt;$BF$7,"",VLOOKUP($BG206,$BI$8:$BO$507,5,FALSE()))</f>
        <v/>
      </c>
      <c r="BU206" s="82" t="str">
        <f aca="false">IF($BG206&gt;$BF$7,"",VLOOKUP($BG206,$BI$8:$BO$507,6,FALSE()))</f>
        <v/>
      </c>
      <c r="BV206" s="54"/>
    </row>
    <row r="207" customFormat="false" ht="15.75" hidden="false" customHeight="false" outlineLevel="0" collapsed="false">
      <c r="A207" s="5"/>
      <c r="B207" s="135"/>
      <c r="C207" s="56"/>
      <c r="D207" s="57"/>
      <c r="E207" s="84"/>
      <c r="F207" s="136"/>
      <c r="G207" s="60"/>
      <c r="H207" s="137"/>
      <c r="I207" s="62"/>
      <c r="J207" s="62"/>
      <c r="K207" s="60"/>
      <c r="L207" s="138"/>
      <c r="M207" s="62"/>
      <c r="N207" s="62"/>
      <c r="O207" s="60"/>
      <c r="P207" s="84"/>
      <c r="Q207" s="65"/>
      <c r="R207" s="67" t="str">
        <f aca="false">IF(ISBLANK($C207),"",IF(E207=Constants!$B$2, TRUE(), IF(E207=Constants!$B$3, FALSE(), TRUE())))</f>
        <v/>
      </c>
      <c r="S207" s="67" t="str">
        <f aca="false">IF(ISBLANK($C207),"",IF(F207=Constants!$B$2, TRUE(), IF(F207=Constants!$B$3, FALSE(), TRUE())))</f>
        <v/>
      </c>
      <c r="T207" s="67" t="str">
        <f aca="false">IF(ISBLANK($C207),"",IF(G207=Constants!$B$16,Constants!$B$9,IF(G207=Constants!$B$17,Constants!$B$10,Constants!$B$8)))</f>
        <v/>
      </c>
      <c r="U207" s="67" t="str">
        <f aca="false">IF(ISBLANK($C207),"",IF(H207=Constants!$B$19,Constants!$B$19,Constants!$B$18))</f>
        <v/>
      </c>
      <c r="V207" s="67" t="str">
        <f aca="false">IF(ISBLANK($C207),"",IF(ISNUMBER(I207),IF(I207&gt;=0,I207,""),""))</f>
        <v/>
      </c>
      <c r="W207" s="67" t="str">
        <f aca="false">IF(ISBLANK($C207),"",IF(J207=Constants!$B$2, TRUE(), IF(J207=Constants!$B$3, FALSE(), TRUE())))</f>
        <v/>
      </c>
      <c r="X207" s="67" t="str">
        <f aca="false">IF(ISBLANK($C207),"",IF(K207=Constants!$B$2, TRUE(), IF(K207=Constants!$B$3, FALSE(), TRUE())))</f>
        <v/>
      </c>
      <c r="Y207" s="67" t="str">
        <f aca="false">IF(ISBLANK($C207),"",IF(L207=Constants!$B$19,Constants!$B$19,Constants!$B$18))</f>
        <v/>
      </c>
      <c r="Z207" s="67" t="str">
        <f aca="false">IF(ISBLANK($C207),"",IF(ISNUMBER(M207),IF(M207&gt;=0,M207,""),""))</f>
        <v/>
      </c>
      <c r="AA207" s="67" t="str">
        <f aca="false">IF(ISBLANK($C207),"",IF(N207=Constants!$B$2, TRUE(), IF(N207=Constants!$B$3, FALSE(), TRUE())))</f>
        <v/>
      </c>
      <c r="AB207" s="67" t="str">
        <f aca="false">IF(ISBLANK($C207),"",IF(O207=Constants!$B$2, TRUE(), IF(O207=Constants!$B$3, FALSE(), TRUE())))</f>
        <v/>
      </c>
      <c r="AC207" s="67" t="str">
        <f aca="false">IF(ISBLANK($C207),"",IF(P207=Constants!$B$2, TRUE(), IF(P207=Constants!$B$3, FALSE(), FALSE())))</f>
        <v/>
      </c>
      <c r="AD207" s="67" t="str">
        <f aca="false">IF(ISBLANK($C207),"",AND(V207&lt;&gt;"",IF(U207=Constants!$B$19,S207,R207)))</f>
        <v/>
      </c>
      <c r="AE207" s="67" t="str">
        <f aca="false">IF(ISBLANK($C207),"",AND(Z207&lt;&gt;"",IF(Y207=Constants!$B$19,S207,R207)))</f>
        <v/>
      </c>
      <c r="AF207" s="67" t="str">
        <f aca="false">IF(ISBLANK($C207),"",IF(AC207,Constants!$B$4,IF(COUNTA(E207:O207)=0,Constants!$B$5,IF(AND(NOT(AD207),NOT(AE207)),Constants!$B$6,Constants!$B$7))))</f>
        <v/>
      </c>
      <c r="AG207" s="67" t="str">
        <f aca="false">IF(ISBLANK($C207),"",IF($AF207&lt;&gt;Constants!$B$7,$AF207,Constants!$B$20))</f>
        <v/>
      </c>
      <c r="AH207" s="67" t="str">
        <f aca="false">IF($AF207=Constants!$B$7,IF(AD207,V207,Constants!$B$13),"")</f>
        <v/>
      </c>
      <c r="AI207" s="67" t="str">
        <f aca="false">IF($AF207=Constants!$B$7,IF(AD207,T207*IF(W207, 1, Constants!$B$11)*IF(X207, 1, Constants!$B$12),Constants!$B$13),"")</f>
        <v/>
      </c>
      <c r="AJ207" s="67" t="str">
        <f aca="false">IF($AF207=Constants!$B$7,AH207*AI207,"")</f>
        <v/>
      </c>
      <c r="AK207" s="67" t="str">
        <f aca="false">IF($AF207=Constants!$B$7,IF(AE207,Z207,Constants!$B$13),"")</f>
        <v/>
      </c>
      <c r="AL207" s="67" t="str">
        <f aca="false">IF($AF207=Constants!$B$7,IF(AE207,T207*IF(AA207, 1, Constants!$B$11)*IF(AB207, 1, Constants!$B$12),Constants!$B$13),"")</f>
        <v/>
      </c>
      <c r="AM207" s="67" t="str">
        <f aca="false">IF($AF207=Constants!$B$7,AK207*AL207,"")</f>
        <v/>
      </c>
      <c r="AN207" s="67" t="str">
        <f aca="false">IF($AF207=Constants!$B$7,IF(AM207&gt;AJ207,2,1),"")</f>
        <v/>
      </c>
      <c r="AO207" s="67" t="str">
        <f aca="false">IF($AF207=Constants!$B$7,IF(AN207=1,2,1),"")</f>
        <v/>
      </c>
      <c r="AP207" s="67" t="str">
        <f aca="false">IF(ISBLANK($C207),"",IF($AF207&lt;&gt;Constants!$B$7,$AF207,IF(AN207=1,AJ207,AM207)))</f>
        <v/>
      </c>
      <c r="AQ207" s="67" t="str">
        <f aca="false">IF(ISBLANK($C207),"",IF($AF207=Constants!$B$7,IF(ISNUMBER(AP207),RANK(AP207,$AP$8:$AP$507),Constants!$B$14),$AF207))</f>
        <v/>
      </c>
      <c r="AR207" s="67" t="str">
        <f aca="false">IF(ISBLANK($C207),"",IF($AF207=Constants!$B$7,IF(AO207=1,AJ207,AM207),""))</f>
        <v/>
      </c>
      <c r="AS207" s="67" t="str">
        <f aca="false">IF(ISBLANK($C207),"",IF($AF207=Constants!$B$7,RANK(AR207,$AR$8:$AR$507),$AF207))</f>
        <v/>
      </c>
      <c r="AT207" s="67" t="str">
        <f aca="false">IF(ISBLANK($C207),"",IF($AF207=Constants!$B$7,IF(ISNUMBER(AQ207),COUNTIFS($AQ$8:$AQ$507,"&lt;"&amp;$AQ207)+COUNTIFS($AQ$8:$AQ$507,$AQ207,$AS$8:$AS$507,"&lt;"&amp;$AS207)+1,Constants!$B$14),$AF207))</f>
        <v/>
      </c>
      <c r="AU207" s="67" t="str">
        <f aca="false">IF(ISBLANK($C207),"",IF($AF207=Constants!$B$7,IF(ISNUMBER(AQ207),AQ207-AT207,Constants!$B$14),$AF207))</f>
        <v/>
      </c>
      <c r="AV207" s="69"/>
      <c r="AW207" s="70" t="str">
        <f aca="false">IF(ISBLANK($C207),"",IF($AF207&lt;&gt;Constants!$B$7,"",AN207))</f>
        <v/>
      </c>
      <c r="AX207" s="85" t="str">
        <f aca="false">IF(ISBLANK($C207),"",IF($AF207&lt;&gt;Constants!$B$7,"",IF(AN207=1,AH207,AK207)))</f>
        <v/>
      </c>
      <c r="AY207" s="72" t="str">
        <f aca="false">IF(ISBLANK($C207),"",IF($AF207&lt;&gt;Constants!$B$7,"",IF(AN207=1,AI207,AL207)))</f>
        <v/>
      </c>
      <c r="AZ207" s="73" t="str">
        <f aca="false">IF(ISBLANK($C207),"",IF($AF207&lt;&gt;Constants!$B$7,$AF207,AP207))</f>
        <v/>
      </c>
      <c r="BA207" s="74" t="str">
        <f aca="false">IF(ISBLANK($C207),"",IF($AF207&lt;&gt;Constants!$B$7,$AF207,AG207))</f>
        <v/>
      </c>
      <c r="BB207" s="75" t="str">
        <f aca="false">IF(ISBLANK($C207),"",AU207)</f>
        <v/>
      </c>
      <c r="BC207" s="75" t="str">
        <f aca="false">IF(ISBLANK($C207),"",AT207)</f>
        <v/>
      </c>
      <c r="BD207" s="76" t="str">
        <f aca="false">IF(ISBLANK($C207),"",IFERROR(_xlfn.SWITCH(BC207,Constants!$B$4,COUNTA($C$8:$C$507)+2,Constants!$B$5,COUNTA($C$8:$C$507)+1,Constants!$B$6,COUNTA($C$8:$C$507)),BC207))</f>
        <v/>
      </c>
      <c r="BE207" s="5"/>
      <c r="BF207" s="77" t="n">
        <f aca="false">IF(OR(ISNUMBER(BC207),BC207=Constants!$B$4,BC207=Constants!$B$6,BC207=Constants!$B$5),1,0)</f>
        <v>0</v>
      </c>
      <c r="BG207" s="77" t="n">
        <v>200</v>
      </c>
      <c r="BH207" s="77" t="str">
        <f aca="false">IF(ISBLANK($C207),"",IF(ISNUMBER(BD207),BD207+ROW($B207)/1000,""))</f>
        <v/>
      </c>
      <c r="BI207" s="77" t="str">
        <f aca="false">IF(ISNUMBER(BH207),RANK(BH207,$BH$8:$BH$507,1),"")</f>
        <v/>
      </c>
      <c r="BJ207" s="77" t="str">
        <f aca="false">IF(ISBLANK($C207),"",$B207)</f>
        <v/>
      </c>
      <c r="BK207" s="77" t="str">
        <f aca="false">IF(ISBLANK($C207),"",$C207)</f>
        <v/>
      </c>
      <c r="BL207" s="77" t="str">
        <f aca="false">IF(ISBLANK($C207),"",$D207)</f>
        <v/>
      </c>
      <c r="BM207" s="78" t="str">
        <f aca="false">BA207</f>
        <v/>
      </c>
      <c r="BN207" s="79" t="str">
        <f aca="false">AZ207</f>
        <v/>
      </c>
      <c r="BO207" s="77" t="str">
        <f aca="false">IF(ISBLANK($C207),"",BC207)</f>
        <v/>
      </c>
      <c r="BP207" s="80" t="str">
        <f aca="false">IF($BG207&gt;$BF$7,"",VLOOKUP($BG207,$BI$8:$BO$507,7,FALSE()))</f>
        <v/>
      </c>
      <c r="BQ207" s="81" t="str">
        <f aca="false">IF($BG207&gt;$BF$7,"",VLOOKUP($BG207,$BI$8:$BO$507,2,FALSE()))</f>
        <v/>
      </c>
      <c r="BR207" s="81" t="str">
        <f aca="false">IF($BG207&gt;$BF$7,"",VLOOKUP($BG207,$BI$8:$BO$507,3,FALSE()))</f>
        <v/>
      </c>
      <c r="BS207" s="81" t="str">
        <f aca="false">IF($BG207&gt;$BF$7,"",VLOOKUP($BG207,$BI$8:$BO$507,4,FALSE()))</f>
        <v/>
      </c>
      <c r="BT207" s="81" t="str">
        <f aca="false">IF($BG207&gt;$BF$7,"",VLOOKUP($BG207,$BI$8:$BO$507,5,FALSE()))</f>
        <v/>
      </c>
      <c r="BU207" s="82" t="str">
        <f aca="false">IF($BG207&gt;$BF$7,"",VLOOKUP($BG207,$BI$8:$BO$507,6,FALSE()))</f>
        <v/>
      </c>
      <c r="BV207" s="54"/>
    </row>
    <row r="208" customFormat="false" ht="15.75" hidden="false" customHeight="false" outlineLevel="0" collapsed="false">
      <c r="A208" s="5"/>
      <c r="B208" s="135"/>
      <c r="C208" s="56"/>
      <c r="D208" s="57"/>
      <c r="E208" s="84"/>
      <c r="F208" s="136"/>
      <c r="G208" s="60"/>
      <c r="H208" s="137"/>
      <c r="I208" s="62"/>
      <c r="J208" s="62"/>
      <c r="K208" s="60"/>
      <c r="L208" s="138"/>
      <c r="M208" s="62"/>
      <c r="N208" s="62"/>
      <c r="O208" s="60"/>
      <c r="P208" s="84"/>
      <c r="Q208" s="65"/>
      <c r="R208" s="67" t="str">
        <f aca="false">IF(ISBLANK($C208),"",IF(E208=Constants!$B$2, TRUE(), IF(E208=Constants!$B$3, FALSE(), TRUE())))</f>
        <v/>
      </c>
      <c r="S208" s="67" t="str">
        <f aca="false">IF(ISBLANK($C208),"",IF(F208=Constants!$B$2, TRUE(), IF(F208=Constants!$B$3, FALSE(), TRUE())))</f>
        <v/>
      </c>
      <c r="T208" s="67" t="str">
        <f aca="false">IF(ISBLANK($C208),"",IF(G208=Constants!$B$16,Constants!$B$9,IF(G208=Constants!$B$17,Constants!$B$10,Constants!$B$8)))</f>
        <v/>
      </c>
      <c r="U208" s="67" t="str">
        <f aca="false">IF(ISBLANK($C208),"",IF(H208=Constants!$B$19,Constants!$B$19,Constants!$B$18))</f>
        <v/>
      </c>
      <c r="V208" s="67" t="str">
        <f aca="false">IF(ISBLANK($C208),"",IF(ISNUMBER(I208),IF(I208&gt;=0,I208,""),""))</f>
        <v/>
      </c>
      <c r="W208" s="67" t="str">
        <f aca="false">IF(ISBLANK($C208),"",IF(J208=Constants!$B$2, TRUE(), IF(J208=Constants!$B$3, FALSE(), TRUE())))</f>
        <v/>
      </c>
      <c r="X208" s="67" t="str">
        <f aca="false">IF(ISBLANK($C208),"",IF(K208=Constants!$B$2, TRUE(), IF(K208=Constants!$B$3, FALSE(), TRUE())))</f>
        <v/>
      </c>
      <c r="Y208" s="67" t="str">
        <f aca="false">IF(ISBLANK($C208),"",IF(L208=Constants!$B$19,Constants!$B$19,Constants!$B$18))</f>
        <v/>
      </c>
      <c r="Z208" s="67" t="str">
        <f aca="false">IF(ISBLANK($C208),"",IF(ISNUMBER(M208),IF(M208&gt;=0,M208,""),""))</f>
        <v/>
      </c>
      <c r="AA208" s="67" t="str">
        <f aca="false">IF(ISBLANK($C208),"",IF(N208=Constants!$B$2, TRUE(), IF(N208=Constants!$B$3, FALSE(), TRUE())))</f>
        <v/>
      </c>
      <c r="AB208" s="67" t="str">
        <f aca="false">IF(ISBLANK($C208),"",IF(O208=Constants!$B$2, TRUE(), IF(O208=Constants!$B$3, FALSE(), TRUE())))</f>
        <v/>
      </c>
      <c r="AC208" s="67" t="str">
        <f aca="false">IF(ISBLANK($C208),"",IF(P208=Constants!$B$2, TRUE(), IF(P208=Constants!$B$3, FALSE(), FALSE())))</f>
        <v/>
      </c>
      <c r="AD208" s="67" t="str">
        <f aca="false">IF(ISBLANK($C208),"",AND(V208&lt;&gt;"",IF(U208=Constants!$B$19,S208,R208)))</f>
        <v/>
      </c>
      <c r="AE208" s="67" t="str">
        <f aca="false">IF(ISBLANK($C208),"",AND(Z208&lt;&gt;"",IF(Y208=Constants!$B$19,S208,R208)))</f>
        <v/>
      </c>
      <c r="AF208" s="67" t="str">
        <f aca="false">IF(ISBLANK($C208),"",IF(AC208,Constants!$B$4,IF(COUNTA(E208:O208)=0,Constants!$B$5,IF(AND(NOT(AD208),NOT(AE208)),Constants!$B$6,Constants!$B$7))))</f>
        <v/>
      </c>
      <c r="AG208" s="67" t="str">
        <f aca="false">IF(ISBLANK($C208),"",IF($AF208&lt;&gt;Constants!$B$7,$AF208,Constants!$B$20))</f>
        <v/>
      </c>
      <c r="AH208" s="67" t="str">
        <f aca="false">IF($AF208=Constants!$B$7,IF(AD208,V208,Constants!$B$13),"")</f>
        <v/>
      </c>
      <c r="AI208" s="67" t="str">
        <f aca="false">IF($AF208=Constants!$B$7,IF(AD208,T208*IF(W208, 1, Constants!$B$11)*IF(X208, 1, Constants!$B$12),Constants!$B$13),"")</f>
        <v/>
      </c>
      <c r="AJ208" s="67" t="str">
        <f aca="false">IF($AF208=Constants!$B$7,AH208*AI208,"")</f>
        <v/>
      </c>
      <c r="AK208" s="67" t="str">
        <f aca="false">IF($AF208=Constants!$B$7,IF(AE208,Z208,Constants!$B$13),"")</f>
        <v/>
      </c>
      <c r="AL208" s="67" t="str">
        <f aca="false">IF($AF208=Constants!$B$7,IF(AE208,T208*IF(AA208, 1, Constants!$B$11)*IF(AB208, 1, Constants!$B$12),Constants!$B$13),"")</f>
        <v/>
      </c>
      <c r="AM208" s="67" t="str">
        <f aca="false">IF($AF208=Constants!$B$7,AK208*AL208,"")</f>
        <v/>
      </c>
      <c r="AN208" s="67" t="str">
        <f aca="false">IF($AF208=Constants!$B$7,IF(AM208&gt;AJ208,2,1),"")</f>
        <v/>
      </c>
      <c r="AO208" s="67" t="str">
        <f aca="false">IF($AF208=Constants!$B$7,IF(AN208=1,2,1),"")</f>
        <v/>
      </c>
      <c r="AP208" s="67" t="str">
        <f aca="false">IF(ISBLANK($C208),"",IF($AF208&lt;&gt;Constants!$B$7,$AF208,IF(AN208=1,AJ208,AM208)))</f>
        <v/>
      </c>
      <c r="AQ208" s="67" t="str">
        <f aca="false">IF(ISBLANK($C208),"",IF($AF208=Constants!$B$7,IF(ISNUMBER(AP208),RANK(AP208,$AP$8:$AP$507),Constants!$B$14),$AF208))</f>
        <v/>
      </c>
      <c r="AR208" s="67" t="str">
        <f aca="false">IF(ISBLANK($C208),"",IF($AF208=Constants!$B$7,IF(AO208=1,AJ208,AM208),""))</f>
        <v/>
      </c>
      <c r="AS208" s="67" t="str">
        <f aca="false">IF(ISBLANK($C208),"",IF($AF208=Constants!$B$7,RANK(AR208,$AR$8:$AR$507),$AF208))</f>
        <v/>
      </c>
      <c r="AT208" s="67" t="str">
        <f aca="false">IF(ISBLANK($C208),"",IF($AF208=Constants!$B$7,IF(ISNUMBER(AQ208),COUNTIFS($AQ$8:$AQ$507,"&lt;"&amp;$AQ208)+COUNTIFS($AQ$8:$AQ$507,$AQ208,$AS$8:$AS$507,"&lt;"&amp;$AS208)+1,Constants!$B$14),$AF208))</f>
        <v/>
      </c>
      <c r="AU208" s="67" t="str">
        <f aca="false">IF(ISBLANK($C208),"",IF($AF208=Constants!$B$7,IF(ISNUMBER(AQ208),AQ208-AT208,Constants!$B$14),$AF208))</f>
        <v/>
      </c>
      <c r="AV208" s="69"/>
      <c r="AW208" s="70" t="str">
        <f aca="false">IF(ISBLANK($C208),"",IF($AF208&lt;&gt;Constants!$B$7,"",AN208))</f>
        <v/>
      </c>
      <c r="AX208" s="85" t="str">
        <f aca="false">IF(ISBLANK($C208),"",IF($AF208&lt;&gt;Constants!$B$7,"",IF(AN208=1,AH208,AK208)))</f>
        <v/>
      </c>
      <c r="AY208" s="72" t="str">
        <f aca="false">IF(ISBLANK($C208),"",IF($AF208&lt;&gt;Constants!$B$7,"",IF(AN208=1,AI208,AL208)))</f>
        <v/>
      </c>
      <c r="AZ208" s="73" t="str">
        <f aca="false">IF(ISBLANK($C208),"",IF($AF208&lt;&gt;Constants!$B$7,$AF208,AP208))</f>
        <v/>
      </c>
      <c r="BA208" s="74" t="str">
        <f aca="false">IF(ISBLANK($C208),"",IF($AF208&lt;&gt;Constants!$B$7,$AF208,AG208))</f>
        <v/>
      </c>
      <c r="BB208" s="75" t="str">
        <f aca="false">IF(ISBLANK($C208),"",AU208)</f>
        <v/>
      </c>
      <c r="BC208" s="75" t="str">
        <f aca="false">IF(ISBLANK($C208),"",AT208)</f>
        <v/>
      </c>
      <c r="BD208" s="76" t="str">
        <f aca="false">IF(ISBLANK($C208),"",IFERROR(_xlfn.SWITCH(BC208,Constants!$B$4,COUNTA($C$8:$C$507)+2,Constants!$B$5,COUNTA($C$8:$C$507)+1,Constants!$B$6,COUNTA($C$8:$C$507)),BC208))</f>
        <v/>
      </c>
      <c r="BE208" s="5"/>
      <c r="BF208" s="77" t="n">
        <f aca="false">IF(OR(ISNUMBER(BC208),BC208=Constants!$B$4,BC208=Constants!$B$6,BC208=Constants!$B$5),1,0)</f>
        <v>0</v>
      </c>
      <c r="BG208" s="77" t="n">
        <v>201</v>
      </c>
      <c r="BH208" s="77" t="str">
        <f aca="false">IF(ISBLANK($C208),"",IF(ISNUMBER(BD208),BD208+ROW($B208)/1000,""))</f>
        <v/>
      </c>
      <c r="BI208" s="77" t="str">
        <f aca="false">IF(ISNUMBER(BH208),RANK(BH208,$BH$8:$BH$507,1),"")</f>
        <v/>
      </c>
      <c r="BJ208" s="77" t="str">
        <f aca="false">IF(ISBLANK($C208),"",$B208)</f>
        <v/>
      </c>
      <c r="BK208" s="77" t="str">
        <f aca="false">IF(ISBLANK($C208),"",$C208)</f>
        <v/>
      </c>
      <c r="BL208" s="77" t="str">
        <f aca="false">IF(ISBLANK($C208),"",$D208)</f>
        <v/>
      </c>
      <c r="BM208" s="78" t="str">
        <f aca="false">BA208</f>
        <v/>
      </c>
      <c r="BN208" s="79" t="str">
        <f aca="false">AZ208</f>
        <v/>
      </c>
      <c r="BO208" s="77" t="str">
        <f aca="false">IF(ISBLANK($C208),"",BC208)</f>
        <v/>
      </c>
      <c r="BP208" s="80" t="str">
        <f aca="false">IF($BG208&gt;$BF$7,"",VLOOKUP($BG208,$BI$8:$BO$507,7,FALSE()))</f>
        <v/>
      </c>
      <c r="BQ208" s="81" t="str">
        <f aca="false">IF($BG208&gt;$BF$7,"",VLOOKUP($BG208,$BI$8:$BO$507,2,FALSE()))</f>
        <v/>
      </c>
      <c r="BR208" s="81" t="str">
        <f aca="false">IF($BG208&gt;$BF$7,"",VLOOKUP($BG208,$BI$8:$BO$507,3,FALSE()))</f>
        <v/>
      </c>
      <c r="BS208" s="81" t="str">
        <f aca="false">IF($BG208&gt;$BF$7,"",VLOOKUP($BG208,$BI$8:$BO$507,4,FALSE()))</f>
        <v/>
      </c>
      <c r="BT208" s="81" t="str">
        <f aca="false">IF($BG208&gt;$BF$7,"",VLOOKUP($BG208,$BI$8:$BO$507,5,FALSE()))</f>
        <v/>
      </c>
      <c r="BU208" s="82" t="str">
        <f aca="false">IF($BG208&gt;$BF$7,"",VLOOKUP($BG208,$BI$8:$BO$507,6,FALSE()))</f>
        <v/>
      </c>
      <c r="BV208" s="54"/>
    </row>
    <row r="209" customFormat="false" ht="15.75" hidden="false" customHeight="false" outlineLevel="0" collapsed="false">
      <c r="A209" s="5"/>
      <c r="B209" s="128"/>
      <c r="C209" s="129"/>
      <c r="D209" s="114"/>
      <c r="E209" s="134"/>
      <c r="F209" s="139"/>
      <c r="G209" s="93"/>
      <c r="H209" s="140"/>
      <c r="I209" s="95"/>
      <c r="J209" s="95"/>
      <c r="K209" s="93"/>
      <c r="L209" s="141"/>
      <c r="M209" s="95"/>
      <c r="N209" s="95"/>
      <c r="O209" s="93"/>
      <c r="P209" s="134"/>
      <c r="Q209" s="98"/>
      <c r="R209" s="99" t="str">
        <f aca="false">IF(ISBLANK($C209),"",IF(E209=Constants!$B$2, TRUE(), IF(E209=Constants!$B$3, FALSE(), TRUE())))</f>
        <v/>
      </c>
      <c r="S209" s="99" t="str">
        <f aca="false">IF(ISBLANK($C209),"",IF(F209=Constants!$B$2, TRUE(), IF(F209=Constants!$B$3, FALSE(), TRUE())))</f>
        <v/>
      </c>
      <c r="T209" s="99" t="str">
        <f aca="false">IF(ISBLANK($C209),"",IF(G209=Constants!$B$16,Constants!$B$9,IF(G209=Constants!$B$17,Constants!$B$10,Constants!$B$8)))</f>
        <v/>
      </c>
      <c r="U209" s="99" t="str">
        <f aca="false">IF(ISBLANK($C209),"",IF(H209=Constants!$B$19,Constants!$B$19,Constants!$B$18))</f>
        <v/>
      </c>
      <c r="V209" s="99" t="str">
        <f aca="false">IF(ISBLANK($C209),"",IF(ISNUMBER(I209),IF(I209&gt;=0,I209,""),""))</f>
        <v/>
      </c>
      <c r="W209" s="99" t="str">
        <f aca="false">IF(ISBLANK($C209),"",IF(J209=Constants!$B$2, TRUE(), IF(J209=Constants!$B$3, FALSE(), TRUE())))</f>
        <v/>
      </c>
      <c r="X209" s="99" t="str">
        <f aca="false">IF(ISBLANK($C209),"",IF(K209=Constants!$B$2, TRUE(), IF(K209=Constants!$B$3, FALSE(), TRUE())))</f>
        <v/>
      </c>
      <c r="Y209" s="99" t="str">
        <f aca="false">IF(ISBLANK($C209),"",IF(L209=Constants!$B$19,Constants!$B$19,Constants!$B$18))</f>
        <v/>
      </c>
      <c r="Z209" s="99" t="str">
        <f aca="false">IF(ISBLANK($C209),"",IF(ISNUMBER(M209),IF(M209&gt;=0,M209,""),""))</f>
        <v/>
      </c>
      <c r="AA209" s="99" t="str">
        <f aca="false">IF(ISBLANK($C209),"",IF(N209=Constants!$B$2, TRUE(), IF(N209=Constants!$B$3, FALSE(), TRUE())))</f>
        <v/>
      </c>
      <c r="AB209" s="99" t="str">
        <f aca="false">IF(ISBLANK($C209),"",IF(O209=Constants!$B$2, TRUE(), IF(O209=Constants!$B$3, FALSE(), TRUE())))</f>
        <v/>
      </c>
      <c r="AC209" s="99" t="str">
        <f aca="false">IF(ISBLANK($C209),"",IF(P209=Constants!$B$2, TRUE(), IF(P209=Constants!$B$3, FALSE(), FALSE())))</f>
        <v/>
      </c>
      <c r="AD209" s="99" t="str">
        <f aca="false">IF(ISBLANK($C209),"",AND(V209&lt;&gt;"",IF(U209=Constants!$B$19,S209,R209)))</f>
        <v/>
      </c>
      <c r="AE209" s="99" t="str">
        <f aca="false">IF(ISBLANK($C209),"",AND(Z209&lt;&gt;"",IF(Y209=Constants!$B$19,S209,R209)))</f>
        <v/>
      </c>
      <c r="AF209" s="99" t="str">
        <f aca="false">IF(ISBLANK($C209),"",IF(AC209,Constants!$B$4,IF(COUNTA(E209:O209)=0,Constants!$B$5,IF(AND(NOT(AD209),NOT(AE209)),Constants!$B$6,Constants!$B$7))))</f>
        <v/>
      </c>
      <c r="AG209" s="99" t="str">
        <f aca="false">IF(ISBLANK($C209),"",IF($AF209&lt;&gt;Constants!$B$7,$AF209,Constants!$B$20))</f>
        <v/>
      </c>
      <c r="AH209" s="99" t="str">
        <f aca="false">IF($AF209=Constants!$B$7,IF(AD209,V209,Constants!$B$13),"")</f>
        <v/>
      </c>
      <c r="AI209" s="99" t="str">
        <f aca="false">IF($AF209=Constants!$B$7,IF(AD209,T209*IF(W209, 1, Constants!$B$11)*IF(X209, 1, Constants!$B$12),Constants!$B$13),"")</f>
        <v/>
      </c>
      <c r="AJ209" s="99" t="str">
        <f aca="false">IF($AF209=Constants!$B$7,AH209*AI209,"")</f>
        <v/>
      </c>
      <c r="AK209" s="99" t="str">
        <f aca="false">IF($AF209=Constants!$B$7,IF(AE209,Z209,Constants!$B$13),"")</f>
        <v/>
      </c>
      <c r="AL209" s="99" t="str">
        <f aca="false">IF($AF209=Constants!$B$7,IF(AE209,T209*IF(AA209, 1, Constants!$B$11)*IF(AB209, 1, Constants!$B$12),Constants!$B$13),"")</f>
        <v/>
      </c>
      <c r="AM209" s="99" t="str">
        <f aca="false">IF($AF209=Constants!$B$7,AK209*AL209,"")</f>
        <v/>
      </c>
      <c r="AN209" s="99" t="str">
        <f aca="false">IF($AF209=Constants!$B$7,IF(AM209&gt;AJ209,2,1),"")</f>
        <v/>
      </c>
      <c r="AO209" s="99" t="str">
        <f aca="false">IF($AF209=Constants!$B$7,IF(AN209=1,2,1),"")</f>
        <v/>
      </c>
      <c r="AP209" s="99" t="str">
        <f aca="false">IF(ISBLANK($C209),"",IF($AF209&lt;&gt;Constants!$B$7,$AF209,IF(AN209=1,AJ209,AM209)))</f>
        <v/>
      </c>
      <c r="AQ209" s="99" t="str">
        <f aca="false">IF(ISBLANK($C209),"",IF($AF209=Constants!$B$7,IF(ISNUMBER(AP209),RANK(AP209,$AP$8:$AP$507),Constants!$B$14),$AF209))</f>
        <v/>
      </c>
      <c r="AR209" s="99" t="str">
        <f aca="false">IF(ISBLANK($C209),"",IF($AF209=Constants!$B$7,IF(AO209=1,AJ209,AM209),""))</f>
        <v/>
      </c>
      <c r="AS209" s="99" t="str">
        <f aca="false">IF(ISBLANK($C209),"",IF($AF209=Constants!$B$7,RANK(AR209,$AR$8:$AR$507),$AF209))</f>
        <v/>
      </c>
      <c r="AT209" s="99" t="str">
        <f aca="false">IF(ISBLANK($C209),"",IF($AF209=Constants!$B$7,IF(ISNUMBER(AQ209),COUNTIFS($AQ$8:$AQ$507,"&lt;"&amp;$AQ209)+COUNTIFS($AQ$8:$AQ$507,$AQ209,$AS$8:$AS$507,"&lt;"&amp;$AS209)+1,Constants!$B$14),$AF209))</f>
        <v/>
      </c>
      <c r="AU209" s="99" t="str">
        <f aca="false">IF(ISBLANK($C209),"",IF($AF209=Constants!$B$7,IF(ISNUMBER(AQ209),AQ209-AT209,Constants!$B$14),$AF209))</f>
        <v/>
      </c>
      <c r="AV209" s="100"/>
      <c r="AW209" s="101" t="str">
        <f aca="false">IF(ISBLANK($C209),"",IF($AF209&lt;&gt;Constants!$B$7,"",AN209))</f>
        <v/>
      </c>
      <c r="AX209" s="102" t="str">
        <f aca="false">IF(ISBLANK($C209),"",IF($AF209&lt;&gt;Constants!$B$7,"",IF(AN209=1,AH209,AK209)))</f>
        <v/>
      </c>
      <c r="AY209" s="103" t="str">
        <f aca="false">IF(ISBLANK($C209),"",IF($AF209&lt;&gt;Constants!$B$7,"",IF(AN209=1,AI209,AL209)))</f>
        <v/>
      </c>
      <c r="AZ209" s="104" t="str">
        <f aca="false">IF(ISBLANK($C209),"",IF($AF209&lt;&gt;Constants!$B$7,$AF209,AP209))</f>
        <v/>
      </c>
      <c r="BA209" s="105" t="str">
        <f aca="false">IF(ISBLANK($C209),"",IF($AF209&lt;&gt;Constants!$B$7,$AF209,AG209))</f>
        <v/>
      </c>
      <c r="BB209" s="106" t="str">
        <f aca="false">IF(ISBLANK($C209),"",AU209)</f>
        <v/>
      </c>
      <c r="BC209" s="106" t="str">
        <f aca="false">IF(ISBLANK($C209),"",AT209)</f>
        <v/>
      </c>
      <c r="BD209" s="107" t="str">
        <f aca="false">IF(ISBLANK($C209),"",IFERROR(_xlfn.SWITCH(BC209,Constants!$B$4,COUNTA($C$8:$C$507)+2,Constants!$B$5,COUNTA($C$8:$C$507)+1,Constants!$B$6,COUNTA($C$8:$C$507)),BC209))</f>
        <v/>
      </c>
      <c r="BE209" s="5"/>
      <c r="BF209" s="108" t="n">
        <f aca="false">IF(OR(ISNUMBER(BC209),BC209=Constants!$B$4,BC209=Constants!$B$6,BC209=Constants!$B$5),1,0)</f>
        <v>0</v>
      </c>
      <c r="BG209" s="108" t="n">
        <v>202</v>
      </c>
      <c r="BH209" s="108" t="str">
        <f aca="false">IF(ISBLANK($C209),"",IF(ISNUMBER(BD209),BD209+ROW($B209)/1000,""))</f>
        <v/>
      </c>
      <c r="BI209" s="108" t="str">
        <f aca="false">IF(ISNUMBER(BH209),RANK(BH209,$BH$8:$BH$507,1),"")</f>
        <v/>
      </c>
      <c r="BJ209" s="108" t="str">
        <f aca="false">IF(ISBLANK($C209),"",$B209)</f>
        <v/>
      </c>
      <c r="BK209" s="108" t="str">
        <f aca="false">IF(ISBLANK($C209),"",$C209)</f>
        <v/>
      </c>
      <c r="BL209" s="108" t="str">
        <f aca="false">IF(ISBLANK($C209),"",$D209)</f>
        <v/>
      </c>
      <c r="BM209" s="109" t="str">
        <f aca="false">BA209</f>
        <v/>
      </c>
      <c r="BN209" s="110" t="str">
        <f aca="false">AZ209</f>
        <v/>
      </c>
      <c r="BO209" s="108" t="str">
        <f aca="false">IF(ISBLANK($C209),"",BC209)</f>
        <v/>
      </c>
      <c r="BP209" s="111" t="str">
        <f aca="false">IF($BG209&gt;$BF$7,"",VLOOKUP($BG209,$BI$8:$BO$507,7,FALSE()))</f>
        <v/>
      </c>
      <c r="BQ209" s="112" t="str">
        <f aca="false">IF($BG209&gt;$BF$7,"",VLOOKUP($BG209,$BI$8:$BO$507,2,FALSE()))</f>
        <v/>
      </c>
      <c r="BR209" s="112" t="str">
        <f aca="false">IF($BG209&gt;$BF$7,"",VLOOKUP($BG209,$BI$8:$BO$507,3,FALSE()))</f>
        <v/>
      </c>
      <c r="BS209" s="112" t="str">
        <f aca="false">IF($BG209&gt;$BF$7,"",VLOOKUP($BG209,$BI$8:$BO$507,4,FALSE()))</f>
        <v/>
      </c>
      <c r="BT209" s="112" t="str">
        <f aca="false">IF($BG209&gt;$BF$7,"",VLOOKUP($BG209,$BI$8:$BO$507,5,FALSE()))</f>
        <v/>
      </c>
      <c r="BU209" s="113" t="str">
        <f aca="false">IF($BG209&gt;$BF$7,"",VLOOKUP($BG209,$BI$8:$BO$507,6,FALSE()))</f>
        <v/>
      </c>
      <c r="BV209" s="54"/>
    </row>
    <row r="210" customFormat="false" ht="15.75" hidden="false" customHeight="false" outlineLevel="0" collapsed="false">
      <c r="A210" s="5"/>
      <c r="B210" s="128"/>
      <c r="C210" s="129"/>
      <c r="D210" s="114"/>
      <c r="E210" s="134"/>
      <c r="F210" s="139"/>
      <c r="G210" s="93"/>
      <c r="H210" s="140"/>
      <c r="I210" s="95"/>
      <c r="J210" s="95"/>
      <c r="K210" s="93"/>
      <c r="L210" s="141"/>
      <c r="M210" s="95"/>
      <c r="N210" s="95"/>
      <c r="O210" s="93"/>
      <c r="P210" s="134"/>
      <c r="Q210" s="98"/>
      <c r="R210" s="99" t="str">
        <f aca="false">IF(ISBLANK($C210),"",IF(E210=Constants!$B$2, TRUE(), IF(E210=Constants!$B$3, FALSE(), TRUE())))</f>
        <v/>
      </c>
      <c r="S210" s="99" t="str">
        <f aca="false">IF(ISBLANK($C210),"",IF(F210=Constants!$B$2, TRUE(), IF(F210=Constants!$B$3, FALSE(), TRUE())))</f>
        <v/>
      </c>
      <c r="T210" s="99" t="str">
        <f aca="false">IF(ISBLANK($C210),"",IF(G210=Constants!$B$16,Constants!$B$9,IF(G210=Constants!$B$17,Constants!$B$10,Constants!$B$8)))</f>
        <v/>
      </c>
      <c r="U210" s="99" t="str">
        <f aca="false">IF(ISBLANK($C210),"",IF(H210=Constants!$B$19,Constants!$B$19,Constants!$B$18))</f>
        <v/>
      </c>
      <c r="V210" s="99" t="str">
        <f aca="false">IF(ISBLANK($C210),"",IF(ISNUMBER(I210),IF(I210&gt;=0,I210,""),""))</f>
        <v/>
      </c>
      <c r="W210" s="99" t="str">
        <f aca="false">IF(ISBLANK($C210),"",IF(J210=Constants!$B$2, TRUE(), IF(J210=Constants!$B$3, FALSE(), TRUE())))</f>
        <v/>
      </c>
      <c r="X210" s="99" t="str">
        <f aca="false">IF(ISBLANK($C210),"",IF(K210=Constants!$B$2, TRUE(), IF(K210=Constants!$B$3, FALSE(), TRUE())))</f>
        <v/>
      </c>
      <c r="Y210" s="99" t="str">
        <f aca="false">IF(ISBLANK($C210),"",IF(L210=Constants!$B$19,Constants!$B$19,Constants!$B$18))</f>
        <v/>
      </c>
      <c r="Z210" s="99" t="str">
        <f aca="false">IF(ISBLANK($C210),"",IF(ISNUMBER(M210),IF(M210&gt;=0,M210,""),""))</f>
        <v/>
      </c>
      <c r="AA210" s="99" t="str">
        <f aca="false">IF(ISBLANK($C210),"",IF(N210=Constants!$B$2, TRUE(), IF(N210=Constants!$B$3, FALSE(), TRUE())))</f>
        <v/>
      </c>
      <c r="AB210" s="99" t="str">
        <f aca="false">IF(ISBLANK($C210),"",IF(O210=Constants!$B$2, TRUE(), IF(O210=Constants!$B$3, FALSE(), TRUE())))</f>
        <v/>
      </c>
      <c r="AC210" s="99" t="str">
        <f aca="false">IF(ISBLANK($C210),"",IF(P210=Constants!$B$2, TRUE(), IF(P210=Constants!$B$3, FALSE(), FALSE())))</f>
        <v/>
      </c>
      <c r="AD210" s="99" t="str">
        <f aca="false">IF(ISBLANK($C210),"",AND(V210&lt;&gt;"",IF(U210=Constants!$B$19,S210,R210)))</f>
        <v/>
      </c>
      <c r="AE210" s="99" t="str">
        <f aca="false">IF(ISBLANK($C210),"",AND(Z210&lt;&gt;"",IF(Y210=Constants!$B$19,S210,R210)))</f>
        <v/>
      </c>
      <c r="AF210" s="99" t="str">
        <f aca="false">IF(ISBLANK($C210),"",IF(AC210,Constants!$B$4,IF(COUNTA(E210:O210)=0,Constants!$B$5,IF(AND(NOT(AD210),NOT(AE210)),Constants!$B$6,Constants!$B$7))))</f>
        <v/>
      </c>
      <c r="AG210" s="99" t="str">
        <f aca="false">IF(ISBLANK($C210),"",IF($AF210&lt;&gt;Constants!$B$7,$AF210,Constants!$B$20))</f>
        <v/>
      </c>
      <c r="AH210" s="99" t="str">
        <f aca="false">IF($AF210=Constants!$B$7,IF(AD210,V210,Constants!$B$13),"")</f>
        <v/>
      </c>
      <c r="AI210" s="99" t="str">
        <f aca="false">IF($AF210=Constants!$B$7,IF(AD210,T210*IF(W210, 1, Constants!$B$11)*IF(X210, 1, Constants!$B$12),Constants!$B$13),"")</f>
        <v/>
      </c>
      <c r="AJ210" s="99" t="str">
        <f aca="false">IF($AF210=Constants!$B$7,AH210*AI210,"")</f>
        <v/>
      </c>
      <c r="AK210" s="99" t="str">
        <f aca="false">IF($AF210=Constants!$B$7,IF(AE210,Z210,Constants!$B$13),"")</f>
        <v/>
      </c>
      <c r="AL210" s="99" t="str">
        <f aca="false">IF($AF210=Constants!$B$7,IF(AE210,T210*IF(AA210, 1, Constants!$B$11)*IF(AB210, 1, Constants!$B$12),Constants!$B$13),"")</f>
        <v/>
      </c>
      <c r="AM210" s="99" t="str">
        <f aca="false">IF($AF210=Constants!$B$7,AK210*AL210,"")</f>
        <v/>
      </c>
      <c r="AN210" s="99" t="str">
        <f aca="false">IF($AF210=Constants!$B$7,IF(AM210&gt;AJ210,2,1),"")</f>
        <v/>
      </c>
      <c r="AO210" s="99" t="str">
        <f aca="false">IF($AF210=Constants!$B$7,IF(AN210=1,2,1),"")</f>
        <v/>
      </c>
      <c r="AP210" s="99" t="str">
        <f aca="false">IF(ISBLANK($C210),"",IF($AF210&lt;&gt;Constants!$B$7,$AF210,IF(AN210=1,AJ210,AM210)))</f>
        <v/>
      </c>
      <c r="AQ210" s="99" t="str">
        <f aca="false">IF(ISBLANK($C210),"",IF($AF210=Constants!$B$7,IF(ISNUMBER(AP210),RANK(AP210,$AP$8:$AP$507),Constants!$B$14),$AF210))</f>
        <v/>
      </c>
      <c r="AR210" s="99" t="str">
        <f aca="false">IF(ISBLANK($C210),"",IF($AF210=Constants!$B$7,IF(AO210=1,AJ210,AM210),""))</f>
        <v/>
      </c>
      <c r="AS210" s="99" t="str">
        <f aca="false">IF(ISBLANK($C210),"",IF($AF210=Constants!$B$7,RANK(AR210,$AR$8:$AR$507),$AF210))</f>
        <v/>
      </c>
      <c r="AT210" s="99" t="str">
        <f aca="false">IF(ISBLANK($C210),"",IF($AF210=Constants!$B$7,IF(ISNUMBER(AQ210),COUNTIFS($AQ$8:$AQ$507,"&lt;"&amp;$AQ210)+COUNTIFS($AQ$8:$AQ$507,$AQ210,$AS$8:$AS$507,"&lt;"&amp;$AS210)+1,Constants!$B$14),$AF210))</f>
        <v/>
      </c>
      <c r="AU210" s="99" t="str">
        <f aca="false">IF(ISBLANK($C210),"",IF($AF210=Constants!$B$7,IF(ISNUMBER(AQ210),AQ210-AT210,Constants!$B$14),$AF210))</f>
        <v/>
      </c>
      <c r="AV210" s="100"/>
      <c r="AW210" s="101" t="str">
        <f aca="false">IF(ISBLANK($C210),"",IF($AF210&lt;&gt;Constants!$B$7,"",AN210))</f>
        <v/>
      </c>
      <c r="AX210" s="102" t="str">
        <f aca="false">IF(ISBLANK($C210),"",IF($AF210&lt;&gt;Constants!$B$7,"",IF(AN210=1,AH210,AK210)))</f>
        <v/>
      </c>
      <c r="AY210" s="103" t="str">
        <f aca="false">IF(ISBLANK($C210),"",IF($AF210&lt;&gt;Constants!$B$7,"",IF(AN210=1,AI210,AL210)))</f>
        <v/>
      </c>
      <c r="AZ210" s="104" t="str">
        <f aca="false">IF(ISBLANK($C210),"",IF($AF210&lt;&gt;Constants!$B$7,$AF210,AP210))</f>
        <v/>
      </c>
      <c r="BA210" s="105" t="str">
        <f aca="false">IF(ISBLANK($C210),"",IF($AF210&lt;&gt;Constants!$B$7,$AF210,AG210))</f>
        <v/>
      </c>
      <c r="BB210" s="106" t="str">
        <f aca="false">IF(ISBLANK($C210),"",AU210)</f>
        <v/>
      </c>
      <c r="BC210" s="106" t="str">
        <f aca="false">IF(ISBLANK($C210),"",AT210)</f>
        <v/>
      </c>
      <c r="BD210" s="107" t="str">
        <f aca="false">IF(ISBLANK($C210),"",IFERROR(_xlfn.SWITCH(BC210,Constants!$B$4,COUNTA($C$8:$C$507)+2,Constants!$B$5,COUNTA($C$8:$C$507)+1,Constants!$B$6,COUNTA($C$8:$C$507)),BC210))</f>
        <v/>
      </c>
      <c r="BE210" s="5"/>
      <c r="BF210" s="108" t="n">
        <f aca="false">IF(OR(ISNUMBER(BC210),BC210=Constants!$B$4,BC210=Constants!$B$6,BC210=Constants!$B$5),1,0)</f>
        <v>0</v>
      </c>
      <c r="BG210" s="108" t="n">
        <v>203</v>
      </c>
      <c r="BH210" s="108" t="str">
        <f aca="false">IF(ISBLANK($C210),"",IF(ISNUMBER(BD210),BD210+ROW($B210)/1000,""))</f>
        <v/>
      </c>
      <c r="BI210" s="108" t="str">
        <f aca="false">IF(ISNUMBER(BH210),RANK(BH210,$BH$8:$BH$507,1),"")</f>
        <v/>
      </c>
      <c r="BJ210" s="108" t="str">
        <f aca="false">IF(ISBLANK($C210),"",$B210)</f>
        <v/>
      </c>
      <c r="BK210" s="108" t="str">
        <f aca="false">IF(ISBLANK($C210),"",$C210)</f>
        <v/>
      </c>
      <c r="BL210" s="108" t="str">
        <f aca="false">IF(ISBLANK($C210),"",$D210)</f>
        <v/>
      </c>
      <c r="BM210" s="109" t="str">
        <f aca="false">BA210</f>
        <v/>
      </c>
      <c r="BN210" s="110" t="str">
        <f aca="false">AZ210</f>
        <v/>
      </c>
      <c r="BO210" s="108" t="str">
        <f aca="false">IF(ISBLANK($C210),"",BC210)</f>
        <v/>
      </c>
      <c r="BP210" s="111" t="str">
        <f aca="false">IF($BG210&gt;$BF$7,"",VLOOKUP($BG210,$BI$8:$BO$507,7,FALSE()))</f>
        <v/>
      </c>
      <c r="BQ210" s="112" t="str">
        <f aca="false">IF($BG210&gt;$BF$7,"",VLOOKUP($BG210,$BI$8:$BO$507,2,FALSE()))</f>
        <v/>
      </c>
      <c r="BR210" s="112" t="str">
        <f aca="false">IF($BG210&gt;$BF$7,"",VLOOKUP($BG210,$BI$8:$BO$507,3,FALSE()))</f>
        <v/>
      </c>
      <c r="BS210" s="112" t="str">
        <f aca="false">IF($BG210&gt;$BF$7,"",VLOOKUP($BG210,$BI$8:$BO$507,4,FALSE()))</f>
        <v/>
      </c>
      <c r="BT210" s="112" t="str">
        <f aca="false">IF($BG210&gt;$BF$7,"",VLOOKUP($BG210,$BI$8:$BO$507,5,FALSE()))</f>
        <v/>
      </c>
      <c r="BU210" s="113" t="str">
        <f aca="false">IF($BG210&gt;$BF$7,"",VLOOKUP($BG210,$BI$8:$BO$507,6,FALSE()))</f>
        <v/>
      </c>
      <c r="BV210" s="54"/>
    </row>
    <row r="211" customFormat="false" ht="15.75" hidden="false" customHeight="false" outlineLevel="0" collapsed="false">
      <c r="A211" s="5"/>
      <c r="B211" s="128"/>
      <c r="C211" s="129"/>
      <c r="D211" s="114"/>
      <c r="E211" s="134"/>
      <c r="F211" s="139"/>
      <c r="G211" s="93"/>
      <c r="H211" s="140"/>
      <c r="I211" s="95"/>
      <c r="J211" s="95"/>
      <c r="K211" s="93"/>
      <c r="L211" s="141"/>
      <c r="M211" s="95"/>
      <c r="N211" s="95"/>
      <c r="O211" s="93"/>
      <c r="P211" s="134"/>
      <c r="Q211" s="98"/>
      <c r="R211" s="99" t="str">
        <f aca="false">IF(ISBLANK($C211),"",IF(E211=Constants!$B$2, TRUE(), IF(E211=Constants!$B$3, FALSE(), TRUE())))</f>
        <v/>
      </c>
      <c r="S211" s="99" t="str">
        <f aca="false">IF(ISBLANK($C211),"",IF(F211=Constants!$B$2, TRUE(), IF(F211=Constants!$B$3, FALSE(), TRUE())))</f>
        <v/>
      </c>
      <c r="T211" s="99" t="str">
        <f aca="false">IF(ISBLANK($C211),"",IF(G211=Constants!$B$16,Constants!$B$9,IF(G211=Constants!$B$17,Constants!$B$10,Constants!$B$8)))</f>
        <v/>
      </c>
      <c r="U211" s="99" t="str">
        <f aca="false">IF(ISBLANK($C211),"",IF(H211=Constants!$B$19,Constants!$B$19,Constants!$B$18))</f>
        <v/>
      </c>
      <c r="V211" s="99" t="str">
        <f aca="false">IF(ISBLANK($C211),"",IF(ISNUMBER(I211),IF(I211&gt;=0,I211,""),""))</f>
        <v/>
      </c>
      <c r="W211" s="99" t="str">
        <f aca="false">IF(ISBLANK($C211),"",IF(J211=Constants!$B$2, TRUE(), IF(J211=Constants!$B$3, FALSE(), TRUE())))</f>
        <v/>
      </c>
      <c r="X211" s="99" t="str">
        <f aca="false">IF(ISBLANK($C211),"",IF(K211=Constants!$B$2, TRUE(), IF(K211=Constants!$B$3, FALSE(), TRUE())))</f>
        <v/>
      </c>
      <c r="Y211" s="99" t="str">
        <f aca="false">IF(ISBLANK($C211),"",IF(L211=Constants!$B$19,Constants!$B$19,Constants!$B$18))</f>
        <v/>
      </c>
      <c r="Z211" s="99" t="str">
        <f aca="false">IF(ISBLANK($C211),"",IF(ISNUMBER(M211),IF(M211&gt;=0,M211,""),""))</f>
        <v/>
      </c>
      <c r="AA211" s="99" t="str">
        <f aca="false">IF(ISBLANK($C211),"",IF(N211=Constants!$B$2, TRUE(), IF(N211=Constants!$B$3, FALSE(), TRUE())))</f>
        <v/>
      </c>
      <c r="AB211" s="99" t="str">
        <f aca="false">IF(ISBLANK($C211),"",IF(O211=Constants!$B$2, TRUE(), IF(O211=Constants!$B$3, FALSE(), TRUE())))</f>
        <v/>
      </c>
      <c r="AC211" s="99" t="str">
        <f aca="false">IF(ISBLANK($C211),"",IF(P211=Constants!$B$2, TRUE(), IF(P211=Constants!$B$3, FALSE(), FALSE())))</f>
        <v/>
      </c>
      <c r="AD211" s="99" t="str">
        <f aca="false">IF(ISBLANK($C211),"",AND(V211&lt;&gt;"",IF(U211=Constants!$B$19,S211,R211)))</f>
        <v/>
      </c>
      <c r="AE211" s="99" t="str">
        <f aca="false">IF(ISBLANK($C211),"",AND(Z211&lt;&gt;"",IF(Y211=Constants!$B$19,S211,R211)))</f>
        <v/>
      </c>
      <c r="AF211" s="99" t="str">
        <f aca="false">IF(ISBLANK($C211),"",IF(AC211,Constants!$B$4,IF(COUNTA(E211:O211)=0,Constants!$B$5,IF(AND(NOT(AD211),NOT(AE211)),Constants!$B$6,Constants!$B$7))))</f>
        <v/>
      </c>
      <c r="AG211" s="99" t="str">
        <f aca="false">IF(ISBLANK($C211),"",IF($AF211&lt;&gt;Constants!$B$7,$AF211,Constants!$B$20))</f>
        <v/>
      </c>
      <c r="AH211" s="99" t="str">
        <f aca="false">IF($AF211=Constants!$B$7,IF(AD211,V211,Constants!$B$13),"")</f>
        <v/>
      </c>
      <c r="AI211" s="99" t="str">
        <f aca="false">IF($AF211=Constants!$B$7,IF(AD211,T211*IF(W211, 1, Constants!$B$11)*IF(X211, 1, Constants!$B$12),Constants!$B$13),"")</f>
        <v/>
      </c>
      <c r="AJ211" s="99" t="str">
        <f aca="false">IF($AF211=Constants!$B$7,AH211*AI211,"")</f>
        <v/>
      </c>
      <c r="AK211" s="99" t="str">
        <f aca="false">IF($AF211=Constants!$B$7,IF(AE211,Z211,Constants!$B$13),"")</f>
        <v/>
      </c>
      <c r="AL211" s="99" t="str">
        <f aca="false">IF($AF211=Constants!$B$7,IF(AE211,T211*IF(AA211, 1, Constants!$B$11)*IF(AB211, 1, Constants!$B$12),Constants!$B$13),"")</f>
        <v/>
      </c>
      <c r="AM211" s="99" t="str">
        <f aca="false">IF($AF211=Constants!$B$7,AK211*AL211,"")</f>
        <v/>
      </c>
      <c r="AN211" s="99" t="str">
        <f aca="false">IF($AF211=Constants!$B$7,IF(AM211&gt;AJ211,2,1),"")</f>
        <v/>
      </c>
      <c r="AO211" s="99" t="str">
        <f aca="false">IF($AF211=Constants!$B$7,IF(AN211=1,2,1),"")</f>
        <v/>
      </c>
      <c r="AP211" s="99" t="str">
        <f aca="false">IF(ISBLANK($C211),"",IF($AF211&lt;&gt;Constants!$B$7,$AF211,IF(AN211=1,AJ211,AM211)))</f>
        <v/>
      </c>
      <c r="AQ211" s="99" t="str">
        <f aca="false">IF(ISBLANK($C211),"",IF($AF211=Constants!$B$7,IF(ISNUMBER(AP211),RANK(AP211,$AP$8:$AP$507),Constants!$B$14),$AF211))</f>
        <v/>
      </c>
      <c r="AR211" s="99" t="str">
        <f aca="false">IF(ISBLANK($C211),"",IF($AF211=Constants!$B$7,IF(AO211=1,AJ211,AM211),""))</f>
        <v/>
      </c>
      <c r="AS211" s="99" t="str">
        <f aca="false">IF(ISBLANK($C211),"",IF($AF211=Constants!$B$7,RANK(AR211,$AR$8:$AR$507),$AF211))</f>
        <v/>
      </c>
      <c r="AT211" s="99" t="str">
        <f aca="false">IF(ISBLANK($C211),"",IF($AF211=Constants!$B$7,IF(ISNUMBER(AQ211),COUNTIFS($AQ$8:$AQ$507,"&lt;"&amp;$AQ211)+COUNTIFS($AQ$8:$AQ$507,$AQ211,$AS$8:$AS$507,"&lt;"&amp;$AS211)+1,Constants!$B$14),$AF211))</f>
        <v/>
      </c>
      <c r="AU211" s="99" t="str">
        <f aca="false">IF(ISBLANK($C211),"",IF($AF211=Constants!$B$7,IF(ISNUMBER(AQ211),AQ211-AT211,Constants!$B$14),$AF211))</f>
        <v/>
      </c>
      <c r="AV211" s="100"/>
      <c r="AW211" s="101" t="str">
        <f aca="false">IF(ISBLANK($C211),"",IF($AF211&lt;&gt;Constants!$B$7,"",AN211))</f>
        <v/>
      </c>
      <c r="AX211" s="102" t="str">
        <f aca="false">IF(ISBLANK($C211),"",IF($AF211&lt;&gt;Constants!$B$7,"",IF(AN211=1,AH211,AK211)))</f>
        <v/>
      </c>
      <c r="AY211" s="103" t="str">
        <f aca="false">IF(ISBLANK($C211),"",IF($AF211&lt;&gt;Constants!$B$7,"",IF(AN211=1,AI211,AL211)))</f>
        <v/>
      </c>
      <c r="AZ211" s="104" t="str">
        <f aca="false">IF(ISBLANK($C211),"",IF($AF211&lt;&gt;Constants!$B$7,$AF211,AP211))</f>
        <v/>
      </c>
      <c r="BA211" s="105" t="str">
        <f aca="false">IF(ISBLANK($C211),"",IF($AF211&lt;&gt;Constants!$B$7,$AF211,AG211))</f>
        <v/>
      </c>
      <c r="BB211" s="106" t="str">
        <f aca="false">IF(ISBLANK($C211),"",AU211)</f>
        <v/>
      </c>
      <c r="BC211" s="106" t="str">
        <f aca="false">IF(ISBLANK($C211),"",AT211)</f>
        <v/>
      </c>
      <c r="BD211" s="107" t="str">
        <f aca="false">IF(ISBLANK($C211),"",IFERROR(_xlfn.SWITCH(BC211,Constants!$B$4,COUNTA($C$8:$C$507)+2,Constants!$B$5,COUNTA($C$8:$C$507)+1,Constants!$B$6,COUNTA($C$8:$C$507)),BC211))</f>
        <v/>
      </c>
      <c r="BE211" s="5"/>
      <c r="BF211" s="108" t="n">
        <f aca="false">IF(OR(ISNUMBER(BC211),BC211=Constants!$B$4,BC211=Constants!$B$6,BC211=Constants!$B$5),1,0)</f>
        <v>0</v>
      </c>
      <c r="BG211" s="108" t="n">
        <v>204</v>
      </c>
      <c r="BH211" s="108" t="str">
        <f aca="false">IF(ISBLANK($C211),"",IF(ISNUMBER(BD211),BD211+ROW($B211)/1000,""))</f>
        <v/>
      </c>
      <c r="BI211" s="108" t="str">
        <f aca="false">IF(ISNUMBER(BH211),RANK(BH211,$BH$8:$BH$507,1),"")</f>
        <v/>
      </c>
      <c r="BJ211" s="108" t="str">
        <f aca="false">IF(ISBLANK($C211),"",$B211)</f>
        <v/>
      </c>
      <c r="BK211" s="108" t="str">
        <f aca="false">IF(ISBLANK($C211),"",$C211)</f>
        <v/>
      </c>
      <c r="BL211" s="108" t="str">
        <f aca="false">IF(ISBLANK($C211),"",$D211)</f>
        <v/>
      </c>
      <c r="BM211" s="109" t="str">
        <f aca="false">BA211</f>
        <v/>
      </c>
      <c r="BN211" s="110" t="str">
        <f aca="false">AZ211</f>
        <v/>
      </c>
      <c r="BO211" s="108" t="str">
        <f aca="false">IF(ISBLANK($C211),"",BC211)</f>
        <v/>
      </c>
      <c r="BP211" s="111" t="str">
        <f aca="false">IF($BG211&gt;$BF$7,"",VLOOKUP($BG211,$BI$8:$BO$507,7,FALSE()))</f>
        <v/>
      </c>
      <c r="BQ211" s="112" t="str">
        <f aca="false">IF($BG211&gt;$BF$7,"",VLOOKUP($BG211,$BI$8:$BO$507,2,FALSE()))</f>
        <v/>
      </c>
      <c r="BR211" s="112" t="str">
        <f aca="false">IF($BG211&gt;$BF$7,"",VLOOKUP($BG211,$BI$8:$BO$507,3,FALSE()))</f>
        <v/>
      </c>
      <c r="BS211" s="112" t="str">
        <f aca="false">IF($BG211&gt;$BF$7,"",VLOOKUP($BG211,$BI$8:$BO$507,4,FALSE()))</f>
        <v/>
      </c>
      <c r="BT211" s="112" t="str">
        <f aca="false">IF($BG211&gt;$BF$7,"",VLOOKUP($BG211,$BI$8:$BO$507,5,FALSE()))</f>
        <v/>
      </c>
      <c r="BU211" s="113" t="str">
        <f aca="false">IF($BG211&gt;$BF$7,"",VLOOKUP($BG211,$BI$8:$BO$507,6,FALSE()))</f>
        <v/>
      </c>
      <c r="BV211" s="54"/>
    </row>
    <row r="212" customFormat="false" ht="15.75" hidden="false" customHeight="false" outlineLevel="0" collapsed="false">
      <c r="A212" s="5"/>
      <c r="B212" s="135"/>
      <c r="C212" s="56"/>
      <c r="D212" s="57"/>
      <c r="E212" s="84"/>
      <c r="F212" s="136"/>
      <c r="G212" s="60"/>
      <c r="H212" s="137"/>
      <c r="I212" s="62"/>
      <c r="J212" s="62"/>
      <c r="K212" s="60"/>
      <c r="L212" s="138"/>
      <c r="M212" s="62"/>
      <c r="N212" s="62"/>
      <c r="O212" s="60"/>
      <c r="P212" s="84"/>
      <c r="Q212" s="65"/>
      <c r="R212" s="67" t="str">
        <f aca="false">IF(ISBLANK($C212),"",IF(E212=Constants!$B$2, TRUE(), IF(E212=Constants!$B$3, FALSE(), TRUE())))</f>
        <v/>
      </c>
      <c r="S212" s="67" t="str">
        <f aca="false">IF(ISBLANK($C212),"",IF(F212=Constants!$B$2, TRUE(), IF(F212=Constants!$B$3, FALSE(), TRUE())))</f>
        <v/>
      </c>
      <c r="T212" s="67" t="str">
        <f aca="false">IF(ISBLANK($C212),"",IF(G212=Constants!$B$16,Constants!$B$9,IF(G212=Constants!$B$17,Constants!$B$10,Constants!$B$8)))</f>
        <v/>
      </c>
      <c r="U212" s="67" t="str">
        <f aca="false">IF(ISBLANK($C212),"",IF(H212=Constants!$B$19,Constants!$B$19,Constants!$B$18))</f>
        <v/>
      </c>
      <c r="V212" s="67" t="str">
        <f aca="false">IF(ISBLANK($C212),"",IF(ISNUMBER(I212),IF(I212&gt;=0,I212,""),""))</f>
        <v/>
      </c>
      <c r="W212" s="67" t="str">
        <f aca="false">IF(ISBLANK($C212),"",IF(J212=Constants!$B$2, TRUE(), IF(J212=Constants!$B$3, FALSE(), TRUE())))</f>
        <v/>
      </c>
      <c r="X212" s="67" t="str">
        <f aca="false">IF(ISBLANK($C212),"",IF(K212=Constants!$B$2, TRUE(), IF(K212=Constants!$B$3, FALSE(), TRUE())))</f>
        <v/>
      </c>
      <c r="Y212" s="67" t="str">
        <f aca="false">IF(ISBLANK($C212),"",IF(L212=Constants!$B$19,Constants!$B$19,Constants!$B$18))</f>
        <v/>
      </c>
      <c r="Z212" s="67" t="str">
        <f aca="false">IF(ISBLANK($C212),"",IF(ISNUMBER(M212),IF(M212&gt;=0,M212,""),""))</f>
        <v/>
      </c>
      <c r="AA212" s="67" t="str">
        <f aca="false">IF(ISBLANK($C212),"",IF(N212=Constants!$B$2, TRUE(), IF(N212=Constants!$B$3, FALSE(), TRUE())))</f>
        <v/>
      </c>
      <c r="AB212" s="67" t="str">
        <f aca="false">IF(ISBLANK($C212),"",IF(O212=Constants!$B$2, TRUE(), IF(O212=Constants!$B$3, FALSE(), TRUE())))</f>
        <v/>
      </c>
      <c r="AC212" s="67" t="str">
        <f aca="false">IF(ISBLANK($C212),"",IF(P212=Constants!$B$2, TRUE(), IF(P212=Constants!$B$3, FALSE(), FALSE())))</f>
        <v/>
      </c>
      <c r="AD212" s="67" t="str">
        <f aca="false">IF(ISBLANK($C212),"",AND(V212&lt;&gt;"",IF(U212=Constants!$B$19,S212,R212)))</f>
        <v/>
      </c>
      <c r="AE212" s="67" t="str">
        <f aca="false">IF(ISBLANK($C212),"",AND(Z212&lt;&gt;"",IF(Y212=Constants!$B$19,S212,R212)))</f>
        <v/>
      </c>
      <c r="AF212" s="67" t="str">
        <f aca="false">IF(ISBLANK($C212),"",IF(AC212,Constants!$B$4,IF(COUNTA(E212:O212)=0,Constants!$B$5,IF(AND(NOT(AD212),NOT(AE212)),Constants!$B$6,Constants!$B$7))))</f>
        <v/>
      </c>
      <c r="AG212" s="67" t="str">
        <f aca="false">IF(ISBLANK($C212),"",IF($AF212&lt;&gt;Constants!$B$7,$AF212,Constants!$B$20))</f>
        <v/>
      </c>
      <c r="AH212" s="67" t="str">
        <f aca="false">IF($AF212=Constants!$B$7,IF(AD212,V212,Constants!$B$13),"")</f>
        <v/>
      </c>
      <c r="AI212" s="67" t="str">
        <f aca="false">IF($AF212=Constants!$B$7,IF(AD212,T212*IF(W212, 1, Constants!$B$11)*IF(X212, 1, Constants!$B$12),Constants!$B$13),"")</f>
        <v/>
      </c>
      <c r="AJ212" s="67" t="str">
        <f aca="false">IF($AF212=Constants!$B$7,AH212*AI212,"")</f>
        <v/>
      </c>
      <c r="AK212" s="67" t="str">
        <f aca="false">IF($AF212=Constants!$B$7,IF(AE212,Z212,Constants!$B$13),"")</f>
        <v/>
      </c>
      <c r="AL212" s="67" t="str">
        <f aca="false">IF($AF212=Constants!$B$7,IF(AE212,T212*IF(AA212, 1, Constants!$B$11)*IF(AB212, 1, Constants!$B$12),Constants!$B$13),"")</f>
        <v/>
      </c>
      <c r="AM212" s="67" t="str">
        <f aca="false">IF($AF212=Constants!$B$7,AK212*AL212,"")</f>
        <v/>
      </c>
      <c r="AN212" s="67" t="str">
        <f aca="false">IF($AF212=Constants!$B$7,IF(AM212&gt;AJ212,2,1),"")</f>
        <v/>
      </c>
      <c r="AO212" s="67" t="str">
        <f aca="false">IF($AF212=Constants!$B$7,IF(AN212=1,2,1),"")</f>
        <v/>
      </c>
      <c r="AP212" s="67" t="str">
        <f aca="false">IF(ISBLANK($C212),"",IF($AF212&lt;&gt;Constants!$B$7,$AF212,IF(AN212=1,AJ212,AM212)))</f>
        <v/>
      </c>
      <c r="AQ212" s="67" t="str">
        <f aca="false">IF(ISBLANK($C212),"",IF($AF212=Constants!$B$7,IF(ISNUMBER(AP212),RANK(AP212,$AP$8:$AP$507),Constants!$B$14),$AF212))</f>
        <v/>
      </c>
      <c r="AR212" s="67" t="str">
        <f aca="false">IF(ISBLANK($C212),"",IF($AF212=Constants!$B$7,IF(AO212=1,AJ212,AM212),""))</f>
        <v/>
      </c>
      <c r="AS212" s="67" t="str">
        <f aca="false">IF(ISBLANK($C212),"",IF($AF212=Constants!$B$7,RANK(AR212,$AR$8:$AR$507),$AF212))</f>
        <v/>
      </c>
      <c r="AT212" s="67" t="str">
        <f aca="false">IF(ISBLANK($C212),"",IF($AF212=Constants!$B$7,IF(ISNUMBER(AQ212),COUNTIFS($AQ$8:$AQ$507,"&lt;"&amp;$AQ212)+COUNTIFS($AQ$8:$AQ$507,$AQ212,$AS$8:$AS$507,"&lt;"&amp;$AS212)+1,Constants!$B$14),$AF212))</f>
        <v/>
      </c>
      <c r="AU212" s="67" t="str">
        <f aca="false">IF(ISBLANK($C212),"",IF($AF212=Constants!$B$7,IF(ISNUMBER(AQ212),AQ212-AT212,Constants!$B$14),$AF212))</f>
        <v/>
      </c>
      <c r="AV212" s="69"/>
      <c r="AW212" s="70" t="str">
        <f aca="false">IF(ISBLANK($C212),"",IF($AF212&lt;&gt;Constants!$B$7,"",AN212))</f>
        <v/>
      </c>
      <c r="AX212" s="85" t="str">
        <f aca="false">IF(ISBLANK($C212),"",IF($AF212&lt;&gt;Constants!$B$7,"",IF(AN212=1,AH212,AK212)))</f>
        <v/>
      </c>
      <c r="AY212" s="72" t="str">
        <f aca="false">IF(ISBLANK($C212),"",IF($AF212&lt;&gt;Constants!$B$7,"",IF(AN212=1,AI212,AL212)))</f>
        <v/>
      </c>
      <c r="AZ212" s="73" t="str">
        <f aca="false">IF(ISBLANK($C212),"",IF($AF212&lt;&gt;Constants!$B$7,$AF212,AP212))</f>
        <v/>
      </c>
      <c r="BA212" s="74" t="str">
        <f aca="false">IF(ISBLANK($C212),"",IF($AF212&lt;&gt;Constants!$B$7,$AF212,AG212))</f>
        <v/>
      </c>
      <c r="BB212" s="75" t="str">
        <f aca="false">IF(ISBLANK($C212),"",AU212)</f>
        <v/>
      </c>
      <c r="BC212" s="75" t="str">
        <f aca="false">IF(ISBLANK($C212),"",AT212)</f>
        <v/>
      </c>
      <c r="BD212" s="76" t="str">
        <f aca="false">IF(ISBLANK($C212),"",IFERROR(_xlfn.SWITCH(BC212,Constants!$B$4,COUNTA($C$8:$C$507)+2,Constants!$B$5,COUNTA($C$8:$C$507)+1,Constants!$B$6,COUNTA($C$8:$C$507)),BC212))</f>
        <v/>
      </c>
      <c r="BE212" s="5"/>
      <c r="BF212" s="77" t="n">
        <f aca="false">IF(OR(ISNUMBER(BC212),BC212=Constants!$B$4,BC212=Constants!$B$6,BC212=Constants!$B$5),1,0)</f>
        <v>0</v>
      </c>
      <c r="BG212" s="77" t="n">
        <v>205</v>
      </c>
      <c r="BH212" s="77" t="str">
        <f aca="false">IF(ISBLANK($C212),"",IF(ISNUMBER(BD212),BD212+ROW($B212)/1000,""))</f>
        <v/>
      </c>
      <c r="BI212" s="77" t="str">
        <f aca="false">IF(ISNUMBER(BH212),RANK(BH212,$BH$8:$BH$507,1),"")</f>
        <v/>
      </c>
      <c r="BJ212" s="77" t="str">
        <f aca="false">IF(ISBLANK($C212),"",$B212)</f>
        <v/>
      </c>
      <c r="BK212" s="77" t="str">
        <f aca="false">IF(ISBLANK($C212),"",$C212)</f>
        <v/>
      </c>
      <c r="BL212" s="77" t="str">
        <f aca="false">IF(ISBLANK($C212),"",$D212)</f>
        <v/>
      </c>
      <c r="BM212" s="78" t="str">
        <f aca="false">BA212</f>
        <v/>
      </c>
      <c r="BN212" s="79" t="str">
        <f aca="false">AZ212</f>
        <v/>
      </c>
      <c r="BO212" s="77" t="str">
        <f aca="false">IF(ISBLANK($C212),"",BC212)</f>
        <v/>
      </c>
      <c r="BP212" s="80" t="str">
        <f aca="false">IF($BG212&gt;$BF$7,"",VLOOKUP($BG212,$BI$8:$BO$507,7,FALSE()))</f>
        <v/>
      </c>
      <c r="BQ212" s="81" t="str">
        <f aca="false">IF($BG212&gt;$BF$7,"",VLOOKUP($BG212,$BI$8:$BO$507,2,FALSE()))</f>
        <v/>
      </c>
      <c r="BR212" s="81" t="str">
        <f aca="false">IF($BG212&gt;$BF$7,"",VLOOKUP($BG212,$BI$8:$BO$507,3,FALSE()))</f>
        <v/>
      </c>
      <c r="BS212" s="81" t="str">
        <f aca="false">IF($BG212&gt;$BF$7,"",VLOOKUP($BG212,$BI$8:$BO$507,4,FALSE()))</f>
        <v/>
      </c>
      <c r="BT212" s="81" t="str">
        <f aca="false">IF($BG212&gt;$BF$7,"",VLOOKUP($BG212,$BI$8:$BO$507,5,FALSE()))</f>
        <v/>
      </c>
      <c r="BU212" s="82" t="str">
        <f aca="false">IF($BG212&gt;$BF$7,"",VLOOKUP($BG212,$BI$8:$BO$507,6,FALSE()))</f>
        <v/>
      </c>
      <c r="BV212" s="54"/>
    </row>
    <row r="213" customFormat="false" ht="15.75" hidden="false" customHeight="false" outlineLevel="0" collapsed="false">
      <c r="A213" s="5"/>
      <c r="B213" s="135"/>
      <c r="C213" s="56"/>
      <c r="D213" s="57"/>
      <c r="E213" s="84"/>
      <c r="F213" s="136"/>
      <c r="G213" s="60"/>
      <c r="H213" s="137"/>
      <c r="I213" s="62"/>
      <c r="J213" s="62"/>
      <c r="K213" s="60"/>
      <c r="L213" s="138"/>
      <c r="M213" s="62"/>
      <c r="N213" s="62"/>
      <c r="O213" s="60"/>
      <c r="P213" s="84"/>
      <c r="Q213" s="65"/>
      <c r="R213" s="67" t="str">
        <f aca="false">IF(ISBLANK($C213),"",IF(E213=Constants!$B$2, TRUE(), IF(E213=Constants!$B$3, FALSE(), TRUE())))</f>
        <v/>
      </c>
      <c r="S213" s="67" t="str">
        <f aca="false">IF(ISBLANK($C213),"",IF(F213=Constants!$B$2, TRUE(), IF(F213=Constants!$B$3, FALSE(), TRUE())))</f>
        <v/>
      </c>
      <c r="T213" s="67" t="str">
        <f aca="false">IF(ISBLANK($C213),"",IF(G213=Constants!$B$16,Constants!$B$9,IF(G213=Constants!$B$17,Constants!$B$10,Constants!$B$8)))</f>
        <v/>
      </c>
      <c r="U213" s="67" t="str">
        <f aca="false">IF(ISBLANK($C213),"",IF(H213=Constants!$B$19,Constants!$B$19,Constants!$B$18))</f>
        <v/>
      </c>
      <c r="V213" s="67" t="str">
        <f aca="false">IF(ISBLANK($C213),"",IF(ISNUMBER(I213),IF(I213&gt;=0,I213,""),""))</f>
        <v/>
      </c>
      <c r="W213" s="67" t="str">
        <f aca="false">IF(ISBLANK($C213),"",IF(J213=Constants!$B$2, TRUE(), IF(J213=Constants!$B$3, FALSE(), TRUE())))</f>
        <v/>
      </c>
      <c r="X213" s="67" t="str">
        <f aca="false">IF(ISBLANK($C213),"",IF(K213=Constants!$B$2, TRUE(), IF(K213=Constants!$B$3, FALSE(), TRUE())))</f>
        <v/>
      </c>
      <c r="Y213" s="67" t="str">
        <f aca="false">IF(ISBLANK($C213),"",IF(L213=Constants!$B$19,Constants!$B$19,Constants!$B$18))</f>
        <v/>
      </c>
      <c r="Z213" s="67" t="str">
        <f aca="false">IF(ISBLANK($C213),"",IF(ISNUMBER(M213),IF(M213&gt;=0,M213,""),""))</f>
        <v/>
      </c>
      <c r="AA213" s="67" t="str">
        <f aca="false">IF(ISBLANK($C213),"",IF(N213=Constants!$B$2, TRUE(), IF(N213=Constants!$B$3, FALSE(), TRUE())))</f>
        <v/>
      </c>
      <c r="AB213" s="67" t="str">
        <f aca="false">IF(ISBLANK($C213),"",IF(O213=Constants!$B$2, TRUE(), IF(O213=Constants!$B$3, FALSE(), TRUE())))</f>
        <v/>
      </c>
      <c r="AC213" s="67" t="str">
        <f aca="false">IF(ISBLANK($C213),"",IF(P213=Constants!$B$2, TRUE(), IF(P213=Constants!$B$3, FALSE(), FALSE())))</f>
        <v/>
      </c>
      <c r="AD213" s="67" t="str">
        <f aca="false">IF(ISBLANK($C213),"",AND(V213&lt;&gt;"",IF(U213=Constants!$B$19,S213,R213)))</f>
        <v/>
      </c>
      <c r="AE213" s="67" t="str">
        <f aca="false">IF(ISBLANK($C213),"",AND(Z213&lt;&gt;"",IF(Y213=Constants!$B$19,S213,R213)))</f>
        <v/>
      </c>
      <c r="AF213" s="67" t="str">
        <f aca="false">IF(ISBLANK($C213),"",IF(AC213,Constants!$B$4,IF(COUNTA(E213:O213)=0,Constants!$B$5,IF(AND(NOT(AD213),NOT(AE213)),Constants!$B$6,Constants!$B$7))))</f>
        <v/>
      </c>
      <c r="AG213" s="67" t="str">
        <f aca="false">IF(ISBLANK($C213),"",IF($AF213&lt;&gt;Constants!$B$7,$AF213,Constants!$B$20))</f>
        <v/>
      </c>
      <c r="AH213" s="67" t="str">
        <f aca="false">IF($AF213=Constants!$B$7,IF(AD213,V213,Constants!$B$13),"")</f>
        <v/>
      </c>
      <c r="AI213" s="67" t="str">
        <f aca="false">IF($AF213=Constants!$B$7,IF(AD213,T213*IF(W213, 1, Constants!$B$11)*IF(X213, 1, Constants!$B$12),Constants!$B$13),"")</f>
        <v/>
      </c>
      <c r="AJ213" s="67" t="str">
        <f aca="false">IF($AF213=Constants!$B$7,AH213*AI213,"")</f>
        <v/>
      </c>
      <c r="AK213" s="67" t="str">
        <f aca="false">IF($AF213=Constants!$B$7,IF(AE213,Z213,Constants!$B$13),"")</f>
        <v/>
      </c>
      <c r="AL213" s="67" t="str">
        <f aca="false">IF($AF213=Constants!$B$7,IF(AE213,T213*IF(AA213, 1, Constants!$B$11)*IF(AB213, 1, Constants!$B$12),Constants!$B$13),"")</f>
        <v/>
      </c>
      <c r="AM213" s="67" t="str">
        <f aca="false">IF($AF213=Constants!$B$7,AK213*AL213,"")</f>
        <v/>
      </c>
      <c r="AN213" s="67" t="str">
        <f aca="false">IF($AF213=Constants!$B$7,IF(AM213&gt;AJ213,2,1),"")</f>
        <v/>
      </c>
      <c r="AO213" s="67" t="str">
        <f aca="false">IF($AF213=Constants!$B$7,IF(AN213=1,2,1),"")</f>
        <v/>
      </c>
      <c r="AP213" s="67" t="str">
        <f aca="false">IF(ISBLANK($C213),"",IF($AF213&lt;&gt;Constants!$B$7,$AF213,IF(AN213=1,AJ213,AM213)))</f>
        <v/>
      </c>
      <c r="AQ213" s="67" t="str">
        <f aca="false">IF(ISBLANK($C213),"",IF($AF213=Constants!$B$7,IF(ISNUMBER(AP213),RANK(AP213,$AP$8:$AP$507),Constants!$B$14),$AF213))</f>
        <v/>
      </c>
      <c r="AR213" s="67" t="str">
        <f aca="false">IF(ISBLANK($C213),"",IF($AF213=Constants!$B$7,IF(AO213=1,AJ213,AM213),""))</f>
        <v/>
      </c>
      <c r="AS213" s="67" t="str">
        <f aca="false">IF(ISBLANK($C213),"",IF($AF213=Constants!$B$7,RANK(AR213,$AR$8:$AR$507),$AF213))</f>
        <v/>
      </c>
      <c r="AT213" s="67" t="str">
        <f aca="false">IF(ISBLANK($C213),"",IF($AF213=Constants!$B$7,IF(ISNUMBER(AQ213),COUNTIFS($AQ$8:$AQ$507,"&lt;"&amp;$AQ213)+COUNTIFS($AQ$8:$AQ$507,$AQ213,$AS$8:$AS$507,"&lt;"&amp;$AS213)+1,Constants!$B$14),$AF213))</f>
        <v/>
      </c>
      <c r="AU213" s="67" t="str">
        <f aca="false">IF(ISBLANK($C213),"",IF($AF213=Constants!$B$7,IF(ISNUMBER(AQ213),AQ213-AT213,Constants!$B$14),$AF213))</f>
        <v/>
      </c>
      <c r="AV213" s="69"/>
      <c r="AW213" s="70" t="str">
        <f aca="false">IF(ISBLANK($C213),"",IF($AF213&lt;&gt;Constants!$B$7,"",AN213))</f>
        <v/>
      </c>
      <c r="AX213" s="85" t="str">
        <f aca="false">IF(ISBLANK($C213),"",IF($AF213&lt;&gt;Constants!$B$7,"",IF(AN213=1,AH213,AK213)))</f>
        <v/>
      </c>
      <c r="AY213" s="72" t="str">
        <f aca="false">IF(ISBLANK($C213),"",IF($AF213&lt;&gt;Constants!$B$7,"",IF(AN213=1,AI213,AL213)))</f>
        <v/>
      </c>
      <c r="AZ213" s="73" t="str">
        <f aca="false">IF(ISBLANK($C213),"",IF($AF213&lt;&gt;Constants!$B$7,$AF213,AP213))</f>
        <v/>
      </c>
      <c r="BA213" s="74" t="str">
        <f aca="false">IF(ISBLANK($C213),"",IF($AF213&lt;&gt;Constants!$B$7,$AF213,AG213))</f>
        <v/>
      </c>
      <c r="BB213" s="75" t="str">
        <f aca="false">IF(ISBLANK($C213),"",AU213)</f>
        <v/>
      </c>
      <c r="BC213" s="75" t="str">
        <f aca="false">IF(ISBLANK($C213),"",AT213)</f>
        <v/>
      </c>
      <c r="BD213" s="76" t="str">
        <f aca="false">IF(ISBLANK($C213),"",IFERROR(_xlfn.SWITCH(BC213,Constants!$B$4,COUNTA($C$8:$C$507)+2,Constants!$B$5,COUNTA($C$8:$C$507)+1,Constants!$B$6,COUNTA($C$8:$C$507)),BC213))</f>
        <v/>
      </c>
      <c r="BE213" s="5"/>
      <c r="BF213" s="77" t="n">
        <f aca="false">IF(OR(ISNUMBER(BC213),BC213=Constants!$B$4,BC213=Constants!$B$6,BC213=Constants!$B$5),1,0)</f>
        <v>0</v>
      </c>
      <c r="BG213" s="77" t="n">
        <v>206</v>
      </c>
      <c r="BH213" s="77" t="str">
        <f aca="false">IF(ISBLANK($C213),"",IF(ISNUMBER(BD213),BD213+ROW($B213)/1000,""))</f>
        <v/>
      </c>
      <c r="BI213" s="77" t="str">
        <f aca="false">IF(ISNUMBER(BH213),RANK(BH213,$BH$8:$BH$507,1),"")</f>
        <v/>
      </c>
      <c r="BJ213" s="77" t="str">
        <f aca="false">IF(ISBLANK($C213),"",$B213)</f>
        <v/>
      </c>
      <c r="BK213" s="77" t="str">
        <f aca="false">IF(ISBLANK($C213),"",$C213)</f>
        <v/>
      </c>
      <c r="BL213" s="77" t="str">
        <f aca="false">IF(ISBLANK($C213),"",$D213)</f>
        <v/>
      </c>
      <c r="BM213" s="78" t="str">
        <f aca="false">BA213</f>
        <v/>
      </c>
      <c r="BN213" s="79" t="str">
        <f aca="false">AZ213</f>
        <v/>
      </c>
      <c r="BO213" s="77" t="str">
        <f aca="false">IF(ISBLANK($C213),"",BC213)</f>
        <v/>
      </c>
      <c r="BP213" s="80" t="str">
        <f aca="false">IF($BG213&gt;$BF$7,"",VLOOKUP($BG213,$BI$8:$BO$507,7,FALSE()))</f>
        <v/>
      </c>
      <c r="BQ213" s="81" t="str">
        <f aca="false">IF($BG213&gt;$BF$7,"",VLOOKUP($BG213,$BI$8:$BO$507,2,FALSE()))</f>
        <v/>
      </c>
      <c r="BR213" s="81" t="str">
        <f aca="false">IF($BG213&gt;$BF$7,"",VLOOKUP($BG213,$BI$8:$BO$507,3,FALSE()))</f>
        <v/>
      </c>
      <c r="BS213" s="81" t="str">
        <f aca="false">IF($BG213&gt;$BF$7,"",VLOOKUP($BG213,$BI$8:$BO$507,4,FALSE()))</f>
        <v/>
      </c>
      <c r="BT213" s="81" t="str">
        <f aca="false">IF($BG213&gt;$BF$7,"",VLOOKUP($BG213,$BI$8:$BO$507,5,FALSE()))</f>
        <v/>
      </c>
      <c r="BU213" s="82" t="str">
        <f aca="false">IF($BG213&gt;$BF$7,"",VLOOKUP($BG213,$BI$8:$BO$507,6,FALSE()))</f>
        <v/>
      </c>
      <c r="BV213" s="54"/>
    </row>
    <row r="214" customFormat="false" ht="15.75" hidden="false" customHeight="false" outlineLevel="0" collapsed="false">
      <c r="A214" s="5"/>
      <c r="B214" s="135"/>
      <c r="C214" s="56"/>
      <c r="D214" s="57"/>
      <c r="E214" s="84"/>
      <c r="F214" s="136"/>
      <c r="G214" s="60"/>
      <c r="H214" s="137"/>
      <c r="I214" s="62"/>
      <c r="J214" s="62"/>
      <c r="K214" s="60"/>
      <c r="L214" s="138"/>
      <c r="M214" s="62"/>
      <c r="N214" s="62"/>
      <c r="O214" s="60"/>
      <c r="P214" s="84"/>
      <c r="Q214" s="65"/>
      <c r="R214" s="67" t="str">
        <f aca="false">IF(ISBLANK($C214),"",IF(E214=Constants!$B$2, TRUE(), IF(E214=Constants!$B$3, FALSE(), TRUE())))</f>
        <v/>
      </c>
      <c r="S214" s="67" t="str">
        <f aca="false">IF(ISBLANK($C214),"",IF(F214=Constants!$B$2, TRUE(), IF(F214=Constants!$B$3, FALSE(), TRUE())))</f>
        <v/>
      </c>
      <c r="T214" s="67" t="str">
        <f aca="false">IF(ISBLANK($C214),"",IF(G214=Constants!$B$16,Constants!$B$9,IF(G214=Constants!$B$17,Constants!$B$10,Constants!$B$8)))</f>
        <v/>
      </c>
      <c r="U214" s="67" t="str">
        <f aca="false">IF(ISBLANK($C214),"",IF(H214=Constants!$B$19,Constants!$B$19,Constants!$B$18))</f>
        <v/>
      </c>
      <c r="V214" s="67" t="str">
        <f aca="false">IF(ISBLANK($C214),"",IF(ISNUMBER(I214),IF(I214&gt;=0,I214,""),""))</f>
        <v/>
      </c>
      <c r="W214" s="67" t="str">
        <f aca="false">IF(ISBLANK($C214),"",IF(J214=Constants!$B$2, TRUE(), IF(J214=Constants!$B$3, FALSE(), TRUE())))</f>
        <v/>
      </c>
      <c r="X214" s="67" t="str">
        <f aca="false">IF(ISBLANK($C214),"",IF(K214=Constants!$B$2, TRUE(), IF(K214=Constants!$B$3, FALSE(), TRUE())))</f>
        <v/>
      </c>
      <c r="Y214" s="67" t="str">
        <f aca="false">IF(ISBLANK($C214),"",IF(L214=Constants!$B$19,Constants!$B$19,Constants!$B$18))</f>
        <v/>
      </c>
      <c r="Z214" s="67" t="str">
        <f aca="false">IF(ISBLANK($C214),"",IF(ISNUMBER(M214),IF(M214&gt;=0,M214,""),""))</f>
        <v/>
      </c>
      <c r="AA214" s="67" t="str">
        <f aca="false">IF(ISBLANK($C214),"",IF(N214=Constants!$B$2, TRUE(), IF(N214=Constants!$B$3, FALSE(), TRUE())))</f>
        <v/>
      </c>
      <c r="AB214" s="67" t="str">
        <f aca="false">IF(ISBLANK($C214),"",IF(O214=Constants!$B$2, TRUE(), IF(O214=Constants!$B$3, FALSE(), TRUE())))</f>
        <v/>
      </c>
      <c r="AC214" s="67" t="str">
        <f aca="false">IF(ISBLANK($C214),"",IF(P214=Constants!$B$2, TRUE(), IF(P214=Constants!$B$3, FALSE(), FALSE())))</f>
        <v/>
      </c>
      <c r="AD214" s="67" t="str">
        <f aca="false">IF(ISBLANK($C214),"",AND(V214&lt;&gt;"",IF(U214=Constants!$B$19,S214,R214)))</f>
        <v/>
      </c>
      <c r="AE214" s="67" t="str">
        <f aca="false">IF(ISBLANK($C214),"",AND(Z214&lt;&gt;"",IF(Y214=Constants!$B$19,S214,R214)))</f>
        <v/>
      </c>
      <c r="AF214" s="67" t="str">
        <f aca="false">IF(ISBLANK($C214),"",IF(AC214,Constants!$B$4,IF(COUNTA(E214:O214)=0,Constants!$B$5,IF(AND(NOT(AD214),NOT(AE214)),Constants!$B$6,Constants!$B$7))))</f>
        <v/>
      </c>
      <c r="AG214" s="67" t="str">
        <f aca="false">IF(ISBLANK($C214),"",IF($AF214&lt;&gt;Constants!$B$7,$AF214,Constants!$B$20))</f>
        <v/>
      </c>
      <c r="AH214" s="67" t="str">
        <f aca="false">IF($AF214=Constants!$B$7,IF(AD214,V214,Constants!$B$13),"")</f>
        <v/>
      </c>
      <c r="AI214" s="67" t="str">
        <f aca="false">IF($AF214=Constants!$B$7,IF(AD214,T214*IF(W214, 1, Constants!$B$11)*IF(X214, 1, Constants!$B$12),Constants!$B$13),"")</f>
        <v/>
      </c>
      <c r="AJ214" s="67" t="str">
        <f aca="false">IF($AF214=Constants!$B$7,AH214*AI214,"")</f>
        <v/>
      </c>
      <c r="AK214" s="67" t="str">
        <f aca="false">IF($AF214=Constants!$B$7,IF(AE214,Z214,Constants!$B$13),"")</f>
        <v/>
      </c>
      <c r="AL214" s="67" t="str">
        <f aca="false">IF($AF214=Constants!$B$7,IF(AE214,T214*IF(AA214, 1, Constants!$B$11)*IF(AB214, 1, Constants!$B$12),Constants!$B$13),"")</f>
        <v/>
      </c>
      <c r="AM214" s="67" t="str">
        <f aca="false">IF($AF214=Constants!$B$7,AK214*AL214,"")</f>
        <v/>
      </c>
      <c r="AN214" s="67" t="str">
        <f aca="false">IF($AF214=Constants!$B$7,IF(AM214&gt;AJ214,2,1),"")</f>
        <v/>
      </c>
      <c r="AO214" s="67" t="str">
        <f aca="false">IF($AF214=Constants!$B$7,IF(AN214=1,2,1),"")</f>
        <v/>
      </c>
      <c r="AP214" s="67" t="str">
        <f aca="false">IF(ISBLANK($C214),"",IF($AF214&lt;&gt;Constants!$B$7,$AF214,IF(AN214=1,AJ214,AM214)))</f>
        <v/>
      </c>
      <c r="AQ214" s="67" t="str">
        <f aca="false">IF(ISBLANK($C214),"",IF($AF214=Constants!$B$7,IF(ISNUMBER(AP214),RANK(AP214,$AP$8:$AP$507),Constants!$B$14),$AF214))</f>
        <v/>
      </c>
      <c r="AR214" s="67" t="str">
        <f aca="false">IF(ISBLANK($C214),"",IF($AF214=Constants!$B$7,IF(AO214=1,AJ214,AM214),""))</f>
        <v/>
      </c>
      <c r="AS214" s="67" t="str">
        <f aca="false">IF(ISBLANK($C214),"",IF($AF214=Constants!$B$7,RANK(AR214,$AR$8:$AR$507),$AF214))</f>
        <v/>
      </c>
      <c r="AT214" s="67" t="str">
        <f aca="false">IF(ISBLANK($C214),"",IF($AF214=Constants!$B$7,IF(ISNUMBER(AQ214),COUNTIFS($AQ$8:$AQ$507,"&lt;"&amp;$AQ214)+COUNTIFS($AQ$8:$AQ$507,$AQ214,$AS$8:$AS$507,"&lt;"&amp;$AS214)+1,Constants!$B$14),$AF214))</f>
        <v/>
      </c>
      <c r="AU214" s="67" t="str">
        <f aca="false">IF(ISBLANK($C214),"",IF($AF214=Constants!$B$7,IF(ISNUMBER(AQ214),AQ214-AT214,Constants!$B$14),$AF214))</f>
        <v/>
      </c>
      <c r="AV214" s="69"/>
      <c r="AW214" s="70" t="str">
        <f aca="false">IF(ISBLANK($C214),"",IF($AF214&lt;&gt;Constants!$B$7,"",AN214))</f>
        <v/>
      </c>
      <c r="AX214" s="85" t="str">
        <f aca="false">IF(ISBLANK($C214),"",IF($AF214&lt;&gt;Constants!$B$7,"",IF(AN214=1,AH214,AK214)))</f>
        <v/>
      </c>
      <c r="AY214" s="72" t="str">
        <f aca="false">IF(ISBLANK($C214),"",IF($AF214&lt;&gt;Constants!$B$7,"",IF(AN214=1,AI214,AL214)))</f>
        <v/>
      </c>
      <c r="AZ214" s="73" t="str">
        <f aca="false">IF(ISBLANK($C214),"",IF($AF214&lt;&gt;Constants!$B$7,$AF214,AP214))</f>
        <v/>
      </c>
      <c r="BA214" s="74" t="str">
        <f aca="false">IF(ISBLANK($C214),"",IF($AF214&lt;&gt;Constants!$B$7,$AF214,AG214))</f>
        <v/>
      </c>
      <c r="BB214" s="75" t="str">
        <f aca="false">IF(ISBLANK($C214),"",AU214)</f>
        <v/>
      </c>
      <c r="BC214" s="75" t="str">
        <f aca="false">IF(ISBLANK($C214),"",AT214)</f>
        <v/>
      </c>
      <c r="BD214" s="76" t="str">
        <f aca="false">IF(ISBLANK($C214),"",IFERROR(_xlfn.SWITCH(BC214,Constants!$B$4,COUNTA($C$8:$C$507)+2,Constants!$B$5,COUNTA($C$8:$C$507)+1,Constants!$B$6,COUNTA($C$8:$C$507)),BC214))</f>
        <v/>
      </c>
      <c r="BE214" s="5"/>
      <c r="BF214" s="77" t="n">
        <f aca="false">IF(OR(ISNUMBER(BC214),BC214=Constants!$B$4,BC214=Constants!$B$6,BC214=Constants!$B$5),1,0)</f>
        <v>0</v>
      </c>
      <c r="BG214" s="77" t="n">
        <v>207</v>
      </c>
      <c r="BH214" s="77" t="str">
        <f aca="false">IF(ISBLANK($C214),"",IF(ISNUMBER(BD214),BD214+ROW($B214)/1000,""))</f>
        <v/>
      </c>
      <c r="BI214" s="77" t="str">
        <f aca="false">IF(ISNUMBER(BH214),RANK(BH214,$BH$8:$BH$507,1),"")</f>
        <v/>
      </c>
      <c r="BJ214" s="77" t="str">
        <f aca="false">IF(ISBLANK($C214),"",$B214)</f>
        <v/>
      </c>
      <c r="BK214" s="77" t="str">
        <f aca="false">IF(ISBLANK($C214),"",$C214)</f>
        <v/>
      </c>
      <c r="BL214" s="77" t="str">
        <f aca="false">IF(ISBLANK($C214),"",$D214)</f>
        <v/>
      </c>
      <c r="BM214" s="78" t="str">
        <f aca="false">BA214</f>
        <v/>
      </c>
      <c r="BN214" s="79" t="str">
        <f aca="false">AZ214</f>
        <v/>
      </c>
      <c r="BO214" s="77" t="str">
        <f aca="false">IF(ISBLANK($C214),"",BC214)</f>
        <v/>
      </c>
      <c r="BP214" s="80" t="str">
        <f aca="false">IF($BG214&gt;$BF$7,"",VLOOKUP($BG214,$BI$8:$BO$507,7,FALSE()))</f>
        <v/>
      </c>
      <c r="BQ214" s="81" t="str">
        <f aca="false">IF($BG214&gt;$BF$7,"",VLOOKUP($BG214,$BI$8:$BO$507,2,FALSE()))</f>
        <v/>
      </c>
      <c r="BR214" s="81" t="str">
        <f aca="false">IF($BG214&gt;$BF$7,"",VLOOKUP($BG214,$BI$8:$BO$507,3,FALSE()))</f>
        <v/>
      </c>
      <c r="BS214" s="81" t="str">
        <f aca="false">IF($BG214&gt;$BF$7,"",VLOOKUP($BG214,$BI$8:$BO$507,4,FALSE()))</f>
        <v/>
      </c>
      <c r="BT214" s="81" t="str">
        <f aca="false">IF($BG214&gt;$BF$7,"",VLOOKUP($BG214,$BI$8:$BO$507,5,FALSE()))</f>
        <v/>
      </c>
      <c r="BU214" s="82" t="str">
        <f aca="false">IF($BG214&gt;$BF$7,"",VLOOKUP($BG214,$BI$8:$BO$507,6,FALSE()))</f>
        <v/>
      </c>
      <c r="BV214" s="54"/>
    </row>
    <row r="215" customFormat="false" ht="15.75" hidden="false" customHeight="false" outlineLevel="0" collapsed="false">
      <c r="A215" s="5"/>
      <c r="B215" s="128"/>
      <c r="C215" s="129"/>
      <c r="D215" s="114"/>
      <c r="E215" s="134"/>
      <c r="F215" s="139"/>
      <c r="G215" s="93"/>
      <c r="H215" s="140"/>
      <c r="I215" s="95"/>
      <c r="J215" s="95"/>
      <c r="K215" s="93"/>
      <c r="L215" s="141"/>
      <c r="M215" s="95"/>
      <c r="N215" s="95"/>
      <c r="O215" s="93"/>
      <c r="P215" s="134"/>
      <c r="Q215" s="98"/>
      <c r="R215" s="99" t="str">
        <f aca="false">IF(ISBLANK($C215),"",IF(E215=Constants!$B$2, TRUE(), IF(E215=Constants!$B$3, FALSE(), TRUE())))</f>
        <v/>
      </c>
      <c r="S215" s="99" t="str">
        <f aca="false">IF(ISBLANK($C215),"",IF(F215=Constants!$B$2, TRUE(), IF(F215=Constants!$B$3, FALSE(), TRUE())))</f>
        <v/>
      </c>
      <c r="T215" s="99" t="str">
        <f aca="false">IF(ISBLANK($C215),"",IF(G215=Constants!$B$16,Constants!$B$9,IF(G215=Constants!$B$17,Constants!$B$10,Constants!$B$8)))</f>
        <v/>
      </c>
      <c r="U215" s="99" t="str">
        <f aca="false">IF(ISBLANK($C215),"",IF(H215=Constants!$B$19,Constants!$B$19,Constants!$B$18))</f>
        <v/>
      </c>
      <c r="V215" s="99" t="str">
        <f aca="false">IF(ISBLANK($C215),"",IF(ISNUMBER(I215),IF(I215&gt;=0,I215,""),""))</f>
        <v/>
      </c>
      <c r="W215" s="99" t="str">
        <f aca="false">IF(ISBLANK($C215),"",IF(J215=Constants!$B$2, TRUE(), IF(J215=Constants!$B$3, FALSE(), TRUE())))</f>
        <v/>
      </c>
      <c r="X215" s="99" t="str">
        <f aca="false">IF(ISBLANK($C215),"",IF(K215=Constants!$B$2, TRUE(), IF(K215=Constants!$B$3, FALSE(), TRUE())))</f>
        <v/>
      </c>
      <c r="Y215" s="99" t="str">
        <f aca="false">IF(ISBLANK($C215),"",IF(L215=Constants!$B$19,Constants!$B$19,Constants!$B$18))</f>
        <v/>
      </c>
      <c r="Z215" s="99" t="str">
        <f aca="false">IF(ISBLANK($C215),"",IF(ISNUMBER(M215),IF(M215&gt;=0,M215,""),""))</f>
        <v/>
      </c>
      <c r="AA215" s="99" t="str">
        <f aca="false">IF(ISBLANK($C215),"",IF(N215=Constants!$B$2, TRUE(), IF(N215=Constants!$B$3, FALSE(), TRUE())))</f>
        <v/>
      </c>
      <c r="AB215" s="99" t="str">
        <f aca="false">IF(ISBLANK($C215),"",IF(O215=Constants!$B$2, TRUE(), IF(O215=Constants!$B$3, FALSE(), TRUE())))</f>
        <v/>
      </c>
      <c r="AC215" s="99" t="str">
        <f aca="false">IF(ISBLANK($C215),"",IF(P215=Constants!$B$2, TRUE(), IF(P215=Constants!$B$3, FALSE(), FALSE())))</f>
        <v/>
      </c>
      <c r="AD215" s="99" t="str">
        <f aca="false">IF(ISBLANK($C215),"",AND(V215&lt;&gt;"",IF(U215=Constants!$B$19,S215,R215)))</f>
        <v/>
      </c>
      <c r="AE215" s="99" t="str">
        <f aca="false">IF(ISBLANK($C215),"",AND(Z215&lt;&gt;"",IF(Y215=Constants!$B$19,S215,R215)))</f>
        <v/>
      </c>
      <c r="AF215" s="99" t="str">
        <f aca="false">IF(ISBLANK($C215),"",IF(AC215,Constants!$B$4,IF(COUNTA(E215:O215)=0,Constants!$B$5,IF(AND(NOT(AD215),NOT(AE215)),Constants!$B$6,Constants!$B$7))))</f>
        <v/>
      </c>
      <c r="AG215" s="99" t="str">
        <f aca="false">IF(ISBLANK($C215),"",IF($AF215&lt;&gt;Constants!$B$7,$AF215,Constants!$B$20))</f>
        <v/>
      </c>
      <c r="AH215" s="99" t="str">
        <f aca="false">IF($AF215=Constants!$B$7,IF(AD215,V215,Constants!$B$13),"")</f>
        <v/>
      </c>
      <c r="AI215" s="99" t="str">
        <f aca="false">IF($AF215=Constants!$B$7,IF(AD215,T215*IF(W215, 1, Constants!$B$11)*IF(X215, 1, Constants!$B$12),Constants!$B$13),"")</f>
        <v/>
      </c>
      <c r="AJ215" s="99" t="str">
        <f aca="false">IF($AF215=Constants!$B$7,AH215*AI215,"")</f>
        <v/>
      </c>
      <c r="AK215" s="99" t="str">
        <f aca="false">IF($AF215=Constants!$B$7,IF(AE215,Z215,Constants!$B$13),"")</f>
        <v/>
      </c>
      <c r="AL215" s="99" t="str">
        <f aca="false">IF($AF215=Constants!$B$7,IF(AE215,T215*IF(AA215, 1, Constants!$B$11)*IF(AB215, 1, Constants!$B$12),Constants!$B$13),"")</f>
        <v/>
      </c>
      <c r="AM215" s="99" t="str">
        <f aca="false">IF($AF215=Constants!$B$7,AK215*AL215,"")</f>
        <v/>
      </c>
      <c r="AN215" s="99" t="str">
        <f aca="false">IF($AF215=Constants!$B$7,IF(AM215&gt;AJ215,2,1),"")</f>
        <v/>
      </c>
      <c r="AO215" s="99" t="str">
        <f aca="false">IF($AF215=Constants!$B$7,IF(AN215=1,2,1),"")</f>
        <v/>
      </c>
      <c r="AP215" s="99" t="str">
        <f aca="false">IF(ISBLANK($C215),"",IF($AF215&lt;&gt;Constants!$B$7,$AF215,IF(AN215=1,AJ215,AM215)))</f>
        <v/>
      </c>
      <c r="AQ215" s="99" t="str">
        <f aca="false">IF(ISBLANK($C215),"",IF($AF215=Constants!$B$7,IF(ISNUMBER(AP215),RANK(AP215,$AP$8:$AP$507),Constants!$B$14),$AF215))</f>
        <v/>
      </c>
      <c r="AR215" s="99" t="str">
        <f aca="false">IF(ISBLANK($C215),"",IF($AF215=Constants!$B$7,IF(AO215=1,AJ215,AM215),""))</f>
        <v/>
      </c>
      <c r="AS215" s="99" t="str">
        <f aca="false">IF(ISBLANK($C215),"",IF($AF215=Constants!$B$7,RANK(AR215,$AR$8:$AR$507),$AF215))</f>
        <v/>
      </c>
      <c r="AT215" s="99" t="str">
        <f aca="false">IF(ISBLANK($C215),"",IF($AF215=Constants!$B$7,IF(ISNUMBER(AQ215),COUNTIFS($AQ$8:$AQ$507,"&lt;"&amp;$AQ215)+COUNTIFS($AQ$8:$AQ$507,$AQ215,$AS$8:$AS$507,"&lt;"&amp;$AS215)+1,Constants!$B$14),$AF215))</f>
        <v/>
      </c>
      <c r="AU215" s="99" t="str">
        <f aca="false">IF(ISBLANK($C215),"",IF($AF215=Constants!$B$7,IF(ISNUMBER(AQ215),AQ215-AT215,Constants!$B$14),$AF215))</f>
        <v/>
      </c>
      <c r="AV215" s="100"/>
      <c r="AW215" s="101" t="str">
        <f aca="false">IF(ISBLANK($C215),"",IF($AF215&lt;&gt;Constants!$B$7,"",AN215))</f>
        <v/>
      </c>
      <c r="AX215" s="102" t="str">
        <f aca="false">IF(ISBLANK($C215),"",IF($AF215&lt;&gt;Constants!$B$7,"",IF(AN215=1,AH215,AK215)))</f>
        <v/>
      </c>
      <c r="AY215" s="103" t="str">
        <f aca="false">IF(ISBLANK($C215),"",IF($AF215&lt;&gt;Constants!$B$7,"",IF(AN215=1,AI215,AL215)))</f>
        <v/>
      </c>
      <c r="AZ215" s="104" t="str">
        <f aca="false">IF(ISBLANK($C215),"",IF($AF215&lt;&gt;Constants!$B$7,$AF215,AP215))</f>
        <v/>
      </c>
      <c r="BA215" s="105" t="str">
        <f aca="false">IF(ISBLANK($C215),"",IF($AF215&lt;&gt;Constants!$B$7,$AF215,AG215))</f>
        <v/>
      </c>
      <c r="BB215" s="106" t="str">
        <f aca="false">IF(ISBLANK($C215),"",AU215)</f>
        <v/>
      </c>
      <c r="BC215" s="106" t="str">
        <f aca="false">IF(ISBLANK($C215),"",AT215)</f>
        <v/>
      </c>
      <c r="BD215" s="107" t="str">
        <f aca="false">IF(ISBLANK($C215),"",IFERROR(_xlfn.SWITCH(BC215,Constants!$B$4,COUNTA($C$8:$C$507)+2,Constants!$B$5,COUNTA($C$8:$C$507)+1,Constants!$B$6,COUNTA($C$8:$C$507)),BC215))</f>
        <v/>
      </c>
      <c r="BE215" s="5"/>
      <c r="BF215" s="108" t="n">
        <f aca="false">IF(OR(ISNUMBER(BC215),BC215=Constants!$B$4,BC215=Constants!$B$6,BC215=Constants!$B$5),1,0)</f>
        <v>0</v>
      </c>
      <c r="BG215" s="108" t="n">
        <v>208</v>
      </c>
      <c r="BH215" s="108" t="str">
        <f aca="false">IF(ISBLANK($C215),"",IF(ISNUMBER(BD215),BD215+ROW($B215)/1000,""))</f>
        <v/>
      </c>
      <c r="BI215" s="108" t="str">
        <f aca="false">IF(ISNUMBER(BH215),RANK(BH215,$BH$8:$BH$507,1),"")</f>
        <v/>
      </c>
      <c r="BJ215" s="108" t="str">
        <f aca="false">IF(ISBLANK($C215),"",$B215)</f>
        <v/>
      </c>
      <c r="BK215" s="108" t="str">
        <f aca="false">IF(ISBLANK($C215),"",$C215)</f>
        <v/>
      </c>
      <c r="BL215" s="108" t="str">
        <f aca="false">IF(ISBLANK($C215),"",$D215)</f>
        <v/>
      </c>
      <c r="BM215" s="109" t="str">
        <f aca="false">BA215</f>
        <v/>
      </c>
      <c r="BN215" s="110" t="str">
        <f aca="false">AZ215</f>
        <v/>
      </c>
      <c r="BO215" s="108" t="str">
        <f aca="false">IF(ISBLANK($C215),"",BC215)</f>
        <v/>
      </c>
      <c r="BP215" s="111" t="str">
        <f aca="false">IF($BG215&gt;$BF$7,"",VLOOKUP($BG215,$BI$8:$BO$507,7,FALSE()))</f>
        <v/>
      </c>
      <c r="BQ215" s="112" t="str">
        <f aca="false">IF($BG215&gt;$BF$7,"",VLOOKUP($BG215,$BI$8:$BO$507,2,FALSE()))</f>
        <v/>
      </c>
      <c r="BR215" s="112" t="str">
        <f aca="false">IF($BG215&gt;$BF$7,"",VLOOKUP($BG215,$BI$8:$BO$507,3,FALSE()))</f>
        <v/>
      </c>
      <c r="BS215" s="112" t="str">
        <f aca="false">IF($BG215&gt;$BF$7,"",VLOOKUP($BG215,$BI$8:$BO$507,4,FALSE()))</f>
        <v/>
      </c>
      <c r="BT215" s="112" t="str">
        <f aca="false">IF($BG215&gt;$BF$7,"",VLOOKUP($BG215,$BI$8:$BO$507,5,FALSE()))</f>
        <v/>
      </c>
      <c r="BU215" s="113" t="str">
        <f aca="false">IF($BG215&gt;$BF$7,"",VLOOKUP($BG215,$BI$8:$BO$507,6,FALSE()))</f>
        <v/>
      </c>
      <c r="BV215" s="54"/>
    </row>
    <row r="216" customFormat="false" ht="15.75" hidden="false" customHeight="false" outlineLevel="0" collapsed="false">
      <c r="A216" s="5"/>
      <c r="B216" s="128"/>
      <c r="C216" s="129"/>
      <c r="D216" s="114"/>
      <c r="E216" s="134"/>
      <c r="F216" s="139"/>
      <c r="G216" s="93"/>
      <c r="H216" s="140"/>
      <c r="I216" s="95"/>
      <c r="J216" s="95"/>
      <c r="K216" s="93"/>
      <c r="L216" s="141"/>
      <c r="M216" s="95"/>
      <c r="N216" s="95"/>
      <c r="O216" s="93"/>
      <c r="P216" s="134"/>
      <c r="Q216" s="98"/>
      <c r="R216" s="99" t="str">
        <f aca="false">IF(ISBLANK($C216),"",IF(E216=Constants!$B$2, TRUE(), IF(E216=Constants!$B$3, FALSE(), TRUE())))</f>
        <v/>
      </c>
      <c r="S216" s="99" t="str">
        <f aca="false">IF(ISBLANK($C216),"",IF(F216=Constants!$B$2, TRUE(), IF(F216=Constants!$B$3, FALSE(), TRUE())))</f>
        <v/>
      </c>
      <c r="T216" s="99" t="str">
        <f aca="false">IF(ISBLANK($C216),"",IF(G216=Constants!$B$16,Constants!$B$9,IF(G216=Constants!$B$17,Constants!$B$10,Constants!$B$8)))</f>
        <v/>
      </c>
      <c r="U216" s="99" t="str">
        <f aca="false">IF(ISBLANK($C216),"",IF(H216=Constants!$B$19,Constants!$B$19,Constants!$B$18))</f>
        <v/>
      </c>
      <c r="V216" s="99" t="str">
        <f aca="false">IF(ISBLANK($C216),"",IF(ISNUMBER(I216),IF(I216&gt;=0,I216,""),""))</f>
        <v/>
      </c>
      <c r="W216" s="99" t="str">
        <f aca="false">IF(ISBLANK($C216),"",IF(J216=Constants!$B$2, TRUE(), IF(J216=Constants!$B$3, FALSE(), TRUE())))</f>
        <v/>
      </c>
      <c r="X216" s="99" t="str">
        <f aca="false">IF(ISBLANK($C216),"",IF(K216=Constants!$B$2, TRUE(), IF(K216=Constants!$B$3, FALSE(), TRUE())))</f>
        <v/>
      </c>
      <c r="Y216" s="99" t="str">
        <f aca="false">IF(ISBLANK($C216),"",IF(L216=Constants!$B$19,Constants!$B$19,Constants!$B$18))</f>
        <v/>
      </c>
      <c r="Z216" s="99" t="str">
        <f aca="false">IF(ISBLANK($C216),"",IF(ISNUMBER(M216),IF(M216&gt;=0,M216,""),""))</f>
        <v/>
      </c>
      <c r="AA216" s="99" t="str">
        <f aca="false">IF(ISBLANK($C216),"",IF(N216=Constants!$B$2, TRUE(), IF(N216=Constants!$B$3, FALSE(), TRUE())))</f>
        <v/>
      </c>
      <c r="AB216" s="99" t="str">
        <f aca="false">IF(ISBLANK($C216),"",IF(O216=Constants!$B$2, TRUE(), IF(O216=Constants!$B$3, FALSE(), TRUE())))</f>
        <v/>
      </c>
      <c r="AC216" s="99" t="str">
        <f aca="false">IF(ISBLANK($C216),"",IF(P216=Constants!$B$2, TRUE(), IF(P216=Constants!$B$3, FALSE(), FALSE())))</f>
        <v/>
      </c>
      <c r="AD216" s="99" t="str">
        <f aca="false">IF(ISBLANK($C216),"",AND(V216&lt;&gt;"",IF(U216=Constants!$B$19,S216,R216)))</f>
        <v/>
      </c>
      <c r="AE216" s="99" t="str">
        <f aca="false">IF(ISBLANK($C216),"",AND(Z216&lt;&gt;"",IF(Y216=Constants!$B$19,S216,R216)))</f>
        <v/>
      </c>
      <c r="AF216" s="99" t="str">
        <f aca="false">IF(ISBLANK($C216),"",IF(AC216,Constants!$B$4,IF(COUNTA(E216:O216)=0,Constants!$B$5,IF(AND(NOT(AD216),NOT(AE216)),Constants!$B$6,Constants!$B$7))))</f>
        <v/>
      </c>
      <c r="AG216" s="99" t="str">
        <f aca="false">IF(ISBLANK($C216),"",IF($AF216&lt;&gt;Constants!$B$7,$AF216,Constants!$B$20))</f>
        <v/>
      </c>
      <c r="AH216" s="99" t="str">
        <f aca="false">IF($AF216=Constants!$B$7,IF(AD216,V216,Constants!$B$13),"")</f>
        <v/>
      </c>
      <c r="AI216" s="99" t="str">
        <f aca="false">IF($AF216=Constants!$B$7,IF(AD216,T216*IF(W216, 1, Constants!$B$11)*IF(X216, 1, Constants!$B$12),Constants!$B$13),"")</f>
        <v/>
      </c>
      <c r="AJ216" s="99" t="str">
        <f aca="false">IF($AF216=Constants!$B$7,AH216*AI216,"")</f>
        <v/>
      </c>
      <c r="AK216" s="99" t="str">
        <f aca="false">IF($AF216=Constants!$B$7,IF(AE216,Z216,Constants!$B$13),"")</f>
        <v/>
      </c>
      <c r="AL216" s="99" t="str">
        <f aca="false">IF($AF216=Constants!$B$7,IF(AE216,T216*IF(AA216, 1, Constants!$B$11)*IF(AB216, 1, Constants!$B$12),Constants!$B$13),"")</f>
        <v/>
      </c>
      <c r="AM216" s="99" t="str">
        <f aca="false">IF($AF216=Constants!$B$7,AK216*AL216,"")</f>
        <v/>
      </c>
      <c r="AN216" s="99" t="str">
        <f aca="false">IF($AF216=Constants!$B$7,IF(AM216&gt;AJ216,2,1),"")</f>
        <v/>
      </c>
      <c r="AO216" s="99" t="str">
        <f aca="false">IF($AF216=Constants!$B$7,IF(AN216=1,2,1),"")</f>
        <v/>
      </c>
      <c r="AP216" s="99" t="str">
        <f aca="false">IF(ISBLANK($C216),"",IF($AF216&lt;&gt;Constants!$B$7,$AF216,IF(AN216=1,AJ216,AM216)))</f>
        <v/>
      </c>
      <c r="AQ216" s="99" t="str">
        <f aca="false">IF(ISBLANK($C216),"",IF($AF216=Constants!$B$7,IF(ISNUMBER(AP216),RANK(AP216,$AP$8:$AP$507),Constants!$B$14),$AF216))</f>
        <v/>
      </c>
      <c r="AR216" s="99" t="str">
        <f aca="false">IF(ISBLANK($C216),"",IF($AF216=Constants!$B$7,IF(AO216=1,AJ216,AM216),""))</f>
        <v/>
      </c>
      <c r="AS216" s="99" t="str">
        <f aca="false">IF(ISBLANK($C216),"",IF($AF216=Constants!$B$7,RANK(AR216,$AR$8:$AR$507),$AF216))</f>
        <v/>
      </c>
      <c r="AT216" s="99" t="str">
        <f aca="false">IF(ISBLANK($C216),"",IF($AF216=Constants!$B$7,IF(ISNUMBER(AQ216),COUNTIFS($AQ$8:$AQ$507,"&lt;"&amp;$AQ216)+COUNTIFS($AQ$8:$AQ$507,$AQ216,$AS$8:$AS$507,"&lt;"&amp;$AS216)+1,Constants!$B$14),$AF216))</f>
        <v/>
      </c>
      <c r="AU216" s="99" t="str">
        <f aca="false">IF(ISBLANK($C216),"",IF($AF216=Constants!$B$7,IF(ISNUMBER(AQ216),AQ216-AT216,Constants!$B$14),$AF216))</f>
        <v/>
      </c>
      <c r="AV216" s="100"/>
      <c r="AW216" s="101" t="str">
        <f aca="false">IF(ISBLANK($C216),"",IF($AF216&lt;&gt;Constants!$B$7,"",AN216))</f>
        <v/>
      </c>
      <c r="AX216" s="102" t="str">
        <f aca="false">IF(ISBLANK($C216),"",IF($AF216&lt;&gt;Constants!$B$7,"",IF(AN216=1,AH216,AK216)))</f>
        <v/>
      </c>
      <c r="AY216" s="103" t="str">
        <f aca="false">IF(ISBLANK($C216),"",IF($AF216&lt;&gt;Constants!$B$7,"",IF(AN216=1,AI216,AL216)))</f>
        <v/>
      </c>
      <c r="AZ216" s="104" t="str">
        <f aca="false">IF(ISBLANK($C216),"",IF($AF216&lt;&gt;Constants!$B$7,$AF216,AP216))</f>
        <v/>
      </c>
      <c r="BA216" s="105" t="str">
        <f aca="false">IF(ISBLANK($C216),"",IF($AF216&lt;&gt;Constants!$B$7,$AF216,AG216))</f>
        <v/>
      </c>
      <c r="BB216" s="106" t="str">
        <f aca="false">IF(ISBLANK($C216),"",AU216)</f>
        <v/>
      </c>
      <c r="BC216" s="106" t="str">
        <f aca="false">IF(ISBLANK($C216),"",AT216)</f>
        <v/>
      </c>
      <c r="BD216" s="107" t="str">
        <f aca="false">IF(ISBLANK($C216),"",IFERROR(_xlfn.SWITCH(BC216,Constants!$B$4,COUNTA($C$8:$C$507)+2,Constants!$B$5,COUNTA($C$8:$C$507)+1,Constants!$B$6,COUNTA($C$8:$C$507)),BC216))</f>
        <v/>
      </c>
      <c r="BE216" s="5"/>
      <c r="BF216" s="108" t="n">
        <f aca="false">IF(OR(ISNUMBER(BC216),BC216=Constants!$B$4,BC216=Constants!$B$6,BC216=Constants!$B$5),1,0)</f>
        <v>0</v>
      </c>
      <c r="BG216" s="108" t="n">
        <v>209</v>
      </c>
      <c r="BH216" s="108" t="str">
        <f aca="false">IF(ISBLANK($C216),"",IF(ISNUMBER(BD216),BD216+ROW($B216)/1000,""))</f>
        <v/>
      </c>
      <c r="BI216" s="108" t="str">
        <f aca="false">IF(ISNUMBER(BH216),RANK(BH216,$BH$8:$BH$507,1),"")</f>
        <v/>
      </c>
      <c r="BJ216" s="108" t="str">
        <f aca="false">IF(ISBLANK($C216),"",$B216)</f>
        <v/>
      </c>
      <c r="BK216" s="108" t="str">
        <f aca="false">IF(ISBLANK($C216),"",$C216)</f>
        <v/>
      </c>
      <c r="BL216" s="108" t="str">
        <f aca="false">IF(ISBLANK($C216),"",$D216)</f>
        <v/>
      </c>
      <c r="BM216" s="109" t="str">
        <f aca="false">BA216</f>
        <v/>
      </c>
      <c r="BN216" s="110" t="str">
        <f aca="false">AZ216</f>
        <v/>
      </c>
      <c r="BO216" s="108" t="str">
        <f aca="false">IF(ISBLANK($C216),"",BC216)</f>
        <v/>
      </c>
      <c r="BP216" s="111" t="str">
        <f aca="false">IF($BG216&gt;$BF$7,"",VLOOKUP($BG216,$BI$8:$BO$507,7,FALSE()))</f>
        <v/>
      </c>
      <c r="BQ216" s="112" t="str">
        <f aca="false">IF($BG216&gt;$BF$7,"",VLOOKUP($BG216,$BI$8:$BO$507,2,FALSE()))</f>
        <v/>
      </c>
      <c r="BR216" s="112" t="str">
        <f aca="false">IF($BG216&gt;$BF$7,"",VLOOKUP($BG216,$BI$8:$BO$507,3,FALSE()))</f>
        <v/>
      </c>
      <c r="BS216" s="112" t="str">
        <f aca="false">IF($BG216&gt;$BF$7,"",VLOOKUP($BG216,$BI$8:$BO$507,4,FALSE()))</f>
        <v/>
      </c>
      <c r="BT216" s="112" t="str">
        <f aca="false">IF($BG216&gt;$BF$7,"",VLOOKUP($BG216,$BI$8:$BO$507,5,FALSE()))</f>
        <v/>
      </c>
      <c r="BU216" s="113" t="str">
        <f aca="false">IF($BG216&gt;$BF$7,"",VLOOKUP($BG216,$BI$8:$BO$507,6,FALSE()))</f>
        <v/>
      </c>
      <c r="BV216" s="54"/>
    </row>
    <row r="217" customFormat="false" ht="15.75" hidden="false" customHeight="false" outlineLevel="0" collapsed="false">
      <c r="A217" s="5"/>
      <c r="B217" s="128"/>
      <c r="C217" s="129"/>
      <c r="D217" s="114"/>
      <c r="E217" s="134"/>
      <c r="F217" s="139"/>
      <c r="G217" s="93"/>
      <c r="H217" s="140"/>
      <c r="I217" s="95"/>
      <c r="J217" s="95"/>
      <c r="K217" s="93"/>
      <c r="L217" s="141"/>
      <c r="M217" s="95"/>
      <c r="N217" s="95"/>
      <c r="O217" s="93"/>
      <c r="P217" s="134"/>
      <c r="Q217" s="98"/>
      <c r="R217" s="99" t="str">
        <f aca="false">IF(ISBLANK($C217),"",IF(E217=Constants!$B$2, TRUE(), IF(E217=Constants!$B$3, FALSE(), TRUE())))</f>
        <v/>
      </c>
      <c r="S217" s="99" t="str">
        <f aca="false">IF(ISBLANK($C217),"",IF(F217=Constants!$B$2, TRUE(), IF(F217=Constants!$B$3, FALSE(), TRUE())))</f>
        <v/>
      </c>
      <c r="T217" s="99" t="str">
        <f aca="false">IF(ISBLANK($C217),"",IF(G217=Constants!$B$16,Constants!$B$9,IF(G217=Constants!$B$17,Constants!$B$10,Constants!$B$8)))</f>
        <v/>
      </c>
      <c r="U217" s="99" t="str">
        <f aca="false">IF(ISBLANK($C217),"",IF(H217=Constants!$B$19,Constants!$B$19,Constants!$B$18))</f>
        <v/>
      </c>
      <c r="V217" s="99" t="str">
        <f aca="false">IF(ISBLANK($C217),"",IF(ISNUMBER(I217),IF(I217&gt;=0,I217,""),""))</f>
        <v/>
      </c>
      <c r="W217" s="99" t="str">
        <f aca="false">IF(ISBLANK($C217),"",IF(J217=Constants!$B$2, TRUE(), IF(J217=Constants!$B$3, FALSE(), TRUE())))</f>
        <v/>
      </c>
      <c r="X217" s="99" t="str">
        <f aca="false">IF(ISBLANK($C217),"",IF(K217=Constants!$B$2, TRUE(), IF(K217=Constants!$B$3, FALSE(), TRUE())))</f>
        <v/>
      </c>
      <c r="Y217" s="99" t="str">
        <f aca="false">IF(ISBLANK($C217),"",IF(L217=Constants!$B$19,Constants!$B$19,Constants!$B$18))</f>
        <v/>
      </c>
      <c r="Z217" s="99" t="str">
        <f aca="false">IF(ISBLANK($C217),"",IF(ISNUMBER(M217),IF(M217&gt;=0,M217,""),""))</f>
        <v/>
      </c>
      <c r="AA217" s="99" t="str">
        <f aca="false">IF(ISBLANK($C217),"",IF(N217=Constants!$B$2, TRUE(), IF(N217=Constants!$B$3, FALSE(), TRUE())))</f>
        <v/>
      </c>
      <c r="AB217" s="99" t="str">
        <f aca="false">IF(ISBLANK($C217),"",IF(O217=Constants!$B$2, TRUE(), IF(O217=Constants!$B$3, FALSE(), TRUE())))</f>
        <v/>
      </c>
      <c r="AC217" s="99" t="str">
        <f aca="false">IF(ISBLANK($C217),"",IF(P217=Constants!$B$2, TRUE(), IF(P217=Constants!$B$3, FALSE(), FALSE())))</f>
        <v/>
      </c>
      <c r="AD217" s="99" t="str">
        <f aca="false">IF(ISBLANK($C217),"",AND(V217&lt;&gt;"",IF(U217=Constants!$B$19,S217,R217)))</f>
        <v/>
      </c>
      <c r="AE217" s="99" t="str">
        <f aca="false">IF(ISBLANK($C217),"",AND(Z217&lt;&gt;"",IF(Y217=Constants!$B$19,S217,R217)))</f>
        <v/>
      </c>
      <c r="AF217" s="99" t="str">
        <f aca="false">IF(ISBLANK($C217),"",IF(AC217,Constants!$B$4,IF(COUNTA(E217:O217)=0,Constants!$B$5,IF(AND(NOT(AD217),NOT(AE217)),Constants!$B$6,Constants!$B$7))))</f>
        <v/>
      </c>
      <c r="AG217" s="99" t="str">
        <f aca="false">IF(ISBLANK($C217),"",IF($AF217&lt;&gt;Constants!$B$7,$AF217,Constants!$B$20))</f>
        <v/>
      </c>
      <c r="AH217" s="99" t="str">
        <f aca="false">IF($AF217=Constants!$B$7,IF(AD217,V217,Constants!$B$13),"")</f>
        <v/>
      </c>
      <c r="AI217" s="99" t="str">
        <f aca="false">IF($AF217=Constants!$B$7,IF(AD217,T217*IF(W217, 1, Constants!$B$11)*IF(X217, 1, Constants!$B$12),Constants!$B$13),"")</f>
        <v/>
      </c>
      <c r="AJ217" s="99" t="str">
        <f aca="false">IF($AF217=Constants!$B$7,AH217*AI217,"")</f>
        <v/>
      </c>
      <c r="AK217" s="99" t="str">
        <f aca="false">IF($AF217=Constants!$B$7,IF(AE217,Z217,Constants!$B$13),"")</f>
        <v/>
      </c>
      <c r="AL217" s="99" t="str">
        <f aca="false">IF($AF217=Constants!$B$7,IF(AE217,T217*IF(AA217, 1, Constants!$B$11)*IF(AB217, 1, Constants!$B$12),Constants!$B$13),"")</f>
        <v/>
      </c>
      <c r="AM217" s="99" t="str">
        <f aca="false">IF($AF217=Constants!$B$7,AK217*AL217,"")</f>
        <v/>
      </c>
      <c r="AN217" s="99" t="str">
        <f aca="false">IF($AF217=Constants!$B$7,IF(AM217&gt;AJ217,2,1),"")</f>
        <v/>
      </c>
      <c r="AO217" s="99" t="str">
        <f aca="false">IF($AF217=Constants!$B$7,IF(AN217=1,2,1),"")</f>
        <v/>
      </c>
      <c r="AP217" s="99" t="str">
        <f aca="false">IF(ISBLANK($C217),"",IF($AF217&lt;&gt;Constants!$B$7,$AF217,IF(AN217=1,AJ217,AM217)))</f>
        <v/>
      </c>
      <c r="AQ217" s="99" t="str">
        <f aca="false">IF(ISBLANK($C217),"",IF($AF217=Constants!$B$7,IF(ISNUMBER(AP217),RANK(AP217,$AP$8:$AP$507),Constants!$B$14),$AF217))</f>
        <v/>
      </c>
      <c r="AR217" s="99" t="str">
        <f aca="false">IF(ISBLANK($C217),"",IF($AF217=Constants!$B$7,IF(AO217=1,AJ217,AM217),""))</f>
        <v/>
      </c>
      <c r="AS217" s="99" t="str">
        <f aca="false">IF(ISBLANK($C217),"",IF($AF217=Constants!$B$7,RANK(AR217,$AR$8:$AR$507),$AF217))</f>
        <v/>
      </c>
      <c r="AT217" s="99" t="str">
        <f aca="false">IF(ISBLANK($C217),"",IF($AF217=Constants!$B$7,IF(ISNUMBER(AQ217),COUNTIFS($AQ$8:$AQ$507,"&lt;"&amp;$AQ217)+COUNTIFS($AQ$8:$AQ$507,$AQ217,$AS$8:$AS$507,"&lt;"&amp;$AS217)+1,Constants!$B$14),$AF217))</f>
        <v/>
      </c>
      <c r="AU217" s="99" t="str">
        <f aca="false">IF(ISBLANK($C217),"",IF($AF217=Constants!$B$7,IF(ISNUMBER(AQ217),AQ217-AT217,Constants!$B$14),$AF217))</f>
        <v/>
      </c>
      <c r="AV217" s="100"/>
      <c r="AW217" s="101" t="str">
        <f aca="false">IF(ISBLANK($C217),"",IF($AF217&lt;&gt;Constants!$B$7,"",AN217))</f>
        <v/>
      </c>
      <c r="AX217" s="102" t="str">
        <f aca="false">IF(ISBLANK($C217),"",IF($AF217&lt;&gt;Constants!$B$7,"",IF(AN217=1,AH217,AK217)))</f>
        <v/>
      </c>
      <c r="AY217" s="103" t="str">
        <f aca="false">IF(ISBLANK($C217),"",IF($AF217&lt;&gt;Constants!$B$7,"",IF(AN217=1,AI217,AL217)))</f>
        <v/>
      </c>
      <c r="AZ217" s="104" t="str">
        <f aca="false">IF(ISBLANK($C217),"",IF($AF217&lt;&gt;Constants!$B$7,$AF217,AP217))</f>
        <v/>
      </c>
      <c r="BA217" s="105" t="str">
        <f aca="false">IF(ISBLANK($C217),"",IF($AF217&lt;&gt;Constants!$B$7,$AF217,AG217))</f>
        <v/>
      </c>
      <c r="BB217" s="106" t="str">
        <f aca="false">IF(ISBLANK($C217),"",AU217)</f>
        <v/>
      </c>
      <c r="BC217" s="106" t="str">
        <f aca="false">IF(ISBLANK($C217),"",AT217)</f>
        <v/>
      </c>
      <c r="BD217" s="107" t="str">
        <f aca="false">IF(ISBLANK($C217),"",IFERROR(_xlfn.SWITCH(BC217,Constants!$B$4,COUNTA($C$8:$C$507)+2,Constants!$B$5,COUNTA($C$8:$C$507)+1,Constants!$B$6,COUNTA($C$8:$C$507)),BC217))</f>
        <v/>
      </c>
      <c r="BE217" s="5"/>
      <c r="BF217" s="108" t="n">
        <f aca="false">IF(OR(ISNUMBER(BC217),BC217=Constants!$B$4,BC217=Constants!$B$6,BC217=Constants!$B$5),1,0)</f>
        <v>0</v>
      </c>
      <c r="BG217" s="108" t="n">
        <v>210</v>
      </c>
      <c r="BH217" s="108" t="str">
        <f aca="false">IF(ISBLANK($C217),"",IF(ISNUMBER(BD217),BD217+ROW($B217)/1000,""))</f>
        <v/>
      </c>
      <c r="BI217" s="108" t="str">
        <f aca="false">IF(ISNUMBER(BH217),RANK(BH217,$BH$8:$BH$507,1),"")</f>
        <v/>
      </c>
      <c r="BJ217" s="108" t="str">
        <f aca="false">IF(ISBLANK($C217),"",$B217)</f>
        <v/>
      </c>
      <c r="BK217" s="108" t="str">
        <f aca="false">IF(ISBLANK($C217),"",$C217)</f>
        <v/>
      </c>
      <c r="BL217" s="108" t="str">
        <f aca="false">IF(ISBLANK($C217),"",$D217)</f>
        <v/>
      </c>
      <c r="BM217" s="109" t="str">
        <f aca="false">BA217</f>
        <v/>
      </c>
      <c r="BN217" s="110" t="str">
        <f aca="false">AZ217</f>
        <v/>
      </c>
      <c r="BO217" s="108" t="str">
        <f aca="false">IF(ISBLANK($C217),"",BC217)</f>
        <v/>
      </c>
      <c r="BP217" s="111" t="str">
        <f aca="false">IF($BG217&gt;$BF$7,"",VLOOKUP($BG217,$BI$8:$BO$507,7,FALSE()))</f>
        <v/>
      </c>
      <c r="BQ217" s="112" t="str">
        <f aca="false">IF($BG217&gt;$BF$7,"",VLOOKUP($BG217,$BI$8:$BO$507,2,FALSE()))</f>
        <v/>
      </c>
      <c r="BR217" s="112" t="str">
        <f aca="false">IF($BG217&gt;$BF$7,"",VLOOKUP($BG217,$BI$8:$BO$507,3,FALSE()))</f>
        <v/>
      </c>
      <c r="BS217" s="112" t="str">
        <f aca="false">IF($BG217&gt;$BF$7,"",VLOOKUP($BG217,$BI$8:$BO$507,4,FALSE()))</f>
        <v/>
      </c>
      <c r="BT217" s="112" t="str">
        <f aca="false">IF($BG217&gt;$BF$7,"",VLOOKUP($BG217,$BI$8:$BO$507,5,FALSE()))</f>
        <v/>
      </c>
      <c r="BU217" s="113" t="str">
        <f aca="false">IF($BG217&gt;$BF$7,"",VLOOKUP($BG217,$BI$8:$BO$507,6,FALSE()))</f>
        <v/>
      </c>
      <c r="BV217" s="54"/>
    </row>
    <row r="218" customFormat="false" ht="15.75" hidden="false" customHeight="false" outlineLevel="0" collapsed="false">
      <c r="A218" s="5"/>
      <c r="B218" s="135"/>
      <c r="C218" s="56"/>
      <c r="D218" s="57"/>
      <c r="E218" s="84"/>
      <c r="F218" s="136"/>
      <c r="G218" s="60"/>
      <c r="H218" s="137"/>
      <c r="I218" s="62"/>
      <c r="J218" s="62"/>
      <c r="K218" s="60"/>
      <c r="L218" s="138"/>
      <c r="M218" s="62"/>
      <c r="N218" s="62"/>
      <c r="O218" s="60"/>
      <c r="P218" s="84"/>
      <c r="Q218" s="65"/>
      <c r="R218" s="67" t="str">
        <f aca="false">IF(ISBLANK($C218),"",IF(E218=Constants!$B$2, TRUE(), IF(E218=Constants!$B$3, FALSE(), TRUE())))</f>
        <v/>
      </c>
      <c r="S218" s="67" t="str">
        <f aca="false">IF(ISBLANK($C218),"",IF(F218=Constants!$B$2, TRUE(), IF(F218=Constants!$B$3, FALSE(), TRUE())))</f>
        <v/>
      </c>
      <c r="T218" s="67" t="str">
        <f aca="false">IF(ISBLANK($C218),"",IF(G218=Constants!$B$16,Constants!$B$9,IF(G218=Constants!$B$17,Constants!$B$10,Constants!$B$8)))</f>
        <v/>
      </c>
      <c r="U218" s="67" t="str">
        <f aca="false">IF(ISBLANK($C218),"",IF(H218=Constants!$B$19,Constants!$B$19,Constants!$B$18))</f>
        <v/>
      </c>
      <c r="V218" s="67" t="str">
        <f aca="false">IF(ISBLANK($C218),"",IF(ISNUMBER(I218),IF(I218&gt;=0,I218,""),""))</f>
        <v/>
      </c>
      <c r="W218" s="67" t="str">
        <f aca="false">IF(ISBLANK($C218),"",IF(J218=Constants!$B$2, TRUE(), IF(J218=Constants!$B$3, FALSE(), TRUE())))</f>
        <v/>
      </c>
      <c r="X218" s="67" t="str">
        <f aca="false">IF(ISBLANK($C218),"",IF(K218=Constants!$B$2, TRUE(), IF(K218=Constants!$B$3, FALSE(), TRUE())))</f>
        <v/>
      </c>
      <c r="Y218" s="67" t="str">
        <f aca="false">IF(ISBLANK($C218),"",IF(L218=Constants!$B$19,Constants!$B$19,Constants!$B$18))</f>
        <v/>
      </c>
      <c r="Z218" s="67" t="str">
        <f aca="false">IF(ISBLANK($C218),"",IF(ISNUMBER(M218),IF(M218&gt;=0,M218,""),""))</f>
        <v/>
      </c>
      <c r="AA218" s="67" t="str">
        <f aca="false">IF(ISBLANK($C218),"",IF(N218=Constants!$B$2, TRUE(), IF(N218=Constants!$B$3, FALSE(), TRUE())))</f>
        <v/>
      </c>
      <c r="AB218" s="67" t="str">
        <f aca="false">IF(ISBLANK($C218),"",IF(O218=Constants!$B$2, TRUE(), IF(O218=Constants!$B$3, FALSE(), TRUE())))</f>
        <v/>
      </c>
      <c r="AC218" s="67" t="str">
        <f aca="false">IF(ISBLANK($C218),"",IF(P218=Constants!$B$2, TRUE(), IF(P218=Constants!$B$3, FALSE(), FALSE())))</f>
        <v/>
      </c>
      <c r="AD218" s="67" t="str">
        <f aca="false">IF(ISBLANK($C218),"",AND(V218&lt;&gt;"",IF(U218=Constants!$B$19,S218,R218)))</f>
        <v/>
      </c>
      <c r="AE218" s="67" t="str">
        <f aca="false">IF(ISBLANK($C218),"",AND(Z218&lt;&gt;"",IF(Y218=Constants!$B$19,S218,R218)))</f>
        <v/>
      </c>
      <c r="AF218" s="67" t="str">
        <f aca="false">IF(ISBLANK($C218),"",IF(AC218,Constants!$B$4,IF(COUNTA(E218:O218)=0,Constants!$B$5,IF(AND(NOT(AD218),NOT(AE218)),Constants!$B$6,Constants!$B$7))))</f>
        <v/>
      </c>
      <c r="AG218" s="67" t="str">
        <f aca="false">IF(ISBLANK($C218),"",IF($AF218&lt;&gt;Constants!$B$7,$AF218,Constants!$B$20))</f>
        <v/>
      </c>
      <c r="AH218" s="67" t="str">
        <f aca="false">IF($AF218=Constants!$B$7,IF(AD218,V218,Constants!$B$13),"")</f>
        <v/>
      </c>
      <c r="AI218" s="67" t="str">
        <f aca="false">IF($AF218=Constants!$B$7,IF(AD218,T218*IF(W218, 1, Constants!$B$11)*IF(X218, 1, Constants!$B$12),Constants!$B$13),"")</f>
        <v/>
      </c>
      <c r="AJ218" s="67" t="str">
        <f aca="false">IF($AF218=Constants!$B$7,AH218*AI218,"")</f>
        <v/>
      </c>
      <c r="AK218" s="67" t="str">
        <f aca="false">IF($AF218=Constants!$B$7,IF(AE218,Z218,Constants!$B$13),"")</f>
        <v/>
      </c>
      <c r="AL218" s="67" t="str">
        <f aca="false">IF($AF218=Constants!$B$7,IF(AE218,T218*IF(AA218, 1, Constants!$B$11)*IF(AB218, 1, Constants!$B$12),Constants!$B$13),"")</f>
        <v/>
      </c>
      <c r="AM218" s="67" t="str">
        <f aca="false">IF($AF218=Constants!$B$7,AK218*AL218,"")</f>
        <v/>
      </c>
      <c r="AN218" s="67" t="str">
        <f aca="false">IF($AF218=Constants!$B$7,IF(AM218&gt;AJ218,2,1),"")</f>
        <v/>
      </c>
      <c r="AO218" s="67" t="str">
        <f aca="false">IF($AF218=Constants!$B$7,IF(AN218=1,2,1),"")</f>
        <v/>
      </c>
      <c r="AP218" s="67" t="str">
        <f aca="false">IF(ISBLANK($C218),"",IF($AF218&lt;&gt;Constants!$B$7,$AF218,IF(AN218=1,AJ218,AM218)))</f>
        <v/>
      </c>
      <c r="AQ218" s="67" t="str">
        <f aca="false">IF(ISBLANK($C218),"",IF($AF218=Constants!$B$7,IF(ISNUMBER(AP218),RANK(AP218,$AP$8:$AP$507),Constants!$B$14),$AF218))</f>
        <v/>
      </c>
      <c r="AR218" s="67" t="str">
        <f aca="false">IF(ISBLANK($C218),"",IF($AF218=Constants!$B$7,IF(AO218=1,AJ218,AM218),""))</f>
        <v/>
      </c>
      <c r="AS218" s="67" t="str">
        <f aca="false">IF(ISBLANK($C218),"",IF($AF218=Constants!$B$7,RANK(AR218,$AR$8:$AR$507),$AF218))</f>
        <v/>
      </c>
      <c r="AT218" s="67" t="str">
        <f aca="false">IF(ISBLANK($C218),"",IF($AF218=Constants!$B$7,IF(ISNUMBER(AQ218),COUNTIFS($AQ$8:$AQ$507,"&lt;"&amp;$AQ218)+COUNTIFS($AQ$8:$AQ$507,$AQ218,$AS$8:$AS$507,"&lt;"&amp;$AS218)+1,Constants!$B$14),$AF218))</f>
        <v/>
      </c>
      <c r="AU218" s="67" t="str">
        <f aca="false">IF(ISBLANK($C218),"",IF($AF218=Constants!$B$7,IF(ISNUMBER(AQ218),AQ218-AT218,Constants!$B$14),$AF218))</f>
        <v/>
      </c>
      <c r="AV218" s="69"/>
      <c r="AW218" s="70" t="str">
        <f aca="false">IF(ISBLANK($C218),"",IF($AF218&lt;&gt;Constants!$B$7,"",AN218))</f>
        <v/>
      </c>
      <c r="AX218" s="85" t="str">
        <f aca="false">IF(ISBLANK($C218),"",IF($AF218&lt;&gt;Constants!$B$7,"",IF(AN218=1,AH218,AK218)))</f>
        <v/>
      </c>
      <c r="AY218" s="72" t="str">
        <f aca="false">IF(ISBLANK($C218),"",IF($AF218&lt;&gt;Constants!$B$7,"",IF(AN218=1,AI218,AL218)))</f>
        <v/>
      </c>
      <c r="AZ218" s="73" t="str">
        <f aca="false">IF(ISBLANK($C218),"",IF($AF218&lt;&gt;Constants!$B$7,$AF218,AP218))</f>
        <v/>
      </c>
      <c r="BA218" s="74" t="str">
        <f aca="false">IF(ISBLANK($C218),"",IF($AF218&lt;&gt;Constants!$B$7,$AF218,AG218))</f>
        <v/>
      </c>
      <c r="BB218" s="75" t="str">
        <f aca="false">IF(ISBLANK($C218),"",AU218)</f>
        <v/>
      </c>
      <c r="BC218" s="75" t="str">
        <f aca="false">IF(ISBLANK($C218),"",AT218)</f>
        <v/>
      </c>
      <c r="BD218" s="76" t="str">
        <f aca="false">IF(ISBLANK($C218),"",IFERROR(_xlfn.SWITCH(BC218,Constants!$B$4,COUNTA($C$8:$C$507)+2,Constants!$B$5,COUNTA($C$8:$C$507)+1,Constants!$B$6,COUNTA($C$8:$C$507)),BC218))</f>
        <v/>
      </c>
      <c r="BE218" s="5"/>
      <c r="BF218" s="77" t="n">
        <f aca="false">IF(OR(ISNUMBER(BC218),BC218=Constants!$B$4,BC218=Constants!$B$6,BC218=Constants!$B$5),1,0)</f>
        <v>0</v>
      </c>
      <c r="BG218" s="77" t="n">
        <v>211</v>
      </c>
      <c r="BH218" s="77" t="str">
        <f aca="false">IF(ISBLANK($C218),"",IF(ISNUMBER(BD218),BD218+ROW($B218)/1000,""))</f>
        <v/>
      </c>
      <c r="BI218" s="77" t="str">
        <f aca="false">IF(ISNUMBER(BH218),RANK(BH218,$BH$8:$BH$507,1),"")</f>
        <v/>
      </c>
      <c r="BJ218" s="77" t="str">
        <f aca="false">IF(ISBLANK($C218),"",$B218)</f>
        <v/>
      </c>
      <c r="BK218" s="77" t="str">
        <f aca="false">IF(ISBLANK($C218),"",$C218)</f>
        <v/>
      </c>
      <c r="BL218" s="77" t="str">
        <f aca="false">IF(ISBLANK($C218),"",$D218)</f>
        <v/>
      </c>
      <c r="BM218" s="78" t="str">
        <f aca="false">BA218</f>
        <v/>
      </c>
      <c r="BN218" s="79" t="str">
        <f aca="false">AZ218</f>
        <v/>
      </c>
      <c r="BO218" s="77" t="str">
        <f aca="false">IF(ISBLANK($C218),"",BC218)</f>
        <v/>
      </c>
      <c r="BP218" s="80" t="str">
        <f aca="false">IF($BG218&gt;$BF$7,"",VLOOKUP($BG218,$BI$8:$BO$507,7,FALSE()))</f>
        <v/>
      </c>
      <c r="BQ218" s="81" t="str">
        <f aca="false">IF($BG218&gt;$BF$7,"",VLOOKUP($BG218,$BI$8:$BO$507,2,FALSE()))</f>
        <v/>
      </c>
      <c r="BR218" s="81" t="str">
        <f aca="false">IF($BG218&gt;$BF$7,"",VLOOKUP($BG218,$BI$8:$BO$507,3,FALSE()))</f>
        <v/>
      </c>
      <c r="BS218" s="81" t="str">
        <f aca="false">IF($BG218&gt;$BF$7,"",VLOOKUP($BG218,$BI$8:$BO$507,4,FALSE()))</f>
        <v/>
      </c>
      <c r="BT218" s="81" t="str">
        <f aca="false">IF($BG218&gt;$BF$7,"",VLOOKUP($BG218,$BI$8:$BO$507,5,FALSE()))</f>
        <v/>
      </c>
      <c r="BU218" s="82" t="str">
        <f aca="false">IF($BG218&gt;$BF$7,"",VLOOKUP($BG218,$BI$8:$BO$507,6,FALSE()))</f>
        <v/>
      </c>
      <c r="BV218" s="54"/>
    </row>
    <row r="219" customFormat="false" ht="15.75" hidden="false" customHeight="false" outlineLevel="0" collapsed="false">
      <c r="A219" s="5"/>
      <c r="B219" s="135"/>
      <c r="C219" s="56"/>
      <c r="D219" s="57"/>
      <c r="E219" s="84"/>
      <c r="F219" s="136"/>
      <c r="G219" s="60"/>
      <c r="H219" s="137"/>
      <c r="I219" s="62"/>
      <c r="J219" s="62"/>
      <c r="K219" s="60"/>
      <c r="L219" s="138"/>
      <c r="M219" s="62"/>
      <c r="N219" s="62"/>
      <c r="O219" s="60"/>
      <c r="P219" s="84"/>
      <c r="Q219" s="65"/>
      <c r="R219" s="67" t="str">
        <f aca="false">IF(ISBLANK($C219),"",IF(E219=Constants!$B$2, TRUE(), IF(E219=Constants!$B$3, FALSE(), TRUE())))</f>
        <v/>
      </c>
      <c r="S219" s="67" t="str">
        <f aca="false">IF(ISBLANK($C219),"",IF(F219=Constants!$B$2, TRUE(), IF(F219=Constants!$B$3, FALSE(), TRUE())))</f>
        <v/>
      </c>
      <c r="T219" s="67" t="str">
        <f aca="false">IF(ISBLANK($C219),"",IF(G219=Constants!$B$16,Constants!$B$9,IF(G219=Constants!$B$17,Constants!$B$10,Constants!$B$8)))</f>
        <v/>
      </c>
      <c r="U219" s="67" t="str">
        <f aca="false">IF(ISBLANK($C219),"",IF(H219=Constants!$B$19,Constants!$B$19,Constants!$B$18))</f>
        <v/>
      </c>
      <c r="V219" s="67" t="str">
        <f aca="false">IF(ISBLANK($C219),"",IF(ISNUMBER(I219),IF(I219&gt;=0,I219,""),""))</f>
        <v/>
      </c>
      <c r="W219" s="67" t="str">
        <f aca="false">IF(ISBLANK($C219),"",IF(J219=Constants!$B$2, TRUE(), IF(J219=Constants!$B$3, FALSE(), TRUE())))</f>
        <v/>
      </c>
      <c r="X219" s="67" t="str">
        <f aca="false">IF(ISBLANK($C219),"",IF(K219=Constants!$B$2, TRUE(), IF(K219=Constants!$B$3, FALSE(), TRUE())))</f>
        <v/>
      </c>
      <c r="Y219" s="67" t="str">
        <f aca="false">IF(ISBLANK($C219),"",IF(L219=Constants!$B$19,Constants!$B$19,Constants!$B$18))</f>
        <v/>
      </c>
      <c r="Z219" s="67" t="str">
        <f aca="false">IF(ISBLANK($C219),"",IF(ISNUMBER(M219),IF(M219&gt;=0,M219,""),""))</f>
        <v/>
      </c>
      <c r="AA219" s="67" t="str">
        <f aca="false">IF(ISBLANK($C219),"",IF(N219=Constants!$B$2, TRUE(), IF(N219=Constants!$B$3, FALSE(), TRUE())))</f>
        <v/>
      </c>
      <c r="AB219" s="67" t="str">
        <f aca="false">IF(ISBLANK($C219),"",IF(O219=Constants!$B$2, TRUE(), IF(O219=Constants!$B$3, FALSE(), TRUE())))</f>
        <v/>
      </c>
      <c r="AC219" s="67" t="str">
        <f aca="false">IF(ISBLANK($C219),"",IF(P219=Constants!$B$2, TRUE(), IF(P219=Constants!$B$3, FALSE(), FALSE())))</f>
        <v/>
      </c>
      <c r="AD219" s="67" t="str">
        <f aca="false">IF(ISBLANK($C219),"",AND(V219&lt;&gt;"",IF(U219=Constants!$B$19,S219,R219)))</f>
        <v/>
      </c>
      <c r="AE219" s="67" t="str">
        <f aca="false">IF(ISBLANK($C219),"",AND(Z219&lt;&gt;"",IF(Y219=Constants!$B$19,S219,R219)))</f>
        <v/>
      </c>
      <c r="AF219" s="67" t="str">
        <f aca="false">IF(ISBLANK($C219),"",IF(AC219,Constants!$B$4,IF(COUNTA(E219:O219)=0,Constants!$B$5,IF(AND(NOT(AD219),NOT(AE219)),Constants!$B$6,Constants!$B$7))))</f>
        <v/>
      </c>
      <c r="AG219" s="67" t="str">
        <f aca="false">IF(ISBLANK($C219),"",IF($AF219&lt;&gt;Constants!$B$7,$AF219,Constants!$B$20))</f>
        <v/>
      </c>
      <c r="AH219" s="67" t="str">
        <f aca="false">IF($AF219=Constants!$B$7,IF(AD219,V219,Constants!$B$13),"")</f>
        <v/>
      </c>
      <c r="AI219" s="67" t="str">
        <f aca="false">IF($AF219=Constants!$B$7,IF(AD219,T219*IF(W219, 1, Constants!$B$11)*IF(X219, 1, Constants!$B$12),Constants!$B$13),"")</f>
        <v/>
      </c>
      <c r="AJ219" s="67" t="str">
        <f aca="false">IF($AF219=Constants!$B$7,AH219*AI219,"")</f>
        <v/>
      </c>
      <c r="AK219" s="67" t="str">
        <f aca="false">IF($AF219=Constants!$B$7,IF(AE219,Z219,Constants!$B$13),"")</f>
        <v/>
      </c>
      <c r="AL219" s="67" t="str">
        <f aca="false">IF($AF219=Constants!$B$7,IF(AE219,T219*IF(AA219, 1, Constants!$B$11)*IF(AB219, 1, Constants!$B$12),Constants!$B$13),"")</f>
        <v/>
      </c>
      <c r="AM219" s="67" t="str">
        <f aca="false">IF($AF219=Constants!$B$7,AK219*AL219,"")</f>
        <v/>
      </c>
      <c r="AN219" s="67" t="str">
        <f aca="false">IF($AF219=Constants!$B$7,IF(AM219&gt;AJ219,2,1),"")</f>
        <v/>
      </c>
      <c r="AO219" s="67" t="str">
        <f aca="false">IF($AF219=Constants!$B$7,IF(AN219=1,2,1),"")</f>
        <v/>
      </c>
      <c r="AP219" s="67" t="str">
        <f aca="false">IF(ISBLANK($C219),"",IF($AF219&lt;&gt;Constants!$B$7,$AF219,IF(AN219=1,AJ219,AM219)))</f>
        <v/>
      </c>
      <c r="AQ219" s="67" t="str">
        <f aca="false">IF(ISBLANK($C219),"",IF($AF219=Constants!$B$7,IF(ISNUMBER(AP219),RANK(AP219,$AP$8:$AP$507),Constants!$B$14),$AF219))</f>
        <v/>
      </c>
      <c r="AR219" s="67" t="str">
        <f aca="false">IF(ISBLANK($C219),"",IF($AF219=Constants!$B$7,IF(AO219=1,AJ219,AM219),""))</f>
        <v/>
      </c>
      <c r="AS219" s="67" t="str">
        <f aca="false">IF(ISBLANK($C219),"",IF($AF219=Constants!$B$7,RANK(AR219,$AR$8:$AR$507),$AF219))</f>
        <v/>
      </c>
      <c r="AT219" s="67" t="str">
        <f aca="false">IF(ISBLANK($C219),"",IF($AF219=Constants!$B$7,IF(ISNUMBER(AQ219),COUNTIFS($AQ$8:$AQ$507,"&lt;"&amp;$AQ219)+COUNTIFS($AQ$8:$AQ$507,$AQ219,$AS$8:$AS$507,"&lt;"&amp;$AS219)+1,Constants!$B$14),$AF219))</f>
        <v/>
      </c>
      <c r="AU219" s="67" t="str">
        <f aca="false">IF(ISBLANK($C219),"",IF($AF219=Constants!$B$7,IF(ISNUMBER(AQ219),AQ219-AT219,Constants!$B$14),$AF219))</f>
        <v/>
      </c>
      <c r="AV219" s="69"/>
      <c r="AW219" s="70" t="str">
        <f aca="false">IF(ISBLANK($C219),"",IF($AF219&lt;&gt;Constants!$B$7,"",AN219))</f>
        <v/>
      </c>
      <c r="AX219" s="85" t="str">
        <f aca="false">IF(ISBLANK($C219),"",IF($AF219&lt;&gt;Constants!$B$7,"",IF(AN219=1,AH219,AK219)))</f>
        <v/>
      </c>
      <c r="AY219" s="72" t="str">
        <f aca="false">IF(ISBLANK($C219),"",IF($AF219&lt;&gt;Constants!$B$7,"",IF(AN219=1,AI219,AL219)))</f>
        <v/>
      </c>
      <c r="AZ219" s="73" t="str">
        <f aca="false">IF(ISBLANK($C219),"",IF($AF219&lt;&gt;Constants!$B$7,$AF219,AP219))</f>
        <v/>
      </c>
      <c r="BA219" s="74" t="str">
        <f aca="false">IF(ISBLANK($C219),"",IF($AF219&lt;&gt;Constants!$B$7,$AF219,AG219))</f>
        <v/>
      </c>
      <c r="BB219" s="75" t="str">
        <f aca="false">IF(ISBLANK($C219),"",AU219)</f>
        <v/>
      </c>
      <c r="BC219" s="75" t="str">
        <f aca="false">IF(ISBLANK($C219),"",AT219)</f>
        <v/>
      </c>
      <c r="BD219" s="76" t="str">
        <f aca="false">IF(ISBLANK($C219),"",IFERROR(_xlfn.SWITCH(BC219,Constants!$B$4,COUNTA($C$8:$C$507)+2,Constants!$B$5,COUNTA($C$8:$C$507)+1,Constants!$B$6,COUNTA($C$8:$C$507)),BC219))</f>
        <v/>
      </c>
      <c r="BE219" s="5"/>
      <c r="BF219" s="77" t="n">
        <f aca="false">IF(OR(ISNUMBER(BC219),BC219=Constants!$B$4,BC219=Constants!$B$6,BC219=Constants!$B$5),1,0)</f>
        <v>0</v>
      </c>
      <c r="BG219" s="77" t="n">
        <v>212</v>
      </c>
      <c r="BH219" s="77" t="str">
        <f aca="false">IF(ISBLANK($C219),"",IF(ISNUMBER(BD219),BD219+ROW($B219)/1000,""))</f>
        <v/>
      </c>
      <c r="BI219" s="77" t="str">
        <f aca="false">IF(ISNUMBER(BH219),RANK(BH219,$BH$8:$BH$507,1),"")</f>
        <v/>
      </c>
      <c r="BJ219" s="77" t="str">
        <f aca="false">IF(ISBLANK($C219),"",$B219)</f>
        <v/>
      </c>
      <c r="BK219" s="77" t="str">
        <f aca="false">IF(ISBLANK($C219),"",$C219)</f>
        <v/>
      </c>
      <c r="BL219" s="77" t="str">
        <f aca="false">IF(ISBLANK($C219),"",$D219)</f>
        <v/>
      </c>
      <c r="BM219" s="78" t="str">
        <f aca="false">BA219</f>
        <v/>
      </c>
      <c r="BN219" s="79" t="str">
        <f aca="false">AZ219</f>
        <v/>
      </c>
      <c r="BO219" s="77" t="str">
        <f aca="false">IF(ISBLANK($C219),"",BC219)</f>
        <v/>
      </c>
      <c r="BP219" s="80" t="str">
        <f aca="false">IF($BG219&gt;$BF$7,"",VLOOKUP($BG219,$BI$8:$BO$507,7,FALSE()))</f>
        <v/>
      </c>
      <c r="BQ219" s="81" t="str">
        <f aca="false">IF($BG219&gt;$BF$7,"",VLOOKUP($BG219,$BI$8:$BO$507,2,FALSE()))</f>
        <v/>
      </c>
      <c r="BR219" s="81" t="str">
        <f aca="false">IF($BG219&gt;$BF$7,"",VLOOKUP($BG219,$BI$8:$BO$507,3,FALSE()))</f>
        <v/>
      </c>
      <c r="BS219" s="81" t="str">
        <f aca="false">IF($BG219&gt;$BF$7,"",VLOOKUP($BG219,$BI$8:$BO$507,4,FALSE()))</f>
        <v/>
      </c>
      <c r="BT219" s="81" t="str">
        <f aca="false">IF($BG219&gt;$BF$7,"",VLOOKUP($BG219,$BI$8:$BO$507,5,FALSE()))</f>
        <v/>
      </c>
      <c r="BU219" s="82" t="str">
        <f aca="false">IF($BG219&gt;$BF$7,"",VLOOKUP($BG219,$BI$8:$BO$507,6,FALSE()))</f>
        <v/>
      </c>
      <c r="BV219" s="54"/>
    </row>
    <row r="220" customFormat="false" ht="15.75" hidden="false" customHeight="false" outlineLevel="0" collapsed="false">
      <c r="A220" s="5"/>
      <c r="B220" s="135"/>
      <c r="C220" s="56"/>
      <c r="D220" s="57"/>
      <c r="E220" s="84"/>
      <c r="F220" s="136"/>
      <c r="G220" s="60"/>
      <c r="H220" s="137"/>
      <c r="I220" s="62"/>
      <c r="J220" s="62"/>
      <c r="K220" s="60"/>
      <c r="L220" s="138"/>
      <c r="M220" s="62"/>
      <c r="N220" s="62"/>
      <c r="O220" s="60"/>
      <c r="P220" s="84"/>
      <c r="Q220" s="65"/>
      <c r="R220" s="67" t="str">
        <f aca="false">IF(ISBLANK($C220),"",IF(E220=Constants!$B$2, TRUE(), IF(E220=Constants!$B$3, FALSE(), TRUE())))</f>
        <v/>
      </c>
      <c r="S220" s="67" t="str">
        <f aca="false">IF(ISBLANK($C220),"",IF(F220=Constants!$B$2, TRUE(), IF(F220=Constants!$B$3, FALSE(), TRUE())))</f>
        <v/>
      </c>
      <c r="T220" s="67" t="str">
        <f aca="false">IF(ISBLANK($C220),"",IF(G220=Constants!$B$16,Constants!$B$9,IF(G220=Constants!$B$17,Constants!$B$10,Constants!$B$8)))</f>
        <v/>
      </c>
      <c r="U220" s="67" t="str">
        <f aca="false">IF(ISBLANK($C220),"",IF(H220=Constants!$B$19,Constants!$B$19,Constants!$B$18))</f>
        <v/>
      </c>
      <c r="V220" s="67" t="str">
        <f aca="false">IF(ISBLANK($C220),"",IF(ISNUMBER(I220),IF(I220&gt;=0,I220,""),""))</f>
        <v/>
      </c>
      <c r="W220" s="67" t="str">
        <f aca="false">IF(ISBLANK($C220),"",IF(J220=Constants!$B$2, TRUE(), IF(J220=Constants!$B$3, FALSE(), TRUE())))</f>
        <v/>
      </c>
      <c r="X220" s="67" t="str">
        <f aca="false">IF(ISBLANK($C220),"",IF(K220=Constants!$B$2, TRUE(), IF(K220=Constants!$B$3, FALSE(), TRUE())))</f>
        <v/>
      </c>
      <c r="Y220" s="67" t="str">
        <f aca="false">IF(ISBLANK($C220),"",IF(L220=Constants!$B$19,Constants!$B$19,Constants!$B$18))</f>
        <v/>
      </c>
      <c r="Z220" s="67" t="str">
        <f aca="false">IF(ISBLANK($C220),"",IF(ISNUMBER(M220),IF(M220&gt;=0,M220,""),""))</f>
        <v/>
      </c>
      <c r="AA220" s="67" t="str">
        <f aca="false">IF(ISBLANK($C220),"",IF(N220=Constants!$B$2, TRUE(), IF(N220=Constants!$B$3, FALSE(), TRUE())))</f>
        <v/>
      </c>
      <c r="AB220" s="67" t="str">
        <f aca="false">IF(ISBLANK($C220),"",IF(O220=Constants!$B$2, TRUE(), IF(O220=Constants!$B$3, FALSE(), TRUE())))</f>
        <v/>
      </c>
      <c r="AC220" s="67" t="str">
        <f aca="false">IF(ISBLANK($C220),"",IF(P220=Constants!$B$2, TRUE(), IF(P220=Constants!$B$3, FALSE(), FALSE())))</f>
        <v/>
      </c>
      <c r="AD220" s="67" t="str">
        <f aca="false">IF(ISBLANK($C220),"",AND(V220&lt;&gt;"",IF(U220=Constants!$B$19,S220,R220)))</f>
        <v/>
      </c>
      <c r="AE220" s="67" t="str">
        <f aca="false">IF(ISBLANK($C220),"",AND(Z220&lt;&gt;"",IF(Y220=Constants!$B$19,S220,R220)))</f>
        <v/>
      </c>
      <c r="AF220" s="67" t="str">
        <f aca="false">IF(ISBLANK($C220),"",IF(AC220,Constants!$B$4,IF(COUNTA(E220:O220)=0,Constants!$B$5,IF(AND(NOT(AD220),NOT(AE220)),Constants!$B$6,Constants!$B$7))))</f>
        <v/>
      </c>
      <c r="AG220" s="67" t="str">
        <f aca="false">IF(ISBLANK($C220),"",IF($AF220&lt;&gt;Constants!$B$7,$AF220,Constants!$B$20))</f>
        <v/>
      </c>
      <c r="AH220" s="67" t="str">
        <f aca="false">IF($AF220=Constants!$B$7,IF(AD220,V220,Constants!$B$13),"")</f>
        <v/>
      </c>
      <c r="AI220" s="67" t="str">
        <f aca="false">IF($AF220=Constants!$B$7,IF(AD220,T220*IF(W220, 1, Constants!$B$11)*IF(X220, 1, Constants!$B$12),Constants!$B$13),"")</f>
        <v/>
      </c>
      <c r="AJ220" s="67" t="str">
        <f aca="false">IF($AF220=Constants!$B$7,AH220*AI220,"")</f>
        <v/>
      </c>
      <c r="AK220" s="67" t="str">
        <f aca="false">IF($AF220=Constants!$B$7,IF(AE220,Z220,Constants!$B$13),"")</f>
        <v/>
      </c>
      <c r="AL220" s="67" t="str">
        <f aca="false">IF($AF220=Constants!$B$7,IF(AE220,T220*IF(AA220, 1, Constants!$B$11)*IF(AB220, 1, Constants!$B$12),Constants!$B$13),"")</f>
        <v/>
      </c>
      <c r="AM220" s="67" t="str">
        <f aca="false">IF($AF220=Constants!$B$7,AK220*AL220,"")</f>
        <v/>
      </c>
      <c r="AN220" s="67" t="str">
        <f aca="false">IF($AF220=Constants!$B$7,IF(AM220&gt;AJ220,2,1),"")</f>
        <v/>
      </c>
      <c r="AO220" s="67" t="str">
        <f aca="false">IF($AF220=Constants!$B$7,IF(AN220=1,2,1),"")</f>
        <v/>
      </c>
      <c r="AP220" s="67" t="str">
        <f aca="false">IF(ISBLANK($C220),"",IF($AF220&lt;&gt;Constants!$B$7,$AF220,IF(AN220=1,AJ220,AM220)))</f>
        <v/>
      </c>
      <c r="AQ220" s="67" t="str">
        <f aca="false">IF(ISBLANK($C220),"",IF($AF220=Constants!$B$7,IF(ISNUMBER(AP220),RANK(AP220,$AP$8:$AP$507),Constants!$B$14),$AF220))</f>
        <v/>
      </c>
      <c r="AR220" s="67" t="str">
        <f aca="false">IF(ISBLANK($C220),"",IF($AF220=Constants!$B$7,IF(AO220=1,AJ220,AM220),""))</f>
        <v/>
      </c>
      <c r="AS220" s="67" t="str">
        <f aca="false">IF(ISBLANK($C220),"",IF($AF220=Constants!$B$7,RANK(AR220,$AR$8:$AR$507),$AF220))</f>
        <v/>
      </c>
      <c r="AT220" s="67" t="str">
        <f aca="false">IF(ISBLANK($C220),"",IF($AF220=Constants!$B$7,IF(ISNUMBER(AQ220),COUNTIFS($AQ$8:$AQ$507,"&lt;"&amp;$AQ220)+COUNTIFS($AQ$8:$AQ$507,$AQ220,$AS$8:$AS$507,"&lt;"&amp;$AS220)+1,Constants!$B$14),$AF220))</f>
        <v/>
      </c>
      <c r="AU220" s="67" t="str">
        <f aca="false">IF(ISBLANK($C220),"",IF($AF220=Constants!$B$7,IF(ISNUMBER(AQ220),AQ220-AT220,Constants!$B$14),$AF220))</f>
        <v/>
      </c>
      <c r="AV220" s="69"/>
      <c r="AW220" s="70" t="str">
        <f aca="false">IF(ISBLANK($C220),"",IF($AF220&lt;&gt;Constants!$B$7,"",AN220))</f>
        <v/>
      </c>
      <c r="AX220" s="85" t="str">
        <f aca="false">IF(ISBLANK($C220),"",IF($AF220&lt;&gt;Constants!$B$7,"",IF(AN220=1,AH220,AK220)))</f>
        <v/>
      </c>
      <c r="AY220" s="72" t="str">
        <f aca="false">IF(ISBLANK($C220),"",IF($AF220&lt;&gt;Constants!$B$7,"",IF(AN220=1,AI220,AL220)))</f>
        <v/>
      </c>
      <c r="AZ220" s="73" t="str">
        <f aca="false">IF(ISBLANK($C220),"",IF($AF220&lt;&gt;Constants!$B$7,$AF220,AP220))</f>
        <v/>
      </c>
      <c r="BA220" s="74" t="str">
        <f aca="false">IF(ISBLANK($C220),"",IF($AF220&lt;&gt;Constants!$B$7,$AF220,AG220))</f>
        <v/>
      </c>
      <c r="BB220" s="75" t="str">
        <f aca="false">IF(ISBLANK($C220),"",AU220)</f>
        <v/>
      </c>
      <c r="BC220" s="75" t="str">
        <f aca="false">IF(ISBLANK($C220),"",AT220)</f>
        <v/>
      </c>
      <c r="BD220" s="76" t="str">
        <f aca="false">IF(ISBLANK($C220),"",IFERROR(_xlfn.SWITCH(BC220,Constants!$B$4,COUNTA($C$8:$C$507)+2,Constants!$B$5,COUNTA($C$8:$C$507)+1,Constants!$B$6,COUNTA($C$8:$C$507)),BC220))</f>
        <v/>
      </c>
      <c r="BE220" s="5"/>
      <c r="BF220" s="77" t="n">
        <f aca="false">IF(OR(ISNUMBER(BC220),BC220=Constants!$B$4,BC220=Constants!$B$6,BC220=Constants!$B$5),1,0)</f>
        <v>0</v>
      </c>
      <c r="BG220" s="77" t="n">
        <v>213</v>
      </c>
      <c r="BH220" s="77" t="str">
        <f aca="false">IF(ISBLANK($C220),"",IF(ISNUMBER(BD220),BD220+ROW($B220)/1000,""))</f>
        <v/>
      </c>
      <c r="BI220" s="77" t="str">
        <f aca="false">IF(ISNUMBER(BH220),RANK(BH220,$BH$8:$BH$507,1),"")</f>
        <v/>
      </c>
      <c r="BJ220" s="77" t="str">
        <f aca="false">IF(ISBLANK($C220),"",$B220)</f>
        <v/>
      </c>
      <c r="BK220" s="77" t="str">
        <f aca="false">IF(ISBLANK($C220),"",$C220)</f>
        <v/>
      </c>
      <c r="BL220" s="77" t="str">
        <f aca="false">IF(ISBLANK($C220),"",$D220)</f>
        <v/>
      </c>
      <c r="BM220" s="78" t="str">
        <f aca="false">BA220</f>
        <v/>
      </c>
      <c r="BN220" s="79" t="str">
        <f aca="false">AZ220</f>
        <v/>
      </c>
      <c r="BO220" s="77" t="str">
        <f aca="false">IF(ISBLANK($C220),"",BC220)</f>
        <v/>
      </c>
      <c r="BP220" s="80" t="str">
        <f aca="false">IF($BG220&gt;$BF$7,"",VLOOKUP($BG220,$BI$8:$BO$507,7,FALSE()))</f>
        <v/>
      </c>
      <c r="BQ220" s="81" t="str">
        <f aca="false">IF($BG220&gt;$BF$7,"",VLOOKUP($BG220,$BI$8:$BO$507,2,FALSE()))</f>
        <v/>
      </c>
      <c r="BR220" s="81" t="str">
        <f aca="false">IF($BG220&gt;$BF$7,"",VLOOKUP($BG220,$BI$8:$BO$507,3,FALSE()))</f>
        <v/>
      </c>
      <c r="BS220" s="81" t="str">
        <f aca="false">IF($BG220&gt;$BF$7,"",VLOOKUP($BG220,$BI$8:$BO$507,4,FALSE()))</f>
        <v/>
      </c>
      <c r="BT220" s="81" t="str">
        <f aca="false">IF($BG220&gt;$BF$7,"",VLOOKUP($BG220,$BI$8:$BO$507,5,FALSE()))</f>
        <v/>
      </c>
      <c r="BU220" s="82" t="str">
        <f aca="false">IF($BG220&gt;$BF$7,"",VLOOKUP($BG220,$BI$8:$BO$507,6,FALSE()))</f>
        <v/>
      </c>
      <c r="BV220" s="54"/>
    </row>
    <row r="221" customFormat="false" ht="15.75" hidden="false" customHeight="false" outlineLevel="0" collapsed="false">
      <c r="A221" s="5"/>
      <c r="B221" s="128"/>
      <c r="C221" s="129"/>
      <c r="D221" s="114"/>
      <c r="E221" s="134"/>
      <c r="F221" s="139"/>
      <c r="G221" s="93"/>
      <c r="H221" s="140"/>
      <c r="I221" s="95"/>
      <c r="J221" s="95"/>
      <c r="K221" s="93"/>
      <c r="L221" s="141"/>
      <c r="M221" s="95"/>
      <c r="N221" s="95"/>
      <c r="O221" s="93"/>
      <c r="P221" s="134"/>
      <c r="Q221" s="98"/>
      <c r="R221" s="99" t="str">
        <f aca="false">IF(ISBLANK($C221),"",IF(E221=Constants!$B$2, TRUE(), IF(E221=Constants!$B$3, FALSE(), TRUE())))</f>
        <v/>
      </c>
      <c r="S221" s="99" t="str">
        <f aca="false">IF(ISBLANK($C221),"",IF(F221=Constants!$B$2, TRUE(), IF(F221=Constants!$B$3, FALSE(), TRUE())))</f>
        <v/>
      </c>
      <c r="T221" s="99" t="str">
        <f aca="false">IF(ISBLANK($C221),"",IF(G221=Constants!$B$16,Constants!$B$9,IF(G221=Constants!$B$17,Constants!$B$10,Constants!$B$8)))</f>
        <v/>
      </c>
      <c r="U221" s="99" t="str">
        <f aca="false">IF(ISBLANK($C221),"",IF(H221=Constants!$B$19,Constants!$B$19,Constants!$B$18))</f>
        <v/>
      </c>
      <c r="V221" s="99" t="str">
        <f aca="false">IF(ISBLANK($C221),"",IF(ISNUMBER(I221),IF(I221&gt;=0,I221,""),""))</f>
        <v/>
      </c>
      <c r="W221" s="99" t="str">
        <f aca="false">IF(ISBLANK($C221),"",IF(J221=Constants!$B$2, TRUE(), IF(J221=Constants!$B$3, FALSE(), TRUE())))</f>
        <v/>
      </c>
      <c r="X221" s="99" t="str">
        <f aca="false">IF(ISBLANK($C221),"",IF(K221=Constants!$B$2, TRUE(), IF(K221=Constants!$B$3, FALSE(), TRUE())))</f>
        <v/>
      </c>
      <c r="Y221" s="99" t="str">
        <f aca="false">IF(ISBLANK($C221),"",IF(L221=Constants!$B$19,Constants!$B$19,Constants!$B$18))</f>
        <v/>
      </c>
      <c r="Z221" s="99" t="str">
        <f aca="false">IF(ISBLANK($C221),"",IF(ISNUMBER(M221),IF(M221&gt;=0,M221,""),""))</f>
        <v/>
      </c>
      <c r="AA221" s="99" t="str">
        <f aca="false">IF(ISBLANK($C221),"",IF(N221=Constants!$B$2, TRUE(), IF(N221=Constants!$B$3, FALSE(), TRUE())))</f>
        <v/>
      </c>
      <c r="AB221" s="99" t="str">
        <f aca="false">IF(ISBLANK($C221),"",IF(O221=Constants!$B$2, TRUE(), IF(O221=Constants!$B$3, FALSE(), TRUE())))</f>
        <v/>
      </c>
      <c r="AC221" s="99" t="str">
        <f aca="false">IF(ISBLANK($C221),"",IF(P221=Constants!$B$2, TRUE(), IF(P221=Constants!$B$3, FALSE(), FALSE())))</f>
        <v/>
      </c>
      <c r="AD221" s="99" t="str">
        <f aca="false">IF(ISBLANK($C221),"",AND(V221&lt;&gt;"",IF(U221=Constants!$B$19,S221,R221)))</f>
        <v/>
      </c>
      <c r="AE221" s="99" t="str">
        <f aca="false">IF(ISBLANK($C221),"",AND(Z221&lt;&gt;"",IF(Y221=Constants!$B$19,S221,R221)))</f>
        <v/>
      </c>
      <c r="AF221" s="99" t="str">
        <f aca="false">IF(ISBLANK($C221),"",IF(AC221,Constants!$B$4,IF(COUNTA(E221:O221)=0,Constants!$B$5,IF(AND(NOT(AD221),NOT(AE221)),Constants!$B$6,Constants!$B$7))))</f>
        <v/>
      </c>
      <c r="AG221" s="99" t="str">
        <f aca="false">IF(ISBLANK($C221),"",IF($AF221&lt;&gt;Constants!$B$7,$AF221,Constants!$B$20))</f>
        <v/>
      </c>
      <c r="AH221" s="99" t="str">
        <f aca="false">IF($AF221=Constants!$B$7,IF(AD221,V221,Constants!$B$13),"")</f>
        <v/>
      </c>
      <c r="AI221" s="99" t="str">
        <f aca="false">IF($AF221=Constants!$B$7,IF(AD221,T221*IF(W221, 1, Constants!$B$11)*IF(X221, 1, Constants!$B$12),Constants!$B$13),"")</f>
        <v/>
      </c>
      <c r="AJ221" s="99" t="str">
        <f aca="false">IF($AF221=Constants!$B$7,AH221*AI221,"")</f>
        <v/>
      </c>
      <c r="AK221" s="99" t="str">
        <f aca="false">IF($AF221=Constants!$B$7,IF(AE221,Z221,Constants!$B$13),"")</f>
        <v/>
      </c>
      <c r="AL221" s="99" t="str">
        <f aca="false">IF($AF221=Constants!$B$7,IF(AE221,T221*IF(AA221, 1, Constants!$B$11)*IF(AB221, 1, Constants!$B$12),Constants!$B$13),"")</f>
        <v/>
      </c>
      <c r="AM221" s="99" t="str">
        <f aca="false">IF($AF221=Constants!$B$7,AK221*AL221,"")</f>
        <v/>
      </c>
      <c r="AN221" s="99" t="str">
        <f aca="false">IF($AF221=Constants!$B$7,IF(AM221&gt;AJ221,2,1),"")</f>
        <v/>
      </c>
      <c r="AO221" s="99" t="str">
        <f aca="false">IF($AF221=Constants!$B$7,IF(AN221=1,2,1),"")</f>
        <v/>
      </c>
      <c r="AP221" s="99" t="str">
        <f aca="false">IF(ISBLANK($C221),"",IF($AF221&lt;&gt;Constants!$B$7,$AF221,IF(AN221=1,AJ221,AM221)))</f>
        <v/>
      </c>
      <c r="AQ221" s="99" t="str">
        <f aca="false">IF(ISBLANK($C221),"",IF($AF221=Constants!$B$7,IF(ISNUMBER(AP221),RANK(AP221,$AP$8:$AP$507),Constants!$B$14),$AF221))</f>
        <v/>
      </c>
      <c r="AR221" s="99" t="str">
        <f aca="false">IF(ISBLANK($C221),"",IF($AF221=Constants!$B$7,IF(AO221=1,AJ221,AM221),""))</f>
        <v/>
      </c>
      <c r="AS221" s="99" t="str">
        <f aca="false">IF(ISBLANK($C221),"",IF($AF221=Constants!$B$7,RANK(AR221,$AR$8:$AR$507),$AF221))</f>
        <v/>
      </c>
      <c r="AT221" s="99" t="str">
        <f aca="false">IF(ISBLANK($C221),"",IF($AF221=Constants!$B$7,IF(ISNUMBER(AQ221),COUNTIFS($AQ$8:$AQ$507,"&lt;"&amp;$AQ221)+COUNTIFS($AQ$8:$AQ$507,$AQ221,$AS$8:$AS$507,"&lt;"&amp;$AS221)+1,Constants!$B$14),$AF221))</f>
        <v/>
      </c>
      <c r="AU221" s="99" t="str">
        <f aca="false">IF(ISBLANK($C221),"",IF($AF221=Constants!$B$7,IF(ISNUMBER(AQ221),AQ221-AT221,Constants!$B$14),$AF221))</f>
        <v/>
      </c>
      <c r="AV221" s="100"/>
      <c r="AW221" s="101" t="str">
        <f aca="false">IF(ISBLANK($C221),"",IF($AF221&lt;&gt;Constants!$B$7,"",AN221))</f>
        <v/>
      </c>
      <c r="AX221" s="102" t="str">
        <f aca="false">IF(ISBLANK($C221),"",IF($AF221&lt;&gt;Constants!$B$7,"",IF(AN221=1,AH221,AK221)))</f>
        <v/>
      </c>
      <c r="AY221" s="103" t="str">
        <f aca="false">IF(ISBLANK($C221),"",IF($AF221&lt;&gt;Constants!$B$7,"",IF(AN221=1,AI221,AL221)))</f>
        <v/>
      </c>
      <c r="AZ221" s="104" t="str">
        <f aca="false">IF(ISBLANK($C221),"",IF($AF221&lt;&gt;Constants!$B$7,$AF221,AP221))</f>
        <v/>
      </c>
      <c r="BA221" s="105" t="str">
        <f aca="false">IF(ISBLANK($C221),"",IF($AF221&lt;&gt;Constants!$B$7,$AF221,AG221))</f>
        <v/>
      </c>
      <c r="BB221" s="106" t="str">
        <f aca="false">IF(ISBLANK($C221),"",AU221)</f>
        <v/>
      </c>
      <c r="BC221" s="106" t="str">
        <f aca="false">IF(ISBLANK($C221),"",AT221)</f>
        <v/>
      </c>
      <c r="BD221" s="107" t="str">
        <f aca="false">IF(ISBLANK($C221),"",IFERROR(_xlfn.SWITCH(BC221,Constants!$B$4,COUNTA($C$8:$C$507)+2,Constants!$B$5,COUNTA($C$8:$C$507)+1,Constants!$B$6,COUNTA($C$8:$C$507)),BC221))</f>
        <v/>
      </c>
      <c r="BE221" s="5"/>
      <c r="BF221" s="108" t="n">
        <f aca="false">IF(OR(ISNUMBER(BC221),BC221=Constants!$B$4,BC221=Constants!$B$6,BC221=Constants!$B$5),1,0)</f>
        <v>0</v>
      </c>
      <c r="BG221" s="108" t="n">
        <v>214</v>
      </c>
      <c r="BH221" s="108" t="str">
        <f aca="false">IF(ISBLANK($C221),"",IF(ISNUMBER(BD221),BD221+ROW($B221)/1000,""))</f>
        <v/>
      </c>
      <c r="BI221" s="108" t="str">
        <f aca="false">IF(ISNUMBER(BH221),RANK(BH221,$BH$8:$BH$507,1),"")</f>
        <v/>
      </c>
      <c r="BJ221" s="108" t="str">
        <f aca="false">IF(ISBLANK($C221),"",$B221)</f>
        <v/>
      </c>
      <c r="BK221" s="108" t="str">
        <f aca="false">IF(ISBLANK($C221),"",$C221)</f>
        <v/>
      </c>
      <c r="BL221" s="108" t="str">
        <f aca="false">IF(ISBLANK($C221),"",$D221)</f>
        <v/>
      </c>
      <c r="BM221" s="109" t="str">
        <f aca="false">BA221</f>
        <v/>
      </c>
      <c r="BN221" s="110" t="str">
        <f aca="false">AZ221</f>
        <v/>
      </c>
      <c r="BO221" s="108" t="str">
        <f aca="false">IF(ISBLANK($C221),"",BC221)</f>
        <v/>
      </c>
      <c r="BP221" s="111" t="str">
        <f aca="false">IF($BG221&gt;$BF$7,"",VLOOKUP($BG221,$BI$8:$BO$507,7,FALSE()))</f>
        <v/>
      </c>
      <c r="BQ221" s="112" t="str">
        <f aca="false">IF($BG221&gt;$BF$7,"",VLOOKUP($BG221,$BI$8:$BO$507,2,FALSE()))</f>
        <v/>
      </c>
      <c r="BR221" s="112" t="str">
        <f aca="false">IF($BG221&gt;$BF$7,"",VLOOKUP($BG221,$BI$8:$BO$507,3,FALSE()))</f>
        <v/>
      </c>
      <c r="BS221" s="112" t="str">
        <f aca="false">IF($BG221&gt;$BF$7,"",VLOOKUP($BG221,$BI$8:$BO$507,4,FALSE()))</f>
        <v/>
      </c>
      <c r="BT221" s="112" t="str">
        <f aca="false">IF($BG221&gt;$BF$7,"",VLOOKUP($BG221,$BI$8:$BO$507,5,FALSE()))</f>
        <v/>
      </c>
      <c r="BU221" s="113" t="str">
        <f aca="false">IF($BG221&gt;$BF$7,"",VLOOKUP($BG221,$BI$8:$BO$507,6,FALSE()))</f>
        <v/>
      </c>
      <c r="BV221" s="54"/>
    </row>
    <row r="222" customFormat="false" ht="15.75" hidden="false" customHeight="false" outlineLevel="0" collapsed="false">
      <c r="A222" s="5"/>
      <c r="B222" s="128"/>
      <c r="C222" s="129"/>
      <c r="D222" s="114"/>
      <c r="E222" s="134"/>
      <c r="F222" s="139"/>
      <c r="G222" s="93"/>
      <c r="H222" s="140"/>
      <c r="I222" s="95"/>
      <c r="J222" s="95"/>
      <c r="K222" s="93"/>
      <c r="L222" s="141"/>
      <c r="M222" s="95"/>
      <c r="N222" s="95"/>
      <c r="O222" s="93"/>
      <c r="P222" s="134"/>
      <c r="Q222" s="98"/>
      <c r="R222" s="99" t="str">
        <f aca="false">IF(ISBLANK($C222),"",IF(E222=Constants!$B$2, TRUE(), IF(E222=Constants!$B$3, FALSE(), TRUE())))</f>
        <v/>
      </c>
      <c r="S222" s="99" t="str">
        <f aca="false">IF(ISBLANK($C222),"",IF(F222=Constants!$B$2, TRUE(), IF(F222=Constants!$B$3, FALSE(), TRUE())))</f>
        <v/>
      </c>
      <c r="T222" s="99" t="str">
        <f aca="false">IF(ISBLANK($C222),"",IF(G222=Constants!$B$16,Constants!$B$9,IF(G222=Constants!$B$17,Constants!$B$10,Constants!$B$8)))</f>
        <v/>
      </c>
      <c r="U222" s="99" t="str">
        <f aca="false">IF(ISBLANK($C222),"",IF(H222=Constants!$B$19,Constants!$B$19,Constants!$B$18))</f>
        <v/>
      </c>
      <c r="V222" s="99" t="str">
        <f aca="false">IF(ISBLANK($C222),"",IF(ISNUMBER(I222),IF(I222&gt;=0,I222,""),""))</f>
        <v/>
      </c>
      <c r="W222" s="99" t="str">
        <f aca="false">IF(ISBLANK($C222),"",IF(J222=Constants!$B$2, TRUE(), IF(J222=Constants!$B$3, FALSE(), TRUE())))</f>
        <v/>
      </c>
      <c r="X222" s="99" t="str">
        <f aca="false">IF(ISBLANK($C222),"",IF(K222=Constants!$B$2, TRUE(), IF(K222=Constants!$B$3, FALSE(), TRUE())))</f>
        <v/>
      </c>
      <c r="Y222" s="99" t="str">
        <f aca="false">IF(ISBLANK($C222),"",IF(L222=Constants!$B$19,Constants!$B$19,Constants!$B$18))</f>
        <v/>
      </c>
      <c r="Z222" s="99" t="str">
        <f aca="false">IF(ISBLANK($C222),"",IF(ISNUMBER(M222),IF(M222&gt;=0,M222,""),""))</f>
        <v/>
      </c>
      <c r="AA222" s="99" t="str">
        <f aca="false">IF(ISBLANK($C222),"",IF(N222=Constants!$B$2, TRUE(), IF(N222=Constants!$B$3, FALSE(), TRUE())))</f>
        <v/>
      </c>
      <c r="AB222" s="99" t="str">
        <f aca="false">IF(ISBLANK($C222),"",IF(O222=Constants!$B$2, TRUE(), IF(O222=Constants!$B$3, FALSE(), TRUE())))</f>
        <v/>
      </c>
      <c r="AC222" s="99" t="str">
        <f aca="false">IF(ISBLANK($C222),"",IF(P222=Constants!$B$2, TRUE(), IF(P222=Constants!$B$3, FALSE(), FALSE())))</f>
        <v/>
      </c>
      <c r="AD222" s="99" t="str">
        <f aca="false">IF(ISBLANK($C222),"",AND(V222&lt;&gt;"",IF(U222=Constants!$B$19,S222,R222)))</f>
        <v/>
      </c>
      <c r="AE222" s="99" t="str">
        <f aca="false">IF(ISBLANK($C222),"",AND(Z222&lt;&gt;"",IF(Y222=Constants!$B$19,S222,R222)))</f>
        <v/>
      </c>
      <c r="AF222" s="99" t="str">
        <f aca="false">IF(ISBLANK($C222),"",IF(AC222,Constants!$B$4,IF(COUNTA(E222:O222)=0,Constants!$B$5,IF(AND(NOT(AD222),NOT(AE222)),Constants!$B$6,Constants!$B$7))))</f>
        <v/>
      </c>
      <c r="AG222" s="99" t="str">
        <f aca="false">IF(ISBLANK($C222),"",IF($AF222&lt;&gt;Constants!$B$7,$AF222,Constants!$B$20))</f>
        <v/>
      </c>
      <c r="AH222" s="99" t="str">
        <f aca="false">IF($AF222=Constants!$B$7,IF(AD222,V222,Constants!$B$13),"")</f>
        <v/>
      </c>
      <c r="AI222" s="99" t="str">
        <f aca="false">IF($AF222=Constants!$B$7,IF(AD222,T222*IF(W222, 1, Constants!$B$11)*IF(X222, 1, Constants!$B$12),Constants!$B$13),"")</f>
        <v/>
      </c>
      <c r="AJ222" s="99" t="str">
        <f aca="false">IF($AF222=Constants!$B$7,AH222*AI222,"")</f>
        <v/>
      </c>
      <c r="AK222" s="99" t="str">
        <f aca="false">IF($AF222=Constants!$B$7,IF(AE222,Z222,Constants!$B$13),"")</f>
        <v/>
      </c>
      <c r="AL222" s="99" t="str">
        <f aca="false">IF($AF222=Constants!$B$7,IF(AE222,T222*IF(AA222, 1, Constants!$B$11)*IF(AB222, 1, Constants!$B$12),Constants!$B$13),"")</f>
        <v/>
      </c>
      <c r="AM222" s="99" t="str">
        <f aca="false">IF($AF222=Constants!$B$7,AK222*AL222,"")</f>
        <v/>
      </c>
      <c r="AN222" s="99" t="str">
        <f aca="false">IF($AF222=Constants!$B$7,IF(AM222&gt;AJ222,2,1),"")</f>
        <v/>
      </c>
      <c r="AO222" s="99" t="str">
        <f aca="false">IF($AF222=Constants!$B$7,IF(AN222=1,2,1),"")</f>
        <v/>
      </c>
      <c r="AP222" s="99" t="str">
        <f aca="false">IF(ISBLANK($C222),"",IF($AF222&lt;&gt;Constants!$B$7,$AF222,IF(AN222=1,AJ222,AM222)))</f>
        <v/>
      </c>
      <c r="AQ222" s="99" t="str">
        <f aca="false">IF(ISBLANK($C222),"",IF($AF222=Constants!$B$7,IF(ISNUMBER(AP222),RANK(AP222,$AP$8:$AP$507),Constants!$B$14),$AF222))</f>
        <v/>
      </c>
      <c r="AR222" s="99" t="str">
        <f aca="false">IF(ISBLANK($C222),"",IF($AF222=Constants!$B$7,IF(AO222=1,AJ222,AM222),""))</f>
        <v/>
      </c>
      <c r="AS222" s="99" t="str">
        <f aca="false">IF(ISBLANK($C222),"",IF($AF222=Constants!$B$7,RANK(AR222,$AR$8:$AR$507),$AF222))</f>
        <v/>
      </c>
      <c r="AT222" s="99" t="str">
        <f aca="false">IF(ISBLANK($C222),"",IF($AF222=Constants!$B$7,IF(ISNUMBER(AQ222),COUNTIFS($AQ$8:$AQ$507,"&lt;"&amp;$AQ222)+COUNTIFS($AQ$8:$AQ$507,$AQ222,$AS$8:$AS$507,"&lt;"&amp;$AS222)+1,Constants!$B$14),$AF222))</f>
        <v/>
      </c>
      <c r="AU222" s="99" t="str">
        <f aca="false">IF(ISBLANK($C222),"",IF($AF222=Constants!$B$7,IF(ISNUMBER(AQ222),AQ222-AT222,Constants!$B$14),$AF222))</f>
        <v/>
      </c>
      <c r="AV222" s="100"/>
      <c r="AW222" s="101" t="str">
        <f aca="false">IF(ISBLANK($C222),"",IF($AF222&lt;&gt;Constants!$B$7,"",AN222))</f>
        <v/>
      </c>
      <c r="AX222" s="102" t="str">
        <f aca="false">IF(ISBLANK($C222),"",IF($AF222&lt;&gt;Constants!$B$7,"",IF(AN222=1,AH222,AK222)))</f>
        <v/>
      </c>
      <c r="AY222" s="103" t="str">
        <f aca="false">IF(ISBLANK($C222),"",IF($AF222&lt;&gt;Constants!$B$7,"",IF(AN222=1,AI222,AL222)))</f>
        <v/>
      </c>
      <c r="AZ222" s="104" t="str">
        <f aca="false">IF(ISBLANK($C222),"",IF($AF222&lt;&gt;Constants!$B$7,$AF222,AP222))</f>
        <v/>
      </c>
      <c r="BA222" s="105" t="str">
        <f aca="false">IF(ISBLANK($C222),"",IF($AF222&lt;&gt;Constants!$B$7,$AF222,AG222))</f>
        <v/>
      </c>
      <c r="BB222" s="106" t="str">
        <f aca="false">IF(ISBLANK($C222),"",AU222)</f>
        <v/>
      </c>
      <c r="BC222" s="106" t="str">
        <f aca="false">IF(ISBLANK($C222),"",AT222)</f>
        <v/>
      </c>
      <c r="BD222" s="107" t="str">
        <f aca="false">IF(ISBLANK($C222),"",IFERROR(_xlfn.SWITCH(BC222,Constants!$B$4,COUNTA($C$8:$C$507)+2,Constants!$B$5,COUNTA($C$8:$C$507)+1,Constants!$B$6,COUNTA($C$8:$C$507)),BC222))</f>
        <v/>
      </c>
      <c r="BE222" s="5"/>
      <c r="BF222" s="108" t="n">
        <f aca="false">IF(OR(ISNUMBER(BC222),BC222=Constants!$B$4,BC222=Constants!$B$6,BC222=Constants!$B$5),1,0)</f>
        <v>0</v>
      </c>
      <c r="BG222" s="108" t="n">
        <v>215</v>
      </c>
      <c r="BH222" s="108" t="str">
        <f aca="false">IF(ISBLANK($C222),"",IF(ISNUMBER(BD222),BD222+ROW($B222)/1000,""))</f>
        <v/>
      </c>
      <c r="BI222" s="108" t="str">
        <f aca="false">IF(ISNUMBER(BH222),RANK(BH222,$BH$8:$BH$507,1),"")</f>
        <v/>
      </c>
      <c r="BJ222" s="108" t="str">
        <f aca="false">IF(ISBLANK($C222),"",$B222)</f>
        <v/>
      </c>
      <c r="BK222" s="108" t="str">
        <f aca="false">IF(ISBLANK($C222),"",$C222)</f>
        <v/>
      </c>
      <c r="BL222" s="108" t="str">
        <f aca="false">IF(ISBLANK($C222),"",$D222)</f>
        <v/>
      </c>
      <c r="BM222" s="109" t="str">
        <f aca="false">BA222</f>
        <v/>
      </c>
      <c r="BN222" s="110" t="str">
        <f aca="false">AZ222</f>
        <v/>
      </c>
      <c r="BO222" s="108" t="str">
        <f aca="false">IF(ISBLANK($C222),"",BC222)</f>
        <v/>
      </c>
      <c r="BP222" s="111" t="str">
        <f aca="false">IF($BG222&gt;$BF$7,"",VLOOKUP($BG222,$BI$8:$BO$507,7,FALSE()))</f>
        <v/>
      </c>
      <c r="BQ222" s="112" t="str">
        <f aca="false">IF($BG222&gt;$BF$7,"",VLOOKUP($BG222,$BI$8:$BO$507,2,FALSE()))</f>
        <v/>
      </c>
      <c r="BR222" s="112" t="str">
        <f aca="false">IF($BG222&gt;$BF$7,"",VLOOKUP($BG222,$BI$8:$BO$507,3,FALSE()))</f>
        <v/>
      </c>
      <c r="BS222" s="112" t="str">
        <f aca="false">IF($BG222&gt;$BF$7,"",VLOOKUP($BG222,$BI$8:$BO$507,4,FALSE()))</f>
        <v/>
      </c>
      <c r="BT222" s="112" t="str">
        <f aca="false">IF($BG222&gt;$BF$7,"",VLOOKUP($BG222,$BI$8:$BO$507,5,FALSE()))</f>
        <v/>
      </c>
      <c r="BU222" s="113" t="str">
        <f aca="false">IF($BG222&gt;$BF$7,"",VLOOKUP($BG222,$BI$8:$BO$507,6,FALSE()))</f>
        <v/>
      </c>
      <c r="BV222" s="54"/>
    </row>
    <row r="223" customFormat="false" ht="15.75" hidden="false" customHeight="false" outlineLevel="0" collapsed="false">
      <c r="A223" s="5"/>
      <c r="B223" s="128"/>
      <c r="C223" s="129"/>
      <c r="D223" s="114"/>
      <c r="E223" s="134"/>
      <c r="F223" s="139"/>
      <c r="G223" s="93"/>
      <c r="H223" s="140"/>
      <c r="I223" s="95"/>
      <c r="J223" s="95"/>
      <c r="K223" s="93"/>
      <c r="L223" s="141"/>
      <c r="M223" s="95"/>
      <c r="N223" s="95"/>
      <c r="O223" s="93"/>
      <c r="P223" s="134"/>
      <c r="Q223" s="98"/>
      <c r="R223" s="99" t="str">
        <f aca="false">IF(ISBLANK($C223),"",IF(E223=Constants!$B$2, TRUE(), IF(E223=Constants!$B$3, FALSE(), TRUE())))</f>
        <v/>
      </c>
      <c r="S223" s="99" t="str">
        <f aca="false">IF(ISBLANK($C223),"",IF(F223=Constants!$B$2, TRUE(), IF(F223=Constants!$B$3, FALSE(), TRUE())))</f>
        <v/>
      </c>
      <c r="T223" s="99" t="str">
        <f aca="false">IF(ISBLANK($C223),"",IF(G223=Constants!$B$16,Constants!$B$9,IF(G223=Constants!$B$17,Constants!$B$10,Constants!$B$8)))</f>
        <v/>
      </c>
      <c r="U223" s="99" t="str">
        <f aca="false">IF(ISBLANK($C223),"",IF(H223=Constants!$B$19,Constants!$B$19,Constants!$B$18))</f>
        <v/>
      </c>
      <c r="V223" s="99" t="str">
        <f aca="false">IF(ISBLANK($C223),"",IF(ISNUMBER(I223),IF(I223&gt;=0,I223,""),""))</f>
        <v/>
      </c>
      <c r="W223" s="99" t="str">
        <f aca="false">IF(ISBLANK($C223),"",IF(J223=Constants!$B$2, TRUE(), IF(J223=Constants!$B$3, FALSE(), TRUE())))</f>
        <v/>
      </c>
      <c r="X223" s="99" t="str">
        <f aca="false">IF(ISBLANK($C223),"",IF(K223=Constants!$B$2, TRUE(), IF(K223=Constants!$B$3, FALSE(), TRUE())))</f>
        <v/>
      </c>
      <c r="Y223" s="99" t="str">
        <f aca="false">IF(ISBLANK($C223),"",IF(L223=Constants!$B$19,Constants!$B$19,Constants!$B$18))</f>
        <v/>
      </c>
      <c r="Z223" s="99" t="str">
        <f aca="false">IF(ISBLANK($C223),"",IF(ISNUMBER(M223),IF(M223&gt;=0,M223,""),""))</f>
        <v/>
      </c>
      <c r="AA223" s="99" t="str">
        <f aca="false">IF(ISBLANK($C223),"",IF(N223=Constants!$B$2, TRUE(), IF(N223=Constants!$B$3, FALSE(), TRUE())))</f>
        <v/>
      </c>
      <c r="AB223" s="99" t="str">
        <f aca="false">IF(ISBLANK($C223),"",IF(O223=Constants!$B$2, TRUE(), IF(O223=Constants!$B$3, FALSE(), TRUE())))</f>
        <v/>
      </c>
      <c r="AC223" s="99" t="str">
        <f aca="false">IF(ISBLANK($C223),"",IF(P223=Constants!$B$2, TRUE(), IF(P223=Constants!$B$3, FALSE(), FALSE())))</f>
        <v/>
      </c>
      <c r="AD223" s="99" t="str">
        <f aca="false">IF(ISBLANK($C223),"",AND(V223&lt;&gt;"",IF(U223=Constants!$B$19,S223,R223)))</f>
        <v/>
      </c>
      <c r="AE223" s="99" t="str">
        <f aca="false">IF(ISBLANK($C223),"",AND(Z223&lt;&gt;"",IF(Y223=Constants!$B$19,S223,R223)))</f>
        <v/>
      </c>
      <c r="AF223" s="99" t="str">
        <f aca="false">IF(ISBLANK($C223),"",IF(AC223,Constants!$B$4,IF(COUNTA(E223:O223)=0,Constants!$B$5,IF(AND(NOT(AD223),NOT(AE223)),Constants!$B$6,Constants!$B$7))))</f>
        <v/>
      </c>
      <c r="AG223" s="99" t="str">
        <f aca="false">IF(ISBLANK($C223),"",IF($AF223&lt;&gt;Constants!$B$7,$AF223,Constants!$B$20))</f>
        <v/>
      </c>
      <c r="AH223" s="99" t="str">
        <f aca="false">IF($AF223=Constants!$B$7,IF(AD223,V223,Constants!$B$13),"")</f>
        <v/>
      </c>
      <c r="AI223" s="99" t="str">
        <f aca="false">IF($AF223=Constants!$B$7,IF(AD223,T223*IF(W223, 1, Constants!$B$11)*IF(X223, 1, Constants!$B$12),Constants!$B$13),"")</f>
        <v/>
      </c>
      <c r="AJ223" s="99" t="str">
        <f aca="false">IF($AF223=Constants!$B$7,AH223*AI223,"")</f>
        <v/>
      </c>
      <c r="AK223" s="99" t="str">
        <f aca="false">IF($AF223=Constants!$B$7,IF(AE223,Z223,Constants!$B$13),"")</f>
        <v/>
      </c>
      <c r="AL223" s="99" t="str">
        <f aca="false">IF($AF223=Constants!$B$7,IF(AE223,T223*IF(AA223, 1, Constants!$B$11)*IF(AB223, 1, Constants!$B$12),Constants!$B$13),"")</f>
        <v/>
      </c>
      <c r="AM223" s="99" t="str">
        <f aca="false">IF($AF223=Constants!$B$7,AK223*AL223,"")</f>
        <v/>
      </c>
      <c r="AN223" s="99" t="str">
        <f aca="false">IF($AF223=Constants!$B$7,IF(AM223&gt;AJ223,2,1),"")</f>
        <v/>
      </c>
      <c r="AO223" s="99" t="str">
        <f aca="false">IF($AF223=Constants!$B$7,IF(AN223=1,2,1),"")</f>
        <v/>
      </c>
      <c r="AP223" s="99" t="str">
        <f aca="false">IF(ISBLANK($C223),"",IF($AF223&lt;&gt;Constants!$B$7,$AF223,IF(AN223=1,AJ223,AM223)))</f>
        <v/>
      </c>
      <c r="AQ223" s="99" t="str">
        <f aca="false">IF(ISBLANK($C223),"",IF($AF223=Constants!$B$7,IF(ISNUMBER(AP223),RANK(AP223,$AP$8:$AP$507),Constants!$B$14),$AF223))</f>
        <v/>
      </c>
      <c r="AR223" s="99" t="str">
        <f aca="false">IF(ISBLANK($C223),"",IF($AF223=Constants!$B$7,IF(AO223=1,AJ223,AM223),""))</f>
        <v/>
      </c>
      <c r="AS223" s="99" t="str">
        <f aca="false">IF(ISBLANK($C223),"",IF($AF223=Constants!$B$7,RANK(AR223,$AR$8:$AR$507),$AF223))</f>
        <v/>
      </c>
      <c r="AT223" s="99" t="str">
        <f aca="false">IF(ISBLANK($C223),"",IF($AF223=Constants!$B$7,IF(ISNUMBER(AQ223),COUNTIFS($AQ$8:$AQ$507,"&lt;"&amp;$AQ223)+COUNTIFS($AQ$8:$AQ$507,$AQ223,$AS$8:$AS$507,"&lt;"&amp;$AS223)+1,Constants!$B$14),$AF223))</f>
        <v/>
      </c>
      <c r="AU223" s="99" t="str">
        <f aca="false">IF(ISBLANK($C223),"",IF($AF223=Constants!$B$7,IF(ISNUMBER(AQ223),AQ223-AT223,Constants!$B$14),$AF223))</f>
        <v/>
      </c>
      <c r="AV223" s="100"/>
      <c r="AW223" s="101" t="str">
        <f aca="false">IF(ISBLANK($C223),"",IF($AF223&lt;&gt;Constants!$B$7,"",AN223))</f>
        <v/>
      </c>
      <c r="AX223" s="102" t="str">
        <f aca="false">IF(ISBLANK($C223),"",IF($AF223&lt;&gt;Constants!$B$7,"",IF(AN223=1,AH223,AK223)))</f>
        <v/>
      </c>
      <c r="AY223" s="103" t="str">
        <f aca="false">IF(ISBLANK($C223),"",IF($AF223&lt;&gt;Constants!$B$7,"",IF(AN223=1,AI223,AL223)))</f>
        <v/>
      </c>
      <c r="AZ223" s="104" t="str">
        <f aca="false">IF(ISBLANK($C223),"",IF($AF223&lt;&gt;Constants!$B$7,$AF223,AP223))</f>
        <v/>
      </c>
      <c r="BA223" s="105" t="str">
        <f aca="false">IF(ISBLANK($C223),"",IF($AF223&lt;&gt;Constants!$B$7,$AF223,AG223))</f>
        <v/>
      </c>
      <c r="BB223" s="106" t="str">
        <f aca="false">IF(ISBLANK($C223),"",AU223)</f>
        <v/>
      </c>
      <c r="BC223" s="106" t="str">
        <f aca="false">IF(ISBLANK($C223),"",AT223)</f>
        <v/>
      </c>
      <c r="BD223" s="107" t="str">
        <f aca="false">IF(ISBLANK($C223),"",IFERROR(_xlfn.SWITCH(BC223,Constants!$B$4,COUNTA($C$8:$C$507)+2,Constants!$B$5,COUNTA($C$8:$C$507)+1,Constants!$B$6,COUNTA($C$8:$C$507)),BC223))</f>
        <v/>
      </c>
      <c r="BE223" s="5"/>
      <c r="BF223" s="108" t="n">
        <f aca="false">IF(OR(ISNUMBER(BC223),BC223=Constants!$B$4,BC223=Constants!$B$6,BC223=Constants!$B$5),1,0)</f>
        <v>0</v>
      </c>
      <c r="BG223" s="108" t="n">
        <v>216</v>
      </c>
      <c r="BH223" s="108" t="str">
        <f aca="false">IF(ISBLANK($C223),"",IF(ISNUMBER(BD223),BD223+ROW($B223)/1000,""))</f>
        <v/>
      </c>
      <c r="BI223" s="108" t="str">
        <f aca="false">IF(ISNUMBER(BH223),RANK(BH223,$BH$8:$BH$507,1),"")</f>
        <v/>
      </c>
      <c r="BJ223" s="108" t="str">
        <f aca="false">IF(ISBLANK($C223),"",$B223)</f>
        <v/>
      </c>
      <c r="BK223" s="108" t="str">
        <f aca="false">IF(ISBLANK($C223),"",$C223)</f>
        <v/>
      </c>
      <c r="BL223" s="108" t="str">
        <f aca="false">IF(ISBLANK($C223),"",$D223)</f>
        <v/>
      </c>
      <c r="BM223" s="109" t="str">
        <f aca="false">BA223</f>
        <v/>
      </c>
      <c r="BN223" s="110" t="str">
        <f aca="false">AZ223</f>
        <v/>
      </c>
      <c r="BO223" s="108" t="str">
        <f aca="false">IF(ISBLANK($C223),"",BC223)</f>
        <v/>
      </c>
      <c r="BP223" s="111" t="str">
        <f aca="false">IF($BG223&gt;$BF$7,"",VLOOKUP($BG223,$BI$8:$BO$507,7,FALSE()))</f>
        <v/>
      </c>
      <c r="BQ223" s="112" t="str">
        <f aca="false">IF($BG223&gt;$BF$7,"",VLOOKUP($BG223,$BI$8:$BO$507,2,FALSE()))</f>
        <v/>
      </c>
      <c r="BR223" s="112" t="str">
        <f aca="false">IF($BG223&gt;$BF$7,"",VLOOKUP($BG223,$BI$8:$BO$507,3,FALSE()))</f>
        <v/>
      </c>
      <c r="BS223" s="112" t="str">
        <f aca="false">IF($BG223&gt;$BF$7,"",VLOOKUP($BG223,$BI$8:$BO$507,4,FALSE()))</f>
        <v/>
      </c>
      <c r="BT223" s="112" t="str">
        <f aca="false">IF($BG223&gt;$BF$7,"",VLOOKUP($BG223,$BI$8:$BO$507,5,FALSE()))</f>
        <v/>
      </c>
      <c r="BU223" s="113" t="str">
        <f aca="false">IF($BG223&gt;$BF$7,"",VLOOKUP($BG223,$BI$8:$BO$507,6,FALSE()))</f>
        <v/>
      </c>
      <c r="BV223" s="54"/>
    </row>
    <row r="224" customFormat="false" ht="15.75" hidden="false" customHeight="false" outlineLevel="0" collapsed="false">
      <c r="A224" s="5"/>
      <c r="B224" s="135"/>
      <c r="C224" s="56"/>
      <c r="D224" s="57"/>
      <c r="E224" s="84"/>
      <c r="F224" s="136"/>
      <c r="G224" s="60"/>
      <c r="H224" s="137"/>
      <c r="I224" s="62"/>
      <c r="J224" s="62"/>
      <c r="K224" s="60"/>
      <c r="L224" s="138"/>
      <c r="M224" s="62"/>
      <c r="N224" s="62"/>
      <c r="O224" s="60"/>
      <c r="P224" s="84"/>
      <c r="Q224" s="65"/>
      <c r="R224" s="67" t="str">
        <f aca="false">IF(ISBLANK($C224),"",IF(E224=Constants!$B$2, TRUE(), IF(E224=Constants!$B$3, FALSE(), TRUE())))</f>
        <v/>
      </c>
      <c r="S224" s="67" t="str">
        <f aca="false">IF(ISBLANK($C224),"",IF(F224=Constants!$B$2, TRUE(), IF(F224=Constants!$B$3, FALSE(), TRUE())))</f>
        <v/>
      </c>
      <c r="T224" s="67" t="str">
        <f aca="false">IF(ISBLANK($C224),"",IF(G224=Constants!$B$16,Constants!$B$9,IF(G224=Constants!$B$17,Constants!$B$10,Constants!$B$8)))</f>
        <v/>
      </c>
      <c r="U224" s="67" t="str">
        <f aca="false">IF(ISBLANK($C224),"",IF(H224=Constants!$B$19,Constants!$B$19,Constants!$B$18))</f>
        <v/>
      </c>
      <c r="V224" s="67" t="str">
        <f aca="false">IF(ISBLANK($C224),"",IF(ISNUMBER(I224),IF(I224&gt;=0,I224,""),""))</f>
        <v/>
      </c>
      <c r="W224" s="67" t="str">
        <f aca="false">IF(ISBLANK($C224),"",IF(J224=Constants!$B$2, TRUE(), IF(J224=Constants!$B$3, FALSE(), TRUE())))</f>
        <v/>
      </c>
      <c r="X224" s="67" t="str">
        <f aca="false">IF(ISBLANK($C224),"",IF(K224=Constants!$B$2, TRUE(), IF(K224=Constants!$B$3, FALSE(), TRUE())))</f>
        <v/>
      </c>
      <c r="Y224" s="67" t="str">
        <f aca="false">IF(ISBLANK($C224),"",IF(L224=Constants!$B$19,Constants!$B$19,Constants!$B$18))</f>
        <v/>
      </c>
      <c r="Z224" s="67" t="str">
        <f aca="false">IF(ISBLANK($C224),"",IF(ISNUMBER(M224),IF(M224&gt;=0,M224,""),""))</f>
        <v/>
      </c>
      <c r="AA224" s="67" t="str">
        <f aca="false">IF(ISBLANK($C224),"",IF(N224=Constants!$B$2, TRUE(), IF(N224=Constants!$B$3, FALSE(), TRUE())))</f>
        <v/>
      </c>
      <c r="AB224" s="67" t="str">
        <f aca="false">IF(ISBLANK($C224),"",IF(O224=Constants!$B$2, TRUE(), IF(O224=Constants!$B$3, FALSE(), TRUE())))</f>
        <v/>
      </c>
      <c r="AC224" s="67" t="str">
        <f aca="false">IF(ISBLANK($C224),"",IF(P224=Constants!$B$2, TRUE(), IF(P224=Constants!$B$3, FALSE(), FALSE())))</f>
        <v/>
      </c>
      <c r="AD224" s="67" t="str">
        <f aca="false">IF(ISBLANK($C224),"",AND(V224&lt;&gt;"",IF(U224=Constants!$B$19,S224,R224)))</f>
        <v/>
      </c>
      <c r="AE224" s="67" t="str">
        <f aca="false">IF(ISBLANK($C224),"",AND(Z224&lt;&gt;"",IF(Y224=Constants!$B$19,S224,R224)))</f>
        <v/>
      </c>
      <c r="AF224" s="67" t="str">
        <f aca="false">IF(ISBLANK($C224),"",IF(AC224,Constants!$B$4,IF(COUNTA(E224:O224)=0,Constants!$B$5,IF(AND(NOT(AD224),NOT(AE224)),Constants!$B$6,Constants!$B$7))))</f>
        <v/>
      </c>
      <c r="AG224" s="67" t="str">
        <f aca="false">IF(ISBLANK($C224),"",IF($AF224&lt;&gt;Constants!$B$7,$AF224,Constants!$B$20))</f>
        <v/>
      </c>
      <c r="AH224" s="67" t="str">
        <f aca="false">IF($AF224=Constants!$B$7,IF(AD224,V224,Constants!$B$13),"")</f>
        <v/>
      </c>
      <c r="AI224" s="67" t="str">
        <f aca="false">IF($AF224=Constants!$B$7,IF(AD224,T224*IF(W224, 1, Constants!$B$11)*IF(X224, 1, Constants!$B$12),Constants!$B$13),"")</f>
        <v/>
      </c>
      <c r="AJ224" s="67" t="str">
        <f aca="false">IF($AF224=Constants!$B$7,AH224*AI224,"")</f>
        <v/>
      </c>
      <c r="AK224" s="67" t="str">
        <f aca="false">IF($AF224=Constants!$B$7,IF(AE224,Z224,Constants!$B$13),"")</f>
        <v/>
      </c>
      <c r="AL224" s="67" t="str">
        <f aca="false">IF($AF224=Constants!$B$7,IF(AE224,T224*IF(AA224, 1, Constants!$B$11)*IF(AB224, 1, Constants!$B$12),Constants!$B$13),"")</f>
        <v/>
      </c>
      <c r="AM224" s="67" t="str">
        <f aca="false">IF($AF224=Constants!$B$7,AK224*AL224,"")</f>
        <v/>
      </c>
      <c r="AN224" s="67" t="str">
        <f aca="false">IF($AF224=Constants!$B$7,IF(AM224&gt;AJ224,2,1),"")</f>
        <v/>
      </c>
      <c r="AO224" s="67" t="str">
        <f aca="false">IF($AF224=Constants!$B$7,IF(AN224=1,2,1),"")</f>
        <v/>
      </c>
      <c r="AP224" s="67" t="str">
        <f aca="false">IF(ISBLANK($C224),"",IF($AF224&lt;&gt;Constants!$B$7,$AF224,IF(AN224=1,AJ224,AM224)))</f>
        <v/>
      </c>
      <c r="AQ224" s="67" t="str">
        <f aca="false">IF(ISBLANK($C224),"",IF($AF224=Constants!$B$7,IF(ISNUMBER(AP224),RANK(AP224,$AP$8:$AP$507),Constants!$B$14),$AF224))</f>
        <v/>
      </c>
      <c r="AR224" s="67" t="str">
        <f aca="false">IF(ISBLANK($C224),"",IF($AF224=Constants!$B$7,IF(AO224=1,AJ224,AM224),""))</f>
        <v/>
      </c>
      <c r="AS224" s="67" t="str">
        <f aca="false">IF(ISBLANK($C224),"",IF($AF224=Constants!$B$7,RANK(AR224,$AR$8:$AR$507),$AF224))</f>
        <v/>
      </c>
      <c r="AT224" s="67" t="str">
        <f aca="false">IF(ISBLANK($C224),"",IF($AF224=Constants!$B$7,IF(ISNUMBER(AQ224),COUNTIFS($AQ$8:$AQ$507,"&lt;"&amp;$AQ224)+COUNTIFS($AQ$8:$AQ$507,$AQ224,$AS$8:$AS$507,"&lt;"&amp;$AS224)+1,Constants!$B$14),$AF224))</f>
        <v/>
      </c>
      <c r="AU224" s="67" t="str">
        <f aca="false">IF(ISBLANK($C224),"",IF($AF224=Constants!$B$7,IF(ISNUMBER(AQ224),AQ224-AT224,Constants!$B$14),$AF224))</f>
        <v/>
      </c>
      <c r="AV224" s="69"/>
      <c r="AW224" s="70" t="str">
        <f aca="false">IF(ISBLANK($C224),"",IF($AF224&lt;&gt;Constants!$B$7,"",AN224))</f>
        <v/>
      </c>
      <c r="AX224" s="85" t="str">
        <f aca="false">IF(ISBLANK($C224),"",IF($AF224&lt;&gt;Constants!$B$7,"",IF(AN224=1,AH224,AK224)))</f>
        <v/>
      </c>
      <c r="AY224" s="72" t="str">
        <f aca="false">IF(ISBLANK($C224),"",IF($AF224&lt;&gt;Constants!$B$7,"",IF(AN224=1,AI224,AL224)))</f>
        <v/>
      </c>
      <c r="AZ224" s="73" t="str">
        <f aca="false">IF(ISBLANK($C224),"",IF($AF224&lt;&gt;Constants!$B$7,$AF224,AP224))</f>
        <v/>
      </c>
      <c r="BA224" s="74" t="str">
        <f aca="false">IF(ISBLANK($C224),"",IF($AF224&lt;&gt;Constants!$B$7,$AF224,AG224))</f>
        <v/>
      </c>
      <c r="BB224" s="75" t="str">
        <f aca="false">IF(ISBLANK($C224),"",AU224)</f>
        <v/>
      </c>
      <c r="BC224" s="75" t="str">
        <f aca="false">IF(ISBLANK($C224),"",AT224)</f>
        <v/>
      </c>
      <c r="BD224" s="76" t="str">
        <f aca="false">IF(ISBLANK($C224),"",IFERROR(_xlfn.SWITCH(BC224,Constants!$B$4,COUNTA($C$8:$C$507)+2,Constants!$B$5,COUNTA($C$8:$C$507)+1,Constants!$B$6,COUNTA($C$8:$C$507)),BC224))</f>
        <v/>
      </c>
      <c r="BE224" s="5"/>
      <c r="BF224" s="77" t="n">
        <f aca="false">IF(OR(ISNUMBER(BC224),BC224=Constants!$B$4,BC224=Constants!$B$6,BC224=Constants!$B$5),1,0)</f>
        <v>0</v>
      </c>
      <c r="BG224" s="77" t="n">
        <v>217</v>
      </c>
      <c r="BH224" s="77" t="str">
        <f aca="false">IF(ISBLANK($C224),"",IF(ISNUMBER(BD224),BD224+ROW($B224)/1000,""))</f>
        <v/>
      </c>
      <c r="BI224" s="77" t="str">
        <f aca="false">IF(ISNUMBER(BH224),RANK(BH224,$BH$8:$BH$507,1),"")</f>
        <v/>
      </c>
      <c r="BJ224" s="77" t="str">
        <f aca="false">IF(ISBLANK($C224),"",$B224)</f>
        <v/>
      </c>
      <c r="BK224" s="77" t="str">
        <f aca="false">IF(ISBLANK($C224),"",$C224)</f>
        <v/>
      </c>
      <c r="BL224" s="77" t="str">
        <f aca="false">IF(ISBLANK($C224),"",$D224)</f>
        <v/>
      </c>
      <c r="BM224" s="78" t="str">
        <f aca="false">BA224</f>
        <v/>
      </c>
      <c r="BN224" s="79" t="str">
        <f aca="false">AZ224</f>
        <v/>
      </c>
      <c r="BO224" s="77" t="str">
        <f aca="false">IF(ISBLANK($C224),"",BC224)</f>
        <v/>
      </c>
      <c r="BP224" s="80" t="str">
        <f aca="false">IF($BG224&gt;$BF$7,"",VLOOKUP($BG224,$BI$8:$BO$507,7,FALSE()))</f>
        <v/>
      </c>
      <c r="BQ224" s="81" t="str">
        <f aca="false">IF($BG224&gt;$BF$7,"",VLOOKUP($BG224,$BI$8:$BO$507,2,FALSE()))</f>
        <v/>
      </c>
      <c r="BR224" s="81" t="str">
        <f aca="false">IF($BG224&gt;$BF$7,"",VLOOKUP($BG224,$BI$8:$BO$507,3,FALSE()))</f>
        <v/>
      </c>
      <c r="BS224" s="81" t="str">
        <f aca="false">IF($BG224&gt;$BF$7,"",VLOOKUP($BG224,$BI$8:$BO$507,4,FALSE()))</f>
        <v/>
      </c>
      <c r="BT224" s="81" t="str">
        <f aca="false">IF($BG224&gt;$BF$7,"",VLOOKUP($BG224,$BI$8:$BO$507,5,FALSE()))</f>
        <v/>
      </c>
      <c r="BU224" s="82" t="str">
        <f aca="false">IF($BG224&gt;$BF$7,"",VLOOKUP($BG224,$BI$8:$BO$507,6,FALSE()))</f>
        <v/>
      </c>
      <c r="BV224" s="54"/>
    </row>
    <row r="225" customFormat="false" ht="15.75" hidden="false" customHeight="false" outlineLevel="0" collapsed="false">
      <c r="A225" s="5"/>
      <c r="B225" s="135"/>
      <c r="C225" s="56"/>
      <c r="D225" s="57"/>
      <c r="E225" s="84"/>
      <c r="F225" s="136"/>
      <c r="G225" s="60"/>
      <c r="H225" s="137"/>
      <c r="I225" s="62"/>
      <c r="J225" s="62"/>
      <c r="K225" s="60"/>
      <c r="L225" s="138"/>
      <c r="M225" s="62"/>
      <c r="N225" s="62"/>
      <c r="O225" s="60"/>
      <c r="P225" s="84"/>
      <c r="Q225" s="65"/>
      <c r="R225" s="67" t="str">
        <f aca="false">IF(ISBLANK($C225),"",IF(E225=Constants!$B$2, TRUE(), IF(E225=Constants!$B$3, FALSE(), TRUE())))</f>
        <v/>
      </c>
      <c r="S225" s="67" t="str">
        <f aca="false">IF(ISBLANK($C225),"",IF(F225=Constants!$B$2, TRUE(), IF(F225=Constants!$B$3, FALSE(), TRUE())))</f>
        <v/>
      </c>
      <c r="T225" s="67" t="str">
        <f aca="false">IF(ISBLANK($C225),"",IF(G225=Constants!$B$16,Constants!$B$9,IF(G225=Constants!$B$17,Constants!$B$10,Constants!$B$8)))</f>
        <v/>
      </c>
      <c r="U225" s="67" t="str">
        <f aca="false">IF(ISBLANK($C225),"",IF(H225=Constants!$B$19,Constants!$B$19,Constants!$B$18))</f>
        <v/>
      </c>
      <c r="V225" s="67" t="str">
        <f aca="false">IF(ISBLANK($C225),"",IF(ISNUMBER(I225),IF(I225&gt;=0,I225,""),""))</f>
        <v/>
      </c>
      <c r="W225" s="67" t="str">
        <f aca="false">IF(ISBLANK($C225),"",IF(J225=Constants!$B$2, TRUE(), IF(J225=Constants!$B$3, FALSE(), TRUE())))</f>
        <v/>
      </c>
      <c r="X225" s="67" t="str">
        <f aca="false">IF(ISBLANK($C225),"",IF(K225=Constants!$B$2, TRUE(), IF(K225=Constants!$B$3, FALSE(), TRUE())))</f>
        <v/>
      </c>
      <c r="Y225" s="67" t="str">
        <f aca="false">IF(ISBLANK($C225),"",IF(L225=Constants!$B$19,Constants!$B$19,Constants!$B$18))</f>
        <v/>
      </c>
      <c r="Z225" s="67" t="str">
        <f aca="false">IF(ISBLANK($C225),"",IF(ISNUMBER(M225),IF(M225&gt;=0,M225,""),""))</f>
        <v/>
      </c>
      <c r="AA225" s="67" t="str">
        <f aca="false">IF(ISBLANK($C225),"",IF(N225=Constants!$B$2, TRUE(), IF(N225=Constants!$B$3, FALSE(), TRUE())))</f>
        <v/>
      </c>
      <c r="AB225" s="67" t="str">
        <f aca="false">IF(ISBLANK($C225),"",IF(O225=Constants!$B$2, TRUE(), IF(O225=Constants!$B$3, FALSE(), TRUE())))</f>
        <v/>
      </c>
      <c r="AC225" s="67" t="str">
        <f aca="false">IF(ISBLANK($C225),"",IF(P225=Constants!$B$2, TRUE(), IF(P225=Constants!$B$3, FALSE(), FALSE())))</f>
        <v/>
      </c>
      <c r="AD225" s="67" t="str">
        <f aca="false">IF(ISBLANK($C225),"",AND(V225&lt;&gt;"",IF(U225=Constants!$B$19,S225,R225)))</f>
        <v/>
      </c>
      <c r="AE225" s="67" t="str">
        <f aca="false">IF(ISBLANK($C225),"",AND(Z225&lt;&gt;"",IF(Y225=Constants!$B$19,S225,R225)))</f>
        <v/>
      </c>
      <c r="AF225" s="67" t="str">
        <f aca="false">IF(ISBLANK($C225),"",IF(AC225,Constants!$B$4,IF(COUNTA(E225:O225)=0,Constants!$B$5,IF(AND(NOT(AD225),NOT(AE225)),Constants!$B$6,Constants!$B$7))))</f>
        <v/>
      </c>
      <c r="AG225" s="67" t="str">
        <f aca="false">IF(ISBLANK($C225),"",IF($AF225&lt;&gt;Constants!$B$7,$AF225,Constants!$B$20))</f>
        <v/>
      </c>
      <c r="AH225" s="67" t="str">
        <f aca="false">IF($AF225=Constants!$B$7,IF(AD225,V225,Constants!$B$13),"")</f>
        <v/>
      </c>
      <c r="AI225" s="67" t="str">
        <f aca="false">IF($AF225=Constants!$B$7,IF(AD225,T225*IF(W225, 1, Constants!$B$11)*IF(X225, 1, Constants!$B$12),Constants!$B$13),"")</f>
        <v/>
      </c>
      <c r="AJ225" s="67" t="str">
        <f aca="false">IF($AF225=Constants!$B$7,AH225*AI225,"")</f>
        <v/>
      </c>
      <c r="AK225" s="67" t="str">
        <f aca="false">IF($AF225=Constants!$B$7,IF(AE225,Z225,Constants!$B$13),"")</f>
        <v/>
      </c>
      <c r="AL225" s="67" t="str">
        <f aca="false">IF($AF225=Constants!$B$7,IF(AE225,T225*IF(AA225, 1, Constants!$B$11)*IF(AB225, 1, Constants!$B$12),Constants!$B$13),"")</f>
        <v/>
      </c>
      <c r="AM225" s="67" t="str">
        <f aca="false">IF($AF225=Constants!$B$7,AK225*AL225,"")</f>
        <v/>
      </c>
      <c r="AN225" s="67" t="str">
        <f aca="false">IF($AF225=Constants!$B$7,IF(AM225&gt;AJ225,2,1),"")</f>
        <v/>
      </c>
      <c r="AO225" s="67" t="str">
        <f aca="false">IF($AF225=Constants!$B$7,IF(AN225=1,2,1),"")</f>
        <v/>
      </c>
      <c r="AP225" s="67" t="str">
        <f aca="false">IF(ISBLANK($C225),"",IF($AF225&lt;&gt;Constants!$B$7,$AF225,IF(AN225=1,AJ225,AM225)))</f>
        <v/>
      </c>
      <c r="AQ225" s="67" t="str">
        <f aca="false">IF(ISBLANK($C225),"",IF($AF225=Constants!$B$7,IF(ISNUMBER(AP225),RANK(AP225,$AP$8:$AP$507),Constants!$B$14),$AF225))</f>
        <v/>
      </c>
      <c r="AR225" s="67" t="str">
        <f aca="false">IF(ISBLANK($C225),"",IF($AF225=Constants!$B$7,IF(AO225=1,AJ225,AM225),""))</f>
        <v/>
      </c>
      <c r="AS225" s="67" t="str">
        <f aca="false">IF(ISBLANK($C225),"",IF($AF225=Constants!$B$7,RANK(AR225,$AR$8:$AR$507),$AF225))</f>
        <v/>
      </c>
      <c r="AT225" s="67" t="str">
        <f aca="false">IF(ISBLANK($C225),"",IF($AF225=Constants!$B$7,IF(ISNUMBER(AQ225),COUNTIFS($AQ$8:$AQ$507,"&lt;"&amp;$AQ225)+COUNTIFS($AQ$8:$AQ$507,$AQ225,$AS$8:$AS$507,"&lt;"&amp;$AS225)+1,Constants!$B$14),$AF225))</f>
        <v/>
      </c>
      <c r="AU225" s="67" t="str">
        <f aca="false">IF(ISBLANK($C225),"",IF($AF225=Constants!$B$7,IF(ISNUMBER(AQ225),AQ225-AT225,Constants!$B$14),$AF225))</f>
        <v/>
      </c>
      <c r="AV225" s="69"/>
      <c r="AW225" s="70" t="str">
        <f aca="false">IF(ISBLANK($C225),"",IF($AF225&lt;&gt;Constants!$B$7,"",AN225))</f>
        <v/>
      </c>
      <c r="AX225" s="85" t="str">
        <f aca="false">IF(ISBLANK($C225),"",IF($AF225&lt;&gt;Constants!$B$7,"",IF(AN225=1,AH225,AK225)))</f>
        <v/>
      </c>
      <c r="AY225" s="72" t="str">
        <f aca="false">IF(ISBLANK($C225),"",IF($AF225&lt;&gt;Constants!$B$7,"",IF(AN225=1,AI225,AL225)))</f>
        <v/>
      </c>
      <c r="AZ225" s="73" t="str">
        <f aca="false">IF(ISBLANK($C225),"",IF($AF225&lt;&gt;Constants!$B$7,$AF225,AP225))</f>
        <v/>
      </c>
      <c r="BA225" s="74" t="str">
        <f aca="false">IF(ISBLANK($C225),"",IF($AF225&lt;&gt;Constants!$B$7,$AF225,AG225))</f>
        <v/>
      </c>
      <c r="BB225" s="75" t="str">
        <f aca="false">IF(ISBLANK($C225),"",AU225)</f>
        <v/>
      </c>
      <c r="BC225" s="75" t="str">
        <f aca="false">IF(ISBLANK($C225),"",AT225)</f>
        <v/>
      </c>
      <c r="BD225" s="76" t="str">
        <f aca="false">IF(ISBLANK($C225),"",IFERROR(_xlfn.SWITCH(BC225,Constants!$B$4,COUNTA($C$8:$C$507)+2,Constants!$B$5,COUNTA($C$8:$C$507)+1,Constants!$B$6,COUNTA($C$8:$C$507)),BC225))</f>
        <v/>
      </c>
      <c r="BE225" s="5"/>
      <c r="BF225" s="77" t="n">
        <f aca="false">IF(OR(ISNUMBER(BC225),BC225=Constants!$B$4,BC225=Constants!$B$6,BC225=Constants!$B$5),1,0)</f>
        <v>0</v>
      </c>
      <c r="BG225" s="77" t="n">
        <v>218</v>
      </c>
      <c r="BH225" s="77" t="str">
        <f aca="false">IF(ISBLANK($C225),"",IF(ISNUMBER(BD225),BD225+ROW($B225)/1000,""))</f>
        <v/>
      </c>
      <c r="BI225" s="77" t="str">
        <f aca="false">IF(ISNUMBER(BH225),RANK(BH225,$BH$8:$BH$507,1),"")</f>
        <v/>
      </c>
      <c r="BJ225" s="77" t="str">
        <f aca="false">IF(ISBLANK($C225),"",$B225)</f>
        <v/>
      </c>
      <c r="BK225" s="77" t="str">
        <f aca="false">IF(ISBLANK($C225),"",$C225)</f>
        <v/>
      </c>
      <c r="BL225" s="77" t="str">
        <f aca="false">IF(ISBLANK($C225),"",$D225)</f>
        <v/>
      </c>
      <c r="BM225" s="78" t="str">
        <f aca="false">BA225</f>
        <v/>
      </c>
      <c r="BN225" s="79" t="str">
        <f aca="false">AZ225</f>
        <v/>
      </c>
      <c r="BO225" s="77" t="str">
        <f aca="false">IF(ISBLANK($C225),"",BC225)</f>
        <v/>
      </c>
      <c r="BP225" s="80" t="str">
        <f aca="false">IF($BG225&gt;$BF$7,"",VLOOKUP($BG225,$BI$8:$BO$507,7,FALSE()))</f>
        <v/>
      </c>
      <c r="BQ225" s="81" t="str">
        <f aca="false">IF($BG225&gt;$BF$7,"",VLOOKUP($BG225,$BI$8:$BO$507,2,FALSE()))</f>
        <v/>
      </c>
      <c r="BR225" s="81" t="str">
        <f aca="false">IF($BG225&gt;$BF$7,"",VLOOKUP($BG225,$BI$8:$BO$507,3,FALSE()))</f>
        <v/>
      </c>
      <c r="BS225" s="81" t="str">
        <f aca="false">IF($BG225&gt;$BF$7,"",VLOOKUP($BG225,$BI$8:$BO$507,4,FALSE()))</f>
        <v/>
      </c>
      <c r="BT225" s="81" t="str">
        <f aca="false">IF($BG225&gt;$BF$7,"",VLOOKUP($BG225,$BI$8:$BO$507,5,FALSE()))</f>
        <v/>
      </c>
      <c r="BU225" s="82" t="str">
        <f aca="false">IF($BG225&gt;$BF$7,"",VLOOKUP($BG225,$BI$8:$BO$507,6,FALSE()))</f>
        <v/>
      </c>
      <c r="BV225" s="54"/>
    </row>
    <row r="226" customFormat="false" ht="15.75" hidden="false" customHeight="false" outlineLevel="0" collapsed="false">
      <c r="A226" s="5"/>
      <c r="B226" s="135"/>
      <c r="C226" s="56"/>
      <c r="D226" s="57"/>
      <c r="E226" s="84"/>
      <c r="F226" s="136"/>
      <c r="G226" s="60"/>
      <c r="H226" s="137"/>
      <c r="I226" s="62"/>
      <c r="J226" s="62"/>
      <c r="K226" s="60"/>
      <c r="L226" s="138"/>
      <c r="M226" s="62"/>
      <c r="N226" s="62"/>
      <c r="O226" s="60"/>
      <c r="P226" s="84"/>
      <c r="Q226" s="65"/>
      <c r="R226" s="67" t="str">
        <f aca="false">IF(ISBLANK($C226),"",IF(E226=Constants!$B$2, TRUE(), IF(E226=Constants!$B$3, FALSE(), TRUE())))</f>
        <v/>
      </c>
      <c r="S226" s="67" t="str">
        <f aca="false">IF(ISBLANK($C226),"",IF(F226=Constants!$B$2, TRUE(), IF(F226=Constants!$B$3, FALSE(), TRUE())))</f>
        <v/>
      </c>
      <c r="T226" s="67" t="str">
        <f aca="false">IF(ISBLANK($C226),"",IF(G226=Constants!$B$16,Constants!$B$9,IF(G226=Constants!$B$17,Constants!$B$10,Constants!$B$8)))</f>
        <v/>
      </c>
      <c r="U226" s="67" t="str">
        <f aca="false">IF(ISBLANK($C226),"",IF(H226=Constants!$B$19,Constants!$B$19,Constants!$B$18))</f>
        <v/>
      </c>
      <c r="V226" s="67" t="str">
        <f aca="false">IF(ISBLANK($C226),"",IF(ISNUMBER(I226),IF(I226&gt;=0,I226,""),""))</f>
        <v/>
      </c>
      <c r="W226" s="67" t="str">
        <f aca="false">IF(ISBLANK($C226),"",IF(J226=Constants!$B$2, TRUE(), IF(J226=Constants!$B$3, FALSE(), TRUE())))</f>
        <v/>
      </c>
      <c r="X226" s="67" t="str">
        <f aca="false">IF(ISBLANK($C226),"",IF(K226=Constants!$B$2, TRUE(), IF(K226=Constants!$B$3, FALSE(), TRUE())))</f>
        <v/>
      </c>
      <c r="Y226" s="67" t="str">
        <f aca="false">IF(ISBLANK($C226),"",IF(L226=Constants!$B$19,Constants!$B$19,Constants!$B$18))</f>
        <v/>
      </c>
      <c r="Z226" s="67" t="str">
        <f aca="false">IF(ISBLANK($C226),"",IF(ISNUMBER(M226),IF(M226&gt;=0,M226,""),""))</f>
        <v/>
      </c>
      <c r="AA226" s="67" t="str">
        <f aca="false">IF(ISBLANK($C226),"",IF(N226=Constants!$B$2, TRUE(), IF(N226=Constants!$B$3, FALSE(), TRUE())))</f>
        <v/>
      </c>
      <c r="AB226" s="67" t="str">
        <f aca="false">IF(ISBLANK($C226),"",IF(O226=Constants!$B$2, TRUE(), IF(O226=Constants!$B$3, FALSE(), TRUE())))</f>
        <v/>
      </c>
      <c r="AC226" s="67" t="str">
        <f aca="false">IF(ISBLANK($C226),"",IF(P226=Constants!$B$2, TRUE(), IF(P226=Constants!$B$3, FALSE(), FALSE())))</f>
        <v/>
      </c>
      <c r="AD226" s="67" t="str">
        <f aca="false">IF(ISBLANK($C226),"",AND(V226&lt;&gt;"",IF(U226=Constants!$B$19,S226,R226)))</f>
        <v/>
      </c>
      <c r="AE226" s="67" t="str">
        <f aca="false">IF(ISBLANK($C226),"",AND(Z226&lt;&gt;"",IF(Y226=Constants!$B$19,S226,R226)))</f>
        <v/>
      </c>
      <c r="AF226" s="67" t="str">
        <f aca="false">IF(ISBLANK($C226),"",IF(AC226,Constants!$B$4,IF(COUNTA(E226:O226)=0,Constants!$B$5,IF(AND(NOT(AD226),NOT(AE226)),Constants!$B$6,Constants!$B$7))))</f>
        <v/>
      </c>
      <c r="AG226" s="67" t="str">
        <f aca="false">IF(ISBLANK($C226),"",IF($AF226&lt;&gt;Constants!$B$7,$AF226,Constants!$B$20))</f>
        <v/>
      </c>
      <c r="AH226" s="67" t="str">
        <f aca="false">IF($AF226=Constants!$B$7,IF(AD226,V226,Constants!$B$13),"")</f>
        <v/>
      </c>
      <c r="AI226" s="67" t="str">
        <f aca="false">IF($AF226=Constants!$B$7,IF(AD226,T226*IF(W226, 1, Constants!$B$11)*IF(X226, 1, Constants!$B$12),Constants!$B$13),"")</f>
        <v/>
      </c>
      <c r="AJ226" s="67" t="str">
        <f aca="false">IF($AF226=Constants!$B$7,AH226*AI226,"")</f>
        <v/>
      </c>
      <c r="AK226" s="67" t="str">
        <f aca="false">IF($AF226=Constants!$B$7,IF(AE226,Z226,Constants!$B$13),"")</f>
        <v/>
      </c>
      <c r="AL226" s="67" t="str">
        <f aca="false">IF($AF226=Constants!$B$7,IF(AE226,T226*IF(AA226, 1, Constants!$B$11)*IF(AB226, 1, Constants!$B$12),Constants!$B$13),"")</f>
        <v/>
      </c>
      <c r="AM226" s="67" t="str">
        <f aca="false">IF($AF226=Constants!$B$7,AK226*AL226,"")</f>
        <v/>
      </c>
      <c r="AN226" s="67" t="str">
        <f aca="false">IF($AF226=Constants!$B$7,IF(AM226&gt;AJ226,2,1),"")</f>
        <v/>
      </c>
      <c r="AO226" s="67" t="str">
        <f aca="false">IF($AF226=Constants!$B$7,IF(AN226=1,2,1),"")</f>
        <v/>
      </c>
      <c r="AP226" s="67" t="str">
        <f aca="false">IF(ISBLANK($C226),"",IF($AF226&lt;&gt;Constants!$B$7,$AF226,IF(AN226=1,AJ226,AM226)))</f>
        <v/>
      </c>
      <c r="AQ226" s="67" t="str">
        <f aca="false">IF(ISBLANK($C226),"",IF($AF226=Constants!$B$7,IF(ISNUMBER(AP226),RANK(AP226,$AP$8:$AP$507),Constants!$B$14),$AF226))</f>
        <v/>
      </c>
      <c r="AR226" s="67" t="str">
        <f aca="false">IF(ISBLANK($C226),"",IF($AF226=Constants!$B$7,IF(AO226=1,AJ226,AM226),""))</f>
        <v/>
      </c>
      <c r="AS226" s="67" t="str">
        <f aca="false">IF(ISBLANK($C226),"",IF($AF226=Constants!$B$7,RANK(AR226,$AR$8:$AR$507),$AF226))</f>
        <v/>
      </c>
      <c r="AT226" s="67" t="str">
        <f aca="false">IF(ISBLANK($C226),"",IF($AF226=Constants!$B$7,IF(ISNUMBER(AQ226),COUNTIFS($AQ$8:$AQ$507,"&lt;"&amp;$AQ226)+COUNTIFS($AQ$8:$AQ$507,$AQ226,$AS$8:$AS$507,"&lt;"&amp;$AS226)+1,Constants!$B$14),$AF226))</f>
        <v/>
      </c>
      <c r="AU226" s="67" t="str">
        <f aca="false">IF(ISBLANK($C226),"",IF($AF226=Constants!$B$7,IF(ISNUMBER(AQ226),AQ226-AT226,Constants!$B$14),$AF226))</f>
        <v/>
      </c>
      <c r="AV226" s="69"/>
      <c r="AW226" s="70" t="str">
        <f aca="false">IF(ISBLANK($C226),"",IF($AF226&lt;&gt;Constants!$B$7,"",AN226))</f>
        <v/>
      </c>
      <c r="AX226" s="85" t="str">
        <f aca="false">IF(ISBLANK($C226),"",IF($AF226&lt;&gt;Constants!$B$7,"",IF(AN226=1,AH226,AK226)))</f>
        <v/>
      </c>
      <c r="AY226" s="72" t="str">
        <f aca="false">IF(ISBLANK($C226),"",IF($AF226&lt;&gt;Constants!$B$7,"",IF(AN226=1,AI226,AL226)))</f>
        <v/>
      </c>
      <c r="AZ226" s="73" t="str">
        <f aca="false">IF(ISBLANK($C226),"",IF($AF226&lt;&gt;Constants!$B$7,$AF226,AP226))</f>
        <v/>
      </c>
      <c r="BA226" s="74" t="str">
        <f aca="false">IF(ISBLANK($C226),"",IF($AF226&lt;&gt;Constants!$B$7,$AF226,AG226))</f>
        <v/>
      </c>
      <c r="BB226" s="75" t="str">
        <f aca="false">IF(ISBLANK($C226),"",AU226)</f>
        <v/>
      </c>
      <c r="BC226" s="75" t="str">
        <f aca="false">IF(ISBLANK($C226),"",AT226)</f>
        <v/>
      </c>
      <c r="BD226" s="76" t="str">
        <f aca="false">IF(ISBLANK($C226),"",IFERROR(_xlfn.SWITCH(BC226,Constants!$B$4,COUNTA($C$8:$C$507)+2,Constants!$B$5,COUNTA($C$8:$C$507)+1,Constants!$B$6,COUNTA($C$8:$C$507)),BC226))</f>
        <v/>
      </c>
      <c r="BE226" s="5"/>
      <c r="BF226" s="77" t="n">
        <f aca="false">IF(OR(ISNUMBER(BC226),BC226=Constants!$B$4,BC226=Constants!$B$6,BC226=Constants!$B$5),1,0)</f>
        <v>0</v>
      </c>
      <c r="BG226" s="77" t="n">
        <v>219</v>
      </c>
      <c r="BH226" s="77" t="str">
        <f aca="false">IF(ISBLANK($C226),"",IF(ISNUMBER(BD226),BD226+ROW($B226)/1000,""))</f>
        <v/>
      </c>
      <c r="BI226" s="77" t="str">
        <f aca="false">IF(ISNUMBER(BH226),RANK(BH226,$BH$8:$BH$507,1),"")</f>
        <v/>
      </c>
      <c r="BJ226" s="77" t="str">
        <f aca="false">IF(ISBLANK($C226),"",$B226)</f>
        <v/>
      </c>
      <c r="BK226" s="77" t="str">
        <f aca="false">IF(ISBLANK($C226),"",$C226)</f>
        <v/>
      </c>
      <c r="BL226" s="77" t="str">
        <f aca="false">IF(ISBLANK($C226),"",$D226)</f>
        <v/>
      </c>
      <c r="BM226" s="78" t="str">
        <f aca="false">BA226</f>
        <v/>
      </c>
      <c r="BN226" s="79" t="str">
        <f aca="false">AZ226</f>
        <v/>
      </c>
      <c r="BO226" s="77" t="str">
        <f aca="false">IF(ISBLANK($C226),"",BC226)</f>
        <v/>
      </c>
      <c r="BP226" s="80" t="str">
        <f aca="false">IF($BG226&gt;$BF$7,"",VLOOKUP($BG226,$BI$8:$BO$507,7,FALSE()))</f>
        <v/>
      </c>
      <c r="BQ226" s="81" t="str">
        <f aca="false">IF($BG226&gt;$BF$7,"",VLOOKUP($BG226,$BI$8:$BO$507,2,FALSE()))</f>
        <v/>
      </c>
      <c r="BR226" s="81" t="str">
        <f aca="false">IF($BG226&gt;$BF$7,"",VLOOKUP($BG226,$BI$8:$BO$507,3,FALSE()))</f>
        <v/>
      </c>
      <c r="BS226" s="81" t="str">
        <f aca="false">IF($BG226&gt;$BF$7,"",VLOOKUP($BG226,$BI$8:$BO$507,4,FALSE()))</f>
        <v/>
      </c>
      <c r="BT226" s="81" t="str">
        <f aca="false">IF($BG226&gt;$BF$7,"",VLOOKUP($BG226,$BI$8:$BO$507,5,FALSE()))</f>
        <v/>
      </c>
      <c r="BU226" s="82" t="str">
        <f aca="false">IF($BG226&gt;$BF$7,"",VLOOKUP($BG226,$BI$8:$BO$507,6,FALSE()))</f>
        <v/>
      </c>
      <c r="BV226" s="54"/>
    </row>
    <row r="227" customFormat="false" ht="15.75" hidden="false" customHeight="false" outlineLevel="0" collapsed="false">
      <c r="A227" s="5"/>
      <c r="B227" s="128"/>
      <c r="C227" s="129"/>
      <c r="D227" s="114"/>
      <c r="E227" s="134"/>
      <c r="F227" s="139"/>
      <c r="G227" s="93"/>
      <c r="H227" s="140"/>
      <c r="I227" s="95"/>
      <c r="J227" s="95"/>
      <c r="K227" s="93"/>
      <c r="L227" s="141"/>
      <c r="M227" s="95"/>
      <c r="N227" s="95"/>
      <c r="O227" s="93"/>
      <c r="P227" s="134"/>
      <c r="Q227" s="98"/>
      <c r="R227" s="99" t="str">
        <f aca="false">IF(ISBLANK($C227),"",IF(E227=Constants!$B$2, TRUE(), IF(E227=Constants!$B$3, FALSE(), TRUE())))</f>
        <v/>
      </c>
      <c r="S227" s="99" t="str">
        <f aca="false">IF(ISBLANK($C227),"",IF(F227=Constants!$B$2, TRUE(), IF(F227=Constants!$B$3, FALSE(), TRUE())))</f>
        <v/>
      </c>
      <c r="T227" s="99" t="str">
        <f aca="false">IF(ISBLANK($C227),"",IF(G227=Constants!$B$16,Constants!$B$9,IF(G227=Constants!$B$17,Constants!$B$10,Constants!$B$8)))</f>
        <v/>
      </c>
      <c r="U227" s="99" t="str">
        <f aca="false">IF(ISBLANK($C227),"",IF(H227=Constants!$B$19,Constants!$B$19,Constants!$B$18))</f>
        <v/>
      </c>
      <c r="V227" s="99" t="str">
        <f aca="false">IF(ISBLANK($C227),"",IF(ISNUMBER(I227),IF(I227&gt;=0,I227,""),""))</f>
        <v/>
      </c>
      <c r="W227" s="99" t="str">
        <f aca="false">IF(ISBLANK($C227),"",IF(J227=Constants!$B$2, TRUE(), IF(J227=Constants!$B$3, FALSE(), TRUE())))</f>
        <v/>
      </c>
      <c r="X227" s="99" t="str">
        <f aca="false">IF(ISBLANK($C227),"",IF(K227=Constants!$B$2, TRUE(), IF(K227=Constants!$B$3, FALSE(), TRUE())))</f>
        <v/>
      </c>
      <c r="Y227" s="99" t="str">
        <f aca="false">IF(ISBLANK($C227),"",IF(L227=Constants!$B$19,Constants!$B$19,Constants!$B$18))</f>
        <v/>
      </c>
      <c r="Z227" s="99" t="str">
        <f aca="false">IF(ISBLANK($C227),"",IF(ISNUMBER(M227),IF(M227&gt;=0,M227,""),""))</f>
        <v/>
      </c>
      <c r="AA227" s="99" t="str">
        <f aca="false">IF(ISBLANK($C227),"",IF(N227=Constants!$B$2, TRUE(), IF(N227=Constants!$B$3, FALSE(), TRUE())))</f>
        <v/>
      </c>
      <c r="AB227" s="99" t="str">
        <f aca="false">IF(ISBLANK($C227),"",IF(O227=Constants!$B$2, TRUE(), IF(O227=Constants!$B$3, FALSE(), TRUE())))</f>
        <v/>
      </c>
      <c r="AC227" s="99" t="str">
        <f aca="false">IF(ISBLANK($C227),"",IF(P227=Constants!$B$2, TRUE(), IF(P227=Constants!$B$3, FALSE(), FALSE())))</f>
        <v/>
      </c>
      <c r="AD227" s="99" t="str">
        <f aca="false">IF(ISBLANK($C227),"",AND(V227&lt;&gt;"",IF(U227=Constants!$B$19,S227,R227)))</f>
        <v/>
      </c>
      <c r="AE227" s="99" t="str">
        <f aca="false">IF(ISBLANK($C227),"",AND(Z227&lt;&gt;"",IF(Y227=Constants!$B$19,S227,R227)))</f>
        <v/>
      </c>
      <c r="AF227" s="99" t="str">
        <f aca="false">IF(ISBLANK($C227),"",IF(AC227,Constants!$B$4,IF(COUNTA(E227:O227)=0,Constants!$B$5,IF(AND(NOT(AD227),NOT(AE227)),Constants!$B$6,Constants!$B$7))))</f>
        <v/>
      </c>
      <c r="AG227" s="99" t="str">
        <f aca="false">IF(ISBLANK($C227),"",IF($AF227&lt;&gt;Constants!$B$7,$AF227,Constants!$B$20))</f>
        <v/>
      </c>
      <c r="AH227" s="99" t="str">
        <f aca="false">IF($AF227=Constants!$B$7,IF(AD227,V227,Constants!$B$13),"")</f>
        <v/>
      </c>
      <c r="AI227" s="99" t="str">
        <f aca="false">IF($AF227=Constants!$B$7,IF(AD227,T227*IF(W227, 1, Constants!$B$11)*IF(X227, 1, Constants!$B$12),Constants!$B$13),"")</f>
        <v/>
      </c>
      <c r="AJ227" s="99" t="str">
        <f aca="false">IF($AF227=Constants!$B$7,AH227*AI227,"")</f>
        <v/>
      </c>
      <c r="AK227" s="99" t="str">
        <f aca="false">IF($AF227=Constants!$B$7,IF(AE227,Z227,Constants!$B$13),"")</f>
        <v/>
      </c>
      <c r="AL227" s="99" t="str">
        <f aca="false">IF($AF227=Constants!$B$7,IF(AE227,T227*IF(AA227, 1, Constants!$B$11)*IF(AB227, 1, Constants!$B$12),Constants!$B$13),"")</f>
        <v/>
      </c>
      <c r="AM227" s="99" t="str">
        <f aca="false">IF($AF227=Constants!$B$7,AK227*AL227,"")</f>
        <v/>
      </c>
      <c r="AN227" s="99" t="str">
        <f aca="false">IF($AF227=Constants!$B$7,IF(AM227&gt;AJ227,2,1),"")</f>
        <v/>
      </c>
      <c r="AO227" s="99" t="str">
        <f aca="false">IF($AF227=Constants!$B$7,IF(AN227=1,2,1),"")</f>
        <v/>
      </c>
      <c r="AP227" s="99" t="str">
        <f aca="false">IF(ISBLANK($C227),"",IF($AF227&lt;&gt;Constants!$B$7,$AF227,IF(AN227=1,AJ227,AM227)))</f>
        <v/>
      </c>
      <c r="AQ227" s="99" t="str">
        <f aca="false">IF(ISBLANK($C227),"",IF($AF227=Constants!$B$7,IF(ISNUMBER(AP227),RANK(AP227,$AP$8:$AP$507),Constants!$B$14),$AF227))</f>
        <v/>
      </c>
      <c r="AR227" s="99" t="str">
        <f aca="false">IF(ISBLANK($C227),"",IF($AF227=Constants!$B$7,IF(AO227=1,AJ227,AM227),""))</f>
        <v/>
      </c>
      <c r="AS227" s="99" t="str">
        <f aca="false">IF(ISBLANK($C227),"",IF($AF227=Constants!$B$7,RANK(AR227,$AR$8:$AR$507),$AF227))</f>
        <v/>
      </c>
      <c r="AT227" s="99" t="str">
        <f aca="false">IF(ISBLANK($C227),"",IF($AF227=Constants!$B$7,IF(ISNUMBER(AQ227),COUNTIFS($AQ$8:$AQ$507,"&lt;"&amp;$AQ227)+COUNTIFS($AQ$8:$AQ$507,$AQ227,$AS$8:$AS$507,"&lt;"&amp;$AS227)+1,Constants!$B$14),$AF227))</f>
        <v/>
      </c>
      <c r="AU227" s="99" t="str">
        <f aca="false">IF(ISBLANK($C227),"",IF($AF227=Constants!$B$7,IF(ISNUMBER(AQ227),AQ227-AT227,Constants!$B$14),$AF227))</f>
        <v/>
      </c>
      <c r="AV227" s="100"/>
      <c r="AW227" s="101" t="str">
        <f aca="false">IF(ISBLANK($C227),"",IF($AF227&lt;&gt;Constants!$B$7,"",AN227))</f>
        <v/>
      </c>
      <c r="AX227" s="102" t="str">
        <f aca="false">IF(ISBLANK($C227),"",IF($AF227&lt;&gt;Constants!$B$7,"",IF(AN227=1,AH227,AK227)))</f>
        <v/>
      </c>
      <c r="AY227" s="103" t="str">
        <f aca="false">IF(ISBLANK($C227),"",IF($AF227&lt;&gt;Constants!$B$7,"",IF(AN227=1,AI227,AL227)))</f>
        <v/>
      </c>
      <c r="AZ227" s="104" t="str">
        <f aca="false">IF(ISBLANK($C227),"",IF($AF227&lt;&gt;Constants!$B$7,$AF227,AP227))</f>
        <v/>
      </c>
      <c r="BA227" s="105" t="str">
        <f aca="false">IF(ISBLANK($C227),"",IF($AF227&lt;&gt;Constants!$B$7,$AF227,AG227))</f>
        <v/>
      </c>
      <c r="BB227" s="106" t="str">
        <f aca="false">IF(ISBLANK($C227),"",AU227)</f>
        <v/>
      </c>
      <c r="BC227" s="106" t="str">
        <f aca="false">IF(ISBLANK($C227),"",AT227)</f>
        <v/>
      </c>
      <c r="BD227" s="107" t="str">
        <f aca="false">IF(ISBLANK($C227),"",IFERROR(_xlfn.SWITCH(BC227,Constants!$B$4,COUNTA($C$8:$C$507)+2,Constants!$B$5,COUNTA($C$8:$C$507)+1,Constants!$B$6,COUNTA($C$8:$C$507)),BC227))</f>
        <v/>
      </c>
      <c r="BE227" s="5"/>
      <c r="BF227" s="108" t="n">
        <f aca="false">IF(OR(ISNUMBER(BC227),BC227=Constants!$B$4,BC227=Constants!$B$6,BC227=Constants!$B$5),1,0)</f>
        <v>0</v>
      </c>
      <c r="BG227" s="108" t="n">
        <v>220</v>
      </c>
      <c r="BH227" s="108" t="str">
        <f aca="false">IF(ISBLANK($C227),"",IF(ISNUMBER(BD227),BD227+ROW($B227)/1000,""))</f>
        <v/>
      </c>
      <c r="BI227" s="108" t="str">
        <f aca="false">IF(ISNUMBER(BH227),RANK(BH227,$BH$8:$BH$507,1),"")</f>
        <v/>
      </c>
      <c r="BJ227" s="108" t="str">
        <f aca="false">IF(ISBLANK($C227),"",$B227)</f>
        <v/>
      </c>
      <c r="BK227" s="108" t="str">
        <f aca="false">IF(ISBLANK($C227),"",$C227)</f>
        <v/>
      </c>
      <c r="BL227" s="108" t="str">
        <f aca="false">IF(ISBLANK($C227),"",$D227)</f>
        <v/>
      </c>
      <c r="BM227" s="109" t="str">
        <f aca="false">BA227</f>
        <v/>
      </c>
      <c r="BN227" s="110" t="str">
        <f aca="false">AZ227</f>
        <v/>
      </c>
      <c r="BO227" s="108" t="str">
        <f aca="false">IF(ISBLANK($C227),"",BC227)</f>
        <v/>
      </c>
      <c r="BP227" s="111" t="str">
        <f aca="false">IF($BG227&gt;$BF$7,"",VLOOKUP($BG227,$BI$8:$BO$507,7,FALSE()))</f>
        <v/>
      </c>
      <c r="BQ227" s="112" t="str">
        <f aca="false">IF($BG227&gt;$BF$7,"",VLOOKUP($BG227,$BI$8:$BO$507,2,FALSE()))</f>
        <v/>
      </c>
      <c r="BR227" s="112" t="str">
        <f aca="false">IF($BG227&gt;$BF$7,"",VLOOKUP($BG227,$BI$8:$BO$507,3,FALSE()))</f>
        <v/>
      </c>
      <c r="BS227" s="112" t="str">
        <f aca="false">IF($BG227&gt;$BF$7,"",VLOOKUP($BG227,$BI$8:$BO$507,4,FALSE()))</f>
        <v/>
      </c>
      <c r="BT227" s="112" t="str">
        <f aca="false">IF($BG227&gt;$BF$7,"",VLOOKUP($BG227,$BI$8:$BO$507,5,FALSE()))</f>
        <v/>
      </c>
      <c r="BU227" s="113" t="str">
        <f aca="false">IF($BG227&gt;$BF$7,"",VLOOKUP($BG227,$BI$8:$BO$507,6,FALSE()))</f>
        <v/>
      </c>
      <c r="BV227" s="54"/>
    </row>
    <row r="228" customFormat="false" ht="15.75" hidden="false" customHeight="false" outlineLevel="0" collapsed="false">
      <c r="A228" s="5"/>
      <c r="B228" s="128"/>
      <c r="C228" s="129"/>
      <c r="D228" s="114"/>
      <c r="E228" s="134"/>
      <c r="F228" s="139"/>
      <c r="G228" s="93"/>
      <c r="H228" s="140"/>
      <c r="I228" s="95"/>
      <c r="J228" s="95"/>
      <c r="K228" s="93"/>
      <c r="L228" s="141"/>
      <c r="M228" s="95"/>
      <c r="N228" s="95"/>
      <c r="O228" s="93"/>
      <c r="P228" s="134"/>
      <c r="Q228" s="98"/>
      <c r="R228" s="99" t="str">
        <f aca="false">IF(ISBLANK($C228),"",IF(E228=Constants!$B$2, TRUE(), IF(E228=Constants!$B$3, FALSE(), TRUE())))</f>
        <v/>
      </c>
      <c r="S228" s="99" t="str">
        <f aca="false">IF(ISBLANK($C228),"",IF(F228=Constants!$B$2, TRUE(), IF(F228=Constants!$B$3, FALSE(), TRUE())))</f>
        <v/>
      </c>
      <c r="T228" s="99" t="str">
        <f aca="false">IF(ISBLANK($C228),"",IF(G228=Constants!$B$16,Constants!$B$9,IF(G228=Constants!$B$17,Constants!$B$10,Constants!$B$8)))</f>
        <v/>
      </c>
      <c r="U228" s="99" t="str">
        <f aca="false">IF(ISBLANK($C228),"",IF(H228=Constants!$B$19,Constants!$B$19,Constants!$B$18))</f>
        <v/>
      </c>
      <c r="V228" s="99" t="str">
        <f aca="false">IF(ISBLANK($C228),"",IF(ISNUMBER(I228),IF(I228&gt;=0,I228,""),""))</f>
        <v/>
      </c>
      <c r="W228" s="99" t="str">
        <f aca="false">IF(ISBLANK($C228),"",IF(J228=Constants!$B$2, TRUE(), IF(J228=Constants!$B$3, FALSE(), TRUE())))</f>
        <v/>
      </c>
      <c r="X228" s="99" t="str">
        <f aca="false">IF(ISBLANK($C228),"",IF(K228=Constants!$B$2, TRUE(), IF(K228=Constants!$B$3, FALSE(), TRUE())))</f>
        <v/>
      </c>
      <c r="Y228" s="99" t="str">
        <f aca="false">IF(ISBLANK($C228),"",IF(L228=Constants!$B$19,Constants!$B$19,Constants!$B$18))</f>
        <v/>
      </c>
      <c r="Z228" s="99" t="str">
        <f aca="false">IF(ISBLANK($C228),"",IF(ISNUMBER(M228),IF(M228&gt;=0,M228,""),""))</f>
        <v/>
      </c>
      <c r="AA228" s="99" t="str">
        <f aca="false">IF(ISBLANK($C228),"",IF(N228=Constants!$B$2, TRUE(), IF(N228=Constants!$B$3, FALSE(), TRUE())))</f>
        <v/>
      </c>
      <c r="AB228" s="99" t="str">
        <f aca="false">IF(ISBLANK($C228),"",IF(O228=Constants!$B$2, TRUE(), IF(O228=Constants!$B$3, FALSE(), TRUE())))</f>
        <v/>
      </c>
      <c r="AC228" s="99" t="str">
        <f aca="false">IF(ISBLANK($C228),"",IF(P228=Constants!$B$2, TRUE(), IF(P228=Constants!$B$3, FALSE(), FALSE())))</f>
        <v/>
      </c>
      <c r="AD228" s="99" t="str">
        <f aca="false">IF(ISBLANK($C228),"",AND(V228&lt;&gt;"",IF(U228=Constants!$B$19,S228,R228)))</f>
        <v/>
      </c>
      <c r="AE228" s="99" t="str">
        <f aca="false">IF(ISBLANK($C228),"",AND(Z228&lt;&gt;"",IF(Y228=Constants!$B$19,S228,R228)))</f>
        <v/>
      </c>
      <c r="AF228" s="99" t="str">
        <f aca="false">IF(ISBLANK($C228),"",IF(AC228,Constants!$B$4,IF(COUNTA(E228:O228)=0,Constants!$B$5,IF(AND(NOT(AD228),NOT(AE228)),Constants!$B$6,Constants!$B$7))))</f>
        <v/>
      </c>
      <c r="AG228" s="99" t="str">
        <f aca="false">IF(ISBLANK($C228),"",IF($AF228&lt;&gt;Constants!$B$7,$AF228,Constants!$B$20))</f>
        <v/>
      </c>
      <c r="AH228" s="99" t="str">
        <f aca="false">IF($AF228=Constants!$B$7,IF(AD228,V228,Constants!$B$13),"")</f>
        <v/>
      </c>
      <c r="AI228" s="99" t="str">
        <f aca="false">IF($AF228=Constants!$B$7,IF(AD228,T228*IF(W228, 1, Constants!$B$11)*IF(X228, 1, Constants!$B$12),Constants!$B$13),"")</f>
        <v/>
      </c>
      <c r="AJ228" s="99" t="str">
        <f aca="false">IF($AF228=Constants!$B$7,AH228*AI228,"")</f>
        <v/>
      </c>
      <c r="AK228" s="99" t="str">
        <f aca="false">IF($AF228=Constants!$B$7,IF(AE228,Z228,Constants!$B$13),"")</f>
        <v/>
      </c>
      <c r="AL228" s="99" t="str">
        <f aca="false">IF($AF228=Constants!$B$7,IF(AE228,T228*IF(AA228, 1, Constants!$B$11)*IF(AB228, 1, Constants!$B$12),Constants!$B$13),"")</f>
        <v/>
      </c>
      <c r="AM228" s="99" t="str">
        <f aca="false">IF($AF228=Constants!$B$7,AK228*AL228,"")</f>
        <v/>
      </c>
      <c r="AN228" s="99" t="str">
        <f aca="false">IF($AF228=Constants!$B$7,IF(AM228&gt;AJ228,2,1),"")</f>
        <v/>
      </c>
      <c r="AO228" s="99" t="str">
        <f aca="false">IF($AF228=Constants!$B$7,IF(AN228=1,2,1),"")</f>
        <v/>
      </c>
      <c r="AP228" s="99" t="str">
        <f aca="false">IF(ISBLANK($C228),"",IF($AF228&lt;&gt;Constants!$B$7,$AF228,IF(AN228=1,AJ228,AM228)))</f>
        <v/>
      </c>
      <c r="AQ228" s="99" t="str">
        <f aca="false">IF(ISBLANK($C228),"",IF($AF228=Constants!$B$7,IF(ISNUMBER(AP228),RANK(AP228,$AP$8:$AP$507),Constants!$B$14),$AF228))</f>
        <v/>
      </c>
      <c r="AR228" s="99" t="str">
        <f aca="false">IF(ISBLANK($C228),"",IF($AF228=Constants!$B$7,IF(AO228=1,AJ228,AM228),""))</f>
        <v/>
      </c>
      <c r="AS228" s="99" t="str">
        <f aca="false">IF(ISBLANK($C228),"",IF($AF228=Constants!$B$7,RANK(AR228,$AR$8:$AR$507),$AF228))</f>
        <v/>
      </c>
      <c r="AT228" s="99" t="str">
        <f aca="false">IF(ISBLANK($C228),"",IF($AF228=Constants!$B$7,IF(ISNUMBER(AQ228),COUNTIFS($AQ$8:$AQ$507,"&lt;"&amp;$AQ228)+COUNTIFS($AQ$8:$AQ$507,$AQ228,$AS$8:$AS$507,"&lt;"&amp;$AS228)+1,Constants!$B$14),$AF228))</f>
        <v/>
      </c>
      <c r="AU228" s="99" t="str">
        <f aca="false">IF(ISBLANK($C228),"",IF($AF228=Constants!$B$7,IF(ISNUMBER(AQ228),AQ228-AT228,Constants!$B$14),$AF228))</f>
        <v/>
      </c>
      <c r="AV228" s="100"/>
      <c r="AW228" s="101" t="str">
        <f aca="false">IF(ISBLANK($C228),"",IF($AF228&lt;&gt;Constants!$B$7,"",AN228))</f>
        <v/>
      </c>
      <c r="AX228" s="102" t="str">
        <f aca="false">IF(ISBLANK($C228),"",IF($AF228&lt;&gt;Constants!$B$7,"",IF(AN228=1,AH228,AK228)))</f>
        <v/>
      </c>
      <c r="AY228" s="103" t="str">
        <f aca="false">IF(ISBLANK($C228),"",IF($AF228&lt;&gt;Constants!$B$7,"",IF(AN228=1,AI228,AL228)))</f>
        <v/>
      </c>
      <c r="AZ228" s="104" t="str">
        <f aca="false">IF(ISBLANK($C228),"",IF($AF228&lt;&gt;Constants!$B$7,$AF228,AP228))</f>
        <v/>
      </c>
      <c r="BA228" s="105" t="str">
        <f aca="false">IF(ISBLANK($C228),"",IF($AF228&lt;&gt;Constants!$B$7,$AF228,AG228))</f>
        <v/>
      </c>
      <c r="BB228" s="106" t="str">
        <f aca="false">IF(ISBLANK($C228),"",AU228)</f>
        <v/>
      </c>
      <c r="BC228" s="106" t="str">
        <f aca="false">IF(ISBLANK($C228),"",AT228)</f>
        <v/>
      </c>
      <c r="BD228" s="107" t="str">
        <f aca="false">IF(ISBLANK($C228),"",IFERROR(_xlfn.SWITCH(BC228,Constants!$B$4,COUNTA($C$8:$C$507)+2,Constants!$B$5,COUNTA($C$8:$C$507)+1,Constants!$B$6,COUNTA($C$8:$C$507)),BC228))</f>
        <v/>
      </c>
      <c r="BE228" s="5"/>
      <c r="BF228" s="108" t="n">
        <f aca="false">IF(OR(ISNUMBER(BC228),BC228=Constants!$B$4,BC228=Constants!$B$6,BC228=Constants!$B$5),1,0)</f>
        <v>0</v>
      </c>
      <c r="BG228" s="108" t="n">
        <v>221</v>
      </c>
      <c r="BH228" s="108" t="str">
        <f aca="false">IF(ISBLANK($C228),"",IF(ISNUMBER(BD228),BD228+ROW($B228)/1000,""))</f>
        <v/>
      </c>
      <c r="BI228" s="108" t="str">
        <f aca="false">IF(ISNUMBER(BH228),RANK(BH228,$BH$8:$BH$507,1),"")</f>
        <v/>
      </c>
      <c r="BJ228" s="108" t="str">
        <f aca="false">IF(ISBLANK($C228),"",$B228)</f>
        <v/>
      </c>
      <c r="BK228" s="108" t="str">
        <f aca="false">IF(ISBLANK($C228),"",$C228)</f>
        <v/>
      </c>
      <c r="BL228" s="108" t="str">
        <f aca="false">IF(ISBLANK($C228),"",$D228)</f>
        <v/>
      </c>
      <c r="BM228" s="109" t="str">
        <f aca="false">BA228</f>
        <v/>
      </c>
      <c r="BN228" s="110" t="str">
        <f aca="false">AZ228</f>
        <v/>
      </c>
      <c r="BO228" s="108" t="str">
        <f aca="false">IF(ISBLANK($C228),"",BC228)</f>
        <v/>
      </c>
      <c r="BP228" s="111" t="str">
        <f aca="false">IF($BG228&gt;$BF$7,"",VLOOKUP($BG228,$BI$8:$BO$507,7,FALSE()))</f>
        <v/>
      </c>
      <c r="BQ228" s="112" t="str">
        <f aca="false">IF($BG228&gt;$BF$7,"",VLOOKUP($BG228,$BI$8:$BO$507,2,FALSE()))</f>
        <v/>
      </c>
      <c r="BR228" s="112" t="str">
        <f aca="false">IF($BG228&gt;$BF$7,"",VLOOKUP($BG228,$BI$8:$BO$507,3,FALSE()))</f>
        <v/>
      </c>
      <c r="BS228" s="112" t="str">
        <f aca="false">IF($BG228&gt;$BF$7,"",VLOOKUP($BG228,$BI$8:$BO$507,4,FALSE()))</f>
        <v/>
      </c>
      <c r="BT228" s="112" t="str">
        <f aca="false">IF($BG228&gt;$BF$7,"",VLOOKUP($BG228,$BI$8:$BO$507,5,FALSE()))</f>
        <v/>
      </c>
      <c r="BU228" s="113" t="str">
        <f aca="false">IF($BG228&gt;$BF$7,"",VLOOKUP($BG228,$BI$8:$BO$507,6,FALSE()))</f>
        <v/>
      </c>
      <c r="BV228" s="54"/>
    </row>
    <row r="229" customFormat="false" ht="15.75" hidden="false" customHeight="false" outlineLevel="0" collapsed="false">
      <c r="A229" s="5"/>
      <c r="B229" s="128"/>
      <c r="C229" s="129"/>
      <c r="D229" s="114"/>
      <c r="E229" s="134"/>
      <c r="F229" s="139"/>
      <c r="G229" s="93"/>
      <c r="H229" s="140"/>
      <c r="I229" s="95"/>
      <c r="J229" s="95"/>
      <c r="K229" s="93"/>
      <c r="L229" s="141"/>
      <c r="M229" s="95"/>
      <c r="N229" s="95"/>
      <c r="O229" s="93"/>
      <c r="P229" s="134"/>
      <c r="Q229" s="98"/>
      <c r="R229" s="99" t="str">
        <f aca="false">IF(ISBLANK($C229),"",IF(E229=Constants!$B$2, TRUE(), IF(E229=Constants!$B$3, FALSE(), TRUE())))</f>
        <v/>
      </c>
      <c r="S229" s="99" t="str">
        <f aca="false">IF(ISBLANK($C229),"",IF(F229=Constants!$B$2, TRUE(), IF(F229=Constants!$B$3, FALSE(), TRUE())))</f>
        <v/>
      </c>
      <c r="T229" s="99" t="str">
        <f aca="false">IF(ISBLANK($C229),"",IF(G229=Constants!$B$16,Constants!$B$9,IF(G229=Constants!$B$17,Constants!$B$10,Constants!$B$8)))</f>
        <v/>
      </c>
      <c r="U229" s="99" t="str">
        <f aca="false">IF(ISBLANK($C229),"",IF(H229=Constants!$B$19,Constants!$B$19,Constants!$B$18))</f>
        <v/>
      </c>
      <c r="V229" s="99" t="str">
        <f aca="false">IF(ISBLANK($C229),"",IF(ISNUMBER(I229),IF(I229&gt;=0,I229,""),""))</f>
        <v/>
      </c>
      <c r="W229" s="99" t="str">
        <f aca="false">IF(ISBLANK($C229),"",IF(J229=Constants!$B$2, TRUE(), IF(J229=Constants!$B$3, FALSE(), TRUE())))</f>
        <v/>
      </c>
      <c r="X229" s="99" t="str">
        <f aca="false">IF(ISBLANK($C229),"",IF(K229=Constants!$B$2, TRUE(), IF(K229=Constants!$B$3, FALSE(), TRUE())))</f>
        <v/>
      </c>
      <c r="Y229" s="99" t="str">
        <f aca="false">IF(ISBLANK($C229),"",IF(L229=Constants!$B$19,Constants!$B$19,Constants!$B$18))</f>
        <v/>
      </c>
      <c r="Z229" s="99" t="str">
        <f aca="false">IF(ISBLANK($C229),"",IF(ISNUMBER(M229),IF(M229&gt;=0,M229,""),""))</f>
        <v/>
      </c>
      <c r="AA229" s="99" t="str">
        <f aca="false">IF(ISBLANK($C229),"",IF(N229=Constants!$B$2, TRUE(), IF(N229=Constants!$B$3, FALSE(), TRUE())))</f>
        <v/>
      </c>
      <c r="AB229" s="99" t="str">
        <f aca="false">IF(ISBLANK($C229),"",IF(O229=Constants!$B$2, TRUE(), IF(O229=Constants!$B$3, FALSE(), TRUE())))</f>
        <v/>
      </c>
      <c r="AC229" s="99" t="str">
        <f aca="false">IF(ISBLANK($C229),"",IF(P229=Constants!$B$2, TRUE(), IF(P229=Constants!$B$3, FALSE(), FALSE())))</f>
        <v/>
      </c>
      <c r="AD229" s="99" t="str">
        <f aca="false">IF(ISBLANK($C229),"",AND(V229&lt;&gt;"",IF(U229=Constants!$B$19,S229,R229)))</f>
        <v/>
      </c>
      <c r="AE229" s="99" t="str">
        <f aca="false">IF(ISBLANK($C229),"",AND(Z229&lt;&gt;"",IF(Y229=Constants!$B$19,S229,R229)))</f>
        <v/>
      </c>
      <c r="AF229" s="99" t="str">
        <f aca="false">IF(ISBLANK($C229),"",IF(AC229,Constants!$B$4,IF(COUNTA(E229:O229)=0,Constants!$B$5,IF(AND(NOT(AD229),NOT(AE229)),Constants!$B$6,Constants!$B$7))))</f>
        <v/>
      </c>
      <c r="AG229" s="99" t="str">
        <f aca="false">IF(ISBLANK($C229),"",IF($AF229&lt;&gt;Constants!$B$7,$AF229,Constants!$B$20))</f>
        <v/>
      </c>
      <c r="AH229" s="99" t="str">
        <f aca="false">IF($AF229=Constants!$B$7,IF(AD229,V229,Constants!$B$13),"")</f>
        <v/>
      </c>
      <c r="AI229" s="99" t="str">
        <f aca="false">IF($AF229=Constants!$B$7,IF(AD229,T229*IF(W229, 1, Constants!$B$11)*IF(X229, 1, Constants!$B$12),Constants!$B$13),"")</f>
        <v/>
      </c>
      <c r="AJ229" s="99" t="str">
        <f aca="false">IF($AF229=Constants!$B$7,AH229*AI229,"")</f>
        <v/>
      </c>
      <c r="AK229" s="99" t="str">
        <f aca="false">IF($AF229=Constants!$B$7,IF(AE229,Z229,Constants!$B$13),"")</f>
        <v/>
      </c>
      <c r="AL229" s="99" t="str">
        <f aca="false">IF($AF229=Constants!$B$7,IF(AE229,T229*IF(AA229, 1, Constants!$B$11)*IF(AB229, 1, Constants!$B$12),Constants!$B$13),"")</f>
        <v/>
      </c>
      <c r="AM229" s="99" t="str">
        <f aca="false">IF($AF229=Constants!$B$7,AK229*AL229,"")</f>
        <v/>
      </c>
      <c r="AN229" s="99" t="str">
        <f aca="false">IF($AF229=Constants!$B$7,IF(AM229&gt;AJ229,2,1),"")</f>
        <v/>
      </c>
      <c r="AO229" s="99" t="str">
        <f aca="false">IF($AF229=Constants!$B$7,IF(AN229=1,2,1),"")</f>
        <v/>
      </c>
      <c r="AP229" s="99" t="str">
        <f aca="false">IF(ISBLANK($C229),"",IF($AF229&lt;&gt;Constants!$B$7,$AF229,IF(AN229=1,AJ229,AM229)))</f>
        <v/>
      </c>
      <c r="AQ229" s="99" t="str">
        <f aca="false">IF(ISBLANK($C229),"",IF($AF229=Constants!$B$7,IF(ISNUMBER(AP229),RANK(AP229,$AP$8:$AP$507),Constants!$B$14),$AF229))</f>
        <v/>
      </c>
      <c r="AR229" s="99" t="str">
        <f aca="false">IF(ISBLANK($C229),"",IF($AF229=Constants!$B$7,IF(AO229=1,AJ229,AM229),""))</f>
        <v/>
      </c>
      <c r="AS229" s="99" t="str">
        <f aca="false">IF(ISBLANK($C229),"",IF($AF229=Constants!$B$7,RANK(AR229,$AR$8:$AR$507),$AF229))</f>
        <v/>
      </c>
      <c r="AT229" s="99" t="str">
        <f aca="false">IF(ISBLANK($C229),"",IF($AF229=Constants!$B$7,IF(ISNUMBER(AQ229),COUNTIFS($AQ$8:$AQ$507,"&lt;"&amp;$AQ229)+COUNTIFS($AQ$8:$AQ$507,$AQ229,$AS$8:$AS$507,"&lt;"&amp;$AS229)+1,Constants!$B$14),$AF229))</f>
        <v/>
      </c>
      <c r="AU229" s="99" t="str">
        <f aca="false">IF(ISBLANK($C229),"",IF($AF229=Constants!$B$7,IF(ISNUMBER(AQ229),AQ229-AT229,Constants!$B$14),$AF229))</f>
        <v/>
      </c>
      <c r="AV229" s="100"/>
      <c r="AW229" s="101" t="str">
        <f aca="false">IF(ISBLANK($C229),"",IF($AF229&lt;&gt;Constants!$B$7,"",AN229))</f>
        <v/>
      </c>
      <c r="AX229" s="102" t="str">
        <f aca="false">IF(ISBLANK($C229),"",IF($AF229&lt;&gt;Constants!$B$7,"",IF(AN229=1,AH229,AK229)))</f>
        <v/>
      </c>
      <c r="AY229" s="103" t="str">
        <f aca="false">IF(ISBLANK($C229),"",IF($AF229&lt;&gt;Constants!$B$7,"",IF(AN229=1,AI229,AL229)))</f>
        <v/>
      </c>
      <c r="AZ229" s="104" t="str">
        <f aca="false">IF(ISBLANK($C229),"",IF($AF229&lt;&gt;Constants!$B$7,$AF229,AP229))</f>
        <v/>
      </c>
      <c r="BA229" s="105" t="str">
        <f aca="false">IF(ISBLANK($C229),"",IF($AF229&lt;&gt;Constants!$B$7,$AF229,AG229))</f>
        <v/>
      </c>
      <c r="BB229" s="106" t="str">
        <f aca="false">IF(ISBLANK($C229),"",AU229)</f>
        <v/>
      </c>
      <c r="BC229" s="106" t="str">
        <f aca="false">IF(ISBLANK($C229),"",AT229)</f>
        <v/>
      </c>
      <c r="BD229" s="107" t="str">
        <f aca="false">IF(ISBLANK($C229),"",IFERROR(_xlfn.SWITCH(BC229,Constants!$B$4,COUNTA($C$8:$C$507)+2,Constants!$B$5,COUNTA($C$8:$C$507)+1,Constants!$B$6,COUNTA($C$8:$C$507)),BC229))</f>
        <v/>
      </c>
      <c r="BE229" s="5"/>
      <c r="BF229" s="108" t="n">
        <f aca="false">IF(OR(ISNUMBER(BC229),BC229=Constants!$B$4,BC229=Constants!$B$6,BC229=Constants!$B$5),1,0)</f>
        <v>0</v>
      </c>
      <c r="BG229" s="108" t="n">
        <v>222</v>
      </c>
      <c r="BH229" s="108" t="str">
        <f aca="false">IF(ISBLANK($C229),"",IF(ISNUMBER(BD229),BD229+ROW($B229)/1000,""))</f>
        <v/>
      </c>
      <c r="BI229" s="108" t="str">
        <f aca="false">IF(ISNUMBER(BH229),RANK(BH229,$BH$8:$BH$507,1),"")</f>
        <v/>
      </c>
      <c r="BJ229" s="108" t="str">
        <f aca="false">IF(ISBLANK($C229),"",$B229)</f>
        <v/>
      </c>
      <c r="BK229" s="108" t="str">
        <f aca="false">IF(ISBLANK($C229),"",$C229)</f>
        <v/>
      </c>
      <c r="BL229" s="108" t="str">
        <f aca="false">IF(ISBLANK($C229),"",$D229)</f>
        <v/>
      </c>
      <c r="BM229" s="109" t="str">
        <f aca="false">BA229</f>
        <v/>
      </c>
      <c r="BN229" s="110" t="str">
        <f aca="false">AZ229</f>
        <v/>
      </c>
      <c r="BO229" s="108" t="str">
        <f aca="false">IF(ISBLANK($C229),"",BC229)</f>
        <v/>
      </c>
      <c r="BP229" s="111" t="str">
        <f aca="false">IF($BG229&gt;$BF$7,"",VLOOKUP($BG229,$BI$8:$BO$507,7,FALSE()))</f>
        <v/>
      </c>
      <c r="BQ229" s="112" t="str">
        <f aca="false">IF($BG229&gt;$BF$7,"",VLOOKUP($BG229,$BI$8:$BO$507,2,FALSE()))</f>
        <v/>
      </c>
      <c r="BR229" s="112" t="str">
        <f aca="false">IF($BG229&gt;$BF$7,"",VLOOKUP($BG229,$BI$8:$BO$507,3,FALSE()))</f>
        <v/>
      </c>
      <c r="BS229" s="112" t="str">
        <f aca="false">IF($BG229&gt;$BF$7,"",VLOOKUP($BG229,$BI$8:$BO$507,4,FALSE()))</f>
        <v/>
      </c>
      <c r="BT229" s="112" t="str">
        <f aca="false">IF($BG229&gt;$BF$7,"",VLOOKUP($BG229,$BI$8:$BO$507,5,FALSE()))</f>
        <v/>
      </c>
      <c r="BU229" s="113" t="str">
        <f aca="false">IF($BG229&gt;$BF$7,"",VLOOKUP($BG229,$BI$8:$BO$507,6,FALSE()))</f>
        <v/>
      </c>
      <c r="BV229" s="54"/>
    </row>
    <row r="230" customFormat="false" ht="15.75" hidden="false" customHeight="false" outlineLevel="0" collapsed="false">
      <c r="A230" s="5"/>
      <c r="B230" s="135"/>
      <c r="C230" s="56"/>
      <c r="D230" s="57"/>
      <c r="E230" s="84"/>
      <c r="F230" s="136"/>
      <c r="G230" s="60"/>
      <c r="H230" s="137"/>
      <c r="I230" s="62"/>
      <c r="J230" s="62"/>
      <c r="K230" s="60"/>
      <c r="L230" s="138"/>
      <c r="M230" s="62"/>
      <c r="N230" s="62"/>
      <c r="O230" s="60"/>
      <c r="P230" s="84"/>
      <c r="Q230" s="65"/>
      <c r="R230" s="67" t="str">
        <f aca="false">IF(ISBLANK($C230),"",IF(E230=Constants!$B$2, TRUE(), IF(E230=Constants!$B$3, FALSE(), TRUE())))</f>
        <v/>
      </c>
      <c r="S230" s="67" t="str">
        <f aca="false">IF(ISBLANK($C230),"",IF(F230=Constants!$B$2, TRUE(), IF(F230=Constants!$B$3, FALSE(), TRUE())))</f>
        <v/>
      </c>
      <c r="T230" s="67" t="str">
        <f aca="false">IF(ISBLANK($C230),"",IF(G230=Constants!$B$16,Constants!$B$9,IF(G230=Constants!$B$17,Constants!$B$10,Constants!$B$8)))</f>
        <v/>
      </c>
      <c r="U230" s="67" t="str">
        <f aca="false">IF(ISBLANK($C230),"",IF(H230=Constants!$B$19,Constants!$B$19,Constants!$B$18))</f>
        <v/>
      </c>
      <c r="V230" s="67" t="str">
        <f aca="false">IF(ISBLANK($C230),"",IF(ISNUMBER(I230),IF(I230&gt;=0,I230,""),""))</f>
        <v/>
      </c>
      <c r="W230" s="67" t="str">
        <f aca="false">IF(ISBLANK($C230),"",IF(J230=Constants!$B$2, TRUE(), IF(J230=Constants!$B$3, FALSE(), TRUE())))</f>
        <v/>
      </c>
      <c r="X230" s="67" t="str">
        <f aca="false">IF(ISBLANK($C230),"",IF(K230=Constants!$B$2, TRUE(), IF(K230=Constants!$B$3, FALSE(), TRUE())))</f>
        <v/>
      </c>
      <c r="Y230" s="67" t="str">
        <f aca="false">IF(ISBLANK($C230),"",IF(L230=Constants!$B$19,Constants!$B$19,Constants!$B$18))</f>
        <v/>
      </c>
      <c r="Z230" s="67" t="str">
        <f aca="false">IF(ISBLANK($C230),"",IF(ISNUMBER(M230),IF(M230&gt;=0,M230,""),""))</f>
        <v/>
      </c>
      <c r="AA230" s="67" t="str">
        <f aca="false">IF(ISBLANK($C230),"",IF(N230=Constants!$B$2, TRUE(), IF(N230=Constants!$B$3, FALSE(), TRUE())))</f>
        <v/>
      </c>
      <c r="AB230" s="67" t="str">
        <f aca="false">IF(ISBLANK($C230),"",IF(O230=Constants!$B$2, TRUE(), IF(O230=Constants!$B$3, FALSE(), TRUE())))</f>
        <v/>
      </c>
      <c r="AC230" s="67" t="str">
        <f aca="false">IF(ISBLANK($C230),"",IF(P230=Constants!$B$2, TRUE(), IF(P230=Constants!$B$3, FALSE(), FALSE())))</f>
        <v/>
      </c>
      <c r="AD230" s="67" t="str">
        <f aca="false">IF(ISBLANK($C230),"",AND(V230&lt;&gt;"",IF(U230=Constants!$B$19,S230,R230)))</f>
        <v/>
      </c>
      <c r="AE230" s="67" t="str">
        <f aca="false">IF(ISBLANK($C230),"",AND(Z230&lt;&gt;"",IF(Y230=Constants!$B$19,S230,R230)))</f>
        <v/>
      </c>
      <c r="AF230" s="67" t="str">
        <f aca="false">IF(ISBLANK($C230),"",IF(AC230,Constants!$B$4,IF(COUNTA(E230:O230)=0,Constants!$B$5,IF(AND(NOT(AD230),NOT(AE230)),Constants!$B$6,Constants!$B$7))))</f>
        <v/>
      </c>
      <c r="AG230" s="67" t="str">
        <f aca="false">IF(ISBLANK($C230),"",IF($AF230&lt;&gt;Constants!$B$7,$AF230,Constants!$B$20))</f>
        <v/>
      </c>
      <c r="AH230" s="67" t="str">
        <f aca="false">IF($AF230=Constants!$B$7,IF(AD230,V230,Constants!$B$13),"")</f>
        <v/>
      </c>
      <c r="AI230" s="67" t="str">
        <f aca="false">IF($AF230=Constants!$B$7,IF(AD230,T230*IF(W230, 1, Constants!$B$11)*IF(X230, 1, Constants!$B$12),Constants!$B$13),"")</f>
        <v/>
      </c>
      <c r="AJ230" s="67" t="str">
        <f aca="false">IF($AF230=Constants!$B$7,AH230*AI230,"")</f>
        <v/>
      </c>
      <c r="AK230" s="67" t="str">
        <f aca="false">IF($AF230=Constants!$B$7,IF(AE230,Z230,Constants!$B$13),"")</f>
        <v/>
      </c>
      <c r="AL230" s="67" t="str">
        <f aca="false">IF($AF230=Constants!$B$7,IF(AE230,T230*IF(AA230, 1, Constants!$B$11)*IF(AB230, 1, Constants!$B$12),Constants!$B$13),"")</f>
        <v/>
      </c>
      <c r="AM230" s="67" t="str">
        <f aca="false">IF($AF230=Constants!$B$7,AK230*AL230,"")</f>
        <v/>
      </c>
      <c r="AN230" s="67" t="str">
        <f aca="false">IF($AF230=Constants!$B$7,IF(AM230&gt;AJ230,2,1),"")</f>
        <v/>
      </c>
      <c r="AO230" s="67" t="str">
        <f aca="false">IF($AF230=Constants!$B$7,IF(AN230=1,2,1),"")</f>
        <v/>
      </c>
      <c r="AP230" s="67" t="str">
        <f aca="false">IF(ISBLANK($C230),"",IF($AF230&lt;&gt;Constants!$B$7,$AF230,IF(AN230=1,AJ230,AM230)))</f>
        <v/>
      </c>
      <c r="AQ230" s="67" t="str">
        <f aca="false">IF(ISBLANK($C230),"",IF($AF230=Constants!$B$7,IF(ISNUMBER(AP230),RANK(AP230,$AP$8:$AP$507),Constants!$B$14),$AF230))</f>
        <v/>
      </c>
      <c r="AR230" s="67" t="str">
        <f aca="false">IF(ISBLANK($C230),"",IF($AF230=Constants!$B$7,IF(AO230=1,AJ230,AM230),""))</f>
        <v/>
      </c>
      <c r="AS230" s="67" t="str">
        <f aca="false">IF(ISBLANK($C230),"",IF($AF230=Constants!$B$7,RANK(AR230,$AR$8:$AR$507),$AF230))</f>
        <v/>
      </c>
      <c r="AT230" s="67" t="str">
        <f aca="false">IF(ISBLANK($C230),"",IF($AF230=Constants!$B$7,IF(ISNUMBER(AQ230),COUNTIFS($AQ$8:$AQ$507,"&lt;"&amp;$AQ230)+COUNTIFS($AQ$8:$AQ$507,$AQ230,$AS$8:$AS$507,"&lt;"&amp;$AS230)+1,Constants!$B$14),$AF230))</f>
        <v/>
      </c>
      <c r="AU230" s="67" t="str">
        <f aca="false">IF(ISBLANK($C230),"",IF($AF230=Constants!$B$7,IF(ISNUMBER(AQ230),AQ230-AT230,Constants!$B$14),$AF230))</f>
        <v/>
      </c>
      <c r="AV230" s="69"/>
      <c r="AW230" s="70" t="str">
        <f aca="false">IF(ISBLANK($C230),"",IF($AF230&lt;&gt;Constants!$B$7,"",AN230))</f>
        <v/>
      </c>
      <c r="AX230" s="85" t="str">
        <f aca="false">IF(ISBLANK($C230),"",IF($AF230&lt;&gt;Constants!$B$7,"",IF(AN230=1,AH230,AK230)))</f>
        <v/>
      </c>
      <c r="AY230" s="72" t="str">
        <f aca="false">IF(ISBLANK($C230),"",IF($AF230&lt;&gt;Constants!$B$7,"",IF(AN230=1,AI230,AL230)))</f>
        <v/>
      </c>
      <c r="AZ230" s="73" t="str">
        <f aca="false">IF(ISBLANK($C230),"",IF($AF230&lt;&gt;Constants!$B$7,$AF230,AP230))</f>
        <v/>
      </c>
      <c r="BA230" s="74" t="str">
        <f aca="false">IF(ISBLANK($C230),"",IF($AF230&lt;&gt;Constants!$B$7,$AF230,AG230))</f>
        <v/>
      </c>
      <c r="BB230" s="75" t="str">
        <f aca="false">IF(ISBLANK($C230),"",AU230)</f>
        <v/>
      </c>
      <c r="BC230" s="75" t="str">
        <f aca="false">IF(ISBLANK($C230),"",AT230)</f>
        <v/>
      </c>
      <c r="BD230" s="76" t="str">
        <f aca="false">IF(ISBLANK($C230),"",IFERROR(_xlfn.SWITCH(BC230,Constants!$B$4,COUNTA($C$8:$C$507)+2,Constants!$B$5,COUNTA($C$8:$C$507)+1,Constants!$B$6,COUNTA($C$8:$C$507)),BC230))</f>
        <v/>
      </c>
      <c r="BE230" s="5"/>
      <c r="BF230" s="77" t="n">
        <f aca="false">IF(OR(ISNUMBER(BC230),BC230=Constants!$B$4,BC230=Constants!$B$6,BC230=Constants!$B$5),1,0)</f>
        <v>0</v>
      </c>
      <c r="BG230" s="77" t="n">
        <v>223</v>
      </c>
      <c r="BH230" s="77" t="str">
        <f aca="false">IF(ISBLANK($C230),"",IF(ISNUMBER(BD230),BD230+ROW($B230)/1000,""))</f>
        <v/>
      </c>
      <c r="BI230" s="77" t="str">
        <f aca="false">IF(ISNUMBER(BH230),RANK(BH230,$BH$8:$BH$507,1),"")</f>
        <v/>
      </c>
      <c r="BJ230" s="77" t="str">
        <f aca="false">IF(ISBLANK($C230),"",$B230)</f>
        <v/>
      </c>
      <c r="BK230" s="77" t="str">
        <f aca="false">IF(ISBLANK($C230),"",$C230)</f>
        <v/>
      </c>
      <c r="BL230" s="77" t="str">
        <f aca="false">IF(ISBLANK($C230),"",$D230)</f>
        <v/>
      </c>
      <c r="BM230" s="78" t="str">
        <f aca="false">BA230</f>
        <v/>
      </c>
      <c r="BN230" s="79" t="str">
        <f aca="false">AZ230</f>
        <v/>
      </c>
      <c r="BO230" s="77" t="str">
        <f aca="false">IF(ISBLANK($C230),"",BC230)</f>
        <v/>
      </c>
      <c r="BP230" s="80" t="str">
        <f aca="false">IF($BG230&gt;$BF$7,"",VLOOKUP($BG230,$BI$8:$BO$507,7,FALSE()))</f>
        <v/>
      </c>
      <c r="BQ230" s="81" t="str">
        <f aca="false">IF($BG230&gt;$BF$7,"",VLOOKUP($BG230,$BI$8:$BO$507,2,FALSE()))</f>
        <v/>
      </c>
      <c r="BR230" s="81" t="str">
        <f aca="false">IF($BG230&gt;$BF$7,"",VLOOKUP($BG230,$BI$8:$BO$507,3,FALSE()))</f>
        <v/>
      </c>
      <c r="BS230" s="81" t="str">
        <f aca="false">IF($BG230&gt;$BF$7,"",VLOOKUP($BG230,$BI$8:$BO$507,4,FALSE()))</f>
        <v/>
      </c>
      <c r="BT230" s="81" t="str">
        <f aca="false">IF($BG230&gt;$BF$7,"",VLOOKUP($BG230,$BI$8:$BO$507,5,FALSE()))</f>
        <v/>
      </c>
      <c r="BU230" s="82" t="str">
        <f aca="false">IF($BG230&gt;$BF$7,"",VLOOKUP($BG230,$BI$8:$BO$507,6,FALSE()))</f>
        <v/>
      </c>
      <c r="BV230" s="54"/>
    </row>
    <row r="231" customFormat="false" ht="15.75" hidden="false" customHeight="false" outlineLevel="0" collapsed="false">
      <c r="A231" s="5"/>
      <c r="B231" s="135"/>
      <c r="C231" s="56"/>
      <c r="D231" s="57"/>
      <c r="E231" s="84"/>
      <c r="F231" s="136"/>
      <c r="G231" s="60"/>
      <c r="H231" s="137"/>
      <c r="I231" s="62"/>
      <c r="J231" s="62"/>
      <c r="K231" s="60"/>
      <c r="L231" s="138"/>
      <c r="M231" s="62"/>
      <c r="N231" s="62"/>
      <c r="O231" s="60"/>
      <c r="P231" s="84"/>
      <c r="Q231" s="65"/>
      <c r="R231" s="67" t="str">
        <f aca="false">IF(ISBLANK($C231),"",IF(E231=Constants!$B$2, TRUE(), IF(E231=Constants!$B$3, FALSE(), TRUE())))</f>
        <v/>
      </c>
      <c r="S231" s="67" t="str">
        <f aca="false">IF(ISBLANK($C231),"",IF(F231=Constants!$B$2, TRUE(), IF(F231=Constants!$B$3, FALSE(), TRUE())))</f>
        <v/>
      </c>
      <c r="T231" s="67" t="str">
        <f aca="false">IF(ISBLANK($C231),"",IF(G231=Constants!$B$16,Constants!$B$9,IF(G231=Constants!$B$17,Constants!$B$10,Constants!$B$8)))</f>
        <v/>
      </c>
      <c r="U231" s="67" t="str">
        <f aca="false">IF(ISBLANK($C231),"",IF(H231=Constants!$B$19,Constants!$B$19,Constants!$B$18))</f>
        <v/>
      </c>
      <c r="V231" s="67" t="str">
        <f aca="false">IF(ISBLANK($C231),"",IF(ISNUMBER(I231),IF(I231&gt;=0,I231,""),""))</f>
        <v/>
      </c>
      <c r="W231" s="67" t="str">
        <f aca="false">IF(ISBLANK($C231),"",IF(J231=Constants!$B$2, TRUE(), IF(J231=Constants!$B$3, FALSE(), TRUE())))</f>
        <v/>
      </c>
      <c r="X231" s="67" t="str">
        <f aca="false">IF(ISBLANK($C231),"",IF(K231=Constants!$B$2, TRUE(), IF(K231=Constants!$B$3, FALSE(), TRUE())))</f>
        <v/>
      </c>
      <c r="Y231" s="67" t="str">
        <f aca="false">IF(ISBLANK($C231),"",IF(L231=Constants!$B$19,Constants!$B$19,Constants!$B$18))</f>
        <v/>
      </c>
      <c r="Z231" s="67" t="str">
        <f aca="false">IF(ISBLANK($C231),"",IF(ISNUMBER(M231),IF(M231&gt;=0,M231,""),""))</f>
        <v/>
      </c>
      <c r="AA231" s="67" t="str">
        <f aca="false">IF(ISBLANK($C231),"",IF(N231=Constants!$B$2, TRUE(), IF(N231=Constants!$B$3, FALSE(), TRUE())))</f>
        <v/>
      </c>
      <c r="AB231" s="67" t="str">
        <f aca="false">IF(ISBLANK($C231),"",IF(O231=Constants!$B$2, TRUE(), IF(O231=Constants!$B$3, FALSE(), TRUE())))</f>
        <v/>
      </c>
      <c r="AC231" s="67" t="str">
        <f aca="false">IF(ISBLANK($C231),"",IF(P231=Constants!$B$2, TRUE(), IF(P231=Constants!$B$3, FALSE(), FALSE())))</f>
        <v/>
      </c>
      <c r="AD231" s="67" t="str">
        <f aca="false">IF(ISBLANK($C231),"",AND(V231&lt;&gt;"",IF(U231=Constants!$B$19,S231,R231)))</f>
        <v/>
      </c>
      <c r="AE231" s="67" t="str">
        <f aca="false">IF(ISBLANK($C231),"",AND(Z231&lt;&gt;"",IF(Y231=Constants!$B$19,S231,R231)))</f>
        <v/>
      </c>
      <c r="AF231" s="67" t="str">
        <f aca="false">IF(ISBLANK($C231),"",IF(AC231,Constants!$B$4,IF(COUNTA(E231:O231)=0,Constants!$B$5,IF(AND(NOT(AD231),NOT(AE231)),Constants!$B$6,Constants!$B$7))))</f>
        <v/>
      </c>
      <c r="AG231" s="67" t="str">
        <f aca="false">IF(ISBLANK($C231),"",IF($AF231&lt;&gt;Constants!$B$7,$AF231,Constants!$B$20))</f>
        <v/>
      </c>
      <c r="AH231" s="67" t="str">
        <f aca="false">IF($AF231=Constants!$B$7,IF(AD231,V231,Constants!$B$13),"")</f>
        <v/>
      </c>
      <c r="AI231" s="67" t="str">
        <f aca="false">IF($AF231=Constants!$B$7,IF(AD231,T231*IF(W231, 1, Constants!$B$11)*IF(X231, 1, Constants!$B$12),Constants!$B$13),"")</f>
        <v/>
      </c>
      <c r="AJ231" s="67" t="str">
        <f aca="false">IF($AF231=Constants!$B$7,AH231*AI231,"")</f>
        <v/>
      </c>
      <c r="AK231" s="67" t="str">
        <f aca="false">IF($AF231=Constants!$B$7,IF(AE231,Z231,Constants!$B$13),"")</f>
        <v/>
      </c>
      <c r="AL231" s="67" t="str">
        <f aca="false">IF($AF231=Constants!$B$7,IF(AE231,T231*IF(AA231, 1, Constants!$B$11)*IF(AB231, 1, Constants!$B$12),Constants!$B$13),"")</f>
        <v/>
      </c>
      <c r="AM231" s="67" t="str">
        <f aca="false">IF($AF231=Constants!$B$7,AK231*AL231,"")</f>
        <v/>
      </c>
      <c r="AN231" s="67" t="str">
        <f aca="false">IF($AF231=Constants!$B$7,IF(AM231&gt;AJ231,2,1),"")</f>
        <v/>
      </c>
      <c r="AO231" s="67" t="str">
        <f aca="false">IF($AF231=Constants!$B$7,IF(AN231=1,2,1),"")</f>
        <v/>
      </c>
      <c r="AP231" s="67" t="str">
        <f aca="false">IF(ISBLANK($C231),"",IF($AF231&lt;&gt;Constants!$B$7,$AF231,IF(AN231=1,AJ231,AM231)))</f>
        <v/>
      </c>
      <c r="AQ231" s="67" t="str">
        <f aca="false">IF(ISBLANK($C231),"",IF($AF231=Constants!$B$7,IF(ISNUMBER(AP231),RANK(AP231,$AP$8:$AP$507),Constants!$B$14),$AF231))</f>
        <v/>
      </c>
      <c r="AR231" s="67" t="str">
        <f aca="false">IF(ISBLANK($C231),"",IF($AF231=Constants!$B$7,IF(AO231=1,AJ231,AM231),""))</f>
        <v/>
      </c>
      <c r="AS231" s="67" t="str">
        <f aca="false">IF(ISBLANK($C231),"",IF($AF231=Constants!$B$7,RANK(AR231,$AR$8:$AR$507),$AF231))</f>
        <v/>
      </c>
      <c r="AT231" s="67" t="str">
        <f aca="false">IF(ISBLANK($C231),"",IF($AF231=Constants!$B$7,IF(ISNUMBER(AQ231),COUNTIFS($AQ$8:$AQ$507,"&lt;"&amp;$AQ231)+COUNTIFS($AQ$8:$AQ$507,$AQ231,$AS$8:$AS$507,"&lt;"&amp;$AS231)+1,Constants!$B$14),$AF231))</f>
        <v/>
      </c>
      <c r="AU231" s="67" t="str">
        <f aca="false">IF(ISBLANK($C231),"",IF($AF231=Constants!$B$7,IF(ISNUMBER(AQ231),AQ231-AT231,Constants!$B$14),$AF231))</f>
        <v/>
      </c>
      <c r="AV231" s="69"/>
      <c r="AW231" s="70" t="str">
        <f aca="false">IF(ISBLANK($C231),"",IF($AF231&lt;&gt;Constants!$B$7,"",AN231))</f>
        <v/>
      </c>
      <c r="AX231" s="85" t="str">
        <f aca="false">IF(ISBLANK($C231),"",IF($AF231&lt;&gt;Constants!$B$7,"",IF(AN231=1,AH231,AK231)))</f>
        <v/>
      </c>
      <c r="AY231" s="72" t="str">
        <f aca="false">IF(ISBLANK($C231),"",IF($AF231&lt;&gt;Constants!$B$7,"",IF(AN231=1,AI231,AL231)))</f>
        <v/>
      </c>
      <c r="AZ231" s="73" t="str">
        <f aca="false">IF(ISBLANK($C231),"",IF($AF231&lt;&gt;Constants!$B$7,$AF231,AP231))</f>
        <v/>
      </c>
      <c r="BA231" s="74" t="str">
        <f aca="false">IF(ISBLANK($C231),"",IF($AF231&lt;&gt;Constants!$B$7,$AF231,AG231))</f>
        <v/>
      </c>
      <c r="BB231" s="75" t="str">
        <f aca="false">IF(ISBLANK($C231),"",AU231)</f>
        <v/>
      </c>
      <c r="BC231" s="75" t="str">
        <f aca="false">IF(ISBLANK($C231),"",AT231)</f>
        <v/>
      </c>
      <c r="BD231" s="76" t="str">
        <f aca="false">IF(ISBLANK($C231),"",IFERROR(_xlfn.SWITCH(BC231,Constants!$B$4,COUNTA($C$8:$C$507)+2,Constants!$B$5,COUNTA($C$8:$C$507)+1,Constants!$B$6,COUNTA($C$8:$C$507)),BC231))</f>
        <v/>
      </c>
      <c r="BE231" s="5"/>
      <c r="BF231" s="77" t="n">
        <f aca="false">IF(OR(ISNUMBER(BC231),BC231=Constants!$B$4,BC231=Constants!$B$6,BC231=Constants!$B$5),1,0)</f>
        <v>0</v>
      </c>
      <c r="BG231" s="77" t="n">
        <v>224</v>
      </c>
      <c r="BH231" s="77" t="str">
        <f aca="false">IF(ISBLANK($C231),"",IF(ISNUMBER(BD231),BD231+ROW($B231)/1000,""))</f>
        <v/>
      </c>
      <c r="BI231" s="77" t="str">
        <f aca="false">IF(ISNUMBER(BH231),RANK(BH231,$BH$8:$BH$507,1),"")</f>
        <v/>
      </c>
      <c r="BJ231" s="77" t="str">
        <f aca="false">IF(ISBLANK($C231),"",$B231)</f>
        <v/>
      </c>
      <c r="BK231" s="77" t="str">
        <f aca="false">IF(ISBLANK($C231),"",$C231)</f>
        <v/>
      </c>
      <c r="BL231" s="77" t="str">
        <f aca="false">IF(ISBLANK($C231),"",$D231)</f>
        <v/>
      </c>
      <c r="BM231" s="78" t="str">
        <f aca="false">BA231</f>
        <v/>
      </c>
      <c r="BN231" s="79" t="str">
        <f aca="false">AZ231</f>
        <v/>
      </c>
      <c r="BO231" s="77" t="str">
        <f aca="false">IF(ISBLANK($C231),"",BC231)</f>
        <v/>
      </c>
      <c r="BP231" s="80" t="str">
        <f aca="false">IF($BG231&gt;$BF$7,"",VLOOKUP($BG231,$BI$8:$BO$507,7,FALSE()))</f>
        <v/>
      </c>
      <c r="BQ231" s="81" t="str">
        <f aca="false">IF($BG231&gt;$BF$7,"",VLOOKUP($BG231,$BI$8:$BO$507,2,FALSE()))</f>
        <v/>
      </c>
      <c r="BR231" s="81" t="str">
        <f aca="false">IF($BG231&gt;$BF$7,"",VLOOKUP($BG231,$BI$8:$BO$507,3,FALSE()))</f>
        <v/>
      </c>
      <c r="BS231" s="81" t="str">
        <f aca="false">IF($BG231&gt;$BF$7,"",VLOOKUP($BG231,$BI$8:$BO$507,4,FALSE()))</f>
        <v/>
      </c>
      <c r="BT231" s="81" t="str">
        <f aca="false">IF($BG231&gt;$BF$7,"",VLOOKUP($BG231,$BI$8:$BO$507,5,FALSE()))</f>
        <v/>
      </c>
      <c r="BU231" s="82" t="str">
        <f aca="false">IF($BG231&gt;$BF$7,"",VLOOKUP($BG231,$BI$8:$BO$507,6,FALSE()))</f>
        <v/>
      </c>
      <c r="BV231" s="54"/>
    </row>
    <row r="232" customFormat="false" ht="15.75" hidden="false" customHeight="false" outlineLevel="0" collapsed="false">
      <c r="A232" s="5"/>
      <c r="B232" s="135"/>
      <c r="C232" s="56"/>
      <c r="D232" s="57"/>
      <c r="E232" s="84"/>
      <c r="F232" s="136"/>
      <c r="G232" s="60"/>
      <c r="H232" s="137"/>
      <c r="I232" s="62"/>
      <c r="J232" s="62"/>
      <c r="K232" s="60"/>
      <c r="L232" s="138"/>
      <c r="M232" s="62"/>
      <c r="N232" s="62"/>
      <c r="O232" s="60"/>
      <c r="P232" s="84"/>
      <c r="Q232" s="65"/>
      <c r="R232" s="67" t="str">
        <f aca="false">IF(ISBLANK($C232),"",IF(E232=Constants!$B$2, TRUE(), IF(E232=Constants!$B$3, FALSE(), TRUE())))</f>
        <v/>
      </c>
      <c r="S232" s="67" t="str">
        <f aca="false">IF(ISBLANK($C232),"",IF(F232=Constants!$B$2, TRUE(), IF(F232=Constants!$B$3, FALSE(), TRUE())))</f>
        <v/>
      </c>
      <c r="T232" s="67" t="str">
        <f aca="false">IF(ISBLANK($C232),"",IF(G232=Constants!$B$16,Constants!$B$9,IF(G232=Constants!$B$17,Constants!$B$10,Constants!$B$8)))</f>
        <v/>
      </c>
      <c r="U232" s="67" t="str">
        <f aca="false">IF(ISBLANK($C232),"",IF(H232=Constants!$B$19,Constants!$B$19,Constants!$B$18))</f>
        <v/>
      </c>
      <c r="V232" s="67" t="str">
        <f aca="false">IF(ISBLANK($C232),"",IF(ISNUMBER(I232),IF(I232&gt;=0,I232,""),""))</f>
        <v/>
      </c>
      <c r="W232" s="67" t="str">
        <f aca="false">IF(ISBLANK($C232),"",IF(J232=Constants!$B$2, TRUE(), IF(J232=Constants!$B$3, FALSE(), TRUE())))</f>
        <v/>
      </c>
      <c r="X232" s="67" t="str">
        <f aca="false">IF(ISBLANK($C232),"",IF(K232=Constants!$B$2, TRUE(), IF(K232=Constants!$B$3, FALSE(), TRUE())))</f>
        <v/>
      </c>
      <c r="Y232" s="67" t="str">
        <f aca="false">IF(ISBLANK($C232),"",IF(L232=Constants!$B$19,Constants!$B$19,Constants!$B$18))</f>
        <v/>
      </c>
      <c r="Z232" s="67" t="str">
        <f aca="false">IF(ISBLANK($C232),"",IF(ISNUMBER(M232),IF(M232&gt;=0,M232,""),""))</f>
        <v/>
      </c>
      <c r="AA232" s="67" t="str">
        <f aca="false">IF(ISBLANK($C232),"",IF(N232=Constants!$B$2, TRUE(), IF(N232=Constants!$B$3, FALSE(), TRUE())))</f>
        <v/>
      </c>
      <c r="AB232" s="67" t="str">
        <f aca="false">IF(ISBLANK($C232),"",IF(O232=Constants!$B$2, TRUE(), IF(O232=Constants!$B$3, FALSE(), TRUE())))</f>
        <v/>
      </c>
      <c r="AC232" s="67" t="str">
        <f aca="false">IF(ISBLANK($C232),"",IF(P232=Constants!$B$2, TRUE(), IF(P232=Constants!$B$3, FALSE(), FALSE())))</f>
        <v/>
      </c>
      <c r="AD232" s="67" t="str">
        <f aca="false">IF(ISBLANK($C232),"",AND(V232&lt;&gt;"",IF(U232=Constants!$B$19,S232,R232)))</f>
        <v/>
      </c>
      <c r="AE232" s="67" t="str">
        <f aca="false">IF(ISBLANK($C232),"",AND(Z232&lt;&gt;"",IF(Y232=Constants!$B$19,S232,R232)))</f>
        <v/>
      </c>
      <c r="AF232" s="67" t="str">
        <f aca="false">IF(ISBLANK($C232),"",IF(AC232,Constants!$B$4,IF(COUNTA(E232:O232)=0,Constants!$B$5,IF(AND(NOT(AD232),NOT(AE232)),Constants!$B$6,Constants!$B$7))))</f>
        <v/>
      </c>
      <c r="AG232" s="67" t="str">
        <f aca="false">IF(ISBLANK($C232),"",IF($AF232&lt;&gt;Constants!$B$7,$AF232,Constants!$B$20))</f>
        <v/>
      </c>
      <c r="AH232" s="67" t="str">
        <f aca="false">IF($AF232=Constants!$B$7,IF(AD232,V232,Constants!$B$13),"")</f>
        <v/>
      </c>
      <c r="AI232" s="67" t="str">
        <f aca="false">IF($AF232=Constants!$B$7,IF(AD232,T232*IF(W232, 1, Constants!$B$11)*IF(X232, 1, Constants!$B$12),Constants!$B$13),"")</f>
        <v/>
      </c>
      <c r="AJ232" s="67" t="str">
        <f aca="false">IF($AF232=Constants!$B$7,AH232*AI232,"")</f>
        <v/>
      </c>
      <c r="AK232" s="67" t="str">
        <f aca="false">IF($AF232=Constants!$B$7,IF(AE232,Z232,Constants!$B$13),"")</f>
        <v/>
      </c>
      <c r="AL232" s="67" t="str">
        <f aca="false">IF($AF232=Constants!$B$7,IF(AE232,T232*IF(AA232, 1, Constants!$B$11)*IF(AB232, 1, Constants!$B$12),Constants!$B$13),"")</f>
        <v/>
      </c>
      <c r="AM232" s="67" t="str">
        <f aca="false">IF($AF232=Constants!$B$7,AK232*AL232,"")</f>
        <v/>
      </c>
      <c r="AN232" s="67" t="str">
        <f aca="false">IF($AF232=Constants!$B$7,IF(AM232&gt;AJ232,2,1),"")</f>
        <v/>
      </c>
      <c r="AO232" s="67" t="str">
        <f aca="false">IF($AF232=Constants!$B$7,IF(AN232=1,2,1),"")</f>
        <v/>
      </c>
      <c r="AP232" s="67" t="str">
        <f aca="false">IF(ISBLANK($C232),"",IF($AF232&lt;&gt;Constants!$B$7,$AF232,IF(AN232=1,AJ232,AM232)))</f>
        <v/>
      </c>
      <c r="AQ232" s="67" t="str">
        <f aca="false">IF(ISBLANK($C232),"",IF($AF232=Constants!$B$7,IF(ISNUMBER(AP232),RANK(AP232,$AP$8:$AP$507),Constants!$B$14),$AF232))</f>
        <v/>
      </c>
      <c r="AR232" s="67" t="str">
        <f aca="false">IF(ISBLANK($C232),"",IF($AF232=Constants!$B$7,IF(AO232=1,AJ232,AM232),""))</f>
        <v/>
      </c>
      <c r="AS232" s="67" t="str">
        <f aca="false">IF(ISBLANK($C232),"",IF($AF232=Constants!$B$7,RANK(AR232,$AR$8:$AR$507),$AF232))</f>
        <v/>
      </c>
      <c r="AT232" s="67" t="str">
        <f aca="false">IF(ISBLANK($C232),"",IF($AF232=Constants!$B$7,IF(ISNUMBER(AQ232),COUNTIFS($AQ$8:$AQ$507,"&lt;"&amp;$AQ232)+COUNTIFS($AQ$8:$AQ$507,$AQ232,$AS$8:$AS$507,"&lt;"&amp;$AS232)+1,Constants!$B$14),$AF232))</f>
        <v/>
      </c>
      <c r="AU232" s="67" t="str">
        <f aca="false">IF(ISBLANK($C232),"",IF($AF232=Constants!$B$7,IF(ISNUMBER(AQ232),AQ232-AT232,Constants!$B$14),$AF232))</f>
        <v/>
      </c>
      <c r="AV232" s="69"/>
      <c r="AW232" s="70" t="str">
        <f aca="false">IF(ISBLANK($C232),"",IF($AF232&lt;&gt;Constants!$B$7,"",AN232))</f>
        <v/>
      </c>
      <c r="AX232" s="85" t="str">
        <f aca="false">IF(ISBLANK($C232),"",IF($AF232&lt;&gt;Constants!$B$7,"",IF(AN232=1,AH232,AK232)))</f>
        <v/>
      </c>
      <c r="AY232" s="72" t="str">
        <f aca="false">IF(ISBLANK($C232),"",IF($AF232&lt;&gt;Constants!$B$7,"",IF(AN232=1,AI232,AL232)))</f>
        <v/>
      </c>
      <c r="AZ232" s="73" t="str">
        <f aca="false">IF(ISBLANK($C232),"",IF($AF232&lt;&gt;Constants!$B$7,$AF232,AP232))</f>
        <v/>
      </c>
      <c r="BA232" s="74" t="str">
        <f aca="false">IF(ISBLANK($C232),"",IF($AF232&lt;&gt;Constants!$B$7,$AF232,AG232))</f>
        <v/>
      </c>
      <c r="BB232" s="75" t="str">
        <f aca="false">IF(ISBLANK($C232),"",AU232)</f>
        <v/>
      </c>
      <c r="BC232" s="75" t="str">
        <f aca="false">IF(ISBLANK($C232),"",AT232)</f>
        <v/>
      </c>
      <c r="BD232" s="76" t="str">
        <f aca="false">IF(ISBLANK($C232),"",IFERROR(_xlfn.SWITCH(BC232,Constants!$B$4,COUNTA($C$8:$C$507)+2,Constants!$B$5,COUNTA($C$8:$C$507)+1,Constants!$B$6,COUNTA($C$8:$C$507)),BC232))</f>
        <v/>
      </c>
      <c r="BE232" s="5"/>
      <c r="BF232" s="77" t="n">
        <f aca="false">IF(OR(ISNUMBER(BC232),BC232=Constants!$B$4,BC232=Constants!$B$6,BC232=Constants!$B$5),1,0)</f>
        <v>0</v>
      </c>
      <c r="BG232" s="77" t="n">
        <v>225</v>
      </c>
      <c r="BH232" s="77" t="str">
        <f aca="false">IF(ISBLANK($C232),"",IF(ISNUMBER(BD232),BD232+ROW($B232)/1000,""))</f>
        <v/>
      </c>
      <c r="BI232" s="77" t="str">
        <f aca="false">IF(ISNUMBER(BH232),RANK(BH232,$BH$8:$BH$507,1),"")</f>
        <v/>
      </c>
      <c r="BJ232" s="77" t="str">
        <f aca="false">IF(ISBLANK($C232),"",$B232)</f>
        <v/>
      </c>
      <c r="BK232" s="77" t="str">
        <f aca="false">IF(ISBLANK($C232),"",$C232)</f>
        <v/>
      </c>
      <c r="BL232" s="77" t="str">
        <f aca="false">IF(ISBLANK($C232),"",$D232)</f>
        <v/>
      </c>
      <c r="BM232" s="78" t="str">
        <f aca="false">BA232</f>
        <v/>
      </c>
      <c r="BN232" s="79" t="str">
        <f aca="false">AZ232</f>
        <v/>
      </c>
      <c r="BO232" s="77" t="str">
        <f aca="false">IF(ISBLANK($C232),"",BC232)</f>
        <v/>
      </c>
      <c r="BP232" s="80" t="str">
        <f aca="false">IF($BG232&gt;$BF$7,"",VLOOKUP($BG232,$BI$8:$BO$507,7,FALSE()))</f>
        <v/>
      </c>
      <c r="BQ232" s="81" t="str">
        <f aca="false">IF($BG232&gt;$BF$7,"",VLOOKUP($BG232,$BI$8:$BO$507,2,FALSE()))</f>
        <v/>
      </c>
      <c r="BR232" s="81" t="str">
        <f aca="false">IF($BG232&gt;$BF$7,"",VLOOKUP($BG232,$BI$8:$BO$507,3,FALSE()))</f>
        <v/>
      </c>
      <c r="BS232" s="81" t="str">
        <f aca="false">IF($BG232&gt;$BF$7,"",VLOOKUP($BG232,$BI$8:$BO$507,4,FALSE()))</f>
        <v/>
      </c>
      <c r="BT232" s="81" t="str">
        <f aca="false">IF($BG232&gt;$BF$7,"",VLOOKUP($BG232,$BI$8:$BO$507,5,FALSE()))</f>
        <v/>
      </c>
      <c r="BU232" s="82" t="str">
        <f aca="false">IF($BG232&gt;$BF$7,"",VLOOKUP($BG232,$BI$8:$BO$507,6,FALSE()))</f>
        <v/>
      </c>
      <c r="BV232" s="54"/>
    </row>
    <row r="233" customFormat="false" ht="15.75" hidden="false" customHeight="false" outlineLevel="0" collapsed="false">
      <c r="A233" s="5"/>
      <c r="B233" s="128"/>
      <c r="C233" s="129"/>
      <c r="D233" s="114"/>
      <c r="E233" s="134"/>
      <c r="F233" s="139"/>
      <c r="G233" s="93"/>
      <c r="H233" s="140"/>
      <c r="I233" s="95"/>
      <c r="J233" s="95"/>
      <c r="K233" s="93"/>
      <c r="L233" s="141"/>
      <c r="M233" s="95"/>
      <c r="N233" s="95"/>
      <c r="O233" s="93"/>
      <c r="P233" s="134"/>
      <c r="Q233" s="98"/>
      <c r="R233" s="99" t="str">
        <f aca="false">IF(ISBLANK($C233),"",IF(E233=Constants!$B$2, TRUE(), IF(E233=Constants!$B$3, FALSE(), TRUE())))</f>
        <v/>
      </c>
      <c r="S233" s="99" t="str">
        <f aca="false">IF(ISBLANK($C233),"",IF(F233=Constants!$B$2, TRUE(), IF(F233=Constants!$B$3, FALSE(), TRUE())))</f>
        <v/>
      </c>
      <c r="T233" s="99" t="str">
        <f aca="false">IF(ISBLANK($C233),"",IF(G233=Constants!$B$16,Constants!$B$9,IF(G233=Constants!$B$17,Constants!$B$10,Constants!$B$8)))</f>
        <v/>
      </c>
      <c r="U233" s="99" t="str">
        <f aca="false">IF(ISBLANK($C233),"",IF(H233=Constants!$B$19,Constants!$B$19,Constants!$B$18))</f>
        <v/>
      </c>
      <c r="V233" s="99" t="str">
        <f aca="false">IF(ISBLANK($C233),"",IF(ISNUMBER(I233),IF(I233&gt;=0,I233,""),""))</f>
        <v/>
      </c>
      <c r="W233" s="99" t="str">
        <f aca="false">IF(ISBLANK($C233),"",IF(J233=Constants!$B$2, TRUE(), IF(J233=Constants!$B$3, FALSE(), TRUE())))</f>
        <v/>
      </c>
      <c r="X233" s="99" t="str">
        <f aca="false">IF(ISBLANK($C233),"",IF(K233=Constants!$B$2, TRUE(), IF(K233=Constants!$B$3, FALSE(), TRUE())))</f>
        <v/>
      </c>
      <c r="Y233" s="99" t="str">
        <f aca="false">IF(ISBLANK($C233),"",IF(L233=Constants!$B$19,Constants!$B$19,Constants!$B$18))</f>
        <v/>
      </c>
      <c r="Z233" s="99" t="str">
        <f aca="false">IF(ISBLANK($C233),"",IF(ISNUMBER(M233),IF(M233&gt;=0,M233,""),""))</f>
        <v/>
      </c>
      <c r="AA233" s="99" t="str">
        <f aca="false">IF(ISBLANK($C233),"",IF(N233=Constants!$B$2, TRUE(), IF(N233=Constants!$B$3, FALSE(), TRUE())))</f>
        <v/>
      </c>
      <c r="AB233" s="99" t="str">
        <f aca="false">IF(ISBLANK($C233),"",IF(O233=Constants!$B$2, TRUE(), IF(O233=Constants!$B$3, FALSE(), TRUE())))</f>
        <v/>
      </c>
      <c r="AC233" s="99" t="str">
        <f aca="false">IF(ISBLANK($C233),"",IF(P233=Constants!$B$2, TRUE(), IF(P233=Constants!$B$3, FALSE(), FALSE())))</f>
        <v/>
      </c>
      <c r="AD233" s="99" t="str">
        <f aca="false">IF(ISBLANK($C233),"",AND(V233&lt;&gt;"",IF(U233=Constants!$B$19,S233,R233)))</f>
        <v/>
      </c>
      <c r="AE233" s="99" t="str">
        <f aca="false">IF(ISBLANK($C233),"",AND(Z233&lt;&gt;"",IF(Y233=Constants!$B$19,S233,R233)))</f>
        <v/>
      </c>
      <c r="AF233" s="99" t="str">
        <f aca="false">IF(ISBLANK($C233),"",IF(AC233,Constants!$B$4,IF(COUNTA(E233:O233)=0,Constants!$B$5,IF(AND(NOT(AD233),NOT(AE233)),Constants!$B$6,Constants!$B$7))))</f>
        <v/>
      </c>
      <c r="AG233" s="99" t="str">
        <f aca="false">IF(ISBLANK($C233),"",IF($AF233&lt;&gt;Constants!$B$7,$AF233,Constants!$B$20))</f>
        <v/>
      </c>
      <c r="AH233" s="99" t="str">
        <f aca="false">IF($AF233=Constants!$B$7,IF(AD233,V233,Constants!$B$13),"")</f>
        <v/>
      </c>
      <c r="AI233" s="99" t="str">
        <f aca="false">IF($AF233=Constants!$B$7,IF(AD233,T233*IF(W233, 1, Constants!$B$11)*IF(X233, 1, Constants!$B$12),Constants!$B$13),"")</f>
        <v/>
      </c>
      <c r="AJ233" s="99" t="str">
        <f aca="false">IF($AF233=Constants!$B$7,AH233*AI233,"")</f>
        <v/>
      </c>
      <c r="AK233" s="99" t="str">
        <f aca="false">IF($AF233=Constants!$B$7,IF(AE233,Z233,Constants!$B$13),"")</f>
        <v/>
      </c>
      <c r="AL233" s="99" t="str">
        <f aca="false">IF($AF233=Constants!$B$7,IF(AE233,T233*IF(AA233, 1, Constants!$B$11)*IF(AB233, 1, Constants!$B$12),Constants!$B$13),"")</f>
        <v/>
      </c>
      <c r="AM233" s="99" t="str">
        <f aca="false">IF($AF233=Constants!$B$7,AK233*AL233,"")</f>
        <v/>
      </c>
      <c r="AN233" s="99" t="str">
        <f aca="false">IF($AF233=Constants!$B$7,IF(AM233&gt;AJ233,2,1),"")</f>
        <v/>
      </c>
      <c r="AO233" s="99" t="str">
        <f aca="false">IF($AF233=Constants!$B$7,IF(AN233=1,2,1),"")</f>
        <v/>
      </c>
      <c r="AP233" s="99" t="str">
        <f aca="false">IF(ISBLANK($C233),"",IF($AF233&lt;&gt;Constants!$B$7,$AF233,IF(AN233=1,AJ233,AM233)))</f>
        <v/>
      </c>
      <c r="AQ233" s="99" t="str">
        <f aca="false">IF(ISBLANK($C233),"",IF($AF233=Constants!$B$7,IF(ISNUMBER(AP233),RANK(AP233,$AP$8:$AP$507),Constants!$B$14),$AF233))</f>
        <v/>
      </c>
      <c r="AR233" s="99" t="str">
        <f aca="false">IF(ISBLANK($C233),"",IF($AF233=Constants!$B$7,IF(AO233=1,AJ233,AM233),""))</f>
        <v/>
      </c>
      <c r="AS233" s="99" t="str">
        <f aca="false">IF(ISBLANK($C233),"",IF($AF233=Constants!$B$7,RANK(AR233,$AR$8:$AR$507),$AF233))</f>
        <v/>
      </c>
      <c r="AT233" s="99" t="str">
        <f aca="false">IF(ISBLANK($C233),"",IF($AF233=Constants!$B$7,IF(ISNUMBER(AQ233),COUNTIFS($AQ$8:$AQ$507,"&lt;"&amp;$AQ233)+COUNTIFS($AQ$8:$AQ$507,$AQ233,$AS$8:$AS$507,"&lt;"&amp;$AS233)+1,Constants!$B$14),$AF233))</f>
        <v/>
      </c>
      <c r="AU233" s="99" t="str">
        <f aca="false">IF(ISBLANK($C233),"",IF($AF233=Constants!$B$7,IF(ISNUMBER(AQ233),AQ233-AT233,Constants!$B$14),$AF233))</f>
        <v/>
      </c>
      <c r="AV233" s="100"/>
      <c r="AW233" s="101" t="str">
        <f aca="false">IF(ISBLANK($C233),"",IF($AF233&lt;&gt;Constants!$B$7,"",AN233))</f>
        <v/>
      </c>
      <c r="AX233" s="102" t="str">
        <f aca="false">IF(ISBLANK($C233),"",IF($AF233&lt;&gt;Constants!$B$7,"",IF(AN233=1,AH233,AK233)))</f>
        <v/>
      </c>
      <c r="AY233" s="103" t="str">
        <f aca="false">IF(ISBLANK($C233),"",IF($AF233&lt;&gt;Constants!$B$7,"",IF(AN233=1,AI233,AL233)))</f>
        <v/>
      </c>
      <c r="AZ233" s="104" t="str">
        <f aca="false">IF(ISBLANK($C233),"",IF($AF233&lt;&gt;Constants!$B$7,$AF233,AP233))</f>
        <v/>
      </c>
      <c r="BA233" s="105" t="str">
        <f aca="false">IF(ISBLANK($C233),"",IF($AF233&lt;&gt;Constants!$B$7,$AF233,AG233))</f>
        <v/>
      </c>
      <c r="BB233" s="106" t="str">
        <f aca="false">IF(ISBLANK($C233),"",AU233)</f>
        <v/>
      </c>
      <c r="BC233" s="106" t="str">
        <f aca="false">IF(ISBLANK($C233),"",AT233)</f>
        <v/>
      </c>
      <c r="BD233" s="107" t="str">
        <f aca="false">IF(ISBLANK($C233),"",IFERROR(_xlfn.SWITCH(BC233,Constants!$B$4,COUNTA($C$8:$C$507)+2,Constants!$B$5,COUNTA($C$8:$C$507)+1,Constants!$B$6,COUNTA($C$8:$C$507)),BC233))</f>
        <v/>
      </c>
      <c r="BE233" s="5"/>
      <c r="BF233" s="108" t="n">
        <f aca="false">IF(OR(ISNUMBER(BC233),BC233=Constants!$B$4,BC233=Constants!$B$6,BC233=Constants!$B$5),1,0)</f>
        <v>0</v>
      </c>
      <c r="BG233" s="108" t="n">
        <v>226</v>
      </c>
      <c r="BH233" s="108" t="str">
        <f aca="false">IF(ISBLANK($C233),"",IF(ISNUMBER(BD233),BD233+ROW($B233)/1000,""))</f>
        <v/>
      </c>
      <c r="BI233" s="108" t="str">
        <f aca="false">IF(ISNUMBER(BH233),RANK(BH233,$BH$8:$BH$507,1),"")</f>
        <v/>
      </c>
      <c r="BJ233" s="108" t="str">
        <f aca="false">IF(ISBLANK($C233),"",$B233)</f>
        <v/>
      </c>
      <c r="BK233" s="108" t="str">
        <f aca="false">IF(ISBLANK($C233),"",$C233)</f>
        <v/>
      </c>
      <c r="BL233" s="108" t="str">
        <f aca="false">IF(ISBLANK($C233),"",$D233)</f>
        <v/>
      </c>
      <c r="BM233" s="109" t="str">
        <f aca="false">BA233</f>
        <v/>
      </c>
      <c r="BN233" s="110" t="str">
        <f aca="false">AZ233</f>
        <v/>
      </c>
      <c r="BO233" s="108" t="str">
        <f aca="false">IF(ISBLANK($C233),"",BC233)</f>
        <v/>
      </c>
      <c r="BP233" s="111" t="str">
        <f aca="false">IF($BG233&gt;$BF$7,"",VLOOKUP($BG233,$BI$8:$BO$507,7,FALSE()))</f>
        <v/>
      </c>
      <c r="BQ233" s="112" t="str">
        <f aca="false">IF($BG233&gt;$BF$7,"",VLOOKUP($BG233,$BI$8:$BO$507,2,FALSE()))</f>
        <v/>
      </c>
      <c r="BR233" s="112" t="str">
        <f aca="false">IF($BG233&gt;$BF$7,"",VLOOKUP($BG233,$BI$8:$BO$507,3,FALSE()))</f>
        <v/>
      </c>
      <c r="BS233" s="112" t="str">
        <f aca="false">IF($BG233&gt;$BF$7,"",VLOOKUP($BG233,$BI$8:$BO$507,4,FALSE()))</f>
        <v/>
      </c>
      <c r="BT233" s="112" t="str">
        <f aca="false">IF($BG233&gt;$BF$7,"",VLOOKUP($BG233,$BI$8:$BO$507,5,FALSE()))</f>
        <v/>
      </c>
      <c r="BU233" s="113" t="str">
        <f aca="false">IF($BG233&gt;$BF$7,"",VLOOKUP($BG233,$BI$8:$BO$507,6,FALSE()))</f>
        <v/>
      </c>
      <c r="BV233" s="54"/>
    </row>
    <row r="234" customFormat="false" ht="15.75" hidden="false" customHeight="false" outlineLevel="0" collapsed="false">
      <c r="A234" s="5"/>
      <c r="B234" s="128"/>
      <c r="C234" s="129"/>
      <c r="D234" s="114"/>
      <c r="E234" s="134"/>
      <c r="F234" s="139"/>
      <c r="G234" s="93"/>
      <c r="H234" s="140"/>
      <c r="I234" s="95"/>
      <c r="J234" s="95"/>
      <c r="K234" s="93"/>
      <c r="L234" s="141"/>
      <c r="M234" s="95"/>
      <c r="N234" s="95"/>
      <c r="O234" s="93"/>
      <c r="P234" s="134"/>
      <c r="Q234" s="98"/>
      <c r="R234" s="99" t="str">
        <f aca="false">IF(ISBLANK($C234),"",IF(E234=Constants!$B$2, TRUE(), IF(E234=Constants!$B$3, FALSE(), TRUE())))</f>
        <v/>
      </c>
      <c r="S234" s="99" t="str">
        <f aca="false">IF(ISBLANK($C234),"",IF(F234=Constants!$B$2, TRUE(), IF(F234=Constants!$B$3, FALSE(), TRUE())))</f>
        <v/>
      </c>
      <c r="T234" s="99" t="str">
        <f aca="false">IF(ISBLANK($C234),"",IF(G234=Constants!$B$16,Constants!$B$9,IF(G234=Constants!$B$17,Constants!$B$10,Constants!$B$8)))</f>
        <v/>
      </c>
      <c r="U234" s="99" t="str">
        <f aca="false">IF(ISBLANK($C234),"",IF(H234=Constants!$B$19,Constants!$B$19,Constants!$B$18))</f>
        <v/>
      </c>
      <c r="V234" s="99" t="str">
        <f aca="false">IF(ISBLANK($C234),"",IF(ISNUMBER(I234),IF(I234&gt;=0,I234,""),""))</f>
        <v/>
      </c>
      <c r="W234" s="99" t="str">
        <f aca="false">IF(ISBLANK($C234),"",IF(J234=Constants!$B$2, TRUE(), IF(J234=Constants!$B$3, FALSE(), TRUE())))</f>
        <v/>
      </c>
      <c r="X234" s="99" t="str">
        <f aca="false">IF(ISBLANK($C234),"",IF(K234=Constants!$B$2, TRUE(), IF(K234=Constants!$B$3, FALSE(), TRUE())))</f>
        <v/>
      </c>
      <c r="Y234" s="99" t="str">
        <f aca="false">IF(ISBLANK($C234),"",IF(L234=Constants!$B$19,Constants!$B$19,Constants!$B$18))</f>
        <v/>
      </c>
      <c r="Z234" s="99" t="str">
        <f aca="false">IF(ISBLANK($C234),"",IF(ISNUMBER(M234),IF(M234&gt;=0,M234,""),""))</f>
        <v/>
      </c>
      <c r="AA234" s="99" t="str">
        <f aca="false">IF(ISBLANK($C234),"",IF(N234=Constants!$B$2, TRUE(), IF(N234=Constants!$B$3, FALSE(), TRUE())))</f>
        <v/>
      </c>
      <c r="AB234" s="99" t="str">
        <f aca="false">IF(ISBLANK($C234),"",IF(O234=Constants!$B$2, TRUE(), IF(O234=Constants!$B$3, FALSE(), TRUE())))</f>
        <v/>
      </c>
      <c r="AC234" s="99" t="str">
        <f aca="false">IF(ISBLANK($C234),"",IF(P234=Constants!$B$2, TRUE(), IF(P234=Constants!$B$3, FALSE(), FALSE())))</f>
        <v/>
      </c>
      <c r="AD234" s="99" t="str">
        <f aca="false">IF(ISBLANK($C234),"",AND(V234&lt;&gt;"",IF(U234=Constants!$B$19,S234,R234)))</f>
        <v/>
      </c>
      <c r="AE234" s="99" t="str">
        <f aca="false">IF(ISBLANK($C234),"",AND(Z234&lt;&gt;"",IF(Y234=Constants!$B$19,S234,R234)))</f>
        <v/>
      </c>
      <c r="AF234" s="99" t="str">
        <f aca="false">IF(ISBLANK($C234),"",IF(AC234,Constants!$B$4,IF(COUNTA(E234:O234)=0,Constants!$B$5,IF(AND(NOT(AD234),NOT(AE234)),Constants!$B$6,Constants!$B$7))))</f>
        <v/>
      </c>
      <c r="AG234" s="99" t="str">
        <f aca="false">IF(ISBLANK($C234),"",IF($AF234&lt;&gt;Constants!$B$7,$AF234,Constants!$B$20))</f>
        <v/>
      </c>
      <c r="AH234" s="99" t="str">
        <f aca="false">IF($AF234=Constants!$B$7,IF(AD234,V234,Constants!$B$13),"")</f>
        <v/>
      </c>
      <c r="AI234" s="99" t="str">
        <f aca="false">IF($AF234=Constants!$B$7,IF(AD234,T234*IF(W234, 1, Constants!$B$11)*IF(X234, 1, Constants!$B$12),Constants!$B$13),"")</f>
        <v/>
      </c>
      <c r="AJ234" s="99" t="str">
        <f aca="false">IF($AF234=Constants!$B$7,AH234*AI234,"")</f>
        <v/>
      </c>
      <c r="AK234" s="99" t="str">
        <f aca="false">IF($AF234=Constants!$B$7,IF(AE234,Z234,Constants!$B$13),"")</f>
        <v/>
      </c>
      <c r="AL234" s="99" t="str">
        <f aca="false">IF($AF234=Constants!$B$7,IF(AE234,T234*IF(AA234, 1, Constants!$B$11)*IF(AB234, 1, Constants!$B$12),Constants!$B$13),"")</f>
        <v/>
      </c>
      <c r="AM234" s="99" t="str">
        <f aca="false">IF($AF234=Constants!$B$7,AK234*AL234,"")</f>
        <v/>
      </c>
      <c r="AN234" s="99" t="str">
        <f aca="false">IF($AF234=Constants!$B$7,IF(AM234&gt;AJ234,2,1),"")</f>
        <v/>
      </c>
      <c r="AO234" s="99" t="str">
        <f aca="false">IF($AF234=Constants!$B$7,IF(AN234=1,2,1),"")</f>
        <v/>
      </c>
      <c r="AP234" s="99" t="str">
        <f aca="false">IF(ISBLANK($C234),"",IF($AF234&lt;&gt;Constants!$B$7,$AF234,IF(AN234=1,AJ234,AM234)))</f>
        <v/>
      </c>
      <c r="AQ234" s="99" t="str">
        <f aca="false">IF(ISBLANK($C234),"",IF($AF234=Constants!$B$7,IF(ISNUMBER(AP234),RANK(AP234,$AP$8:$AP$507),Constants!$B$14),$AF234))</f>
        <v/>
      </c>
      <c r="AR234" s="99" t="str">
        <f aca="false">IF(ISBLANK($C234),"",IF($AF234=Constants!$B$7,IF(AO234=1,AJ234,AM234),""))</f>
        <v/>
      </c>
      <c r="AS234" s="99" t="str">
        <f aca="false">IF(ISBLANK($C234),"",IF($AF234=Constants!$B$7,RANK(AR234,$AR$8:$AR$507),$AF234))</f>
        <v/>
      </c>
      <c r="AT234" s="99" t="str">
        <f aca="false">IF(ISBLANK($C234),"",IF($AF234=Constants!$B$7,IF(ISNUMBER(AQ234),COUNTIFS($AQ$8:$AQ$507,"&lt;"&amp;$AQ234)+COUNTIFS($AQ$8:$AQ$507,$AQ234,$AS$8:$AS$507,"&lt;"&amp;$AS234)+1,Constants!$B$14),$AF234))</f>
        <v/>
      </c>
      <c r="AU234" s="99" t="str">
        <f aca="false">IF(ISBLANK($C234),"",IF($AF234=Constants!$B$7,IF(ISNUMBER(AQ234),AQ234-AT234,Constants!$B$14),$AF234))</f>
        <v/>
      </c>
      <c r="AV234" s="100"/>
      <c r="AW234" s="101" t="str">
        <f aca="false">IF(ISBLANK($C234),"",IF($AF234&lt;&gt;Constants!$B$7,"",AN234))</f>
        <v/>
      </c>
      <c r="AX234" s="102" t="str">
        <f aca="false">IF(ISBLANK($C234),"",IF($AF234&lt;&gt;Constants!$B$7,"",IF(AN234=1,AH234,AK234)))</f>
        <v/>
      </c>
      <c r="AY234" s="103" t="str">
        <f aca="false">IF(ISBLANK($C234),"",IF($AF234&lt;&gt;Constants!$B$7,"",IF(AN234=1,AI234,AL234)))</f>
        <v/>
      </c>
      <c r="AZ234" s="104" t="str">
        <f aca="false">IF(ISBLANK($C234),"",IF($AF234&lt;&gt;Constants!$B$7,$AF234,AP234))</f>
        <v/>
      </c>
      <c r="BA234" s="105" t="str">
        <f aca="false">IF(ISBLANK($C234),"",IF($AF234&lt;&gt;Constants!$B$7,$AF234,AG234))</f>
        <v/>
      </c>
      <c r="BB234" s="106" t="str">
        <f aca="false">IF(ISBLANK($C234),"",AU234)</f>
        <v/>
      </c>
      <c r="BC234" s="106" t="str">
        <f aca="false">IF(ISBLANK($C234),"",AT234)</f>
        <v/>
      </c>
      <c r="BD234" s="107" t="str">
        <f aca="false">IF(ISBLANK($C234),"",IFERROR(_xlfn.SWITCH(BC234,Constants!$B$4,COUNTA($C$8:$C$507)+2,Constants!$B$5,COUNTA($C$8:$C$507)+1,Constants!$B$6,COUNTA($C$8:$C$507)),BC234))</f>
        <v/>
      </c>
      <c r="BE234" s="5"/>
      <c r="BF234" s="108" t="n">
        <f aca="false">IF(OR(ISNUMBER(BC234),BC234=Constants!$B$4,BC234=Constants!$B$6,BC234=Constants!$B$5),1,0)</f>
        <v>0</v>
      </c>
      <c r="BG234" s="108" t="n">
        <v>227</v>
      </c>
      <c r="BH234" s="108" t="str">
        <f aca="false">IF(ISBLANK($C234),"",IF(ISNUMBER(BD234),BD234+ROW($B234)/1000,""))</f>
        <v/>
      </c>
      <c r="BI234" s="108" t="str">
        <f aca="false">IF(ISNUMBER(BH234),RANK(BH234,$BH$8:$BH$507,1),"")</f>
        <v/>
      </c>
      <c r="BJ234" s="108" t="str">
        <f aca="false">IF(ISBLANK($C234),"",$B234)</f>
        <v/>
      </c>
      <c r="BK234" s="108" t="str">
        <f aca="false">IF(ISBLANK($C234),"",$C234)</f>
        <v/>
      </c>
      <c r="BL234" s="108" t="str">
        <f aca="false">IF(ISBLANK($C234),"",$D234)</f>
        <v/>
      </c>
      <c r="BM234" s="109" t="str">
        <f aca="false">BA234</f>
        <v/>
      </c>
      <c r="BN234" s="110" t="str">
        <f aca="false">AZ234</f>
        <v/>
      </c>
      <c r="BO234" s="108" t="str">
        <f aca="false">IF(ISBLANK($C234),"",BC234)</f>
        <v/>
      </c>
      <c r="BP234" s="111" t="str">
        <f aca="false">IF($BG234&gt;$BF$7,"",VLOOKUP($BG234,$BI$8:$BO$507,7,FALSE()))</f>
        <v/>
      </c>
      <c r="BQ234" s="112" t="str">
        <f aca="false">IF($BG234&gt;$BF$7,"",VLOOKUP($BG234,$BI$8:$BO$507,2,FALSE()))</f>
        <v/>
      </c>
      <c r="BR234" s="112" t="str">
        <f aca="false">IF($BG234&gt;$BF$7,"",VLOOKUP($BG234,$BI$8:$BO$507,3,FALSE()))</f>
        <v/>
      </c>
      <c r="BS234" s="112" t="str">
        <f aca="false">IF($BG234&gt;$BF$7,"",VLOOKUP($BG234,$BI$8:$BO$507,4,FALSE()))</f>
        <v/>
      </c>
      <c r="BT234" s="112" t="str">
        <f aca="false">IF($BG234&gt;$BF$7,"",VLOOKUP($BG234,$BI$8:$BO$507,5,FALSE()))</f>
        <v/>
      </c>
      <c r="BU234" s="113" t="str">
        <f aca="false">IF($BG234&gt;$BF$7,"",VLOOKUP($BG234,$BI$8:$BO$507,6,FALSE()))</f>
        <v/>
      </c>
      <c r="BV234" s="54"/>
    </row>
    <row r="235" customFormat="false" ht="15.75" hidden="false" customHeight="false" outlineLevel="0" collapsed="false">
      <c r="A235" s="5"/>
      <c r="B235" s="128"/>
      <c r="C235" s="129"/>
      <c r="D235" s="114"/>
      <c r="E235" s="134"/>
      <c r="F235" s="139"/>
      <c r="G235" s="93"/>
      <c r="H235" s="140"/>
      <c r="I235" s="95"/>
      <c r="J235" s="95"/>
      <c r="K235" s="93"/>
      <c r="L235" s="141"/>
      <c r="M235" s="95"/>
      <c r="N235" s="95"/>
      <c r="O235" s="93"/>
      <c r="P235" s="134"/>
      <c r="Q235" s="98"/>
      <c r="R235" s="99" t="str">
        <f aca="false">IF(ISBLANK($C235),"",IF(E235=Constants!$B$2, TRUE(), IF(E235=Constants!$B$3, FALSE(), TRUE())))</f>
        <v/>
      </c>
      <c r="S235" s="99" t="str">
        <f aca="false">IF(ISBLANK($C235),"",IF(F235=Constants!$B$2, TRUE(), IF(F235=Constants!$B$3, FALSE(), TRUE())))</f>
        <v/>
      </c>
      <c r="T235" s="99" t="str">
        <f aca="false">IF(ISBLANK($C235),"",IF(G235=Constants!$B$16,Constants!$B$9,IF(G235=Constants!$B$17,Constants!$B$10,Constants!$B$8)))</f>
        <v/>
      </c>
      <c r="U235" s="99" t="str">
        <f aca="false">IF(ISBLANK($C235),"",IF(H235=Constants!$B$19,Constants!$B$19,Constants!$B$18))</f>
        <v/>
      </c>
      <c r="V235" s="99" t="str">
        <f aca="false">IF(ISBLANK($C235),"",IF(ISNUMBER(I235),IF(I235&gt;=0,I235,""),""))</f>
        <v/>
      </c>
      <c r="W235" s="99" t="str">
        <f aca="false">IF(ISBLANK($C235),"",IF(J235=Constants!$B$2, TRUE(), IF(J235=Constants!$B$3, FALSE(), TRUE())))</f>
        <v/>
      </c>
      <c r="X235" s="99" t="str">
        <f aca="false">IF(ISBLANK($C235),"",IF(K235=Constants!$B$2, TRUE(), IF(K235=Constants!$B$3, FALSE(), TRUE())))</f>
        <v/>
      </c>
      <c r="Y235" s="99" t="str">
        <f aca="false">IF(ISBLANK($C235),"",IF(L235=Constants!$B$19,Constants!$B$19,Constants!$B$18))</f>
        <v/>
      </c>
      <c r="Z235" s="99" t="str">
        <f aca="false">IF(ISBLANK($C235),"",IF(ISNUMBER(M235),IF(M235&gt;=0,M235,""),""))</f>
        <v/>
      </c>
      <c r="AA235" s="99" t="str">
        <f aca="false">IF(ISBLANK($C235),"",IF(N235=Constants!$B$2, TRUE(), IF(N235=Constants!$B$3, FALSE(), TRUE())))</f>
        <v/>
      </c>
      <c r="AB235" s="99" t="str">
        <f aca="false">IF(ISBLANK($C235),"",IF(O235=Constants!$B$2, TRUE(), IF(O235=Constants!$B$3, FALSE(), TRUE())))</f>
        <v/>
      </c>
      <c r="AC235" s="99" t="str">
        <f aca="false">IF(ISBLANK($C235),"",IF(P235=Constants!$B$2, TRUE(), IF(P235=Constants!$B$3, FALSE(), FALSE())))</f>
        <v/>
      </c>
      <c r="AD235" s="99" t="str">
        <f aca="false">IF(ISBLANK($C235),"",AND(V235&lt;&gt;"",IF(U235=Constants!$B$19,S235,R235)))</f>
        <v/>
      </c>
      <c r="AE235" s="99" t="str">
        <f aca="false">IF(ISBLANK($C235),"",AND(Z235&lt;&gt;"",IF(Y235=Constants!$B$19,S235,R235)))</f>
        <v/>
      </c>
      <c r="AF235" s="99" t="str">
        <f aca="false">IF(ISBLANK($C235),"",IF(AC235,Constants!$B$4,IF(COUNTA(E235:O235)=0,Constants!$B$5,IF(AND(NOT(AD235),NOT(AE235)),Constants!$B$6,Constants!$B$7))))</f>
        <v/>
      </c>
      <c r="AG235" s="99" t="str">
        <f aca="false">IF(ISBLANK($C235),"",IF($AF235&lt;&gt;Constants!$B$7,$AF235,Constants!$B$20))</f>
        <v/>
      </c>
      <c r="AH235" s="99" t="str">
        <f aca="false">IF($AF235=Constants!$B$7,IF(AD235,V235,Constants!$B$13),"")</f>
        <v/>
      </c>
      <c r="AI235" s="99" t="str">
        <f aca="false">IF($AF235=Constants!$B$7,IF(AD235,T235*IF(W235, 1, Constants!$B$11)*IF(X235, 1, Constants!$B$12),Constants!$B$13),"")</f>
        <v/>
      </c>
      <c r="AJ235" s="99" t="str">
        <f aca="false">IF($AF235=Constants!$B$7,AH235*AI235,"")</f>
        <v/>
      </c>
      <c r="AK235" s="99" t="str">
        <f aca="false">IF($AF235=Constants!$B$7,IF(AE235,Z235,Constants!$B$13),"")</f>
        <v/>
      </c>
      <c r="AL235" s="99" t="str">
        <f aca="false">IF($AF235=Constants!$B$7,IF(AE235,T235*IF(AA235, 1, Constants!$B$11)*IF(AB235, 1, Constants!$B$12),Constants!$B$13),"")</f>
        <v/>
      </c>
      <c r="AM235" s="99" t="str">
        <f aca="false">IF($AF235=Constants!$B$7,AK235*AL235,"")</f>
        <v/>
      </c>
      <c r="AN235" s="99" t="str">
        <f aca="false">IF($AF235=Constants!$B$7,IF(AM235&gt;AJ235,2,1),"")</f>
        <v/>
      </c>
      <c r="AO235" s="99" t="str">
        <f aca="false">IF($AF235=Constants!$B$7,IF(AN235=1,2,1),"")</f>
        <v/>
      </c>
      <c r="AP235" s="99" t="str">
        <f aca="false">IF(ISBLANK($C235),"",IF($AF235&lt;&gt;Constants!$B$7,$AF235,IF(AN235=1,AJ235,AM235)))</f>
        <v/>
      </c>
      <c r="AQ235" s="99" t="str">
        <f aca="false">IF(ISBLANK($C235),"",IF($AF235=Constants!$B$7,IF(ISNUMBER(AP235),RANK(AP235,$AP$8:$AP$507),Constants!$B$14),$AF235))</f>
        <v/>
      </c>
      <c r="AR235" s="99" t="str">
        <f aca="false">IF(ISBLANK($C235),"",IF($AF235=Constants!$B$7,IF(AO235=1,AJ235,AM235),""))</f>
        <v/>
      </c>
      <c r="AS235" s="99" t="str">
        <f aca="false">IF(ISBLANK($C235),"",IF($AF235=Constants!$B$7,RANK(AR235,$AR$8:$AR$507),$AF235))</f>
        <v/>
      </c>
      <c r="AT235" s="99" t="str">
        <f aca="false">IF(ISBLANK($C235),"",IF($AF235=Constants!$B$7,IF(ISNUMBER(AQ235),COUNTIFS($AQ$8:$AQ$507,"&lt;"&amp;$AQ235)+COUNTIFS($AQ$8:$AQ$507,$AQ235,$AS$8:$AS$507,"&lt;"&amp;$AS235)+1,Constants!$B$14),$AF235))</f>
        <v/>
      </c>
      <c r="AU235" s="99" t="str">
        <f aca="false">IF(ISBLANK($C235),"",IF($AF235=Constants!$B$7,IF(ISNUMBER(AQ235),AQ235-AT235,Constants!$B$14),$AF235))</f>
        <v/>
      </c>
      <c r="AV235" s="100"/>
      <c r="AW235" s="101" t="str">
        <f aca="false">IF(ISBLANK($C235),"",IF($AF235&lt;&gt;Constants!$B$7,"",AN235))</f>
        <v/>
      </c>
      <c r="AX235" s="102" t="str">
        <f aca="false">IF(ISBLANK($C235),"",IF($AF235&lt;&gt;Constants!$B$7,"",IF(AN235=1,AH235,AK235)))</f>
        <v/>
      </c>
      <c r="AY235" s="103" t="str">
        <f aca="false">IF(ISBLANK($C235),"",IF($AF235&lt;&gt;Constants!$B$7,"",IF(AN235=1,AI235,AL235)))</f>
        <v/>
      </c>
      <c r="AZ235" s="104" t="str">
        <f aca="false">IF(ISBLANK($C235),"",IF($AF235&lt;&gt;Constants!$B$7,$AF235,AP235))</f>
        <v/>
      </c>
      <c r="BA235" s="105" t="str">
        <f aca="false">IF(ISBLANK($C235),"",IF($AF235&lt;&gt;Constants!$B$7,$AF235,AG235))</f>
        <v/>
      </c>
      <c r="BB235" s="106" t="str">
        <f aca="false">IF(ISBLANK($C235),"",AU235)</f>
        <v/>
      </c>
      <c r="BC235" s="106" t="str">
        <f aca="false">IF(ISBLANK($C235),"",AT235)</f>
        <v/>
      </c>
      <c r="BD235" s="107" t="str">
        <f aca="false">IF(ISBLANK($C235),"",IFERROR(_xlfn.SWITCH(BC235,Constants!$B$4,COUNTA($C$8:$C$507)+2,Constants!$B$5,COUNTA($C$8:$C$507)+1,Constants!$B$6,COUNTA($C$8:$C$507)),BC235))</f>
        <v/>
      </c>
      <c r="BE235" s="5"/>
      <c r="BF235" s="108" t="n">
        <f aca="false">IF(OR(ISNUMBER(BC235),BC235=Constants!$B$4,BC235=Constants!$B$6,BC235=Constants!$B$5),1,0)</f>
        <v>0</v>
      </c>
      <c r="BG235" s="108" t="n">
        <v>228</v>
      </c>
      <c r="BH235" s="108" t="str">
        <f aca="false">IF(ISBLANK($C235),"",IF(ISNUMBER(BD235),BD235+ROW($B235)/1000,""))</f>
        <v/>
      </c>
      <c r="BI235" s="108" t="str">
        <f aca="false">IF(ISNUMBER(BH235),RANK(BH235,$BH$8:$BH$507,1),"")</f>
        <v/>
      </c>
      <c r="BJ235" s="108" t="str">
        <f aca="false">IF(ISBLANK($C235),"",$B235)</f>
        <v/>
      </c>
      <c r="BK235" s="108" t="str">
        <f aca="false">IF(ISBLANK($C235),"",$C235)</f>
        <v/>
      </c>
      <c r="BL235" s="108" t="str">
        <f aca="false">IF(ISBLANK($C235),"",$D235)</f>
        <v/>
      </c>
      <c r="BM235" s="109" t="str">
        <f aca="false">BA235</f>
        <v/>
      </c>
      <c r="BN235" s="110" t="str">
        <f aca="false">AZ235</f>
        <v/>
      </c>
      <c r="BO235" s="108" t="str">
        <f aca="false">IF(ISBLANK($C235),"",BC235)</f>
        <v/>
      </c>
      <c r="BP235" s="111" t="str">
        <f aca="false">IF($BG235&gt;$BF$7,"",VLOOKUP($BG235,$BI$8:$BO$507,7,FALSE()))</f>
        <v/>
      </c>
      <c r="BQ235" s="112" t="str">
        <f aca="false">IF($BG235&gt;$BF$7,"",VLOOKUP($BG235,$BI$8:$BO$507,2,FALSE()))</f>
        <v/>
      </c>
      <c r="BR235" s="112" t="str">
        <f aca="false">IF($BG235&gt;$BF$7,"",VLOOKUP($BG235,$BI$8:$BO$507,3,FALSE()))</f>
        <v/>
      </c>
      <c r="BS235" s="112" t="str">
        <f aca="false">IF($BG235&gt;$BF$7,"",VLOOKUP($BG235,$BI$8:$BO$507,4,FALSE()))</f>
        <v/>
      </c>
      <c r="BT235" s="112" t="str">
        <f aca="false">IF($BG235&gt;$BF$7,"",VLOOKUP($BG235,$BI$8:$BO$507,5,FALSE()))</f>
        <v/>
      </c>
      <c r="BU235" s="113" t="str">
        <f aca="false">IF($BG235&gt;$BF$7,"",VLOOKUP($BG235,$BI$8:$BO$507,6,FALSE()))</f>
        <v/>
      </c>
      <c r="BV235" s="54"/>
    </row>
    <row r="236" customFormat="false" ht="15.75" hidden="false" customHeight="false" outlineLevel="0" collapsed="false">
      <c r="A236" s="5"/>
      <c r="B236" s="135"/>
      <c r="C236" s="56"/>
      <c r="D236" s="57"/>
      <c r="E236" s="84"/>
      <c r="F236" s="136"/>
      <c r="G236" s="60"/>
      <c r="H236" s="137"/>
      <c r="I236" s="62"/>
      <c r="J236" s="62"/>
      <c r="K236" s="60"/>
      <c r="L236" s="138"/>
      <c r="M236" s="62"/>
      <c r="N236" s="62"/>
      <c r="O236" s="60"/>
      <c r="P236" s="84"/>
      <c r="Q236" s="65"/>
      <c r="R236" s="67" t="str">
        <f aca="false">IF(ISBLANK($C236),"",IF(E236=Constants!$B$2, TRUE(), IF(E236=Constants!$B$3, FALSE(), TRUE())))</f>
        <v/>
      </c>
      <c r="S236" s="67" t="str">
        <f aca="false">IF(ISBLANK($C236),"",IF(F236=Constants!$B$2, TRUE(), IF(F236=Constants!$B$3, FALSE(), TRUE())))</f>
        <v/>
      </c>
      <c r="T236" s="67" t="str">
        <f aca="false">IF(ISBLANK($C236),"",IF(G236=Constants!$B$16,Constants!$B$9,IF(G236=Constants!$B$17,Constants!$B$10,Constants!$B$8)))</f>
        <v/>
      </c>
      <c r="U236" s="67" t="str">
        <f aca="false">IF(ISBLANK($C236),"",IF(H236=Constants!$B$19,Constants!$B$19,Constants!$B$18))</f>
        <v/>
      </c>
      <c r="V236" s="67" t="str">
        <f aca="false">IF(ISBLANK($C236),"",IF(ISNUMBER(I236),IF(I236&gt;=0,I236,""),""))</f>
        <v/>
      </c>
      <c r="W236" s="67" t="str">
        <f aca="false">IF(ISBLANK($C236),"",IF(J236=Constants!$B$2, TRUE(), IF(J236=Constants!$B$3, FALSE(), TRUE())))</f>
        <v/>
      </c>
      <c r="X236" s="67" t="str">
        <f aca="false">IF(ISBLANK($C236),"",IF(K236=Constants!$B$2, TRUE(), IF(K236=Constants!$B$3, FALSE(), TRUE())))</f>
        <v/>
      </c>
      <c r="Y236" s="67" t="str">
        <f aca="false">IF(ISBLANK($C236),"",IF(L236=Constants!$B$19,Constants!$B$19,Constants!$B$18))</f>
        <v/>
      </c>
      <c r="Z236" s="67" t="str">
        <f aca="false">IF(ISBLANK($C236),"",IF(ISNUMBER(M236),IF(M236&gt;=0,M236,""),""))</f>
        <v/>
      </c>
      <c r="AA236" s="67" t="str">
        <f aca="false">IF(ISBLANK($C236),"",IF(N236=Constants!$B$2, TRUE(), IF(N236=Constants!$B$3, FALSE(), TRUE())))</f>
        <v/>
      </c>
      <c r="AB236" s="67" t="str">
        <f aca="false">IF(ISBLANK($C236),"",IF(O236=Constants!$B$2, TRUE(), IF(O236=Constants!$B$3, FALSE(), TRUE())))</f>
        <v/>
      </c>
      <c r="AC236" s="67" t="str">
        <f aca="false">IF(ISBLANK($C236),"",IF(P236=Constants!$B$2, TRUE(), IF(P236=Constants!$B$3, FALSE(), FALSE())))</f>
        <v/>
      </c>
      <c r="AD236" s="67" t="str">
        <f aca="false">IF(ISBLANK($C236),"",AND(V236&lt;&gt;"",IF(U236=Constants!$B$19,S236,R236)))</f>
        <v/>
      </c>
      <c r="AE236" s="67" t="str">
        <f aca="false">IF(ISBLANK($C236),"",AND(Z236&lt;&gt;"",IF(Y236=Constants!$B$19,S236,R236)))</f>
        <v/>
      </c>
      <c r="AF236" s="67" t="str">
        <f aca="false">IF(ISBLANK($C236),"",IF(AC236,Constants!$B$4,IF(COUNTA(E236:O236)=0,Constants!$B$5,IF(AND(NOT(AD236),NOT(AE236)),Constants!$B$6,Constants!$B$7))))</f>
        <v/>
      </c>
      <c r="AG236" s="67" t="str">
        <f aca="false">IF(ISBLANK($C236),"",IF($AF236&lt;&gt;Constants!$B$7,$AF236,Constants!$B$20))</f>
        <v/>
      </c>
      <c r="AH236" s="67" t="str">
        <f aca="false">IF($AF236=Constants!$B$7,IF(AD236,V236,Constants!$B$13),"")</f>
        <v/>
      </c>
      <c r="AI236" s="67" t="str">
        <f aca="false">IF($AF236=Constants!$B$7,IF(AD236,T236*IF(W236, 1, Constants!$B$11)*IF(X236, 1, Constants!$B$12),Constants!$B$13),"")</f>
        <v/>
      </c>
      <c r="AJ236" s="67" t="str">
        <f aca="false">IF($AF236=Constants!$B$7,AH236*AI236,"")</f>
        <v/>
      </c>
      <c r="AK236" s="67" t="str">
        <f aca="false">IF($AF236=Constants!$B$7,IF(AE236,Z236,Constants!$B$13),"")</f>
        <v/>
      </c>
      <c r="AL236" s="67" t="str">
        <f aca="false">IF($AF236=Constants!$B$7,IF(AE236,T236*IF(AA236, 1, Constants!$B$11)*IF(AB236, 1, Constants!$B$12),Constants!$B$13),"")</f>
        <v/>
      </c>
      <c r="AM236" s="67" t="str">
        <f aca="false">IF($AF236=Constants!$B$7,AK236*AL236,"")</f>
        <v/>
      </c>
      <c r="AN236" s="67" t="str">
        <f aca="false">IF($AF236=Constants!$B$7,IF(AM236&gt;AJ236,2,1),"")</f>
        <v/>
      </c>
      <c r="AO236" s="67" t="str">
        <f aca="false">IF($AF236=Constants!$B$7,IF(AN236=1,2,1),"")</f>
        <v/>
      </c>
      <c r="AP236" s="67" t="str">
        <f aca="false">IF(ISBLANK($C236),"",IF($AF236&lt;&gt;Constants!$B$7,$AF236,IF(AN236=1,AJ236,AM236)))</f>
        <v/>
      </c>
      <c r="AQ236" s="67" t="str">
        <f aca="false">IF(ISBLANK($C236),"",IF($AF236=Constants!$B$7,IF(ISNUMBER(AP236),RANK(AP236,$AP$8:$AP$507),Constants!$B$14),$AF236))</f>
        <v/>
      </c>
      <c r="AR236" s="67" t="str">
        <f aca="false">IF(ISBLANK($C236),"",IF($AF236=Constants!$B$7,IF(AO236=1,AJ236,AM236),""))</f>
        <v/>
      </c>
      <c r="AS236" s="67" t="str">
        <f aca="false">IF(ISBLANK($C236),"",IF($AF236=Constants!$B$7,RANK(AR236,$AR$8:$AR$507),$AF236))</f>
        <v/>
      </c>
      <c r="AT236" s="67" t="str">
        <f aca="false">IF(ISBLANK($C236),"",IF($AF236=Constants!$B$7,IF(ISNUMBER(AQ236),COUNTIFS($AQ$8:$AQ$507,"&lt;"&amp;$AQ236)+COUNTIFS($AQ$8:$AQ$507,$AQ236,$AS$8:$AS$507,"&lt;"&amp;$AS236)+1,Constants!$B$14),$AF236))</f>
        <v/>
      </c>
      <c r="AU236" s="67" t="str">
        <f aca="false">IF(ISBLANK($C236),"",IF($AF236=Constants!$B$7,IF(ISNUMBER(AQ236),AQ236-AT236,Constants!$B$14),$AF236))</f>
        <v/>
      </c>
      <c r="AV236" s="69"/>
      <c r="AW236" s="70" t="str">
        <f aca="false">IF(ISBLANK($C236),"",IF($AF236&lt;&gt;Constants!$B$7,"",AN236))</f>
        <v/>
      </c>
      <c r="AX236" s="85" t="str">
        <f aca="false">IF(ISBLANK($C236),"",IF($AF236&lt;&gt;Constants!$B$7,"",IF(AN236=1,AH236,AK236)))</f>
        <v/>
      </c>
      <c r="AY236" s="72" t="str">
        <f aca="false">IF(ISBLANK($C236),"",IF($AF236&lt;&gt;Constants!$B$7,"",IF(AN236=1,AI236,AL236)))</f>
        <v/>
      </c>
      <c r="AZ236" s="73" t="str">
        <f aca="false">IF(ISBLANK($C236),"",IF($AF236&lt;&gt;Constants!$B$7,$AF236,AP236))</f>
        <v/>
      </c>
      <c r="BA236" s="74" t="str">
        <f aca="false">IF(ISBLANK($C236),"",IF($AF236&lt;&gt;Constants!$B$7,$AF236,AG236))</f>
        <v/>
      </c>
      <c r="BB236" s="75" t="str">
        <f aca="false">IF(ISBLANK($C236),"",AU236)</f>
        <v/>
      </c>
      <c r="BC236" s="75" t="str">
        <f aca="false">IF(ISBLANK($C236),"",AT236)</f>
        <v/>
      </c>
      <c r="BD236" s="76" t="str">
        <f aca="false">IF(ISBLANK($C236),"",IFERROR(_xlfn.SWITCH(BC236,Constants!$B$4,COUNTA($C$8:$C$507)+2,Constants!$B$5,COUNTA($C$8:$C$507)+1,Constants!$B$6,COUNTA($C$8:$C$507)),BC236))</f>
        <v/>
      </c>
      <c r="BE236" s="5"/>
      <c r="BF236" s="77" t="n">
        <f aca="false">IF(OR(ISNUMBER(BC236),BC236=Constants!$B$4,BC236=Constants!$B$6,BC236=Constants!$B$5),1,0)</f>
        <v>0</v>
      </c>
      <c r="BG236" s="77" t="n">
        <v>229</v>
      </c>
      <c r="BH236" s="77" t="str">
        <f aca="false">IF(ISBLANK($C236),"",IF(ISNUMBER(BD236),BD236+ROW($B236)/1000,""))</f>
        <v/>
      </c>
      <c r="BI236" s="77" t="str">
        <f aca="false">IF(ISNUMBER(BH236),RANK(BH236,$BH$8:$BH$507,1),"")</f>
        <v/>
      </c>
      <c r="BJ236" s="77" t="str">
        <f aca="false">IF(ISBLANK($C236),"",$B236)</f>
        <v/>
      </c>
      <c r="BK236" s="77" t="str">
        <f aca="false">IF(ISBLANK($C236),"",$C236)</f>
        <v/>
      </c>
      <c r="BL236" s="77" t="str">
        <f aca="false">IF(ISBLANK($C236),"",$D236)</f>
        <v/>
      </c>
      <c r="BM236" s="78" t="str">
        <f aca="false">BA236</f>
        <v/>
      </c>
      <c r="BN236" s="79" t="str">
        <f aca="false">AZ236</f>
        <v/>
      </c>
      <c r="BO236" s="77" t="str">
        <f aca="false">IF(ISBLANK($C236),"",BC236)</f>
        <v/>
      </c>
      <c r="BP236" s="80" t="str">
        <f aca="false">IF($BG236&gt;$BF$7,"",VLOOKUP($BG236,$BI$8:$BO$507,7,FALSE()))</f>
        <v/>
      </c>
      <c r="BQ236" s="81" t="str">
        <f aca="false">IF($BG236&gt;$BF$7,"",VLOOKUP($BG236,$BI$8:$BO$507,2,FALSE()))</f>
        <v/>
      </c>
      <c r="BR236" s="81" t="str">
        <f aca="false">IF($BG236&gt;$BF$7,"",VLOOKUP($BG236,$BI$8:$BO$507,3,FALSE()))</f>
        <v/>
      </c>
      <c r="BS236" s="81" t="str">
        <f aca="false">IF($BG236&gt;$BF$7,"",VLOOKUP($BG236,$BI$8:$BO$507,4,FALSE()))</f>
        <v/>
      </c>
      <c r="BT236" s="81" t="str">
        <f aca="false">IF($BG236&gt;$BF$7,"",VLOOKUP($BG236,$BI$8:$BO$507,5,FALSE()))</f>
        <v/>
      </c>
      <c r="BU236" s="82" t="str">
        <f aca="false">IF($BG236&gt;$BF$7,"",VLOOKUP($BG236,$BI$8:$BO$507,6,FALSE()))</f>
        <v/>
      </c>
      <c r="BV236" s="54"/>
    </row>
    <row r="237" customFormat="false" ht="15.75" hidden="false" customHeight="false" outlineLevel="0" collapsed="false">
      <c r="A237" s="5"/>
      <c r="B237" s="135"/>
      <c r="C237" s="56"/>
      <c r="D237" s="57"/>
      <c r="E237" s="84"/>
      <c r="F237" s="136"/>
      <c r="G237" s="60"/>
      <c r="H237" s="137"/>
      <c r="I237" s="62"/>
      <c r="J237" s="62"/>
      <c r="K237" s="60"/>
      <c r="L237" s="138"/>
      <c r="M237" s="62"/>
      <c r="N237" s="62"/>
      <c r="O237" s="60"/>
      <c r="P237" s="84"/>
      <c r="Q237" s="65"/>
      <c r="R237" s="67" t="str">
        <f aca="false">IF(ISBLANK($C237),"",IF(E237=Constants!$B$2, TRUE(), IF(E237=Constants!$B$3, FALSE(), TRUE())))</f>
        <v/>
      </c>
      <c r="S237" s="67" t="str">
        <f aca="false">IF(ISBLANK($C237),"",IF(F237=Constants!$B$2, TRUE(), IF(F237=Constants!$B$3, FALSE(), TRUE())))</f>
        <v/>
      </c>
      <c r="T237" s="67" t="str">
        <f aca="false">IF(ISBLANK($C237),"",IF(G237=Constants!$B$16,Constants!$B$9,IF(G237=Constants!$B$17,Constants!$B$10,Constants!$B$8)))</f>
        <v/>
      </c>
      <c r="U237" s="67" t="str">
        <f aca="false">IF(ISBLANK($C237),"",IF(H237=Constants!$B$19,Constants!$B$19,Constants!$B$18))</f>
        <v/>
      </c>
      <c r="V237" s="67" t="str">
        <f aca="false">IF(ISBLANK($C237),"",IF(ISNUMBER(I237),IF(I237&gt;=0,I237,""),""))</f>
        <v/>
      </c>
      <c r="W237" s="67" t="str">
        <f aca="false">IF(ISBLANK($C237),"",IF(J237=Constants!$B$2, TRUE(), IF(J237=Constants!$B$3, FALSE(), TRUE())))</f>
        <v/>
      </c>
      <c r="X237" s="67" t="str">
        <f aca="false">IF(ISBLANK($C237),"",IF(K237=Constants!$B$2, TRUE(), IF(K237=Constants!$B$3, FALSE(), TRUE())))</f>
        <v/>
      </c>
      <c r="Y237" s="67" t="str">
        <f aca="false">IF(ISBLANK($C237),"",IF(L237=Constants!$B$19,Constants!$B$19,Constants!$B$18))</f>
        <v/>
      </c>
      <c r="Z237" s="67" t="str">
        <f aca="false">IF(ISBLANK($C237),"",IF(ISNUMBER(M237),IF(M237&gt;=0,M237,""),""))</f>
        <v/>
      </c>
      <c r="AA237" s="67" t="str">
        <f aca="false">IF(ISBLANK($C237),"",IF(N237=Constants!$B$2, TRUE(), IF(N237=Constants!$B$3, FALSE(), TRUE())))</f>
        <v/>
      </c>
      <c r="AB237" s="67" t="str">
        <f aca="false">IF(ISBLANK($C237),"",IF(O237=Constants!$B$2, TRUE(), IF(O237=Constants!$B$3, FALSE(), TRUE())))</f>
        <v/>
      </c>
      <c r="AC237" s="67" t="str">
        <f aca="false">IF(ISBLANK($C237),"",IF(P237=Constants!$B$2, TRUE(), IF(P237=Constants!$B$3, FALSE(), FALSE())))</f>
        <v/>
      </c>
      <c r="AD237" s="67" t="str">
        <f aca="false">IF(ISBLANK($C237),"",AND(V237&lt;&gt;"",IF(U237=Constants!$B$19,S237,R237)))</f>
        <v/>
      </c>
      <c r="AE237" s="67" t="str">
        <f aca="false">IF(ISBLANK($C237),"",AND(Z237&lt;&gt;"",IF(Y237=Constants!$B$19,S237,R237)))</f>
        <v/>
      </c>
      <c r="AF237" s="67" t="str">
        <f aca="false">IF(ISBLANK($C237),"",IF(AC237,Constants!$B$4,IF(COUNTA(E237:O237)=0,Constants!$B$5,IF(AND(NOT(AD237),NOT(AE237)),Constants!$B$6,Constants!$B$7))))</f>
        <v/>
      </c>
      <c r="AG237" s="67" t="str">
        <f aca="false">IF(ISBLANK($C237),"",IF($AF237&lt;&gt;Constants!$B$7,$AF237,Constants!$B$20))</f>
        <v/>
      </c>
      <c r="AH237" s="67" t="str">
        <f aca="false">IF($AF237=Constants!$B$7,IF(AD237,V237,Constants!$B$13),"")</f>
        <v/>
      </c>
      <c r="AI237" s="67" t="str">
        <f aca="false">IF($AF237=Constants!$B$7,IF(AD237,T237*IF(W237, 1, Constants!$B$11)*IF(X237, 1, Constants!$B$12),Constants!$B$13),"")</f>
        <v/>
      </c>
      <c r="AJ237" s="67" t="str">
        <f aca="false">IF($AF237=Constants!$B$7,AH237*AI237,"")</f>
        <v/>
      </c>
      <c r="AK237" s="67" t="str">
        <f aca="false">IF($AF237=Constants!$B$7,IF(AE237,Z237,Constants!$B$13),"")</f>
        <v/>
      </c>
      <c r="AL237" s="67" t="str">
        <f aca="false">IF($AF237=Constants!$B$7,IF(AE237,T237*IF(AA237, 1, Constants!$B$11)*IF(AB237, 1, Constants!$B$12),Constants!$B$13),"")</f>
        <v/>
      </c>
      <c r="AM237" s="67" t="str">
        <f aca="false">IF($AF237=Constants!$B$7,AK237*AL237,"")</f>
        <v/>
      </c>
      <c r="AN237" s="67" t="str">
        <f aca="false">IF($AF237=Constants!$B$7,IF(AM237&gt;AJ237,2,1),"")</f>
        <v/>
      </c>
      <c r="AO237" s="67" t="str">
        <f aca="false">IF($AF237=Constants!$B$7,IF(AN237=1,2,1),"")</f>
        <v/>
      </c>
      <c r="AP237" s="67" t="str">
        <f aca="false">IF(ISBLANK($C237),"",IF($AF237&lt;&gt;Constants!$B$7,$AF237,IF(AN237=1,AJ237,AM237)))</f>
        <v/>
      </c>
      <c r="AQ237" s="67" t="str">
        <f aca="false">IF(ISBLANK($C237),"",IF($AF237=Constants!$B$7,IF(ISNUMBER(AP237),RANK(AP237,$AP$8:$AP$507),Constants!$B$14),$AF237))</f>
        <v/>
      </c>
      <c r="AR237" s="67" t="str">
        <f aca="false">IF(ISBLANK($C237),"",IF($AF237=Constants!$B$7,IF(AO237=1,AJ237,AM237),""))</f>
        <v/>
      </c>
      <c r="AS237" s="67" t="str">
        <f aca="false">IF(ISBLANK($C237),"",IF($AF237=Constants!$B$7,RANK(AR237,$AR$8:$AR$507),$AF237))</f>
        <v/>
      </c>
      <c r="AT237" s="67" t="str">
        <f aca="false">IF(ISBLANK($C237),"",IF($AF237=Constants!$B$7,IF(ISNUMBER(AQ237),COUNTIFS($AQ$8:$AQ$507,"&lt;"&amp;$AQ237)+COUNTIFS($AQ$8:$AQ$507,$AQ237,$AS$8:$AS$507,"&lt;"&amp;$AS237)+1,Constants!$B$14),$AF237))</f>
        <v/>
      </c>
      <c r="AU237" s="67" t="str">
        <f aca="false">IF(ISBLANK($C237),"",IF($AF237=Constants!$B$7,IF(ISNUMBER(AQ237),AQ237-AT237,Constants!$B$14),$AF237))</f>
        <v/>
      </c>
      <c r="AV237" s="69"/>
      <c r="AW237" s="70" t="str">
        <f aca="false">IF(ISBLANK($C237),"",IF($AF237&lt;&gt;Constants!$B$7,"",AN237))</f>
        <v/>
      </c>
      <c r="AX237" s="85" t="str">
        <f aca="false">IF(ISBLANK($C237),"",IF($AF237&lt;&gt;Constants!$B$7,"",IF(AN237=1,AH237,AK237)))</f>
        <v/>
      </c>
      <c r="AY237" s="72" t="str">
        <f aca="false">IF(ISBLANK($C237),"",IF($AF237&lt;&gt;Constants!$B$7,"",IF(AN237=1,AI237,AL237)))</f>
        <v/>
      </c>
      <c r="AZ237" s="73" t="str">
        <f aca="false">IF(ISBLANK($C237),"",IF($AF237&lt;&gt;Constants!$B$7,$AF237,AP237))</f>
        <v/>
      </c>
      <c r="BA237" s="74" t="str">
        <f aca="false">IF(ISBLANK($C237),"",IF($AF237&lt;&gt;Constants!$B$7,$AF237,AG237))</f>
        <v/>
      </c>
      <c r="BB237" s="75" t="str">
        <f aca="false">IF(ISBLANK($C237),"",AU237)</f>
        <v/>
      </c>
      <c r="BC237" s="75" t="str">
        <f aca="false">IF(ISBLANK($C237),"",AT237)</f>
        <v/>
      </c>
      <c r="BD237" s="76" t="str">
        <f aca="false">IF(ISBLANK($C237),"",IFERROR(_xlfn.SWITCH(BC237,Constants!$B$4,COUNTA($C$8:$C$507)+2,Constants!$B$5,COUNTA($C$8:$C$507)+1,Constants!$B$6,COUNTA($C$8:$C$507)),BC237))</f>
        <v/>
      </c>
      <c r="BE237" s="5"/>
      <c r="BF237" s="77" t="n">
        <f aca="false">IF(OR(ISNUMBER(BC237),BC237=Constants!$B$4,BC237=Constants!$B$6,BC237=Constants!$B$5),1,0)</f>
        <v>0</v>
      </c>
      <c r="BG237" s="77" t="n">
        <v>230</v>
      </c>
      <c r="BH237" s="77" t="str">
        <f aca="false">IF(ISBLANK($C237),"",IF(ISNUMBER(BD237),BD237+ROW($B237)/1000,""))</f>
        <v/>
      </c>
      <c r="BI237" s="77" t="str">
        <f aca="false">IF(ISNUMBER(BH237),RANK(BH237,$BH$8:$BH$507,1),"")</f>
        <v/>
      </c>
      <c r="BJ237" s="77" t="str">
        <f aca="false">IF(ISBLANK($C237),"",$B237)</f>
        <v/>
      </c>
      <c r="BK237" s="77" t="str">
        <f aca="false">IF(ISBLANK($C237),"",$C237)</f>
        <v/>
      </c>
      <c r="BL237" s="77" t="str">
        <f aca="false">IF(ISBLANK($C237),"",$D237)</f>
        <v/>
      </c>
      <c r="BM237" s="78" t="str">
        <f aca="false">BA237</f>
        <v/>
      </c>
      <c r="BN237" s="79" t="str">
        <f aca="false">AZ237</f>
        <v/>
      </c>
      <c r="BO237" s="77" t="str">
        <f aca="false">IF(ISBLANK($C237),"",BC237)</f>
        <v/>
      </c>
      <c r="BP237" s="80" t="str">
        <f aca="false">IF($BG237&gt;$BF$7,"",VLOOKUP($BG237,$BI$8:$BO$507,7,FALSE()))</f>
        <v/>
      </c>
      <c r="BQ237" s="81" t="str">
        <f aca="false">IF($BG237&gt;$BF$7,"",VLOOKUP($BG237,$BI$8:$BO$507,2,FALSE()))</f>
        <v/>
      </c>
      <c r="BR237" s="81" t="str">
        <f aca="false">IF($BG237&gt;$BF$7,"",VLOOKUP($BG237,$BI$8:$BO$507,3,FALSE()))</f>
        <v/>
      </c>
      <c r="BS237" s="81" t="str">
        <f aca="false">IF($BG237&gt;$BF$7,"",VLOOKUP($BG237,$BI$8:$BO$507,4,FALSE()))</f>
        <v/>
      </c>
      <c r="BT237" s="81" t="str">
        <f aca="false">IF($BG237&gt;$BF$7,"",VLOOKUP($BG237,$BI$8:$BO$507,5,FALSE()))</f>
        <v/>
      </c>
      <c r="BU237" s="82" t="str">
        <f aca="false">IF($BG237&gt;$BF$7,"",VLOOKUP($BG237,$BI$8:$BO$507,6,FALSE()))</f>
        <v/>
      </c>
      <c r="BV237" s="54"/>
    </row>
    <row r="238" customFormat="false" ht="15.75" hidden="false" customHeight="false" outlineLevel="0" collapsed="false">
      <c r="A238" s="5"/>
      <c r="B238" s="135"/>
      <c r="C238" s="56"/>
      <c r="D238" s="57"/>
      <c r="E238" s="84"/>
      <c r="F238" s="136"/>
      <c r="G238" s="60"/>
      <c r="H238" s="137"/>
      <c r="I238" s="62"/>
      <c r="J238" s="62"/>
      <c r="K238" s="60"/>
      <c r="L238" s="138"/>
      <c r="M238" s="62"/>
      <c r="N238" s="62"/>
      <c r="O238" s="60"/>
      <c r="P238" s="84"/>
      <c r="Q238" s="65"/>
      <c r="R238" s="67" t="str">
        <f aca="false">IF(ISBLANK($C238),"",IF(E238=Constants!$B$2, TRUE(), IF(E238=Constants!$B$3, FALSE(), TRUE())))</f>
        <v/>
      </c>
      <c r="S238" s="67" t="str">
        <f aca="false">IF(ISBLANK($C238),"",IF(F238=Constants!$B$2, TRUE(), IF(F238=Constants!$B$3, FALSE(), TRUE())))</f>
        <v/>
      </c>
      <c r="T238" s="67" t="str">
        <f aca="false">IF(ISBLANK($C238),"",IF(G238=Constants!$B$16,Constants!$B$9,IF(G238=Constants!$B$17,Constants!$B$10,Constants!$B$8)))</f>
        <v/>
      </c>
      <c r="U238" s="67" t="str">
        <f aca="false">IF(ISBLANK($C238),"",IF(H238=Constants!$B$19,Constants!$B$19,Constants!$B$18))</f>
        <v/>
      </c>
      <c r="V238" s="67" t="str">
        <f aca="false">IF(ISBLANK($C238),"",IF(ISNUMBER(I238),IF(I238&gt;=0,I238,""),""))</f>
        <v/>
      </c>
      <c r="W238" s="67" t="str">
        <f aca="false">IF(ISBLANK($C238),"",IF(J238=Constants!$B$2, TRUE(), IF(J238=Constants!$B$3, FALSE(), TRUE())))</f>
        <v/>
      </c>
      <c r="X238" s="67" t="str">
        <f aca="false">IF(ISBLANK($C238),"",IF(K238=Constants!$B$2, TRUE(), IF(K238=Constants!$B$3, FALSE(), TRUE())))</f>
        <v/>
      </c>
      <c r="Y238" s="67" t="str">
        <f aca="false">IF(ISBLANK($C238),"",IF(L238=Constants!$B$19,Constants!$B$19,Constants!$B$18))</f>
        <v/>
      </c>
      <c r="Z238" s="67" t="str">
        <f aca="false">IF(ISBLANK($C238),"",IF(ISNUMBER(M238),IF(M238&gt;=0,M238,""),""))</f>
        <v/>
      </c>
      <c r="AA238" s="67" t="str">
        <f aca="false">IF(ISBLANK($C238),"",IF(N238=Constants!$B$2, TRUE(), IF(N238=Constants!$B$3, FALSE(), TRUE())))</f>
        <v/>
      </c>
      <c r="AB238" s="67" t="str">
        <f aca="false">IF(ISBLANK($C238),"",IF(O238=Constants!$B$2, TRUE(), IF(O238=Constants!$B$3, FALSE(), TRUE())))</f>
        <v/>
      </c>
      <c r="AC238" s="67" t="str">
        <f aca="false">IF(ISBLANK($C238),"",IF(P238=Constants!$B$2, TRUE(), IF(P238=Constants!$B$3, FALSE(), FALSE())))</f>
        <v/>
      </c>
      <c r="AD238" s="67" t="str">
        <f aca="false">IF(ISBLANK($C238),"",AND(V238&lt;&gt;"",IF(U238=Constants!$B$19,S238,R238)))</f>
        <v/>
      </c>
      <c r="AE238" s="67" t="str">
        <f aca="false">IF(ISBLANK($C238),"",AND(Z238&lt;&gt;"",IF(Y238=Constants!$B$19,S238,R238)))</f>
        <v/>
      </c>
      <c r="AF238" s="67" t="str">
        <f aca="false">IF(ISBLANK($C238),"",IF(AC238,Constants!$B$4,IF(COUNTA(E238:O238)=0,Constants!$B$5,IF(AND(NOT(AD238),NOT(AE238)),Constants!$B$6,Constants!$B$7))))</f>
        <v/>
      </c>
      <c r="AG238" s="67" t="str">
        <f aca="false">IF(ISBLANK($C238),"",IF($AF238&lt;&gt;Constants!$B$7,$AF238,Constants!$B$20))</f>
        <v/>
      </c>
      <c r="AH238" s="67" t="str">
        <f aca="false">IF($AF238=Constants!$B$7,IF(AD238,V238,Constants!$B$13),"")</f>
        <v/>
      </c>
      <c r="AI238" s="67" t="str">
        <f aca="false">IF($AF238=Constants!$B$7,IF(AD238,T238*IF(W238, 1, Constants!$B$11)*IF(X238, 1, Constants!$B$12),Constants!$B$13),"")</f>
        <v/>
      </c>
      <c r="AJ238" s="67" t="str">
        <f aca="false">IF($AF238=Constants!$B$7,AH238*AI238,"")</f>
        <v/>
      </c>
      <c r="AK238" s="67" t="str">
        <f aca="false">IF($AF238=Constants!$B$7,IF(AE238,Z238,Constants!$B$13),"")</f>
        <v/>
      </c>
      <c r="AL238" s="67" t="str">
        <f aca="false">IF($AF238=Constants!$B$7,IF(AE238,T238*IF(AA238, 1, Constants!$B$11)*IF(AB238, 1, Constants!$B$12),Constants!$B$13),"")</f>
        <v/>
      </c>
      <c r="AM238" s="67" t="str">
        <f aca="false">IF($AF238=Constants!$B$7,AK238*AL238,"")</f>
        <v/>
      </c>
      <c r="AN238" s="67" t="str">
        <f aca="false">IF($AF238=Constants!$B$7,IF(AM238&gt;AJ238,2,1),"")</f>
        <v/>
      </c>
      <c r="AO238" s="67" t="str">
        <f aca="false">IF($AF238=Constants!$B$7,IF(AN238=1,2,1),"")</f>
        <v/>
      </c>
      <c r="AP238" s="67" t="str">
        <f aca="false">IF(ISBLANK($C238),"",IF($AF238&lt;&gt;Constants!$B$7,$AF238,IF(AN238=1,AJ238,AM238)))</f>
        <v/>
      </c>
      <c r="AQ238" s="67" t="str">
        <f aca="false">IF(ISBLANK($C238),"",IF($AF238=Constants!$B$7,IF(ISNUMBER(AP238),RANK(AP238,$AP$8:$AP$507),Constants!$B$14),$AF238))</f>
        <v/>
      </c>
      <c r="AR238" s="67" t="str">
        <f aca="false">IF(ISBLANK($C238),"",IF($AF238=Constants!$B$7,IF(AO238=1,AJ238,AM238),""))</f>
        <v/>
      </c>
      <c r="AS238" s="67" t="str">
        <f aca="false">IF(ISBLANK($C238),"",IF($AF238=Constants!$B$7,RANK(AR238,$AR$8:$AR$507),$AF238))</f>
        <v/>
      </c>
      <c r="AT238" s="67" t="str">
        <f aca="false">IF(ISBLANK($C238),"",IF($AF238=Constants!$B$7,IF(ISNUMBER(AQ238),COUNTIFS($AQ$8:$AQ$507,"&lt;"&amp;$AQ238)+COUNTIFS($AQ$8:$AQ$507,$AQ238,$AS$8:$AS$507,"&lt;"&amp;$AS238)+1,Constants!$B$14),$AF238))</f>
        <v/>
      </c>
      <c r="AU238" s="67" t="str">
        <f aca="false">IF(ISBLANK($C238),"",IF($AF238=Constants!$B$7,IF(ISNUMBER(AQ238),AQ238-AT238,Constants!$B$14),$AF238))</f>
        <v/>
      </c>
      <c r="AV238" s="69"/>
      <c r="AW238" s="70" t="str">
        <f aca="false">IF(ISBLANK($C238),"",IF($AF238&lt;&gt;Constants!$B$7,"",AN238))</f>
        <v/>
      </c>
      <c r="AX238" s="85" t="str">
        <f aca="false">IF(ISBLANK($C238),"",IF($AF238&lt;&gt;Constants!$B$7,"",IF(AN238=1,AH238,AK238)))</f>
        <v/>
      </c>
      <c r="AY238" s="72" t="str">
        <f aca="false">IF(ISBLANK($C238),"",IF($AF238&lt;&gt;Constants!$B$7,"",IF(AN238=1,AI238,AL238)))</f>
        <v/>
      </c>
      <c r="AZ238" s="73" t="str">
        <f aca="false">IF(ISBLANK($C238),"",IF($AF238&lt;&gt;Constants!$B$7,$AF238,AP238))</f>
        <v/>
      </c>
      <c r="BA238" s="74" t="str">
        <f aca="false">IF(ISBLANK($C238),"",IF($AF238&lt;&gt;Constants!$B$7,$AF238,AG238))</f>
        <v/>
      </c>
      <c r="BB238" s="75" t="str">
        <f aca="false">IF(ISBLANK($C238),"",AU238)</f>
        <v/>
      </c>
      <c r="BC238" s="75" t="str">
        <f aca="false">IF(ISBLANK($C238),"",AT238)</f>
        <v/>
      </c>
      <c r="BD238" s="76" t="str">
        <f aca="false">IF(ISBLANK($C238),"",IFERROR(_xlfn.SWITCH(BC238,Constants!$B$4,COUNTA($C$8:$C$507)+2,Constants!$B$5,COUNTA($C$8:$C$507)+1,Constants!$B$6,COUNTA($C$8:$C$507)),BC238))</f>
        <v/>
      </c>
      <c r="BE238" s="5"/>
      <c r="BF238" s="77" t="n">
        <f aca="false">IF(OR(ISNUMBER(BC238),BC238=Constants!$B$4,BC238=Constants!$B$6,BC238=Constants!$B$5),1,0)</f>
        <v>0</v>
      </c>
      <c r="BG238" s="77" t="n">
        <v>231</v>
      </c>
      <c r="BH238" s="77" t="str">
        <f aca="false">IF(ISBLANK($C238),"",IF(ISNUMBER(BD238),BD238+ROW($B238)/1000,""))</f>
        <v/>
      </c>
      <c r="BI238" s="77" t="str">
        <f aca="false">IF(ISNUMBER(BH238),RANK(BH238,$BH$8:$BH$507,1),"")</f>
        <v/>
      </c>
      <c r="BJ238" s="77" t="str">
        <f aca="false">IF(ISBLANK($C238),"",$B238)</f>
        <v/>
      </c>
      <c r="BK238" s="77" t="str">
        <f aca="false">IF(ISBLANK($C238),"",$C238)</f>
        <v/>
      </c>
      <c r="BL238" s="77" t="str">
        <f aca="false">IF(ISBLANK($C238),"",$D238)</f>
        <v/>
      </c>
      <c r="BM238" s="78" t="str">
        <f aca="false">BA238</f>
        <v/>
      </c>
      <c r="BN238" s="79" t="str">
        <f aca="false">AZ238</f>
        <v/>
      </c>
      <c r="BO238" s="77" t="str">
        <f aca="false">IF(ISBLANK($C238),"",BC238)</f>
        <v/>
      </c>
      <c r="BP238" s="80" t="str">
        <f aca="false">IF($BG238&gt;$BF$7,"",VLOOKUP($BG238,$BI$8:$BO$507,7,FALSE()))</f>
        <v/>
      </c>
      <c r="BQ238" s="81" t="str">
        <f aca="false">IF($BG238&gt;$BF$7,"",VLOOKUP($BG238,$BI$8:$BO$507,2,FALSE()))</f>
        <v/>
      </c>
      <c r="BR238" s="81" t="str">
        <f aca="false">IF($BG238&gt;$BF$7,"",VLOOKUP($BG238,$BI$8:$BO$507,3,FALSE()))</f>
        <v/>
      </c>
      <c r="BS238" s="81" t="str">
        <f aca="false">IF($BG238&gt;$BF$7,"",VLOOKUP($BG238,$BI$8:$BO$507,4,FALSE()))</f>
        <v/>
      </c>
      <c r="BT238" s="81" t="str">
        <f aca="false">IF($BG238&gt;$BF$7,"",VLOOKUP($BG238,$BI$8:$BO$507,5,FALSE()))</f>
        <v/>
      </c>
      <c r="BU238" s="82" t="str">
        <f aca="false">IF($BG238&gt;$BF$7,"",VLOOKUP($BG238,$BI$8:$BO$507,6,FALSE()))</f>
        <v/>
      </c>
      <c r="BV238" s="54"/>
    </row>
    <row r="239" customFormat="false" ht="15.75" hidden="false" customHeight="false" outlineLevel="0" collapsed="false">
      <c r="A239" s="5"/>
      <c r="B239" s="128"/>
      <c r="C239" s="129"/>
      <c r="D239" s="114"/>
      <c r="E239" s="134"/>
      <c r="F239" s="139"/>
      <c r="G239" s="93"/>
      <c r="H239" s="140"/>
      <c r="I239" s="95"/>
      <c r="J239" s="95"/>
      <c r="K239" s="93"/>
      <c r="L239" s="141"/>
      <c r="M239" s="95"/>
      <c r="N239" s="95"/>
      <c r="O239" s="93"/>
      <c r="P239" s="134"/>
      <c r="Q239" s="98"/>
      <c r="R239" s="99" t="str">
        <f aca="false">IF(ISBLANK($C239),"",IF(E239=Constants!$B$2, TRUE(), IF(E239=Constants!$B$3, FALSE(), TRUE())))</f>
        <v/>
      </c>
      <c r="S239" s="99" t="str">
        <f aca="false">IF(ISBLANK($C239),"",IF(F239=Constants!$B$2, TRUE(), IF(F239=Constants!$B$3, FALSE(), TRUE())))</f>
        <v/>
      </c>
      <c r="T239" s="99" t="str">
        <f aca="false">IF(ISBLANK($C239),"",IF(G239=Constants!$B$16,Constants!$B$9,IF(G239=Constants!$B$17,Constants!$B$10,Constants!$B$8)))</f>
        <v/>
      </c>
      <c r="U239" s="99" t="str">
        <f aca="false">IF(ISBLANK($C239),"",IF(H239=Constants!$B$19,Constants!$B$19,Constants!$B$18))</f>
        <v/>
      </c>
      <c r="V239" s="99" t="str">
        <f aca="false">IF(ISBLANK($C239),"",IF(ISNUMBER(I239),IF(I239&gt;=0,I239,""),""))</f>
        <v/>
      </c>
      <c r="W239" s="99" t="str">
        <f aca="false">IF(ISBLANK($C239),"",IF(J239=Constants!$B$2, TRUE(), IF(J239=Constants!$B$3, FALSE(), TRUE())))</f>
        <v/>
      </c>
      <c r="X239" s="99" t="str">
        <f aca="false">IF(ISBLANK($C239),"",IF(K239=Constants!$B$2, TRUE(), IF(K239=Constants!$B$3, FALSE(), TRUE())))</f>
        <v/>
      </c>
      <c r="Y239" s="99" t="str">
        <f aca="false">IF(ISBLANK($C239),"",IF(L239=Constants!$B$19,Constants!$B$19,Constants!$B$18))</f>
        <v/>
      </c>
      <c r="Z239" s="99" t="str">
        <f aca="false">IF(ISBLANK($C239),"",IF(ISNUMBER(M239),IF(M239&gt;=0,M239,""),""))</f>
        <v/>
      </c>
      <c r="AA239" s="99" t="str">
        <f aca="false">IF(ISBLANK($C239),"",IF(N239=Constants!$B$2, TRUE(), IF(N239=Constants!$B$3, FALSE(), TRUE())))</f>
        <v/>
      </c>
      <c r="AB239" s="99" t="str">
        <f aca="false">IF(ISBLANK($C239),"",IF(O239=Constants!$B$2, TRUE(), IF(O239=Constants!$B$3, FALSE(), TRUE())))</f>
        <v/>
      </c>
      <c r="AC239" s="99" t="str">
        <f aca="false">IF(ISBLANK($C239),"",IF(P239=Constants!$B$2, TRUE(), IF(P239=Constants!$B$3, FALSE(), FALSE())))</f>
        <v/>
      </c>
      <c r="AD239" s="99" t="str">
        <f aca="false">IF(ISBLANK($C239),"",AND(V239&lt;&gt;"",IF(U239=Constants!$B$19,S239,R239)))</f>
        <v/>
      </c>
      <c r="AE239" s="99" t="str">
        <f aca="false">IF(ISBLANK($C239),"",AND(Z239&lt;&gt;"",IF(Y239=Constants!$B$19,S239,R239)))</f>
        <v/>
      </c>
      <c r="AF239" s="99" t="str">
        <f aca="false">IF(ISBLANK($C239),"",IF(AC239,Constants!$B$4,IF(COUNTA(E239:O239)=0,Constants!$B$5,IF(AND(NOT(AD239),NOT(AE239)),Constants!$B$6,Constants!$B$7))))</f>
        <v/>
      </c>
      <c r="AG239" s="99" t="str">
        <f aca="false">IF(ISBLANK($C239),"",IF($AF239&lt;&gt;Constants!$B$7,$AF239,Constants!$B$20))</f>
        <v/>
      </c>
      <c r="AH239" s="99" t="str">
        <f aca="false">IF($AF239=Constants!$B$7,IF(AD239,V239,Constants!$B$13),"")</f>
        <v/>
      </c>
      <c r="AI239" s="99" t="str">
        <f aca="false">IF($AF239=Constants!$B$7,IF(AD239,T239*IF(W239, 1, Constants!$B$11)*IF(X239, 1, Constants!$B$12),Constants!$B$13),"")</f>
        <v/>
      </c>
      <c r="AJ239" s="99" t="str">
        <f aca="false">IF($AF239=Constants!$B$7,AH239*AI239,"")</f>
        <v/>
      </c>
      <c r="AK239" s="99" t="str">
        <f aca="false">IF($AF239=Constants!$B$7,IF(AE239,Z239,Constants!$B$13),"")</f>
        <v/>
      </c>
      <c r="AL239" s="99" t="str">
        <f aca="false">IF($AF239=Constants!$B$7,IF(AE239,T239*IF(AA239, 1, Constants!$B$11)*IF(AB239, 1, Constants!$B$12),Constants!$B$13),"")</f>
        <v/>
      </c>
      <c r="AM239" s="99" t="str">
        <f aca="false">IF($AF239=Constants!$B$7,AK239*AL239,"")</f>
        <v/>
      </c>
      <c r="AN239" s="99" t="str">
        <f aca="false">IF($AF239=Constants!$B$7,IF(AM239&gt;AJ239,2,1),"")</f>
        <v/>
      </c>
      <c r="AO239" s="99" t="str">
        <f aca="false">IF($AF239=Constants!$B$7,IF(AN239=1,2,1),"")</f>
        <v/>
      </c>
      <c r="AP239" s="99" t="str">
        <f aca="false">IF(ISBLANK($C239),"",IF($AF239&lt;&gt;Constants!$B$7,$AF239,IF(AN239=1,AJ239,AM239)))</f>
        <v/>
      </c>
      <c r="AQ239" s="99" t="str">
        <f aca="false">IF(ISBLANK($C239),"",IF($AF239=Constants!$B$7,IF(ISNUMBER(AP239),RANK(AP239,$AP$8:$AP$507),Constants!$B$14),$AF239))</f>
        <v/>
      </c>
      <c r="AR239" s="99" t="str">
        <f aca="false">IF(ISBLANK($C239),"",IF($AF239=Constants!$B$7,IF(AO239=1,AJ239,AM239),""))</f>
        <v/>
      </c>
      <c r="AS239" s="99" t="str">
        <f aca="false">IF(ISBLANK($C239),"",IF($AF239=Constants!$B$7,RANK(AR239,$AR$8:$AR$507),$AF239))</f>
        <v/>
      </c>
      <c r="AT239" s="99" t="str">
        <f aca="false">IF(ISBLANK($C239),"",IF($AF239=Constants!$B$7,IF(ISNUMBER(AQ239),COUNTIFS($AQ$8:$AQ$507,"&lt;"&amp;$AQ239)+COUNTIFS($AQ$8:$AQ$507,$AQ239,$AS$8:$AS$507,"&lt;"&amp;$AS239)+1,Constants!$B$14),$AF239))</f>
        <v/>
      </c>
      <c r="AU239" s="99" t="str">
        <f aca="false">IF(ISBLANK($C239),"",IF($AF239=Constants!$B$7,IF(ISNUMBER(AQ239),AQ239-AT239,Constants!$B$14),$AF239))</f>
        <v/>
      </c>
      <c r="AV239" s="100"/>
      <c r="AW239" s="101" t="str">
        <f aca="false">IF(ISBLANK($C239),"",IF($AF239&lt;&gt;Constants!$B$7,"",AN239))</f>
        <v/>
      </c>
      <c r="AX239" s="102" t="str">
        <f aca="false">IF(ISBLANK($C239),"",IF($AF239&lt;&gt;Constants!$B$7,"",IF(AN239=1,AH239,AK239)))</f>
        <v/>
      </c>
      <c r="AY239" s="103" t="str">
        <f aca="false">IF(ISBLANK($C239),"",IF($AF239&lt;&gt;Constants!$B$7,"",IF(AN239=1,AI239,AL239)))</f>
        <v/>
      </c>
      <c r="AZ239" s="104" t="str">
        <f aca="false">IF(ISBLANK($C239),"",IF($AF239&lt;&gt;Constants!$B$7,$AF239,AP239))</f>
        <v/>
      </c>
      <c r="BA239" s="105" t="str">
        <f aca="false">IF(ISBLANK($C239),"",IF($AF239&lt;&gt;Constants!$B$7,$AF239,AG239))</f>
        <v/>
      </c>
      <c r="BB239" s="106" t="str">
        <f aca="false">IF(ISBLANK($C239),"",AU239)</f>
        <v/>
      </c>
      <c r="BC239" s="106" t="str">
        <f aca="false">IF(ISBLANK($C239),"",AT239)</f>
        <v/>
      </c>
      <c r="BD239" s="107" t="str">
        <f aca="false">IF(ISBLANK($C239),"",IFERROR(_xlfn.SWITCH(BC239,Constants!$B$4,COUNTA($C$8:$C$507)+2,Constants!$B$5,COUNTA($C$8:$C$507)+1,Constants!$B$6,COUNTA($C$8:$C$507)),BC239))</f>
        <v/>
      </c>
      <c r="BE239" s="5"/>
      <c r="BF239" s="108" t="n">
        <f aca="false">IF(OR(ISNUMBER(BC239),BC239=Constants!$B$4,BC239=Constants!$B$6,BC239=Constants!$B$5),1,0)</f>
        <v>0</v>
      </c>
      <c r="BG239" s="108" t="n">
        <v>232</v>
      </c>
      <c r="BH239" s="108" t="str">
        <f aca="false">IF(ISBLANK($C239),"",IF(ISNUMBER(BD239),BD239+ROW($B239)/1000,""))</f>
        <v/>
      </c>
      <c r="BI239" s="108" t="str">
        <f aca="false">IF(ISNUMBER(BH239),RANK(BH239,$BH$8:$BH$507,1),"")</f>
        <v/>
      </c>
      <c r="BJ239" s="108" t="str">
        <f aca="false">IF(ISBLANK($C239),"",$B239)</f>
        <v/>
      </c>
      <c r="BK239" s="108" t="str">
        <f aca="false">IF(ISBLANK($C239),"",$C239)</f>
        <v/>
      </c>
      <c r="BL239" s="108" t="str">
        <f aca="false">IF(ISBLANK($C239),"",$D239)</f>
        <v/>
      </c>
      <c r="BM239" s="109" t="str">
        <f aca="false">BA239</f>
        <v/>
      </c>
      <c r="BN239" s="110" t="str">
        <f aca="false">AZ239</f>
        <v/>
      </c>
      <c r="BO239" s="108" t="str">
        <f aca="false">IF(ISBLANK($C239),"",BC239)</f>
        <v/>
      </c>
      <c r="BP239" s="111" t="str">
        <f aca="false">IF($BG239&gt;$BF$7,"",VLOOKUP($BG239,$BI$8:$BO$507,7,FALSE()))</f>
        <v/>
      </c>
      <c r="BQ239" s="112" t="str">
        <f aca="false">IF($BG239&gt;$BF$7,"",VLOOKUP($BG239,$BI$8:$BO$507,2,FALSE()))</f>
        <v/>
      </c>
      <c r="BR239" s="112" t="str">
        <f aca="false">IF($BG239&gt;$BF$7,"",VLOOKUP($BG239,$BI$8:$BO$507,3,FALSE()))</f>
        <v/>
      </c>
      <c r="BS239" s="112" t="str">
        <f aca="false">IF($BG239&gt;$BF$7,"",VLOOKUP($BG239,$BI$8:$BO$507,4,FALSE()))</f>
        <v/>
      </c>
      <c r="BT239" s="112" t="str">
        <f aca="false">IF($BG239&gt;$BF$7,"",VLOOKUP($BG239,$BI$8:$BO$507,5,FALSE()))</f>
        <v/>
      </c>
      <c r="BU239" s="113" t="str">
        <f aca="false">IF($BG239&gt;$BF$7,"",VLOOKUP($BG239,$BI$8:$BO$507,6,FALSE()))</f>
        <v/>
      </c>
      <c r="BV239" s="54"/>
    </row>
    <row r="240" customFormat="false" ht="15.75" hidden="false" customHeight="false" outlineLevel="0" collapsed="false">
      <c r="A240" s="5"/>
      <c r="B240" s="128"/>
      <c r="C240" s="129"/>
      <c r="D240" s="114"/>
      <c r="E240" s="134"/>
      <c r="F240" s="139"/>
      <c r="G240" s="93"/>
      <c r="H240" s="140"/>
      <c r="I240" s="95"/>
      <c r="J240" s="95"/>
      <c r="K240" s="93"/>
      <c r="L240" s="141"/>
      <c r="M240" s="95"/>
      <c r="N240" s="95"/>
      <c r="O240" s="93"/>
      <c r="P240" s="134"/>
      <c r="Q240" s="98"/>
      <c r="R240" s="99" t="str">
        <f aca="false">IF(ISBLANK($C240),"",IF(E240=Constants!$B$2, TRUE(), IF(E240=Constants!$B$3, FALSE(), TRUE())))</f>
        <v/>
      </c>
      <c r="S240" s="99" t="str">
        <f aca="false">IF(ISBLANK($C240),"",IF(F240=Constants!$B$2, TRUE(), IF(F240=Constants!$B$3, FALSE(), TRUE())))</f>
        <v/>
      </c>
      <c r="T240" s="99" t="str">
        <f aca="false">IF(ISBLANK($C240),"",IF(G240=Constants!$B$16,Constants!$B$9,IF(G240=Constants!$B$17,Constants!$B$10,Constants!$B$8)))</f>
        <v/>
      </c>
      <c r="U240" s="99" t="str">
        <f aca="false">IF(ISBLANK($C240),"",IF(H240=Constants!$B$19,Constants!$B$19,Constants!$B$18))</f>
        <v/>
      </c>
      <c r="V240" s="99" t="str">
        <f aca="false">IF(ISBLANK($C240),"",IF(ISNUMBER(I240),IF(I240&gt;=0,I240,""),""))</f>
        <v/>
      </c>
      <c r="W240" s="99" t="str">
        <f aca="false">IF(ISBLANK($C240),"",IF(J240=Constants!$B$2, TRUE(), IF(J240=Constants!$B$3, FALSE(), TRUE())))</f>
        <v/>
      </c>
      <c r="X240" s="99" t="str">
        <f aca="false">IF(ISBLANK($C240),"",IF(K240=Constants!$B$2, TRUE(), IF(K240=Constants!$B$3, FALSE(), TRUE())))</f>
        <v/>
      </c>
      <c r="Y240" s="99" t="str">
        <f aca="false">IF(ISBLANK($C240),"",IF(L240=Constants!$B$19,Constants!$B$19,Constants!$B$18))</f>
        <v/>
      </c>
      <c r="Z240" s="99" t="str">
        <f aca="false">IF(ISBLANK($C240),"",IF(ISNUMBER(M240),IF(M240&gt;=0,M240,""),""))</f>
        <v/>
      </c>
      <c r="AA240" s="99" t="str">
        <f aca="false">IF(ISBLANK($C240),"",IF(N240=Constants!$B$2, TRUE(), IF(N240=Constants!$B$3, FALSE(), TRUE())))</f>
        <v/>
      </c>
      <c r="AB240" s="99" t="str">
        <f aca="false">IF(ISBLANK($C240),"",IF(O240=Constants!$B$2, TRUE(), IF(O240=Constants!$B$3, FALSE(), TRUE())))</f>
        <v/>
      </c>
      <c r="AC240" s="99" t="str">
        <f aca="false">IF(ISBLANK($C240),"",IF(P240=Constants!$B$2, TRUE(), IF(P240=Constants!$B$3, FALSE(), FALSE())))</f>
        <v/>
      </c>
      <c r="AD240" s="99" t="str">
        <f aca="false">IF(ISBLANK($C240),"",AND(V240&lt;&gt;"",IF(U240=Constants!$B$19,S240,R240)))</f>
        <v/>
      </c>
      <c r="AE240" s="99" t="str">
        <f aca="false">IF(ISBLANK($C240),"",AND(Z240&lt;&gt;"",IF(Y240=Constants!$B$19,S240,R240)))</f>
        <v/>
      </c>
      <c r="AF240" s="99" t="str">
        <f aca="false">IF(ISBLANK($C240),"",IF(AC240,Constants!$B$4,IF(COUNTA(E240:O240)=0,Constants!$B$5,IF(AND(NOT(AD240),NOT(AE240)),Constants!$B$6,Constants!$B$7))))</f>
        <v/>
      </c>
      <c r="AG240" s="99" t="str">
        <f aca="false">IF(ISBLANK($C240),"",IF($AF240&lt;&gt;Constants!$B$7,$AF240,Constants!$B$20))</f>
        <v/>
      </c>
      <c r="AH240" s="99" t="str">
        <f aca="false">IF($AF240=Constants!$B$7,IF(AD240,V240,Constants!$B$13),"")</f>
        <v/>
      </c>
      <c r="AI240" s="99" t="str">
        <f aca="false">IF($AF240=Constants!$B$7,IF(AD240,T240*IF(W240, 1, Constants!$B$11)*IF(X240, 1, Constants!$B$12),Constants!$B$13),"")</f>
        <v/>
      </c>
      <c r="AJ240" s="99" t="str">
        <f aca="false">IF($AF240=Constants!$B$7,AH240*AI240,"")</f>
        <v/>
      </c>
      <c r="AK240" s="99" t="str">
        <f aca="false">IF($AF240=Constants!$B$7,IF(AE240,Z240,Constants!$B$13),"")</f>
        <v/>
      </c>
      <c r="AL240" s="99" t="str">
        <f aca="false">IF($AF240=Constants!$B$7,IF(AE240,T240*IF(AA240, 1, Constants!$B$11)*IF(AB240, 1, Constants!$B$12),Constants!$B$13),"")</f>
        <v/>
      </c>
      <c r="AM240" s="99" t="str">
        <f aca="false">IF($AF240=Constants!$B$7,AK240*AL240,"")</f>
        <v/>
      </c>
      <c r="AN240" s="99" t="str">
        <f aca="false">IF($AF240=Constants!$B$7,IF(AM240&gt;AJ240,2,1),"")</f>
        <v/>
      </c>
      <c r="AO240" s="99" t="str">
        <f aca="false">IF($AF240=Constants!$B$7,IF(AN240=1,2,1),"")</f>
        <v/>
      </c>
      <c r="AP240" s="99" t="str">
        <f aca="false">IF(ISBLANK($C240),"",IF($AF240&lt;&gt;Constants!$B$7,$AF240,IF(AN240=1,AJ240,AM240)))</f>
        <v/>
      </c>
      <c r="AQ240" s="99" t="str">
        <f aca="false">IF(ISBLANK($C240),"",IF($AF240=Constants!$B$7,IF(ISNUMBER(AP240),RANK(AP240,$AP$8:$AP$507),Constants!$B$14),$AF240))</f>
        <v/>
      </c>
      <c r="AR240" s="99" t="str">
        <f aca="false">IF(ISBLANK($C240),"",IF($AF240=Constants!$B$7,IF(AO240=1,AJ240,AM240),""))</f>
        <v/>
      </c>
      <c r="AS240" s="99" t="str">
        <f aca="false">IF(ISBLANK($C240),"",IF($AF240=Constants!$B$7,RANK(AR240,$AR$8:$AR$507),$AF240))</f>
        <v/>
      </c>
      <c r="AT240" s="99" t="str">
        <f aca="false">IF(ISBLANK($C240),"",IF($AF240=Constants!$B$7,IF(ISNUMBER(AQ240),COUNTIFS($AQ$8:$AQ$507,"&lt;"&amp;$AQ240)+COUNTIFS($AQ$8:$AQ$507,$AQ240,$AS$8:$AS$507,"&lt;"&amp;$AS240)+1,Constants!$B$14),$AF240))</f>
        <v/>
      </c>
      <c r="AU240" s="99" t="str">
        <f aca="false">IF(ISBLANK($C240),"",IF($AF240=Constants!$B$7,IF(ISNUMBER(AQ240),AQ240-AT240,Constants!$B$14),$AF240))</f>
        <v/>
      </c>
      <c r="AV240" s="100"/>
      <c r="AW240" s="101" t="str">
        <f aca="false">IF(ISBLANK($C240),"",IF($AF240&lt;&gt;Constants!$B$7,"",AN240))</f>
        <v/>
      </c>
      <c r="AX240" s="102" t="str">
        <f aca="false">IF(ISBLANK($C240),"",IF($AF240&lt;&gt;Constants!$B$7,"",IF(AN240=1,AH240,AK240)))</f>
        <v/>
      </c>
      <c r="AY240" s="103" t="str">
        <f aca="false">IF(ISBLANK($C240),"",IF($AF240&lt;&gt;Constants!$B$7,"",IF(AN240=1,AI240,AL240)))</f>
        <v/>
      </c>
      <c r="AZ240" s="104" t="str">
        <f aca="false">IF(ISBLANK($C240),"",IF($AF240&lt;&gt;Constants!$B$7,$AF240,AP240))</f>
        <v/>
      </c>
      <c r="BA240" s="105" t="str">
        <f aca="false">IF(ISBLANK($C240),"",IF($AF240&lt;&gt;Constants!$B$7,$AF240,AG240))</f>
        <v/>
      </c>
      <c r="BB240" s="106" t="str">
        <f aca="false">IF(ISBLANK($C240),"",AU240)</f>
        <v/>
      </c>
      <c r="BC240" s="106" t="str">
        <f aca="false">IF(ISBLANK($C240),"",AT240)</f>
        <v/>
      </c>
      <c r="BD240" s="107" t="str">
        <f aca="false">IF(ISBLANK($C240),"",IFERROR(_xlfn.SWITCH(BC240,Constants!$B$4,COUNTA($C$8:$C$507)+2,Constants!$B$5,COUNTA($C$8:$C$507)+1,Constants!$B$6,COUNTA($C$8:$C$507)),BC240))</f>
        <v/>
      </c>
      <c r="BE240" s="5"/>
      <c r="BF240" s="108" t="n">
        <f aca="false">IF(OR(ISNUMBER(BC240),BC240=Constants!$B$4,BC240=Constants!$B$6,BC240=Constants!$B$5),1,0)</f>
        <v>0</v>
      </c>
      <c r="BG240" s="108" t="n">
        <v>233</v>
      </c>
      <c r="BH240" s="108" t="str">
        <f aca="false">IF(ISBLANK($C240),"",IF(ISNUMBER(BD240),BD240+ROW($B240)/1000,""))</f>
        <v/>
      </c>
      <c r="BI240" s="108" t="str">
        <f aca="false">IF(ISNUMBER(BH240),RANK(BH240,$BH$8:$BH$507,1),"")</f>
        <v/>
      </c>
      <c r="BJ240" s="108" t="str">
        <f aca="false">IF(ISBLANK($C240),"",$B240)</f>
        <v/>
      </c>
      <c r="BK240" s="108" t="str">
        <f aca="false">IF(ISBLANK($C240),"",$C240)</f>
        <v/>
      </c>
      <c r="BL240" s="108" t="str">
        <f aca="false">IF(ISBLANK($C240),"",$D240)</f>
        <v/>
      </c>
      <c r="BM240" s="109" t="str">
        <f aca="false">BA240</f>
        <v/>
      </c>
      <c r="BN240" s="110" t="str">
        <f aca="false">AZ240</f>
        <v/>
      </c>
      <c r="BO240" s="108" t="str">
        <f aca="false">IF(ISBLANK($C240),"",BC240)</f>
        <v/>
      </c>
      <c r="BP240" s="111" t="str">
        <f aca="false">IF($BG240&gt;$BF$7,"",VLOOKUP($BG240,$BI$8:$BO$507,7,FALSE()))</f>
        <v/>
      </c>
      <c r="BQ240" s="112" t="str">
        <f aca="false">IF($BG240&gt;$BF$7,"",VLOOKUP($BG240,$BI$8:$BO$507,2,FALSE()))</f>
        <v/>
      </c>
      <c r="BR240" s="112" t="str">
        <f aca="false">IF($BG240&gt;$BF$7,"",VLOOKUP($BG240,$BI$8:$BO$507,3,FALSE()))</f>
        <v/>
      </c>
      <c r="BS240" s="112" t="str">
        <f aca="false">IF($BG240&gt;$BF$7,"",VLOOKUP($BG240,$BI$8:$BO$507,4,FALSE()))</f>
        <v/>
      </c>
      <c r="BT240" s="112" t="str">
        <f aca="false">IF($BG240&gt;$BF$7,"",VLOOKUP($BG240,$BI$8:$BO$507,5,FALSE()))</f>
        <v/>
      </c>
      <c r="BU240" s="113" t="str">
        <f aca="false">IF($BG240&gt;$BF$7,"",VLOOKUP($BG240,$BI$8:$BO$507,6,FALSE()))</f>
        <v/>
      </c>
      <c r="BV240" s="54"/>
    </row>
    <row r="241" customFormat="false" ht="15.75" hidden="false" customHeight="false" outlineLevel="0" collapsed="false">
      <c r="A241" s="5"/>
      <c r="B241" s="128"/>
      <c r="C241" s="129"/>
      <c r="D241" s="114"/>
      <c r="E241" s="134"/>
      <c r="F241" s="139"/>
      <c r="G241" s="93"/>
      <c r="H241" s="140"/>
      <c r="I241" s="95"/>
      <c r="J241" s="95"/>
      <c r="K241" s="93"/>
      <c r="L241" s="141"/>
      <c r="M241" s="95"/>
      <c r="N241" s="95"/>
      <c r="O241" s="93"/>
      <c r="P241" s="134"/>
      <c r="Q241" s="98"/>
      <c r="R241" s="99" t="str">
        <f aca="false">IF(ISBLANK($C241),"",IF(E241=Constants!$B$2, TRUE(), IF(E241=Constants!$B$3, FALSE(), TRUE())))</f>
        <v/>
      </c>
      <c r="S241" s="99" t="str">
        <f aca="false">IF(ISBLANK($C241),"",IF(F241=Constants!$B$2, TRUE(), IF(F241=Constants!$B$3, FALSE(), TRUE())))</f>
        <v/>
      </c>
      <c r="T241" s="99" t="str">
        <f aca="false">IF(ISBLANK($C241),"",IF(G241=Constants!$B$16,Constants!$B$9,IF(G241=Constants!$B$17,Constants!$B$10,Constants!$B$8)))</f>
        <v/>
      </c>
      <c r="U241" s="99" t="str">
        <f aca="false">IF(ISBLANK($C241),"",IF(H241=Constants!$B$19,Constants!$B$19,Constants!$B$18))</f>
        <v/>
      </c>
      <c r="V241" s="99" t="str">
        <f aca="false">IF(ISBLANK($C241),"",IF(ISNUMBER(I241),IF(I241&gt;=0,I241,""),""))</f>
        <v/>
      </c>
      <c r="W241" s="99" t="str">
        <f aca="false">IF(ISBLANK($C241),"",IF(J241=Constants!$B$2, TRUE(), IF(J241=Constants!$B$3, FALSE(), TRUE())))</f>
        <v/>
      </c>
      <c r="X241" s="99" t="str">
        <f aca="false">IF(ISBLANK($C241),"",IF(K241=Constants!$B$2, TRUE(), IF(K241=Constants!$B$3, FALSE(), TRUE())))</f>
        <v/>
      </c>
      <c r="Y241" s="99" t="str">
        <f aca="false">IF(ISBLANK($C241),"",IF(L241=Constants!$B$19,Constants!$B$19,Constants!$B$18))</f>
        <v/>
      </c>
      <c r="Z241" s="99" t="str">
        <f aca="false">IF(ISBLANK($C241),"",IF(ISNUMBER(M241),IF(M241&gt;=0,M241,""),""))</f>
        <v/>
      </c>
      <c r="AA241" s="99" t="str">
        <f aca="false">IF(ISBLANK($C241),"",IF(N241=Constants!$B$2, TRUE(), IF(N241=Constants!$B$3, FALSE(), TRUE())))</f>
        <v/>
      </c>
      <c r="AB241" s="99" t="str">
        <f aca="false">IF(ISBLANK($C241),"",IF(O241=Constants!$B$2, TRUE(), IF(O241=Constants!$B$3, FALSE(), TRUE())))</f>
        <v/>
      </c>
      <c r="AC241" s="99" t="str">
        <f aca="false">IF(ISBLANK($C241),"",IF(P241=Constants!$B$2, TRUE(), IF(P241=Constants!$B$3, FALSE(), FALSE())))</f>
        <v/>
      </c>
      <c r="AD241" s="99" t="str">
        <f aca="false">IF(ISBLANK($C241),"",AND(V241&lt;&gt;"",IF(U241=Constants!$B$19,S241,R241)))</f>
        <v/>
      </c>
      <c r="AE241" s="99" t="str">
        <f aca="false">IF(ISBLANK($C241),"",AND(Z241&lt;&gt;"",IF(Y241=Constants!$B$19,S241,R241)))</f>
        <v/>
      </c>
      <c r="AF241" s="99" t="str">
        <f aca="false">IF(ISBLANK($C241),"",IF(AC241,Constants!$B$4,IF(COUNTA(E241:O241)=0,Constants!$B$5,IF(AND(NOT(AD241),NOT(AE241)),Constants!$B$6,Constants!$B$7))))</f>
        <v/>
      </c>
      <c r="AG241" s="99" t="str">
        <f aca="false">IF(ISBLANK($C241),"",IF($AF241&lt;&gt;Constants!$B$7,$AF241,Constants!$B$20))</f>
        <v/>
      </c>
      <c r="AH241" s="99" t="str">
        <f aca="false">IF($AF241=Constants!$B$7,IF(AD241,V241,Constants!$B$13),"")</f>
        <v/>
      </c>
      <c r="AI241" s="99" t="str">
        <f aca="false">IF($AF241=Constants!$B$7,IF(AD241,T241*IF(W241, 1, Constants!$B$11)*IF(X241, 1, Constants!$B$12),Constants!$B$13),"")</f>
        <v/>
      </c>
      <c r="AJ241" s="99" t="str">
        <f aca="false">IF($AF241=Constants!$B$7,AH241*AI241,"")</f>
        <v/>
      </c>
      <c r="AK241" s="99" t="str">
        <f aca="false">IF($AF241=Constants!$B$7,IF(AE241,Z241,Constants!$B$13),"")</f>
        <v/>
      </c>
      <c r="AL241" s="99" t="str">
        <f aca="false">IF($AF241=Constants!$B$7,IF(AE241,T241*IF(AA241, 1, Constants!$B$11)*IF(AB241, 1, Constants!$B$12),Constants!$B$13),"")</f>
        <v/>
      </c>
      <c r="AM241" s="99" t="str">
        <f aca="false">IF($AF241=Constants!$B$7,AK241*AL241,"")</f>
        <v/>
      </c>
      <c r="AN241" s="99" t="str">
        <f aca="false">IF($AF241=Constants!$B$7,IF(AM241&gt;AJ241,2,1),"")</f>
        <v/>
      </c>
      <c r="AO241" s="99" t="str">
        <f aca="false">IF($AF241=Constants!$B$7,IF(AN241=1,2,1),"")</f>
        <v/>
      </c>
      <c r="AP241" s="99" t="str">
        <f aca="false">IF(ISBLANK($C241),"",IF($AF241&lt;&gt;Constants!$B$7,$AF241,IF(AN241=1,AJ241,AM241)))</f>
        <v/>
      </c>
      <c r="AQ241" s="99" t="str">
        <f aca="false">IF(ISBLANK($C241),"",IF($AF241=Constants!$B$7,IF(ISNUMBER(AP241),RANK(AP241,$AP$8:$AP$507),Constants!$B$14),$AF241))</f>
        <v/>
      </c>
      <c r="AR241" s="99" t="str">
        <f aca="false">IF(ISBLANK($C241),"",IF($AF241=Constants!$B$7,IF(AO241=1,AJ241,AM241),""))</f>
        <v/>
      </c>
      <c r="AS241" s="99" t="str">
        <f aca="false">IF(ISBLANK($C241),"",IF($AF241=Constants!$B$7,RANK(AR241,$AR$8:$AR$507),$AF241))</f>
        <v/>
      </c>
      <c r="AT241" s="99" t="str">
        <f aca="false">IF(ISBLANK($C241),"",IF($AF241=Constants!$B$7,IF(ISNUMBER(AQ241),COUNTIFS($AQ$8:$AQ$507,"&lt;"&amp;$AQ241)+COUNTIFS($AQ$8:$AQ$507,$AQ241,$AS$8:$AS$507,"&lt;"&amp;$AS241)+1,Constants!$B$14),$AF241))</f>
        <v/>
      </c>
      <c r="AU241" s="99" t="str">
        <f aca="false">IF(ISBLANK($C241),"",IF($AF241=Constants!$B$7,IF(ISNUMBER(AQ241),AQ241-AT241,Constants!$B$14),$AF241))</f>
        <v/>
      </c>
      <c r="AV241" s="100"/>
      <c r="AW241" s="101" t="str">
        <f aca="false">IF(ISBLANK($C241),"",IF($AF241&lt;&gt;Constants!$B$7,"",AN241))</f>
        <v/>
      </c>
      <c r="AX241" s="102" t="str">
        <f aca="false">IF(ISBLANK($C241),"",IF($AF241&lt;&gt;Constants!$B$7,"",IF(AN241=1,AH241,AK241)))</f>
        <v/>
      </c>
      <c r="AY241" s="103" t="str">
        <f aca="false">IF(ISBLANK($C241),"",IF($AF241&lt;&gt;Constants!$B$7,"",IF(AN241=1,AI241,AL241)))</f>
        <v/>
      </c>
      <c r="AZ241" s="104" t="str">
        <f aca="false">IF(ISBLANK($C241),"",IF($AF241&lt;&gt;Constants!$B$7,$AF241,AP241))</f>
        <v/>
      </c>
      <c r="BA241" s="105" t="str">
        <f aca="false">IF(ISBLANK($C241),"",IF($AF241&lt;&gt;Constants!$B$7,$AF241,AG241))</f>
        <v/>
      </c>
      <c r="BB241" s="106" t="str">
        <f aca="false">IF(ISBLANK($C241),"",AU241)</f>
        <v/>
      </c>
      <c r="BC241" s="106" t="str">
        <f aca="false">IF(ISBLANK($C241),"",AT241)</f>
        <v/>
      </c>
      <c r="BD241" s="107" t="str">
        <f aca="false">IF(ISBLANK($C241),"",IFERROR(_xlfn.SWITCH(BC241,Constants!$B$4,COUNTA($C$8:$C$507)+2,Constants!$B$5,COUNTA($C$8:$C$507)+1,Constants!$B$6,COUNTA($C$8:$C$507)),BC241))</f>
        <v/>
      </c>
      <c r="BE241" s="5"/>
      <c r="BF241" s="108" t="n">
        <f aca="false">IF(OR(ISNUMBER(BC241),BC241=Constants!$B$4,BC241=Constants!$B$6,BC241=Constants!$B$5),1,0)</f>
        <v>0</v>
      </c>
      <c r="BG241" s="108" t="n">
        <v>234</v>
      </c>
      <c r="BH241" s="108" t="str">
        <f aca="false">IF(ISBLANK($C241),"",IF(ISNUMBER(BD241),BD241+ROW($B241)/1000,""))</f>
        <v/>
      </c>
      <c r="BI241" s="108" t="str">
        <f aca="false">IF(ISNUMBER(BH241),RANK(BH241,$BH$8:$BH$507,1),"")</f>
        <v/>
      </c>
      <c r="BJ241" s="108" t="str">
        <f aca="false">IF(ISBLANK($C241),"",$B241)</f>
        <v/>
      </c>
      <c r="BK241" s="108" t="str">
        <f aca="false">IF(ISBLANK($C241),"",$C241)</f>
        <v/>
      </c>
      <c r="BL241" s="108" t="str">
        <f aca="false">IF(ISBLANK($C241),"",$D241)</f>
        <v/>
      </c>
      <c r="BM241" s="109" t="str">
        <f aca="false">BA241</f>
        <v/>
      </c>
      <c r="BN241" s="110" t="str">
        <f aca="false">AZ241</f>
        <v/>
      </c>
      <c r="BO241" s="108" t="str">
        <f aca="false">IF(ISBLANK($C241),"",BC241)</f>
        <v/>
      </c>
      <c r="BP241" s="111" t="str">
        <f aca="false">IF($BG241&gt;$BF$7,"",VLOOKUP($BG241,$BI$8:$BO$507,7,FALSE()))</f>
        <v/>
      </c>
      <c r="BQ241" s="112" t="str">
        <f aca="false">IF($BG241&gt;$BF$7,"",VLOOKUP($BG241,$BI$8:$BO$507,2,FALSE()))</f>
        <v/>
      </c>
      <c r="BR241" s="112" t="str">
        <f aca="false">IF($BG241&gt;$BF$7,"",VLOOKUP($BG241,$BI$8:$BO$507,3,FALSE()))</f>
        <v/>
      </c>
      <c r="BS241" s="112" t="str">
        <f aca="false">IF($BG241&gt;$BF$7,"",VLOOKUP($BG241,$BI$8:$BO$507,4,FALSE()))</f>
        <v/>
      </c>
      <c r="BT241" s="112" t="str">
        <f aca="false">IF($BG241&gt;$BF$7,"",VLOOKUP($BG241,$BI$8:$BO$507,5,FALSE()))</f>
        <v/>
      </c>
      <c r="BU241" s="113" t="str">
        <f aca="false">IF($BG241&gt;$BF$7,"",VLOOKUP($BG241,$BI$8:$BO$507,6,FALSE()))</f>
        <v/>
      </c>
      <c r="BV241" s="54"/>
    </row>
    <row r="242" customFormat="false" ht="15.75" hidden="false" customHeight="false" outlineLevel="0" collapsed="false">
      <c r="A242" s="5"/>
      <c r="B242" s="135"/>
      <c r="C242" s="56"/>
      <c r="D242" s="57"/>
      <c r="E242" s="84"/>
      <c r="F242" s="136"/>
      <c r="G242" s="60"/>
      <c r="H242" s="137"/>
      <c r="I242" s="62"/>
      <c r="J242" s="62"/>
      <c r="K242" s="60"/>
      <c r="L242" s="138"/>
      <c r="M242" s="62"/>
      <c r="N242" s="62"/>
      <c r="O242" s="60"/>
      <c r="P242" s="84"/>
      <c r="Q242" s="65"/>
      <c r="R242" s="67" t="str">
        <f aca="false">IF(ISBLANK($C242),"",IF(E242=Constants!$B$2, TRUE(), IF(E242=Constants!$B$3, FALSE(), TRUE())))</f>
        <v/>
      </c>
      <c r="S242" s="67" t="str">
        <f aca="false">IF(ISBLANK($C242),"",IF(F242=Constants!$B$2, TRUE(), IF(F242=Constants!$B$3, FALSE(), TRUE())))</f>
        <v/>
      </c>
      <c r="T242" s="67" t="str">
        <f aca="false">IF(ISBLANK($C242),"",IF(G242=Constants!$B$16,Constants!$B$9,IF(G242=Constants!$B$17,Constants!$B$10,Constants!$B$8)))</f>
        <v/>
      </c>
      <c r="U242" s="67" t="str">
        <f aca="false">IF(ISBLANK($C242),"",IF(H242=Constants!$B$19,Constants!$B$19,Constants!$B$18))</f>
        <v/>
      </c>
      <c r="V242" s="67" t="str">
        <f aca="false">IF(ISBLANK($C242),"",IF(ISNUMBER(I242),IF(I242&gt;=0,I242,""),""))</f>
        <v/>
      </c>
      <c r="W242" s="67" t="str">
        <f aca="false">IF(ISBLANK($C242),"",IF(J242=Constants!$B$2, TRUE(), IF(J242=Constants!$B$3, FALSE(), TRUE())))</f>
        <v/>
      </c>
      <c r="X242" s="67" t="str">
        <f aca="false">IF(ISBLANK($C242),"",IF(K242=Constants!$B$2, TRUE(), IF(K242=Constants!$B$3, FALSE(), TRUE())))</f>
        <v/>
      </c>
      <c r="Y242" s="67" t="str">
        <f aca="false">IF(ISBLANK($C242),"",IF(L242=Constants!$B$19,Constants!$B$19,Constants!$B$18))</f>
        <v/>
      </c>
      <c r="Z242" s="67" t="str">
        <f aca="false">IF(ISBLANK($C242),"",IF(ISNUMBER(M242),IF(M242&gt;=0,M242,""),""))</f>
        <v/>
      </c>
      <c r="AA242" s="67" t="str">
        <f aca="false">IF(ISBLANK($C242),"",IF(N242=Constants!$B$2, TRUE(), IF(N242=Constants!$B$3, FALSE(), TRUE())))</f>
        <v/>
      </c>
      <c r="AB242" s="67" t="str">
        <f aca="false">IF(ISBLANK($C242),"",IF(O242=Constants!$B$2, TRUE(), IF(O242=Constants!$B$3, FALSE(), TRUE())))</f>
        <v/>
      </c>
      <c r="AC242" s="67" t="str">
        <f aca="false">IF(ISBLANK($C242),"",IF(P242=Constants!$B$2, TRUE(), IF(P242=Constants!$B$3, FALSE(), FALSE())))</f>
        <v/>
      </c>
      <c r="AD242" s="67" t="str">
        <f aca="false">IF(ISBLANK($C242),"",AND(V242&lt;&gt;"",IF(U242=Constants!$B$19,S242,R242)))</f>
        <v/>
      </c>
      <c r="AE242" s="67" t="str">
        <f aca="false">IF(ISBLANK($C242),"",AND(Z242&lt;&gt;"",IF(Y242=Constants!$B$19,S242,R242)))</f>
        <v/>
      </c>
      <c r="AF242" s="67" t="str">
        <f aca="false">IF(ISBLANK($C242),"",IF(AC242,Constants!$B$4,IF(COUNTA(E242:O242)=0,Constants!$B$5,IF(AND(NOT(AD242),NOT(AE242)),Constants!$B$6,Constants!$B$7))))</f>
        <v/>
      </c>
      <c r="AG242" s="67" t="str">
        <f aca="false">IF(ISBLANK($C242),"",IF($AF242&lt;&gt;Constants!$B$7,$AF242,Constants!$B$20))</f>
        <v/>
      </c>
      <c r="AH242" s="67" t="str">
        <f aca="false">IF($AF242=Constants!$B$7,IF(AD242,V242,Constants!$B$13),"")</f>
        <v/>
      </c>
      <c r="AI242" s="67" t="str">
        <f aca="false">IF($AF242=Constants!$B$7,IF(AD242,T242*IF(W242, 1, Constants!$B$11)*IF(X242, 1, Constants!$B$12),Constants!$B$13),"")</f>
        <v/>
      </c>
      <c r="AJ242" s="67" t="str">
        <f aca="false">IF($AF242=Constants!$B$7,AH242*AI242,"")</f>
        <v/>
      </c>
      <c r="AK242" s="67" t="str">
        <f aca="false">IF($AF242=Constants!$B$7,IF(AE242,Z242,Constants!$B$13),"")</f>
        <v/>
      </c>
      <c r="AL242" s="67" t="str">
        <f aca="false">IF($AF242=Constants!$B$7,IF(AE242,T242*IF(AA242, 1, Constants!$B$11)*IF(AB242, 1, Constants!$B$12),Constants!$B$13),"")</f>
        <v/>
      </c>
      <c r="AM242" s="67" t="str">
        <f aca="false">IF($AF242=Constants!$B$7,AK242*AL242,"")</f>
        <v/>
      </c>
      <c r="AN242" s="67" t="str">
        <f aca="false">IF($AF242=Constants!$B$7,IF(AM242&gt;AJ242,2,1),"")</f>
        <v/>
      </c>
      <c r="AO242" s="67" t="str">
        <f aca="false">IF($AF242=Constants!$B$7,IF(AN242=1,2,1),"")</f>
        <v/>
      </c>
      <c r="AP242" s="67" t="str">
        <f aca="false">IF(ISBLANK($C242),"",IF($AF242&lt;&gt;Constants!$B$7,$AF242,IF(AN242=1,AJ242,AM242)))</f>
        <v/>
      </c>
      <c r="AQ242" s="67" t="str">
        <f aca="false">IF(ISBLANK($C242),"",IF($AF242=Constants!$B$7,IF(ISNUMBER(AP242),RANK(AP242,$AP$8:$AP$507),Constants!$B$14),$AF242))</f>
        <v/>
      </c>
      <c r="AR242" s="67" t="str">
        <f aca="false">IF(ISBLANK($C242),"",IF($AF242=Constants!$B$7,IF(AO242=1,AJ242,AM242),""))</f>
        <v/>
      </c>
      <c r="AS242" s="67" t="str">
        <f aca="false">IF(ISBLANK($C242),"",IF($AF242=Constants!$B$7,RANK(AR242,$AR$8:$AR$507),$AF242))</f>
        <v/>
      </c>
      <c r="AT242" s="67" t="str">
        <f aca="false">IF(ISBLANK($C242),"",IF($AF242=Constants!$B$7,IF(ISNUMBER(AQ242),COUNTIFS($AQ$8:$AQ$507,"&lt;"&amp;$AQ242)+COUNTIFS($AQ$8:$AQ$507,$AQ242,$AS$8:$AS$507,"&lt;"&amp;$AS242)+1,Constants!$B$14),$AF242))</f>
        <v/>
      </c>
      <c r="AU242" s="67" t="str">
        <f aca="false">IF(ISBLANK($C242),"",IF($AF242=Constants!$B$7,IF(ISNUMBER(AQ242),AQ242-AT242,Constants!$B$14),$AF242))</f>
        <v/>
      </c>
      <c r="AV242" s="69"/>
      <c r="AW242" s="70" t="str">
        <f aca="false">IF(ISBLANK($C242),"",IF($AF242&lt;&gt;Constants!$B$7,"",AN242))</f>
        <v/>
      </c>
      <c r="AX242" s="85" t="str">
        <f aca="false">IF(ISBLANK($C242),"",IF($AF242&lt;&gt;Constants!$B$7,"",IF(AN242=1,AH242,AK242)))</f>
        <v/>
      </c>
      <c r="AY242" s="72" t="str">
        <f aca="false">IF(ISBLANK($C242),"",IF($AF242&lt;&gt;Constants!$B$7,"",IF(AN242=1,AI242,AL242)))</f>
        <v/>
      </c>
      <c r="AZ242" s="73" t="str">
        <f aca="false">IF(ISBLANK($C242),"",IF($AF242&lt;&gt;Constants!$B$7,$AF242,AP242))</f>
        <v/>
      </c>
      <c r="BA242" s="74" t="str">
        <f aca="false">IF(ISBLANK($C242),"",IF($AF242&lt;&gt;Constants!$B$7,$AF242,AG242))</f>
        <v/>
      </c>
      <c r="BB242" s="75" t="str">
        <f aca="false">IF(ISBLANK($C242),"",AU242)</f>
        <v/>
      </c>
      <c r="BC242" s="75" t="str">
        <f aca="false">IF(ISBLANK($C242),"",AT242)</f>
        <v/>
      </c>
      <c r="BD242" s="76" t="str">
        <f aca="false">IF(ISBLANK($C242),"",IFERROR(_xlfn.SWITCH(BC242,Constants!$B$4,COUNTA($C$8:$C$507)+2,Constants!$B$5,COUNTA($C$8:$C$507)+1,Constants!$B$6,COUNTA($C$8:$C$507)),BC242))</f>
        <v/>
      </c>
      <c r="BE242" s="5"/>
      <c r="BF242" s="77" t="n">
        <f aca="false">IF(OR(ISNUMBER(BC242),BC242=Constants!$B$4,BC242=Constants!$B$6,BC242=Constants!$B$5),1,0)</f>
        <v>0</v>
      </c>
      <c r="BG242" s="77" t="n">
        <v>235</v>
      </c>
      <c r="BH242" s="77" t="str">
        <f aca="false">IF(ISBLANK($C242),"",IF(ISNUMBER(BD242),BD242+ROW($B242)/1000,""))</f>
        <v/>
      </c>
      <c r="BI242" s="77" t="str">
        <f aca="false">IF(ISNUMBER(BH242),RANK(BH242,$BH$8:$BH$507,1),"")</f>
        <v/>
      </c>
      <c r="BJ242" s="77" t="str">
        <f aca="false">IF(ISBLANK($C242),"",$B242)</f>
        <v/>
      </c>
      <c r="BK242" s="77" t="str">
        <f aca="false">IF(ISBLANK($C242),"",$C242)</f>
        <v/>
      </c>
      <c r="BL242" s="77" t="str">
        <f aca="false">IF(ISBLANK($C242),"",$D242)</f>
        <v/>
      </c>
      <c r="BM242" s="78" t="str">
        <f aca="false">BA242</f>
        <v/>
      </c>
      <c r="BN242" s="79" t="str">
        <f aca="false">AZ242</f>
        <v/>
      </c>
      <c r="BO242" s="77" t="str">
        <f aca="false">IF(ISBLANK($C242),"",BC242)</f>
        <v/>
      </c>
      <c r="BP242" s="80" t="str">
        <f aca="false">IF($BG242&gt;$BF$7,"",VLOOKUP($BG242,$BI$8:$BO$507,7,FALSE()))</f>
        <v/>
      </c>
      <c r="BQ242" s="81" t="str">
        <f aca="false">IF($BG242&gt;$BF$7,"",VLOOKUP($BG242,$BI$8:$BO$507,2,FALSE()))</f>
        <v/>
      </c>
      <c r="BR242" s="81" t="str">
        <f aca="false">IF($BG242&gt;$BF$7,"",VLOOKUP($BG242,$BI$8:$BO$507,3,FALSE()))</f>
        <v/>
      </c>
      <c r="BS242" s="81" t="str">
        <f aca="false">IF($BG242&gt;$BF$7,"",VLOOKUP($BG242,$BI$8:$BO$507,4,FALSE()))</f>
        <v/>
      </c>
      <c r="BT242" s="81" t="str">
        <f aca="false">IF($BG242&gt;$BF$7,"",VLOOKUP($BG242,$BI$8:$BO$507,5,FALSE()))</f>
        <v/>
      </c>
      <c r="BU242" s="82" t="str">
        <f aca="false">IF($BG242&gt;$BF$7,"",VLOOKUP($BG242,$BI$8:$BO$507,6,FALSE()))</f>
        <v/>
      </c>
      <c r="BV242" s="54"/>
    </row>
    <row r="243" customFormat="false" ht="15.75" hidden="false" customHeight="false" outlineLevel="0" collapsed="false">
      <c r="A243" s="5"/>
      <c r="B243" s="135"/>
      <c r="C243" s="56"/>
      <c r="D243" s="57"/>
      <c r="E243" s="84"/>
      <c r="F243" s="136"/>
      <c r="G243" s="60"/>
      <c r="H243" s="137"/>
      <c r="I243" s="62"/>
      <c r="J243" s="62"/>
      <c r="K243" s="60"/>
      <c r="L243" s="138"/>
      <c r="M243" s="62"/>
      <c r="N243" s="62"/>
      <c r="O243" s="60"/>
      <c r="P243" s="84"/>
      <c r="Q243" s="65"/>
      <c r="R243" s="67" t="str">
        <f aca="false">IF(ISBLANK($C243),"",IF(E243=Constants!$B$2, TRUE(), IF(E243=Constants!$B$3, FALSE(), TRUE())))</f>
        <v/>
      </c>
      <c r="S243" s="67" t="str">
        <f aca="false">IF(ISBLANK($C243),"",IF(F243=Constants!$B$2, TRUE(), IF(F243=Constants!$B$3, FALSE(), TRUE())))</f>
        <v/>
      </c>
      <c r="T243" s="67" t="str">
        <f aca="false">IF(ISBLANK($C243),"",IF(G243=Constants!$B$16,Constants!$B$9,IF(G243=Constants!$B$17,Constants!$B$10,Constants!$B$8)))</f>
        <v/>
      </c>
      <c r="U243" s="67" t="str">
        <f aca="false">IF(ISBLANK($C243),"",IF(H243=Constants!$B$19,Constants!$B$19,Constants!$B$18))</f>
        <v/>
      </c>
      <c r="V243" s="67" t="str">
        <f aca="false">IF(ISBLANK($C243),"",IF(ISNUMBER(I243),IF(I243&gt;=0,I243,""),""))</f>
        <v/>
      </c>
      <c r="W243" s="67" t="str">
        <f aca="false">IF(ISBLANK($C243),"",IF(J243=Constants!$B$2, TRUE(), IF(J243=Constants!$B$3, FALSE(), TRUE())))</f>
        <v/>
      </c>
      <c r="X243" s="67" t="str">
        <f aca="false">IF(ISBLANK($C243),"",IF(K243=Constants!$B$2, TRUE(), IF(K243=Constants!$B$3, FALSE(), TRUE())))</f>
        <v/>
      </c>
      <c r="Y243" s="67" t="str">
        <f aca="false">IF(ISBLANK($C243),"",IF(L243=Constants!$B$19,Constants!$B$19,Constants!$B$18))</f>
        <v/>
      </c>
      <c r="Z243" s="67" t="str">
        <f aca="false">IF(ISBLANK($C243),"",IF(ISNUMBER(M243),IF(M243&gt;=0,M243,""),""))</f>
        <v/>
      </c>
      <c r="AA243" s="67" t="str">
        <f aca="false">IF(ISBLANK($C243),"",IF(N243=Constants!$B$2, TRUE(), IF(N243=Constants!$B$3, FALSE(), TRUE())))</f>
        <v/>
      </c>
      <c r="AB243" s="67" t="str">
        <f aca="false">IF(ISBLANK($C243),"",IF(O243=Constants!$B$2, TRUE(), IF(O243=Constants!$B$3, FALSE(), TRUE())))</f>
        <v/>
      </c>
      <c r="AC243" s="67" t="str">
        <f aca="false">IF(ISBLANK($C243),"",IF(P243=Constants!$B$2, TRUE(), IF(P243=Constants!$B$3, FALSE(), FALSE())))</f>
        <v/>
      </c>
      <c r="AD243" s="67" t="str">
        <f aca="false">IF(ISBLANK($C243),"",AND(V243&lt;&gt;"",IF(U243=Constants!$B$19,S243,R243)))</f>
        <v/>
      </c>
      <c r="AE243" s="67" t="str">
        <f aca="false">IF(ISBLANK($C243),"",AND(Z243&lt;&gt;"",IF(Y243=Constants!$B$19,S243,R243)))</f>
        <v/>
      </c>
      <c r="AF243" s="67" t="str">
        <f aca="false">IF(ISBLANK($C243),"",IF(AC243,Constants!$B$4,IF(COUNTA(E243:O243)=0,Constants!$B$5,IF(AND(NOT(AD243),NOT(AE243)),Constants!$B$6,Constants!$B$7))))</f>
        <v/>
      </c>
      <c r="AG243" s="67" t="str">
        <f aca="false">IF(ISBLANK($C243),"",IF($AF243&lt;&gt;Constants!$B$7,$AF243,Constants!$B$20))</f>
        <v/>
      </c>
      <c r="AH243" s="67" t="str">
        <f aca="false">IF($AF243=Constants!$B$7,IF(AD243,V243,Constants!$B$13),"")</f>
        <v/>
      </c>
      <c r="AI243" s="67" t="str">
        <f aca="false">IF($AF243=Constants!$B$7,IF(AD243,T243*IF(W243, 1, Constants!$B$11)*IF(X243, 1, Constants!$B$12),Constants!$B$13),"")</f>
        <v/>
      </c>
      <c r="AJ243" s="67" t="str">
        <f aca="false">IF($AF243=Constants!$B$7,AH243*AI243,"")</f>
        <v/>
      </c>
      <c r="AK243" s="67" t="str">
        <f aca="false">IF($AF243=Constants!$B$7,IF(AE243,Z243,Constants!$B$13),"")</f>
        <v/>
      </c>
      <c r="AL243" s="67" t="str">
        <f aca="false">IF($AF243=Constants!$B$7,IF(AE243,T243*IF(AA243, 1, Constants!$B$11)*IF(AB243, 1, Constants!$B$12),Constants!$B$13),"")</f>
        <v/>
      </c>
      <c r="AM243" s="67" t="str">
        <f aca="false">IF($AF243=Constants!$B$7,AK243*AL243,"")</f>
        <v/>
      </c>
      <c r="AN243" s="67" t="str">
        <f aca="false">IF($AF243=Constants!$B$7,IF(AM243&gt;AJ243,2,1),"")</f>
        <v/>
      </c>
      <c r="AO243" s="67" t="str">
        <f aca="false">IF($AF243=Constants!$B$7,IF(AN243=1,2,1),"")</f>
        <v/>
      </c>
      <c r="AP243" s="67" t="str">
        <f aca="false">IF(ISBLANK($C243),"",IF($AF243&lt;&gt;Constants!$B$7,$AF243,IF(AN243=1,AJ243,AM243)))</f>
        <v/>
      </c>
      <c r="AQ243" s="67" t="str">
        <f aca="false">IF(ISBLANK($C243),"",IF($AF243=Constants!$B$7,IF(ISNUMBER(AP243),RANK(AP243,$AP$8:$AP$507),Constants!$B$14),$AF243))</f>
        <v/>
      </c>
      <c r="AR243" s="67" t="str">
        <f aca="false">IF(ISBLANK($C243),"",IF($AF243=Constants!$B$7,IF(AO243=1,AJ243,AM243),""))</f>
        <v/>
      </c>
      <c r="AS243" s="67" t="str">
        <f aca="false">IF(ISBLANK($C243),"",IF($AF243=Constants!$B$7,RANK(AR243,$AR$8:$AR$507),$AF243))</f>
        <v/>
      </c>
      <c r="AT243" s="67" t="str">
        <f aca="false">IF(ISBLANK($C243),"",IF($AF243=Constants!$B$7,IF(ISNUMBER(AQ243),COUNTIFS($AQ$8:$AQ$507,"&lt;"&amp;$AQ243)+COUNTIFS($AQ$8:$AQ$507,$AQ243,$AS$8:$AS$507,"&lt;"&amp;$AS243)+1,Constants!$B$14),$AF243))</f>
        <v/>
      </c>
      <c r="AU243" s="67" t="str">
        <f aca="false">IF(ISBLANK($C243),"",IF($AF243=Constants!$B$7,IF(ISNUMBER(AQ243),AQ243-AT243,Constants!$B$14),$AF243))</f>
        <v/>
      </c>
      <c r="AV243" s="69"/>
      <c r="AW243" s="70" t="str">
        <f aca="false">IF(ISBLANK($C243),"",IF($AF243&lt;&gt;Constants!$B$7,"",AN243))</f>
        <v/>
      </c>
      <c r="AX243" s="85" t="str">
        <f aca="false">IF(ISBLANK($C243),"",IF($AF243&lt;&gt;Constants!$B$7,"",IF(AN243=1,AH243,AK243)))</f>
        <v/>
      </c>
      <c r="AY243" s="72" t="str">
        <f aca="false">IF(ISBLANK($C243),"",IF($AF243&lt;&gt;Constants!$B$7,"",IF(AN243=1,AI243,AL243)))</f>
        <v/>
      </c>
      <c r="AZ243" s="73" t="str">
        <f aca="false">IF(ISBLANK($C243),"",IF($AF243&lt;&gt;Constants!$B$7,$AF243,AP243))</f>
        <v/>
      </c>
      <c r="BA243" s="74" t="str">
        <f aca="false">IF(ISBLANK($C243),"",IF($AF243&lt;&gt;Constants!$B$7,$AF243,AG243))</f>
        <v/>
      </c>
      <c r="BB243" s="75" t="str">
        <f aca="false">IF(ISBLANK($C243),"",AU243)</f>
        <v/>
      </c>
      <c r="BC243" s="75" t="str">
        <f aca="false">IF(ISBLANK($C243),"",AT243)</f>
        <v/>
      </c>
      <c r="BD243" s="76" t="str">
        <f aca="false">IF(ISBLANK($C243),"",IFERROR(_xlfn.SWITCH(BC243,Constants!$B$4,COUNTA($C$8:$C$507)+2,Constants!$B$5,COUNTA($C$8:$C$507)+1,Constants!$B$6,COUNTA($C$8:$C$507)),BC243))</f>
        <v/>
      </c>
      <c r="BE243" s="5"/>
      <c r="BF243" s="77" t="n">
        <f aca="false">IF(OR(ISNUMBER(BC243),BC243=Constants!$B$4,BC243=Constants!$B$6,BC243=Constants!$B$5),1,0)</f>
        <v>0</v>
      </c>
      <c r="BG243" s="77" t="n">
        <v>236</v>
      </c>
      <c r="BH243" s="77" t="str">
        <f aca="false">IF(ISBLANK($C243),"",IF(ISNUMBER(BD243),BD243+ROW($B243)/1000,""))</f>
        <v/>
      </c>
      <c r="BI243" s="77" t="str">
        <f aca="false">IF(ISNUMBER(BH243),RANK(BH243,$BH$8:$BH$507,1),"")</f>
        <v/>
      </c>
      <c r="BJ243" s="77" t="str">
        <f aca="false">IF(ISBLANK($C243),"",$B243)</f>
        <v/>
      </c>
      <c r="BK243" s="77" t="str">
        <f aca="false">IF(ISBLANK($C243),"",$C243)</f>
        <v/>
      </c>
      <c r="BL243" s="77" t="str">
        <f aca="false">IF(ISBLANK($C243),"",$D243)</f>
        <v/>
      </c>
      <c r="BM243" s="78" t="str">
        <f aca="false">BA243</f>
        <v/>
      </c>
      <c r="BN243" s="79" t="str">
        <f aca="false">AZ243</f>
        <v/>
      </c>
      <c r="BO243" s="77" t="str">
        <f aca="false">IF(ISBLANK($C243),"",BC243)</f>
        <v/>
      </c>
      <c r="BP243" s="80" t="str">
        <f aca="false">IF($BG243&gt;$BF$7,"",VLOOKUP($BG243,$BI$8:$BO$507,7,FALSE()))</f>
        <v/>
      </c>
      <c r="BQ243" s="81" t="str">
        <f aca="false">IF($BG243&gt;$BF$7,"",VLOOKUP($BG243,$BI$8:$BO$507,2,FALSE()))</f>
        <v/>
      </c>
      <c r="BR243" s="81" t="str">
        <f aca="false">IF($BG243&gt;$BF$7,"",VLOOKUP($BG243,$BI$8:$BO$507,3,FALSE()))</f>
        <v/>
      </c>
      <c r="BS243" s="81" t="str">
        <f aca="false">IF($BG243&gt;$BF$7,"",VLOOKUP($BG243,$BI$8:$BO$507,4,FALSE()))</f>
        <v/>
      </c>
      <c r="BT243" s="81" t="str">
        <f aca="false">IF($BG243&gt;$BF$7,"",VLOOKUP($BG243,$BI$8:$BO$507,5,FALSE()))</f>
        <v/>
      </c>
      <c r="BU243" s="82" t="str">
        <f aca="false">IF($BG243&gt;$BF$7,"",VLOOKUP($BG243,$BI$8:$BO$507,6,FALSE()))</f>
        <v/>
      </c>
      <c r="BV243" s="54"/>
    </row>
    <row r="244" customFormat="false" ht="15.75" hidden="false" customHeight="false" outlineLevel="0" collapsed="false">
      <c r="A244" s="5"/>
      <c r="B244" s="135"/>
      <c r="C244" s="56"/>
      <c r="D244" s="57"/>
      <c r="E244" s="84"/>
      <c r="F244" s="136"/>
      <c r="G244" s="60"/>
      <c r="H244" s="137"/>
      <c r="I244" s="62"/>
      <c r="J244" s="62"/>
      <c r="K244" s="60"/>
      <c r="L244" s="138"/>
      <c r="M244" s="62"/>
      <c r="N244" s="62"/>
      <c r="O244" s="60"/>
      <c r="P244" s="84"/>
      <c r="Q244" s="65"/>
      <c r="R244" s="67" t="str">
        <f aca="false">IF(ISBLANK($C244),"",IF(E244=Constants!$B$2, TRUE(), IF(E244=Constants!$B$3, FALSE(), TRUE())))</f>
        <v/>
      </c>
      <c r="S244" s="67" t="str">
        <f aca="false">IF(ISBLANK($C244),"",IF(F244=Constants!$B$2, TRUE(), IF(F244=Constants!$B$3, FALSE(), TRUE())))</f>
        <v/>
      </c>
      <c r="T244" s="67" t="str">
        <f aca="false">IF(ISBLANK($C244),"",IF(G244=Constants!$B$16,Constants!$B$9,IF(G244=Constants!$B$17,Constants!$B$10,Constants!$B$8)))</f>
        <v/>
      </c>
      <c r="U244" s="67" t="str">
        <f aca="false">IF(ISBLANK($C244),"",IF(H244=Constants!$B$19,Constants!$B$19,Constants!$B$18))</f>
        <v/>
      </c>
      <c r="V244" s="67" t="str">
        <f aca="false">IF(ISBLANK($C244),"",IF(ISNUMBER(I244),IF(I244&gt;=0,I244,""),""))</f>
        <v/>
      </c>
      <c r="W244" s="67" t="str">
        <f aca="false">IF(ISBLANK($C244),"",IF(J244=Constants!$B$2, TRUE(), IF(J244=Constants!$B$3, FALSE(), TRUE())))</f>
        <v/>
      </c>
      <c r="X244" s="67" t="str">
        <f aca="false">IF(ISBLANK($C244),"",IF(K244=Constants!$B$2, TRUE(), IF(K244=Constants!$B$3, FALSE(), TRUE())))</f>
        <v/>
      </c>
      <c r="Y244" s="67" t="str">
        <f aca="false">IF(ISBLANK($C244),"",IF(L244=Constants!$B$19,Constants!$B$19,Constants!$B$18))</f>
        <v/>
      </c>
      <c r="Z244" s="67" t="str">
        <f aca="false">IF(ISBLANK($C244),"",IF(ISNUMBER(M244),IF(M244&gt;=0,M244,""),""))</f>
        <v/>
      </c>
      <c r="AA244" s="67" t="str">
        <f aca="false">IF(ISBLANK($C244),"",IF(N244=Constants!$B$2, TRUE(), IF(N244=Constants!$B$3, FALSE(), TRUE())))</f>
        <v/>
      </c>
      <c r="AB244" s="67" t="str">
        <f aca="false">IF(ISBLANK($C244),"",IF(O244=Constants!$B$2, TRUE(), IF(O244=Constants!$B$3, FALSE(), TRUE())))</f>
        <v/>
      </c>
      <c r="AC244" s="67" t="str">
        <f aca="false">IF(ISBLANK($C244),"",IF(P244=Constants!$B$2, TRUE(), IF(P244=Constants!$B$3, FALSE(), FALSE())))</f>
        <v/>
      </c>
      <c r="AD244" s="67" t="str">
        <f aca="false">IF(ISBLANK($C244),"",AND(V244&lt;&gt;"",IF(U244=Constants!$B$19,S244,R244)))</f>
        <v/>
      </c>
      <c r="AE244" s="67" t="str">
        <f aca="false">IF(ISBLANK($C244),"",AND(Z244&lt;&gt;"",IF(Y244=Constants!$B$19,S244,R244)))</f>
        <v/>
      </c>
      <c r="AF244" s="67" t="str">
        <f aca="false">IF(ISBLANK($C244),"",IF(AC244,Constants!$B$4,IF(COUNTA(E244:O244)=0,Constants!$B$5,IF(AND(NOT(AD244),NOT(AE244)),Constants!$B$6,Constants!$B$7))))</f>
        <v/>
      </c>
      <c r="AG244" s="67" t="str">
        <f aca="false">IF(ISBLANK($C244),"",IF($AF244&lt;&gt;Constants!$B$7,$AF244,Constants!$B$20))</f>
        <v/>
      </c>
      <c r="AH244" s="67" t="str">
        <f aca="false">IF($AF244=Constants!$B$7,IF(AD244,V244,Constants!$B$13),"")</f>
        <v/>
      </c>
      <c r="AI244" s="67" t="str">
        <f aca="false">IF($AF244=Constants!$B$7,IF(AD244,T244*IF(W244, 1, Constants!$B$11)*IF(X244, 1, Constants!$B$12),Constants!$B$13),"")</f>
        <v/>
      </c>
      <c r="AJ244" s="67" t="str">
        <f aca="false">IF($AF244=Constants!$B$7,AH244*AI244,"")</f>
        <v/>
      </c>
      <c r="AK244" s="67" t="str">
        <f aca="false">IF($AF244=Constants!$B$7,IF(AE244,Z244,Constants!$B$13),"")</f>
        <v/>
      </c>
      <c r="AL244" s="67" t="str">
        <f aca="false">IF($AF244=Constants!$B$7,IF(AE244,T244*IF(AA244, 1, Constants!$B$11)*IF(AB244, 1, Constants!$B$12),Constants!$B$13),"")</f>
        <v/>
      </c>
      <c r="AM244" s="67" t="str">
        <f aca="false">IF($AF244=Constants!$B$7,AK244*AL244,"")</f>
        <v/>
      </c>
      <c r="AN244" s="67" t="str">
        <f aca="false">IF($AF244=Constants!$B$7,IF(AM244&gt;AJ244,2,1),"")</f>
        <v/>
      </c>
      <c r="AO244" s="67" t="str">
        <f aca="false">IF($AF244=Constants!$B$7,IF(AN244=1,2,1),"")</f>
        <v/>
      </c>
      <c r="AP244" s="67" t="str">
        <f aca="false">IF(ISBLANK($C244),"",IF($AF244&lt;&gt;Constants!$B$7,$AF244,IF(AN244=1,AJ244,AM244)))</f>
        <v/>
      </c>
      <c r="AQ244" s="67" t="str">
        <f aca="false">IF(ISBLANK($C244),"",IF($AF244=Constants!$B$7,IF(ISNUMBER(AP244),RANK(AP244,$AP$8:$AP$507),Constants!$B$14),$AF244))</f>
        <v/>
      </c>
      <c r="AR244" s="67" t="str">
        <f aca="false">IF(ISBLANK($C244),"",IF($AF244=Constants!$B$7,IF(AO244=1,AJ244,AM244),""))</f>
        <v/>
      </c>
      <c r="AS244" s="67" t="str">
        <f aca="false">IF(ISBLANK($C244),"",IF($AF244=Constants!$B$7,RANK(AR244,$AR$8:$AR$507),$AF244))</f>
        <v/>
      </c>
      <c r="AT244" s="67" t="str">
        <f aca="false">IF(ISBLANK($C244),"",IF($AF244=Constants!$B$7,IF(ISNUMBER(AQ244),COUNTIFS($AQ$8:$AQ$507,"&lt;"&amp;$AQ244)+COUNTIFS($AQ$8:$AQ$507,$AQ244,$AS$8:$AS$507,"&lt;"&amp;$AS244)+1,Constants!$B$14),$AF244))</f>
        <v/>
      </c>
      <c r="AU244" s="67" t="str">
        <f aca="false">IF(ISBLANK($C244),"",IF($AF244=Constants!$B$7,IF(ISNUMBER(AQ244),AQ244-AT244,Constants!$B$14),$AF244))</f>
        <v/>
      </c>
      <c r="AV244" s="69"/>
      <c r="AW244" s="70" t="str">
        <f aca="false">IF(ISBLANK($C244),"",IF($AF244&lt;&gt;Constants!$B$7,"",AN244))</f>
        <v/>
      </c>
      <c r="AX244" s="85" t="str">
        <f aca="false">IF(ISBLANK($C244),"",IF($AF244&lt;&gt;Constants!$B$7,"",IF(AN244=1,AH244,AK244)))</f>
        <v/>
      </c>
      <c r="AY244" s="72" t="str">
        <f aca="false">IF(ISBLANK($C244),"",IF($AF244&lt;&gt;Constants!$B$7,"",IF(AN244=1,AI244,AL244)))</f>
        <v/>
      </c>
      <c r="AZ244" s="73" t="str">
        <f aca="false">IF(ISBLANK($C244),"",IF($AF244&lt;&gt;Constants!$B$7,$AF244,AP244))</f>
        <v/>
      </c>
      <c r="BA244" s="74" t="str">
        <f aca="false">IF(ISBLANK($C244),"",IF($AF244&lt;&gt;Constants!$B$7,$AF244,AG244))</f>
        <v/>
      </c>
      <c r="BB244" s="75" t="str">
        <f aca="false">IF(ISBLANK($C244),"",AU244)</f>
        <v/>
      </c>
      <c r="BC244" s="75" t="str">
        <f aca="false">IF(ISBLANK($C244),"",AT244)</f>
        <v/>
      </c>
      <c r="BD244" s="76" t="str">
        <f aca="false">IF(ISBLANK($C244),"",IFERROR(_xlfn.SWITCH(BC244,Constants!$B$4,COUNTA($C$8:$C$507)+2,Constants!$B$5,COUNTA($C$8:$C$507)+1,Constants!$B$6,COUNTA($C$8:$C$507)),BC244))</f>
        <v/>
      </c>
      <c r="BE244" s="5"/>
      <c r="BF244" s="77" t="n">
        <f aca="false">IF(OR(ISNUMBER(BC244),BC244=Constants!$B$4,BC244=Constants!$B$6,BC244=Constants!$B$5),1,0)</f>
        <v>0</v>
      </c>
      <c r="BG244" s="77" t="n">
        <v>237</v>
      </c>
      <c r="BH244" s="77" t="str">
        <f aca="false">IF(ISBLANK($C244),"",IF(ISNUMBER(BD244),BD244+ROW($B244)/1000,""))</f>
        <v/>
      </c>
      <c r="BI244" s="77" t="str">
        <f aca="false">IF(ISNUMBER(BH244),RANK(BH244,$BH$8:$BH$507,1),"")</f>
        <v/>
      </c>
      <c r="BJ244" s="77" t="str">
        <f aca="false">IF(ISBLANK($C244),"",$B244)</f>
        <v/>
      </c>
      <c r="BK244" s="77" t="str">
        <f aca="false">IF(ISBLANK($C244),"",$C244)</f>
        <v/>
      </c>
      <c r="BL244" s="77" t="str">
        <f aca="false">IF(ISBLANK($C244),"",$D244)</f>
        <v/>
      </c>
      <c r="BM244" s="78" t="str">
        <f aca="false">BA244</f>
        <v/>
      </c>
      <c r="BN244" s="79" t="str">
        <f aca="false">AZ244</f>
        <v/>
      </c>
      <c r="BO244" s="77" t="str">
        <f aca="false">IF(ISBLANK($C244),"",BC244)</f>
        <v/>
      </c>
      <c r="BP244" s="80" t="str">
        <f aca="false">IF($BG244&gt;$BF$7,"",VLOOKUP($BG244,$BI$8:$BO$507,7,FALSE()))</f>
        <v/>
      </c>
      <c r="BQ244" s="81" t="str">
        <f aca="false">IF($BG244&gt;$BF$7,"",VLOOKUP($BG244,$BI$8:$BO$507,2,FALSE()))</f>
        <v/>
      </c>
      <c r="BR244" s="81" t="str">
        <f aca="false">IF($BG244&gt;$BF$7,"",VLOOKUP($BG244,$BI$8:$BO$507,3,FALSE()))</f>
        <v/>
      </c>
      <c r="BS244" s="81" t="str">
        <f aca="false">IF($BG244&gt;$BF$7,"",VLOOKUP($BG244,$BI$8:$BO$507,4,FALSE()))</f>
        <v/>
      </c>
      <c r="BT244" s="81" t="str">
        <f aca="false">IF($BG244&gt;$BF$7,"",VLOOKUP($BG244,$BI$8:$BO$507,5,FALSE()))</f>
        <v/>
      </c>
      <c r="BU244" s="82" t="str">
        <f aca="false">IF($BG244&gt;$BF$7,"",VLOOKUP($BG244,$BI$8:$BO$507,6,FALSE()))</f>
        <v/>
      </c>
      <c r="BV244" s="54"/>
    </row>
    <row r="245" customFormat="false" ht="15.75" hidden="false" customHeight="false" outlineLevel="0" collapsed="false">
      <c r="A245" s="5"/>
      <c r="B245" s="128"/>
      <c r="C245" s="129"/>
      <c r="D245" s="114"/>
      <c r="E245" s="134"/>
      <c r="F245" s="139"/>
      <c r="G245" s="93"/>
      <c r="H245" s="140"/>
      <c r="I245" s="95"/>
      <c r="J245" s="95"/>
      <c r="K245" s="93"/>
      <c r="L245" s="141"/>
      <c r="M245" s="95"/>
      <c r="N245" s="95"/>
      <c r="O245" s="93"/>
      <c r="P245" s="134"/>
      <c r="Q245" s="98"/>
      <c r="R245" s="99" t="str">
        <f aca="false">IF(ISBLANK($C245),"",IF(E245=Constants!$B$2, TRUE(), IF(E245=Constants!$B$3, FALSE(), TRUE())))</f>
        <v/>
      </c>
      <c r="S245" s="99" t="str">
        <f aca="false">IF(ISBLANK($C245),"",IF(F245=Constants!$B$2, TRUE(), IF(F245=Constants!$B$3, FALSE(), TRUE())))</f>
        <v/>
      </c>
      <c r="T245" s="99" t="str">
        <f aca="false">IF(ISBLANK($C245),"",IF(G245=Constants!$B$16,Constants!$B$9,IF(G245=Constants!$B$17,Constants!$B$10,Constants!$B$8)))</f>
        <v/>
      </c>
      <c r="U245" s="99" t="str">
        <f aca="false">IF(ISBLANK($C245),"",IF(H245=Constants!$B$19,Constants!$B$19,Constants!$B$18))</f>
        <v/>
      </c>
      <c r="V245" s="99" t="str">
        <f aca="false">IF(ISBLANK($C245),"",IF(ISNUMBER(I245),IF(I245&gt;=0,I245,""),""))</f>
        <v/>
      </c>
      <c r="W245" s="99" t="str">
        <f aca="false">IF(ISBLANK($C245),"",IF(J245=Constants!$B$2, TRUE(), IF(J245=Constants!$B$3, FALSE(), TRUE())))</f>
        <v/>
      </c>
      <c r="X245" s="99" t="str">
        <f aca="false">IF(ISBLANK($C245),"",IF(K245=Constants!$B$2, TRUE(), IF(K245=Constants!$B$3, FALSE(), TRUE())))</f>
        <v/>
      </c>
      <c r="Y245" s="99" t="str">
        <f aca="false">IF(ISBLANK($C245),"",IF(L245=Constants!$B$19,Constants!$B$19,Constants!$B$18))</f>
        <v/>
      </c>
      <c r="Z245" s="99" t="str">
        <f aca="false">IF(ISBLANK($C245),"",IF(ISNUMBER(M245),IF(M245&gt;=0,M245,""),""))</f>
        <v/>
      </c>
      <c r="AA245" s="99" t="str">
        <f aca="false">IF(ISBLANK($C245),"",IF(N245=Constants!$B$2, TRUE(), IF(N245=Constants!$B$3, FALSE(), TRUE())))</f>
        <v/>
      </c>
      <c r="AB245" s="99" t="str">
        <f aca="false">IF(ISBLANK($C245),"",IF(O245=Constants!$B$2, TRUE(), IF(O245=Constants!$B$3, FALSE(), TRUE())))</f>
        <v/>
      </c>
      <c r="AC245" s="99" t="str">
        <f aca="false">IF(ISBLANK($C245),"",IF(P245=Constants!$B$2, TRUE(), IF(P245=Constants!$B$3, FALSE(), FALSE())))</f>
        <v/>
      </c>
      <c r="AD245" s="99" t="str">
        <f aca="false">IF(ISBLANK($C245),"",AND(V245&lt;&gt;"",IF(U245=Constants!$B$19,S245,R245)))</f>
        <v/>
      </c>
      <c r="AE245" s="99" t="str">
        <f aca="false">IF(ISBLANK($C245),"",AND(Z245&lt;&gt;"",IF(Y245=Constants!$B$19,S245,R245)))</f>
        <v/>
      </c>
      <c r="AF245" s="99" t="str">
        <f aca="false">IF(ISBLANK($C245),"",IF(AC245,Constants!$B$4,IF(COUNTA(E245:O245)=0,Constants!$B$5,IF(AND(NOT(AD245),NOT(AE245)),Constants!$B$6,Constants!$B$7))))</f>
        <v/>
      </c>
      <c r="AG245" s="99" t="str">
        <f aca="false">IF(ISBLANK($C245),"",IF($AF245&lt;&gt;Constants!$B$7,$AF245,Constants!$B$20))</f>
        <v/>
      </c>
      <c r="AH245" s="99" t="str">
        <f aca="false">IF($AF245=Constants!$B$7,IF(AD245,V245,Constants!$B$13),"")</f>
        <v/>
      </c>
      <c r="AI245" s="99" t="str">
        <f aca="false">IF($AF245=Constants!$B$7,IF(AD245,T245*IF(W245, 1, Constants!$B$11)*IF(X245, 1, Constants!$B$12),Constants!$B$13),"")</f>
        <v/>
      </c>
      <c r="AJ245" s="99" t="str">
        <f aca="false">IF($AF245=Constants!$B$7,AH245*AI245,"")</f>
        <v/>
      </c>
      <c r="AK245" s="99" t="str">
        <f aca="false">IF($AF245=Constants!$B$7,IF(AE245,Z245,Constants!$B$13),"")</f>
        <v/>
      </c>
      <c r="AL245" s="99" t="str">
        <f aca="false">IF($AF245=Constants!$B$7,IF(AE245,T245*IF(AA245, 1, Constants!$B$11)*IF(AB245, 1, Constants!$B$12),Constants!$B$13),"")</f>
        <v/>
      </c>
      <c r="AM245" s="99" t="str">
        <f aca="false">IF($AF245=Constants!$B$7,AK245*AL245,"")</f>
        <v/>
      </c>
      <c r="AN245" s="99" t="str">
        <f aca="false">IF($AF245=Constants!$B$7,IF(AM245&gt;AJ245,2,1),"")</f>
        <v/>
      </c>
      <c r="AO245" s="99" t="str">
        <f aca="false">IF($AF245=Constants!$B$7,IF(AN245=1,2,1),"")</f>
        <v/>
      </c>
      <c r="AP245" s="99" t="str">
        <f aca="false">IF(ISBLANK($C245),"",IF($AF245&lt;&gt;Constants!$B$7,$AF245,IF(AN245=1,AJ245,AM245)))</f>
        <v/>
      </c>
      <c r="AQ245" s="99" t="str">
        <f aca="false">IF(ISBLANK($C245),"",IF($AF245=Constants!$B$7,IF(ISNUMBER(AP245),RANK(AP245,$AP$8:$AP$507),Constants!$B$14),$AF245))</f>
        <v/>
      </c>
      <c r="AR245" s="99" t="str">
        <f aca="false">IF(ISBLANK($C245),"",IF($AF245=Constants!$B$7,IF(AO245=1,AJ245,AM245),""))</f>
        <v/>
      </c>
      <c r="AS245" s="99" t="str">
        <f aca="false">IF(ISBLANK($C245),"",IF($AF245=Constants!$B$7,RANK(AR245,$AR$8:$AR$507),$AF245))</f>
        <v/>
      </c>
      <c r="AT245" s="99" t="str">
        <f aca="false">IF(ISBLANK($C245),"",IF($AF245=Constants!$B$7,IF(ISNUMBER(AQ245),COUNTIFS($AQ$8:$AQ$507,"&lt;"&amp;$AQ245)+COUNTIFS($AQ$8:$AQ$507,$AQ245,$AS$8:$AS$507,"&lt;"&amp;$AS245)+1,Constants!$B$14),$AF245))</f>
        <v/>
      </c>
      <c r="AU245" s="99" t="str">
        <f aca="false">IF(ISBLANK($C245),"",IF($AF245=Constants!$B$7,IF(ISNUMBER(AQ245),AQ245-AT245,Constants!$B$14),$AF245))</f>
        <v/>
      </c>
      <c r="AV245" s="100"/>
      <c r="AW245" s="101" t="str">
        <f aca="false">IF(ISBLANK($C245),"",IF($AF245&lt;&gt;Constants!$B$7,"",AN245))</f>
        <v/>
      </c>
      <c r="AX245" s="102" t="str">
        <f aca="false">IF(ISBLANK($C245),"",IF($AF245&lt;&gt;Constants!$B$7,"",IF(AN245=1,AH245,AK245)))</f>
        <v/>
      </c>
      <c r="AY245" s="103" t="str">
        <f aca="false">IF(ISBLANK($C245),"",IF($AF245&lt;&gt;Constants!$B$7,"",IF(AN245=1,AI245,AL245)))</f>
        <v/>
      </c>
      <c r="AZ245" s="104" t="str">
        <f aca="false">IF(ISBLANK($C245),"",IF($AF245&lt;&gt;Constants!$B$7,$AF245,AP245))</f>
        <v/>
      </c>
      <c r="BA245" s="105" t="str">
        <f aca="false">IF(ISBLANK($C245),"",IF($AF245&lt;&gt;Constants!$B$7,$AF245,AG245))</f>
        <v/>
      </c>
      <c r="BB245" s="106" t="str">
        <f aca="false">IF(ISBLANK($C245),"",AU245)</f>
        <v/>
      </c>
      <c r="BC245" s="106" t="str">
        <f aca="false">IF(ISBLANK($C245),"",AT245)</f>
        <v/>
      </c>
      <c r="BD245" s="107" t="str">
        <f aca="false">IF(ISBLANK($C245),"",IFERROR(_xlfn.SWITCH(BC245,Constants!$B$4,COUNTA($C$8:$C$507)+2,Constants!$B$5,COUNTA($C$8:$C$507)+1,Constants!$B$6,COUNTA($C$8:$C$507)),BC245))</f>
        <v/>
      </c>
      <c r="BE245" s="5"/>
      <c r="BF245" s="108" t="n">
        <f aca="false">IF(OR(ISNUMBER(BC245),BC245=Constants!$B$4,BC245=Constants!$B$6,BC245=Constants!$B$5),1,0)</f>
        <v>0</v>
      </c>
      <c r="BG245" s="108" t="n">
        <v>238</v>
      </c>
      <c r="BH245" s="108" t="str">
        <f aca="false">IF(ISBLANK($C245),"",IF(ISNUMBER(BD245),BD245+ROW($B245)/1000,""))</f>
        <v/>
      </c>
      <c r="BI245" s="108" t="str">
        <f aca="false">IF(ISNUMBER(BH245),RANK(BH245,$BH$8:$BH$507,1),"")</f>
        <v/>
      </c>
      <c r="BJ245" s="108" t="str">
        <f aca="false">IF(ISBLANK($C245),"",$B245)</f>
        <v/>
      </c>
      <c r="BK245" s="108" t="str">
        <f aca="false">IF(ISBLANK($C245),"",$C245)</f>
        <v/>
      </c>
      <c r="BL245" s="108" t="str">
        <f aca="false">IF(ISBLANK($C245),"",$D245)</f>
        <v/>
      </c>
      <c r="BM245" s="109" t="str">
        <f aca="false">BA245</f>
        <v/>
      </c>
      <c r="BN245" s="110" t="str">
        <f aca="false">AZ245</f>
        <v/>
      </c>
      <c r="BO245" s="108" t="str">
        <f aca="false">IF(ISBLANK($C245),"",BC245)</f>
        <v/>
      </c>
      <c r="BP245" s="111" t="str">
        <f aca="false">IF($BG245&gt;$BF$7,"",VLOOKUP($BG245,$BI$8:$BO$507,7,FALSE()))</f>
        <v/>
      </c>
      <c r="BQ245" s="112" t="str">
        <f aca="false">IF($BG245&gt;$BF$7,"",VLOOKUP($BG245,$BI$8:$BO$507,2,FALSE()))</f>
        <v/>
      </c>
      <c r="BR245" s="112" t="str">
        <f aca="false">IF($BG245&gt;$BF$7,"",VLOOKUP($BG245,$BI$8:$BO$507,3,FALSE()))</f>
        <v/>
      </c>
      <c r="BS245" s="112" t="str">
        <f aca="false">IF($BG245&gt;$BF$7,"",VLOOKUP($BG245,$BI$8:$BO$507,4,FALSE()))</f>
        <v/>
      </c>
      <c r="BT245" s="112" t="str">
        <f aca="false">IF($BG245&gt;$BF$7,"",VLOOKUP($BG245,$BI$8:$BO$507,5,FALSE()))</f>
        <v/>
      </c>
      <c r="BU245" s="113" t="str">
        <f aca="false">IF($BG245&gt;$BF$7,"",VLOOKUP($BG245,$BI$8:$BO$507,6,FALSE()))</f>
        <v/>
      </c>
      <c r="BV245" s="54"/>
    </row>
    <row r="246" customFormat="false" ht="15.75" hidden="false" customHeight="false" outlineLevel="0" collapsed="false">
      <c r="A246" s="5"/>
      <c r="B246" s="128"/>
      <c r="C246" s="129"/>
      <c r="D246" s="114"/>
      <c r="E246" s="134"/>
      <c r="F246" s="139"/>
      <c r="G246" s="93"/>
      <c r="H246" s="140"/>
      <c r="I246" s="95"/>
      <c r="J246" s="95"/>
      <c r="K246" s="93"/>
      <c r="L246" s="141"/>
      <c r="M246" s="95"/>
      <c r="N246" s="95"/>
      <c r="O246" s="93"/>
      <c r="P246" s="134"/>
      <c r="Q246" s="98"/>
      <c r="R246" s="99" t="str">
        <f aca="false">IF(ISBLANK($C246),"",IF(E246=Constants!$B$2, TRUE(), IF(E246=Constants!$B$3, FALSE(), TRUE())))</f>
        <v/>
      </c>
      <c r="S246" s="99" t="str">
        <f aca="false">IF(ISBLANK($C246),"",IF(F246=Constants!$B$2, TRUE(), IF(F246=Constants!$B$3, FALSE(), TRUE())))</f>
        <v/>
      </c>
      <c r="T246" s="99" t="str">
        <f aca="false">IF(ISBLANK($C246),"",IF(G246=Constants!$B$16,Constants!$B$9,IF(G246=Constants!$B$17,Constants!$B$10,Constants!$B$8)))</f>
        <v/>
      </c>
      <c r="U246" s="99" t="str">
        <f aca="false">IF(ISBLANK($C246),"",IF(H246=Constants!$B$19,Constants!$B$19,Constants!$B$18))</f>
        <v/>
      </c>
      <c r="V246" s="99" t="str">
        <f aca="false">IF(ISBLANK($C246),"",IF(ISNUMBER(I246),IF(I246&gt;=0,I246,""),""))</f>
        <v/>
      </c>
      <c r="W246" s="99" t="str">
        <f aca="false">IF(ISBLANK($C246),"",IF(J246=Constants!$B$2, TRUE(), IF(J246=Constants!$B$3, FALSE(), TRUE())))</f>
        <v/>
      </c>
      <c r="X246" s="99" t="str">
        <f aca="false">IF(ISBLANK($C246),"",IF(K246=Constants!$B$2, TRUE(), IF(K246=Constants!$B$3, FALSE(), TRUE())))</f>
        <v/>
      </c>
      <c r="Y246" s="99" t="str">
        <f aca="false">IF(ISBLANK($C246),"",IF(L246=Constants!$B$19,Constants!$B$19,Constants!$B$18))</f>
        <v/>
      </c>
      <c r="Z246" s="99" t="str">
        <f aca="false">IF(ISBLANK($C246),"",IF(ISNUMBER(M246),IF(M246&gt;=0,M246,""),""))</f>
        <v/>
      </c>
      <c r="AA246" s="99" t="str">
        <f aca="false">IF(ISBLANK($C246),"",IF(N246=Constants!$B$2, TRUE(), IF(N246=Constants!$B$3, FALSE(), TRUE())))</f>
        <v/>
      </c>
      <c r="AB246" s="99" t="str">
        <f aca="false">IF(ISBLANK($C246),"",IF(O246=Constants!$B$2, TRUE(), IF(O246=Constants!$B$3, FALSE(), TRUE())))</f>
        <v/>
      </c>
      <c r="AC246" s="99" t="str">
        <f aca="false">IF(ISBLANK($C246),"",IF(P246=Constants!$B$2, TRUE(), IF(P246=Constants!$B$3, FALSE(), FALSE())))</f>
        <v/>
      </c>
      <c r="AD246" s="99" t="str">
        <f aca="false">IF(ISBLANK($C246),"",AND(V246&lt;&gt;"",IF(U246=Constants!$B$19,S246,R246)))</f>
        <v/>
      </c>
      <c r="AE246" s="99" t="str">
        <f aca="false">IF(ISBLANK($C246),"",AND(Z246&lt;&gt;"",IF(Y246=Constants!$B$19,S246,R246)))</f>
        <v/>
      </c>
      <c r="AF246" s="99" t="str">
        <f aca="false">IF(ISBLANK($C246),"",IF(AC246,Constants!$B$4,IF(COUNTA(E246:O246)=0,Constants!$B$5,IF(AND(NOT(AD246),NOT(AE246)),Constants!$B$6,Constants!$B$7))))</f>
        <v/>
      </c>
      <c r="AG246" s="99" t="str">
        <f aca="false">IF(ISBLANK($C246),"",IF($AF246&lt;&gt;Constants!$B$7,$AF246,Constants!$B$20))</f>
        <v/>
      </c>
      <c r="AH246" s="99" t="str">
        <f aca="false">IF($AF246=Constants!$B$7,IF(AD246,V246,Constants!$B$13),"")</f>
        <v/>
      </c>
      <c r="AI246" s="99" t="str">
        <f aca="false">IF($AF246=Constants!$B$7,IF(AD246,T246*IF(W246, 1, Constants!$B$11)*IF(X246, 1, Constants!$B$12),Constants!$B$13),"")</f>
        <v/>
      </c>
      <c r="AJ246" s="99" t="str">
        <f aca="false">IF($AF246=Constants!$B$7,AH246*AI246,"")</f>
        <v/>
      </c>
      <c r="AK246" s="99" t="str">
        <f aca="false">IF($AF246=Constants!$B$7,IF(AE246,Z246,Constants!$B$13),"")</f>
        <v/>
      </c>
      <c r="AL246" s="99" t="str">
        <f aca="false">IF($AF246=Constants!$B$7,IF(AE246,T246*IF(AA246, 1, Constants!$B$11)*IF(AB246, 1, Constants!$B$12),Constants!$B$13),"")</f>
        <v/>
      </c>
      <c r="AM246" s="99" t="str">
        <f aca="false">IF($AF246=Constants!$B$7,AK246*AL246,"")</f>
        <v/>
      </c>
      <c r="AN246" s="99" t="str">
        <f aca="false">IF($AF246=Constants!$B$7,IF(AM246&gt;AJ246,2,1),"")</f>
        <v/>
      </c>
      <c r="AO246" s="99" t="str">
        <f aca="false">IF($AF246=Constants!$B$7,IF(AN246=1,2,1),"")</f>
        <v/>
      </c>
      <c r="AP246" s="99" t="str">
        <f aca="false">IF(ISBLANK($C246),"",IF($AF246&lt;&gt;Constants!$B$7,$AF246,IF(AN246=1,AJ246,AM246)))</f>
        <v/>
      </c>
      <c r="AQ246" s="99" t="str">
        <f aca="false">IF(ISBLANK($C246),"",IF($AF246=Constants!$B$7,IF(ISNUMBER(AP246),RANK(AP246,$AP$8:$AP$507),Constants!$B$14),$AF246))</f>
        <v/>
      </c>
      <c r="AR246" s="99" t="str">
        <f aca="false">IF(ISBLANK($C246),"",IF($AF246=Constants!$B$7,IF(AO246=1,AJ246,AM246),""))</f>
        <v/>
      </c>
      <c r="AS246" s="99" t="str">
        <f aca="false">IF(ISBLANK($C246),"",IF($AF246=Constants!$B$7,RANK(AR246,$AR$8:$AR$507),$AF246))</f>
        <v/>
      </c>
      <c r="AT246" s="99" t="str">
        <f aca="false">IF(ISBLANK($C246),"",IF($AF246=Constants!$B$7,IF(ISNUMBER(AQ246),COUNTIFS($AQ$8:$AQ$507,"&lt;"&amp;$AQ246)+COUNTIFS($AQ$8:$AQ$507,$AQ246,$AS$8:$AS$507,"&lt;"&amp;$AS246)+1,Constants!$B$14),$AF246))</f>
        <v/>
      </c>
      <c r="AU246" s="99" t="str">
        <f aca="false">IF(ISBLANK($C246),"",IF($AF246=Constants!$B$7,IF(ISNUMBER(AQ246),AQ246-AT246,Constants!$B$14),$AF246))</f>
        <v/>
      </c>
      <c r="AV246" s="100"/>
      <c r="AW246" s="101" t="str">
        <f aca="false">IF(ISBLANK($C246),"",IF($AF246&lt;&gt;Constants!$B$7,"",AN246))</f>
        <v/>
      </c>
      <c r="AX246" s="102" t="str">
        <f aca="false">IF(ISBLANK($C246),"",IF($AF246&lt;&gt;Constants!$B$7,"",IF(AN246=1,AH246,AK246)))</f>
        <v/>
      </c>
      <c r="AY246" s="103" t="str">
        <f aca="false">IF(ISBLANK($C246),"",IF($AF246&lt;&gt;Constants!$B$7,"",IF(AN246=1,AI246,AL246)))</f>
        <v/>
      </c>
      <c r="AZ246" s="104" t="str">
        <f aca="false">IF(ISBLANK($C246),"",IF($AF246&lt;&gt;Constants!$B$7,$AF246,AP246))</f>
        <v/>
      </c>
      <c r="BA246" s="105" t="str">
        <f aca="false">IF(ISBLANK($C246),"",IF($AF246&lt;&gt;Constants!$B$7,$AF246,AG246))</f>
        <v/>
      </c>
      <c r="BB246" s="106" t="str">
        <f aca="false">IF(ISBLANK($C246),"",AU246)</f>
        <v/>
      </c>
      <c r="BC246" s="106" t="str">
        <f aca="false">IF(ISBLANK($C246),"",AT246)</f>
        <v/>
      </c>
      <c r="BD246" s="107" t="str">
        <f aca="false">IF(ISBLANK($C246),"",IFERROR(_xlfn.SWITCH(BC246,Constants!$B$4,COUNTA($C$8:$C$507)+2,Constants!$B$5,COUNTA($C$8:$C$507)+1,Constants!$B$6,COUNTA($C$8:$C$507)),BC246))</f>
        <v/>
      </c>
      <c r="BE246" s="5"/>
      <c r="BF246" s="108" t="n">
        <f aca="false">IF(OR(ISNUMBER(BC246),BC246=Constants!$B$4,BC246=Constants!$B$6,BC246=Constants!$B$5),1,0)</f>
        <v>0</v>
      </c>
      <c r="BG246" s="108" t="n">
        <v>239</v>
      </c>
      <c r="BH246" s="108" t="str">
        <f aca="false">IF(ISBLANK($C246),"",IF(ISNUMBER(BD246),BD246+ROW($B246)/1000,""))</f>
        <v/>
      </c>
      <c r="BI246" s="108" t="str">
        <f aca="false">IF(ISNUMBER(BH246),RANK(BH246,$BH$8:$BH$507,1),"")</f>
        <v/>
      </c>
      <c r="BJ246" s="108" t="str">
        <f aca="false">IF(ISBLANK($C246),"",$B246)</f>
        <v/>
      </c>
      <c r="BK246" s="108" t="str">
        <f aca="false">IF(ISBLANK($C246),"",$C246)</f>
        <v/>
      </c>
      <c r="BL246" s="108" t="str">
        <f aca="false">IF(ISBLANK($C246),"",$D246)</f>
        <v/>
      </c>
      <c r="BM246" s="109" t="str">
        <f aca="false">BA246</f>
        <v/>
      </c>
      <c r="BN246" s="110" t="str">
        <f aca="false">AZ246</f>
        <v/>
      </c>
      <c r="BO246" s="108" t="str">
        <f aca="false">IF(ISBLANK($C246),"",BC246)</f>
        <v/>
      </c>
      <c r="BP246" s="111" t="str">
        <f aca="false">IF($BG246&gt;$BF$7,"",VLOOKUP($BG246,$BI$8:$BO$507,7,FALSE()))</f>
        <v/>
      </c>
      <c r="BQ246" s="112" t="str">
        <f aca="false">IF($BG246&gt;$BF$7,"",VLOOKUP($BG246,$BI$8:$BO$507,2,FALSE()))</f>
        <v/>
      </c>
      <c r="BR246" s="112" t="str">
        <f aca="false">IF($BG246&gt;$BF$7,"",VLOOKUP($BG246,$BI$8:$BO$507,3,FALSE()))</f>
        <v/>
      </c>
      <c r="BS246" s="112" t="str">
        <f aca="false">IF($BG246&gt;$BF$7,"",VLOOKUP($BG246,$BI$8:$BO$507,4,FALSE()))</f>
        <v/>
      </c>
      <c r="BT246" s="112" t="str">
        <f aca="false">IF($BG246&gt;$BF$7,"",VLOOKUP($BG246,$BI$8:$BO$507,5,FALSE()))</f>
        <v/>
      </c>
      <c r="BU246" s="113" t="str">
        <f aca="false">IF($BG246&gt;$BF$7,"",VLOOKUP($BG246,$BI$8:$BO$507,6,FALSE()))</f>
        <v/>
      </c>
      <c r="BV246" s="54"/>
    </row>
    <row r="247" customFormat="false" ht="15.75" hidden="false" customHeight="false" outlineLevel="0" collapsed="false">
      <c r="A247" s="5"/>
      <c r="B247" s="128"/>
      <c r="C247" s="129"/>
      <c r="D247" s="114"/>
      <c r="E247" s="134"/>
      <c r="F247" s="139"/>
      <c r="G247" s="93"/>
      <c r="H247" s="140"/>
      <c r="I247" s="95"/>
      <c r="J247" s="95"/>
      <c r="K247" s="93"/>
      <c r="L247" s="141"/>
      <c r="M247" s="95"/>
      <c r="N247" s="95"/>
      <c r="O247" s="93"/>
      <c r="P247" s="134"/>
      <c r="Q247" s="98"/>
      <c r="R247" s="99" t="str">
        <f aca="false">IF(ISBLANK($C247),"",IF(E247=Constants!$B$2, TRUE(), IF(E247=Constants!$B$3, FALSE(), TRUE())))</f>
        <v/>
      </c>
      <c r="S247" s="99" t="str">
        <f aca="false">IF(ISBLANK($C247),"",IF(F247=Constants!$B$2, TRUE(), IF(F247=Constants!$B$3, FALSE(), TRUE())))</f>
        <v/>
      </c>
      <c r="T247" s="99" t="str">
        <f aca="false">IF(ISBLANK($C247),"",IF(G247=Constants!$B$16,Constants!$B$9,IF(G247=Constants!$B$17,Constants!$B$10,Constants!$B$8)))</f>
        <v/>
      </c>
      <c r="U247" s="99" t="str">
        <f aca="false">IF(ISBLANK($C247),"",IF(H247=Constants!$B$19,Constants!$B$19,Constants!$B$18))</f>
        <v/>
      </c>
      <c r="V247" s="99" t="str">
        <f aca="false">IF(ISBLANK($C247),"",IF(ISNUMBER(I247),IF(I247&gt;=0,I247,""),""))</f>
        <v/>
      </c>
      <c r="W247" s="99" t="str">
        <f aca="false">IF(ISBLANK($C247),"",IF(J247=Constants!$B$2, TRUE(), IF(J247=Constants!$B$3, FALSE(), TRUE())))</f>
        <v/>
      </c>
      <c r="X247" s="99" t="str">
        <f aca="false">IF(ISBLANK($C247),"",IF(K247=Constants!$B$2, TRUE(), IF(K247=Constants!$B$3, FALSE(), TRUE())))</f>
        <v/>
      </c>
      <c r="Y247" s="99" t="str">
        <f aca="false">IF(ISBLANK($C247),"",IF(L247=Constants!$B$19,Constants!$B$19,Constants!$B$18))</f>
        <v/>
      </c>
      <c r="Z247" s="99" t="str">
        <f aca="false">IF(ISBLANK($C247),"",IF(ISNUMBER(M247),IF(M247&gt;=0,M247,""),""))</f>
        <v/>
      </c>
      <c r="AA247" s="99" t="str">
        <f aca="false">IF(ISBLANK($C247),"",IF(N247=Constants!$B$2, TRUE(), IF(N247=Constants!$B$3, FALSE(), TRUE())))</f>
        <v/>
      </c>
      <c r="AB247" s="99" t="str">
        <f aca="false">IF(ISBLANK($C247),"",IF(O247=Constants!$B$2, TRUE(), IF(O247=Constants!$B$3, FALSE(), TRUE())))</f>
        <v/>
      </c>
      <c r="AC247" s="99" t="str">
        <f aca="false">IF(ISBLANK($C247),"",IF(P247=Constants!$B$2, TRUE(), IF(P247=Constants!$B$3, FALSE(), FALSE())))</f>
        <v/>
      </c>
      <c r="AD247" s="99" t="str">
        <f aca="false">IF(ISBLANK($C247),"",AND(V247&lt;&gt;"",IF(U247=Constants!$B$19,S247,R247)))</f>
        <v/>
      </c>
      <c r="AE247" s="99" t="str">
        <f aca="false">IF(ISBLANK($C247),"",AND(Z247&lt;&gt;"",IF(Y247=Constants!$B$19,S247,R247)))</f>
        <v/>
      </c>
      <c r="AF247" s="99" t="str">
        <f aca="false">IF(ISBLANK($C247),"",IF(AC247,Constants!$B$4,IF(COUNTA(E247:O247)=0,Constants!$B$5,IF(AND(NOT(AD247),NOT(AE247)),Constants!$B$6,Constants!$B$7))))</f>
        <v/>
      </c>
      <c r="AG247" s="99" t="str">
        <f aca="false">IF(ISBLANK($C247),"",IF($AF247&lt;&gt;Constants!$B$7,$AF247,Constants!$B$20))</f>
        <v/>
      </c>
      <c r="AH247" s="99" t="str">
        <f aca="false">IF($AF247=Constants!$B$7,IF(AD247,V247,Constants!$B$13),"")</f>
        <v/>
      </c>
      <c r="AI247" s="99" t="str">
        <f aca="false">IF($AF247=Constants!$B$7,IF(AD247,T247*IF(W247, 1, Constants!$B$11)*IF(X247, 1, Constants!$B$12),Constants!$B$13),"")</f>
        <v/>
      </c>
      <c r="AJ247" s="99" t="str">
        <f aca="false">IF($AF247=Constants!$B$7,AH247*AI247,"")</f>
        <v/>
      </c>
      <c r="AK247" s="99" t="str">
        <f aca="false">IF($AF247=Constants!$B$7,IF(AE247,Z247,Constants!$B$13),"")</f>
        <v/>
      </c>
      <c r="AL247" s="99" t="str">
        <f aca="false">IF($AF247=Constants!$B$7,IF(AE247,T247*IF(AA247, 1, Constants!$B$11)*IF(AB247, 1, Constants!$B$12),Constants!$B$13),"")</f>
        <v/>
      </c>
      <c r="AM247" s="99" t="str">
        <f aca="false">IF($AF247=Constants!$B$7,AK247*AL247,"")</f>
        <v/>
      </c>
      <c r="AN247" s="99" t="str">
        <f aca="false">IF($AF247=Constants!$B$7,IF(AM247&gt;AJ247,2,1),"")</f>
        <v/>
      </c>
      <c r="AO247" s="99" t="str">
        <f aca="false">IF($AF247=Constants!$B$7,IF(AN247=1,2,1),"")</f>
        <v/>
      </c>
      <c r="AP247" s="99" t="str">
        <f aca="false">IF(ISBLANK($C247),"",IF($AF247&lt;&gt;Constants!$B$7,$AF247,IF(AN247=1,AJ247,AM247)))</f>
        <v/>
      </c>
      <c r="AQ247" s="99" t="str">
        <f aca="false">IF(ISBLANK($C247),"",IF($AF247=Constants!$B$7,IF(ISNUMBER(AP247),RANK(AP247,$AP$8:$AP$507),Constants!$B$14),$AF247))</f>
        <v/>
      </c>
      <c r="AR247" s="99" t="str">
        <f aca="false">IF(ISBLANK($C247),"",IF($AF247=Constants!$B$7,IF(AO247=1,AJ247,AM247),""))</f>
        <v/>
      </c>
      <c r="AS247" s="99" t="str">
        <f aca="false">IF(ISBLANK($C247),"",IF($AF247=Constants!$B$7,RANK(AR247,$AR$8:$AR$507),$AF247))</f>
        <v/>
      </c>
      <c r="AT247" s="99" t="str">
        <f aca="false">IF(ISBLANK($C247),"",IF($AF247=Constants!$B$7,IF(ISNUMBER(AQ247),COUNTIFS($AQ$8:$AQ$507,"&lt;"&amp;$AQ247)+COUNTIFS($AQ$8:$AQ$507,$AQ247,$AS$8:$AS$507,"&lt;"&amp;$AS247)+1,Constants!$B$14),$AF247))</f>
        <v/>
      </c>
      <c r="AU247" s="99" t="str">
        <f aca="false">IF(ISBLANK($C247),"",IF($AF247=Constants!$B$7,IF(ISNUMBER(AQ247),AQ247-AT247,Constants!$B$14),$AF247))</f>
        <v/>
      </c>
      <c r="AV247" s="100"/>
      <c r="AW247" s="101" t="str">
        <f aca="false">IF(ISBLANK($C247),"",IF($AF247&lt;&gt;Constants!$B$7,"",AN247))</f>
        <v/>
      </c>
      <c r="AX247" s="102" t="str">
        <f aca="false">IF(ISBLANK($C247),"",IF($AF247&lt;&gt;Constants!$B$7,"",IF(AN247=1,AH247,AK247)))</f>
        <v/>
      </c>
      <c r="AY247" s="103" t="str">
        <f aca="false">IF(ISBLANK($C247),"",IF($AF247&lt;&gt;Constants!$B$7,"",IF(AN247=1,AI247,AL247)))</f>
        <v/>
      </c>
      <c r="AZ247" s="104" t="str">
        <f aca="false">IF(ISBLANK($C247),"",IF($AF247&lt;&gt;Constants!$B$7,$AF247,AP247))</f>
        <v/>
      </c>
      <c r="BA247" s="105" t="str">
        <f aca="false">IF(ISBLANK($C247),"",IF($AF247&lt;&gt;Constants!$B$7,$AF247,AG247))</f>
        <v/>
      </c>
      <c r="BB247" s="106" t="str">
        <f aca="false">IF(ISBLANK($C247),"",AU247)</f>
        <v/>
      </c>
      <c r="BC247" s="106" t="str">
        <f aca="false">IF(ISBLANK($C247),"",AT247)</f>
        <v/>
      </c>
      <c r="BD247" s="107" t="str">
        <f aca="false">IF(ISBLANK($C247),"",IFERROR(_xlfn.SWITCH(BC247,Constants!$B$4,COUNTA($C$8:$C$507)+2,Constants!$B$5,COUNTA($C$8:$C$507)+1,Constants!$B$6,COUNTA($C$8:$C$507)),BC247))</f>
        <v/>
      </c>
      <c r="BE247" s="5"/>
      <c r="BF247" s="108" t="n">
        <f aca="false">IF(OR(ISNUMBER(BC247),BC247=Constants!$B$4,BC247=Constants!$B$6,BC247=Constants!$B$5),1,0)</f>
        <v>0</v>
      </c>
      <c r="BG247" s="108" t="n">
        <v>240</v>
      </c>
      <c r="BH247" s="108" t="str">
        <f aca="false">IF(ISBLANK($C247),"",IF(ISNUMBER(BD247),BD247+ROW($B247)/1000,""))</f>
        <v/>
      </c>
      <c r="BI247" s="108" t="str">
        <f aca="false">IF(ISNUMBER(BH247),RANK(BH247,$BH$8:$BH$507,1),"")</f>
        <v/>
      </c>
      <c r="BJ247" s="108" t="str">
        <f aca="false">IF(ISBLANK($C247),"",$B247)</f>
        <v/>
      </c>
      <c r="BK247" s="108" t="str">
        <f aca="false">IF(ISBLANK($C247),"",$C247)</f>
        <v/>
      </c>
      <c r="BL247" s="108" t="str">
        <f aca="false">IF(ISBLANK($C247),"",$D247)</f>
        <v/>
      </c>
      <c r="BM247" s="109" t="str">
        <f aca="false">BA247</f>
        <v/>
      </c>
      <c r="BN247" s="110" t="str">
        <f aca="false">AZ247</f>
        <v/>
      </c>
      <c r="BO247" s="108" t="str">
        <f aca="false">IF(ISBLANK($C247),"",BC247)</f>
        <v/>
      </c>
      <c r="BP247" s="111" t="str">
        <f aca="false">IF($BG247&gt;$BF$7,"",VLOOKUP($BG247,$BI$8:$BO$507,7,FALSE()))</f>
        <v/>
      </c>
      <c r="BQ247" s="112" t="str">
        <f aca="false">IF($BG247&gt;$BF$7,"",VLOOKUP($BG247,$BI$8:$BO$507,2,FALSE()))</f>
        <v/>
      </c>
      <c r="BR247" s="112" t="str">
        <f aca="false">IF($BG247&gt;$BF$7,"",VLOOKUP($BG247,$BI$8:$BO$507,3,FALSE()))</f>
        <v/>
      </c>
      <c r="BS247" s="112" t="str">
        <f aca="false">IF($BG247&gt;$BF$7,"",VLOOKUP($BG247,$BI$8:$BO$507,4,FALSE()))</f>
        <v/>
      </c>
      <c r="BT247" s="112" t="str">
        <f aca="false">IF($BG247&gt;$BF$7,"",VLOOKUP($BG247,$BI$8:$BO$507,5,FALSE()))</f>
        <v/>
      </c>
      <c r="BU247" s="113" t="str">
        <f aca="false">IF($BG247&gt;$BF$7,"",VLOOKUP($BG247,$BI$8:$BO$507,6,FALSE()))</f>
        <v/>
      </c>
      <c r="BV247" s="54"/>
    </row>
    <row r="248" customFormat="false" ht="15.75" hidden="false" customHeight="false" outlineLevel="0" collapsed="false">
      <c r="A248" s="5"/>
      <c r="B248" s="135"/>
      <c r="C248" s="56"/>
      <c r="D248" s="57"/>
      <c r="E248" s="84"/>
      <c r="F248" s="136"/>
      <c r="G248" s="60"/>
      <c r="H248" s="137"/>
      <c r="I248" s="62"/>
      <c r="J248" s="62"/>
      <c r="K248" s="60"/>
      <c r="L248" s="138"/>
      <c r="M248" s="62"/>
      <c r="N248" s="62"/>
      <c r="O248" s="60"/>
      <c r="P248" s="84"/>
      <c r="Q248" s="65"/>
      <c r="R248" s="67" t="str">
        <f aca="false">IF(ISBLANK($C248),"",IF(E248=Constants!$B$2, TRUE(), IF(E248=Constants!$B$3, FALSE(), TRUE())))</f>
        <v/>
      </c>
      <c r="S248" s="67" t="str">
        <f aca="false">IF(ISBLANK($C248),"",IF(F248=Constants!$B$2, TRUE(), IF(F248=Constants!$B$3, FALSE(), TRUE())))</f>
        <v/>
      </c>
      <c r="T248" s="67" t="str">
        <f aca="false">IF(ISBLANK($C248),"",IF(G248=Constants!$B$16,Constants!$B$9,IF(G248=Constants!$B$17,Constants!$B$10,Constants!$B$8)))</f>
        <v/>
      </c>
      <c r="U248" s="67" t="str">
        <f aca="false">IF(ISBLANK($C248),"",IF(H248=Constants!$B$19,Constants!$B$19,Constants!$B$18))</f>
        <v/>
      </c>
      <c r="V248" s="67" t="str">
        <f aca="false">IF(ISBLANK($C248),"",IF(ISNUMBER(I248),IF(I248&gt;=0,I248,""),""))</f>
        <v/>
      </c>
      <c r="W248" s="67" t="str">
        <f aca="false">IF(ISBLANK($C248),"",IF(J248=Constants!$B$2, TRUE(), IF(J248=Constants!$B$3, FALSE(), TRUE())))</f>
        <v/>
      </c>
      <c r="X248" s="67" t="str">
        <f aca="false">IF(ISBLANK($C248),"",IF(K248=Constants!$B$2, TRUE(), IF(K248=Constants!$B$3, FALSE(), TRUE())))</f>
        <v/>
      </c>
      <c r="Y248" s="67" t="str">
        <f aca="false">IF(ISBLANK($C248),"",IF(L248=Constants!$B$19,Constants!$B$19,Constants!$B$18))</f>
        <v/>
      </c>
      <c r="Z248" s="67" t="str">
        <f aca="false">IF(ISBLANK($C248),"",IF(ISNUMBER(M248),IF(M248&gt;=0,M248,""),""))</f>
        <v/>
      </c>
      <c r="AA248" s="67" t="str">
        <f aca="false">IF(ISBLANK($C248),"",IF(N248=Constants!$B$2, TRUE(), IF(N248=Constants!$B$3, FALSE(), TRUE())))</f>
        <v/>
      </c>
      <c r="AB248" s="67" t="str">
        <f aca="false">IF(ISBLANK($C248),"",IF(O248=Constants!$B$2, TRUE(), IF(O248=Constants!$B$3, FALSE(), TRUE())))</f>
        <v/>
      </c>
      <c r="AC248" s="67" t="str">
        <f aca="false">IF(ISBLANK($C248),"",IF(P248=Constants!$B$2, TRUE(), IF(P248=Constants!$B$3, FALSE(), FALSE())))</f>
        <v/>
      </c>
      <c r="AD248" s="67" t="str">
        <f aca="false">IF(ISBLANK($C248),"",AND(V248&lt;&gt;"",IF(U248=Constants!$B$19,S248,R248)))</f>
        <v/>
      </c>
      <c r="AE248" s="67" t="str">
        <f aca="false">IF(ISBLANK($C248),"",AND(Z248&lt;&gt;"",IF(Y248=Constants!$B$19,S248,R248)))</f>
        <v/>
      </c>
      <c r="AF248" s="67" t="str">
        <f aca="false">IF(ISBLANK($C248),"",IF(AC248,Constants!$B$4,IF(COUNTA(E248:O248)=0,Constants!$B$5,IF(AND(NOT(AD248),NOT(AE248)),Constants!$B$6,Constants!$B$7))))</f>
        <v/>
      </c>
      <c r="AG248" s="67" t="str">
        <f aca="false">IF(ISBLANK($C248),"",IF($AF248&lt;&gt;Constants!$B$7,$AF248,Constants!$B$20))</f>
        <v/>
      </c>
      <c r="AH248" s="67" t="str">
        <f aca="false">IF($AF248=Constants!$B$7,IF(AD248,V248,Constants!$B$13),"")</f>
        <v/>
      </c>
      <c r="AI248" s="67" t="str">
        <f aca="false">IF($AF248=Constants!$B$7,IF(AD248,T248*IF(W248, 1, Constants!$B$11)*IF(X248, 1, Constants!$B$12),Constants!$B$13),"")</f>
        <v/>
      </c>
      <c r="AJ248" s="67" t="str">
        <f aca="false">IF($AF248=Constants!$B$7,AH248*AI248,"")</f>
        <v/>
      </c>
      <c r="AK248" s="67" t="str">
        <f aca="false">IF($AF248=Constants!$B$7,IF(AE248,Z248,Constants!$B$13),"")</f>
        <v/>
      </c>
      <c r="AL248" s="67" t="str">
        <f aca="false">IF($AF248=Constants!$B$7,IF(AE248,T248*IF(AA248, 1, Constants!$B$11)*IF(AB248, 1, Constants!$B$12),Constants!$B$13),"")</f>
        <v/>
      </c>
      <c r="AM248" s="67" t="str">
        <f aca="false">IF($AF248=Constants!$B$7,AK248*AL248,"")</f>
        <v/>
      </c>
      <c r="AN248" s="67" t="str">
        <f aca="false">IF($AF248=Constants!$B$7,IF(AM248&gt;AJ248,2,1),"")</f>
        <v/>
      </c>
      <c r="AO248" s="67" t="str">
        <f aca="false">IF($AF248=Constants!$B$7,IF(AN248=1,2,1),"")</f>
        <v/>
      </c>
      <c r="AP248" s="67" t="str">
        <f aca="false">IF(ISBLANK($C248),"",IF($AF248&lt;&gt;Constants!$B$7,$AF248,IF(AN248=1,AJ248,AM248)))</f>
        <v/>
      </c>
      <c r="AQ248" s="67" t="str">
        <f aca="false">IF(ISBLANK($C248),"",IF($AF248=Constants!$B$7,IF(ISNUMBER(AP248),RANK(AP248,$AP$8:$AP$507),Constants!$B$14),$AF248))</f>
        <v/>
      </c>
      <c r="AR248" s="67" t="str">
        <f aca="false">IF(ISBLANK($C248),"",IF($AF248=Constants!$B$7,IF(AO248=1,AJ248,AM248),""))</f>
        <v/>
      </c>
      <c r="AS248" s="67" t="str">
        <f aca="false">IF(ISBLANK($C248),"",IF($AF248=Constants!$B$7,RANK(AR248,$AR$8:$AR$507),$AF248))</f>
        <v/>
      </c>
      <c r="AT248" s="67" t="str">
        <f aca="false">IF(ISBLANK($C248),"",IF($AF248=Constants!$B$7,IF(ISNUMBER(AQ248),COUNTIFS($AQ$8:$AQ$507,"&lt;"&amp;$AQ248)+COUNTIFS($AQ$8:$AQ$507,$AQ248,$AS$8:$AS$507,"&lt;"&amp;$AS248)+1,Constants!$B$14),$AF248))</f>
        <v/>
      </c>
      <c r="AU248" s="67" t="str">
        <f aca="false">IF(ISBLANK($C248),"",IF($AF248=Constants!$B$7,IF(ISNUMBER(AQ248),AQ248-AT248,Constants!$B$14),$AF248))</f>
        <v/>
      </c>
      <c r="AV248" s="69"/>
      <c r="AW248" s="70" t="str">
        <f aca="false">IF(ISBLANK($C248),"",IF($AF248&lt;&gt;Constants!$B$7,"",AN248))</f>
        <v/>
      </c>
      <c r="AX248" s="85" t="str">
        <f aca="false">IF(ISBLANK($C248),"",IF($AF248&lt;&gt;Constants!$B$7,"",IF(AN248=1,AH248,AK248)))</f>
        <v/>
      </c>
      <c r="AY248" s="72" t="str">
        <f aca="false">IF(ISBLANK($C248),"",IF($AF248&lt;&gt;Constants!$B$7,"",IF(AN248=1,AI248,AL248)))</f>
        <v/>
      </c>
      <c r="AZ248" s="73" t="str">
        <f aca="false">IF(ISBLANK($C248),"",IF($AF248&lt;&gt;Constants!$B$7,$AF248,AP248))</f>
        <v/>
      </c>
      <c r="BA248" s="74" t="str">
        <f aca="false">IF(ISBLANK($C248),"",IF($AF248&lt;&gt;Constants!$B$7,$AF248,AG248))</f>
        <v/>
      </c>
      <c r="BB248" s="75" t="str">
        <f aca="false">IF(ISBLANK($C248),"",AU248)</f>
        <v/>
      </c>
      <c r="BC248" s="75" t="str">
        <f aca="false">IF(ISBLANK($C248),"",AT248)</f>
        <v/>
      </c>
      <c r="BD248" s="76" t="str">
        <f aca="false">IF(ISBLANK($C248),"",IFERROR(_xlfn.SWITCH(BC248,Constants!$B$4,COUNTA($C$8:$C$507)+2,Constants!$B$5,COUNTA($C$8:$C$507)+1,Constants!$B$6,COUNTA($C$8:$C$507)),BC248))</f>
        <v/>
      </c>
      <c r="BE248" s="5"/>
      <c r="BF248" s="77" t="n">
        <f aca="false">IF(OR(ISNUMBER(BC248),BC248=Constants!$B$4,BC248=Constants!$B$6,BC248=Constants!$B$5),1,0)</f>
        <v>0</v>
      </c>
      <c r="BG248" s="77" t="n">
        <v>241</v>
      </c>
      <c r="BH248" s="77" t="str">
        <f aca="false">IF(ISBLANK($C248),"",IF(ISNUMBER(BD248),BD248+ROW($B248)/1000,""))</f>
        <v/>
      </c>
      <c r="BI248" s="77" t="str">
        <f aca="false">IF(ISNUMBER(BH248),RANK(BH248,$BH$8:$BH$507,1),"")</f>
        <v/>
      </c>
      <c r="BJ248" s="77" t="str">
        <f aca="false">IF(ISBLANK($C248),"",$B248)</f>
        <v/>
      </c>
      <c r="BK248" s="77" t="str">
        <f aca="false">IF(ISBLANK($C248),"",$C248)</f>
        <v/>
      </c>
      <c r="BL248" s="77" t="str">
        <f aca="false">IF(ISBLANK($C248),"",$D248)</f>
        <v/>
      </c>
      <c r="BM248" s="78" t="str">
        <f aca="false">BA248</f>
        <v/>
      </c>
      <c r="BN248" s="79" t="str">
        <f aca="false">AZ248</f>
        <v/>
      </c>
      <c r="BO248" s="77" t="str">
        <f aca="false">IF(ISBLANK($C248),"",BC248)</f>
        <v/>
      </c>
      <c r="BP248" s="80" t="str">
        <f aca="false">IF($BG248&gt;$BF$7,"",VLOOKUP($BG248,$BI$8:$BO$507,7,FALSE()))</f>
        <v/>
      </c>
      <c r="BQ248" s="81" t="str">
        <f aca="false">IF($BG248&gt;$BF$7,"",VLOOKUP($BG248,$BI$8:$BO$507,2,FALSE()))</f>
        <v/>
      </c>
      <c r="BR248" s="81" t="str">
        <f aca="false">IF($BG248&gt;$BF$7,"",VLOOKUP($BG248,$BI$8:$BO$507,3,FALSE()))</f>
        <v/>
      </c>
      <c r="BS248" s="81" t="str">
        <f aca="false">IF($BG248&gt;$BF$7,"",VLOOKUP($BG248,$BI$8:$BO$507,4,FALSE()))</f>
        <v/>
      </c>
      <c r="BT248" s="81" t="str">
        <f aca="false">IF($BG248&gt;$BF$7,"",VLOOKUP($BG248,$BI$8:$BO$507,5,FALSE()))</f>
        <v/>
      </c>
      <c r="BU248" s="82" t="str">
        <f aca="false">IF($BG248&gt;$BF$7,"",VLOOKUP($BG248,$BI$8:$BO$507,6,FALSE()))</f>
        <v/>
      </c>
      <c r="BV248" s="54"/>
    </row>
    <row r="249" customFormat="false" ht="15.75" hidden="false" customHeight="false" outlineLevel="0" collapsed="false">
      <c r="A249" s="5"/>
      <c r="B249" s="135"/>
      <c r="C249" s="56"/>
      <c r="D249" s="57"/>
      <c r="E249" s="84"/>
      <c r="F249" s="136"/>
      <c r="G249" s="60"/>
      <c r="H249" s="137"/>
      <c r="I249" s="62"/>
      <c r="J249" s="62"/>
      <c r="K249" s="60"/>
      <c r="L249" s="138"/>
      <c r="M249" s="62"/>
      <c r="N249" s="62"/>
      <c r="O249" s="60"/>
      <c r="P249" s="84"/>
      <c r="Q249" s="65"/>
      <c r="R249" s="67" t="str">
        <f aca="false">IF(ISBLANK($C249),"",IF(E249=Constants!$B$2, TRUE(), IF(E249=Constants!$B$3, FALSE(), TRUE())))</f>
        <v/>
      </c>
      <c r="S249" s="67" t="str">
        <f aca="false">IF(ISBLANK($C249),"",IF(F249=Constants!$B$2, TRUE(), IF(F249=Constants!$B$3, FALSE(), TRUE())))</f>
        <v/>
      </c>
      <c r="T249" s="67" t="str">
        <f aca="false">IF(ISBLANK($C249),"",IF(G249=Constants!$B$16,Constants!$B$9,IF(G249=Constants!$B$17,Constants!$B$10,Constants!$B$8)))</f>
        <v/>
      </c>
      <c r="U249" s="67" t="str">
        <f aca="false">IF(ISBLANK($C249),"",IF(H249=Constants!$B$19,Constants!$B$19,Constants!$B$18))</f>
        <v/>
      </c>
      <c r="V249" s="67" t="str">
        <f aca="false">IF(ISBLANK($C249),"",IF(ISNUMBER(I249),IF(I249&gt;=0,I249,""),""))</f>
        <v/>
      </c>
      <c r="W249" s="67" t="str">
        <f aca="false">IF(ISBLANK($C249),"",IF(J249=Constants!$B$2, TRUE(), IF(J249=Constants!$B$3, FALSE(), TRUE())))</f>
        <v/>
      </c>
      <c r="X249" s="67" t="str">
        <f aca="false">IF(ISBLANK($C249),"",IF(K249=Constants!$B$2, TRUE(), IF(K249=Constants!$B$3, FALSE(), TRUE())))</f>
        <v/>
      </c>
      <c r="Y249" s="67" t="str">
        <f aca="false">IF(ISBLANK($C249),"",IF(L249=Constants!$B$19,Constants!$B$19,Constants!$B$18))</f>
        <v/>
      </c>
      <c r="Z249" s="67" t="str">
        <f aca="false">IF(ISBLANK($C249),"",IF(ISNUMBER(M249),IF(M249&gt;=0,M249,""),""))</f>
        <v/>
      </c>
      <c r="AA249" s="67" t="str">
        <f aca="false">IF(ISBLANK($C249),"",IF(N249=Constants!$B$2, TRUE(), IF(N249=Constants!$B$3, FALSE(), TRUE())))</f>
        <v/>
      </c>
      <c r="AB249" s="67" t="str">
        <f aca="false">IF(ISBLANK($C249),"",IF(O249=Constants!$B$2, TRUE(), IF(O249=Constants!$B$3, FALSE(), TRUE())))</f>
        <v/>
      </c>
      <c r="AC249" s="67" t="str">
        <f aca="false">IF(ISBLANK($C249),"",IF(P249=Constants!$B$2, TRUE(), IF(P249=Constants!$B$3, FALSE(), FALSE())))</f>
        <v/>
      </c>
      <c r="AD249" s="67" t="str">
        <f aca="false">IF(ISBLANK($C249),"",AND(V249&lt;&gt;"",IF(U249=Constants!$B$19,S249,R249)))</f>
        <v/>
      </c>
      <c r="AE249" s="67" t="str">
        <f aca="false">IF(ISBLANK($C249),"",AND(Z249&lt;&gt;"",IF(Y249=Constants!$B$19,S249,R249)))</f>
        <v/>
      </c>
      <c r="AF249" s="67" t="str">
        <f aca="false">IF(ISBLANK($C249),"",IF(AC249,Constants!$B$4,IF(COUNTA(E249:O249)=0,Constants!$B$5,IF(AND(NOT(AD249),NOT(AE249)),Constants!$B$6,Constants!$B$7))))</f>
        <v/>
      </c>
      <c r="AG249" s="67" t="str">
        <f aca="false">IF(ISBLANK($C249),"",IF($AF249&lt;&gt;Constants!$B$7,$AF249,Constants!$B$20))</f>
        <v/>
      </c>
      <c r="AH249" s="67" t="str">
        <f aca="false">IF($AF249=Constants!$B$7,IF(AD249,V249,Constants!$B$13),"")</f>
        <v/>
      </c>
      <c r="AI249" s="67" t="str">
        <f aca="false">IF($AF249=Constants!$B$7,IF(AD249,T249*IF(W249, 1, Constants!$B$11)*IF(X249, 1, Constants!$B$12),Constants!$B$13),"")</f>
        <v/>
      </c>
      <c r="AJ249" s="67" t="str">
        <f aca="false">IF($AF249=Constants!$B$7,AH249*AI249,"")</f>
        <v/>
      </c>
      <c r="AK249" s="67" t="str">
        <f aca="false">IF($AF249=Constants!$B$7,IF(AE249,Z249,Constants!$B$13),"")</f>
        <v/>
      </c>
      <c r="AL249" s="67" t="str">
        <f aca="false">IF($AF249=Constants!$B$7,IF(AE249,T249*IF(AA249, 1, Constants!$B$11)*IF(AB249, 1, Constants!$B$12),Constants!$B$13),"")</f>
        <v/>
      </c>
      <c r="AM249" s="67" t="str">
        <f aca="false">IF($AF249=Constants!$B$7,AK249*AL249,"")</f>
        <v/>
      </c>
      <c r="AN249" s="67" t="str">
        <f aca="false">IF($AF249=Constants!$B$7,IF(AM249&gt;AJ249,2,1),"")</f>
        <v/>
      </c>
      <c r="AO249" s="67" t="str">
        <f aca="false">IF($AF249=Constants!$B$7,IF(AN249=1,2,1),"")</f>
        <v/>
      </c>
      <c r="AP249" s="67" t="str">
        <f aca="false">IF(ISBLANK($C249),"",IF($AF249&lt;&gt;Constants!$B$7,$AF249,IF(AN249=1,AJ249,AM249)))</f>
        <v/>
      </c>
      <c r="AQ249" s="67" t="str">
        <f aca="false">IF(ISBLANK($C249),"",IF($AF249=Constants!$B$7,IF(ISNUMBER(AP249),RANK(AP249,$AP$8:$AP$507),Constants!$B$14),$AF249))</f>
        <v/>
      </c>
      <c r="AR249" s="67" t="str">
        <f aca="false">IF(ISBLANK($C249),"",IF($AF249=Constants!$B$7,IF(AO249=1,AJ249,AM249),""))</f>
        <v/>
      </c>
      <c r="AS249" s="67" t="str">
        <f aca="false">IF(ISBLANK($C249),"",IF($AF249=Constants!$B$7,RANK(AR249,$AR$8:$AR$507),$AF249))</f>
        <v/>
      </c>
      <c r="AT249" s="67" t="str">
        <f aca="false">IF(ISBLANK($C249),"",IF($AF249=Constants!$B$7,IF(ISNUMBER(AQ249),COUNTIFS($AQ$8:$AQ$507,"&lt;"&amp;$AQ249)+COUNTIFS($AQ$8:$AQ$507,$AQ249,$AS$8:$AS$507,"&lt;"&amp;$AS249)+1,Constants!$B$14),$AF249))</f>
        <v/>
      </c>
      <c r="AU249" s="67" t="str">
        <f aca="false">IF(ISBLANK($C249),"",IF($AF249=Constants!$B$7,IF(ISNUMBER(AQ249),AQ249-AT249,Constants!$B$14),$AF249))</f>
        <v/>
      </c>
      <c r="AV249" s="69"/>
      <c r="AW249" s="70" t="str">
        <f aca="false">IF(ISBLANK($C249),"",IF($AF249&lt;&gt;Constants!$B$7,"",AN249))</f>
        <v/>
      </c>
      <c r="AX249" s="85" t="str">
        <f aca="false">IF(ISBLANK($C249),"",IF($AF249&lt;&gt;Constants!$B$7,"",IF(AN249=1,AH249,AK249)))</f>
        <v/>
      </c>
      <c r="AY249" s="72" t="str">
        <f aca="false">IF(ISBLANK($C249),"",IF($AF249&lt;&gt;Constants!$B$7,"",IF(AN249=1,AI249,AL249)))</f>
        <v/>
      </c>
      <c r="AZ249" s="73" t="str">
        <f aca="false">IF(ISBLANK($C249),"",IF($AF249&lt;&gt;Constants!$B$7,$AF249,AP249))</f>
        <v/>
      </c>
      <c r="BA249" s="74" t="str">
        <f aca="false">IF(ISBLANK($C249),"",IF($AF249&lt;&gt;Constants!$B$7,$AF249,AG249))</f>
        <v/>
      </c>
      <c r="BB249" s="75" t="str">
        <f aca="false">IF(ISBLANK($C249),"",AU249)</f>
        <v/>
      </c>
      <c r="BC249" s="75" t="str">
        <f aca="false">IF(ISBLANK($C249),"",AT249)</f>
        <v/>
      </c>
      <c r="BD249" s="76" t="str">
        <f aca="false">IF(ISBLANK($C249),"",IFERROR(_xlfn.SWITCH(BC249,Constants!$B$4,COUNTA($C$8:$C$507)+2,Constants!$B$5,COUNTA($C$8:$C$507)+1,Constants!$B$6,COUNTA($C$8:$C$507)),BC249))</f>
        <v/>
      </c>
      <c r="BE249" s="5"/>
      <c r="BF249" s="77" t="n">
        <f aca="false">IF(OR(ISNUMBER(BC249),BC249=Constants!$B$4,BC249=Constants!$B$6,BC249=Constants!$B$5),1,0)</f>
        <v>0</v>
      </c>
      <c r="BG249" s="77" t="n">
        <v>242</v>
      </c>
      <c r="BH249" s="77" t="str">
        <f aca="false">IF(ISBLANK($C249),"",IF(ISNUMBER(BD249),BD249+ROW($B249)/1000,""))</f>
        <v/>
      </c>
      <c r="BI249" s="77" t="str">
        <f aca="false">IF(ISNUMBER(BH249),RANK(BH249,$BH$8:$BH$507,1),"")</f>
        <v/>
      </c>
      <c r="BJ249" s="77" t="str">
        <f aca="false">IF(ISBLANK($C249),"",$B249)</f>
        <v/>
      </c>
      <c r="BK249" s="77" t="str">
        <f aca="false">IF(ISBLANK($C249),"",$C249)</f>
        <v/>
      </c>
      <c r="BL249" s="77" t="str">
        <f aca="false">IF(ISBLANK($C249),"",$D249)</f>
        <v/>
      </c>
      <c r="BM249" s="78" t="str">
        <f aca="false">BA249</f>
        <v/>
      </c>
      <c r="BN249" s="79" t="str">
        <f aca="false">AZ249</f>
        <v/>
      </c>
      <c r="BO249" s="77" t="str">
        <f aca="false">IF(ISBLANK($C249),"",BC249)</f>
        <v/>
      </c>
      <c r="BP249" s="80" t="str">
        <f aca="false">IF($BG249&gt;$BF$7,"",VLOOKUP($BG249,$BI$8:$BO$507,7,FALSE()))</f>
        <v/>
      </c>
      <c r="BQ249" s="81" t="str">
        <f aca="false">IF($BG249&gt;$BF$7,"",VLOOKUP($BG249,$BI$8:$BO$507,2,FALSE()))</f>
        <v/>
      </c>
      <c r="BR249" s="81" t="str">
        <f aca="false">IF($BG249&gt;$BF$7,"",VLOOKUP($BG249,$BI$8:$BO$507,3,FALSE()))</f>
        <v/>
      </c>
      <c r="BS249" s="81" t="str">
        <f aca="false">IF($BG249&gt;$BF$7,"",VLOOKUP($BG249,$BI$8:$BO$507,4,FALSE()))</f>
        <v/>
      </c>
      <c r="BT249" s="81" t="str">
        <f aca="false">IF($BG249&gt;$BF$7,"",VLOOKUP($BG249,$BI$8:$BO$507,5,FALSE()))</f>
        <v/>
      </c>
      <c r="BU249" s="82" t="str">
        <f aca="false">IF($BG249&gt;$BF$7,"",VLOOKUP($BG249,$BI$8:$BO$507,6,FALSE()))</f>
        <v/>
      </c>
      <c r="BV249" s="54"/>
    </row>
    <row r="250" customFormat="false" ht="15.75" hidden="false" customHeight="false" outlineLevel="0" collapsed="false">
      <c r="A250" s="5"/>
      <c r="B250" s="135"/>
      <c r="C250" s="56"/>
      <c r="D250" s="57"/>
      <c r="E250" s="84"/>
      <c r="F250" s="136"/>
      <c r="G250" s="60"/>
      <c r="H250" s="137"/>
      <c r="I250" s="62"/>
      <c r="J250" s="62"/>
      <c r="K250" s="60"/>
      <c r="L250" s="138"/>
      <c r="M250" s="62"/>
      <c r="N250" s="62"/>
      <c r="O250" s="60"/>
      <c r="P250" s="84"/>
      <c r="Q250" s="65"/>
      <c r="R250" s="67" t="str">
        <f aca="false">IF(ISBLANK($C250),"",IF(E250=Constants!$B$2, TRUE(), IF(E250=Constants!$B$3, FALSE(), TRUE())))</f>
        <v/>
      </c>
      <c r="S250" s="67" t="str">
        <f aca="false">IF(ISBLANK($C250),"",IF(F250=Constants!$B$2, TRUE(), IF(F250=Constants!$B$3, FALSE(), TRUE())))</f>
        <v/>
      </c>
      <c r="T250" s="67" t="str">
        <f aca="false">IF(ISBLANK($C250),"",IF(G250=Constants!$B$16,Constants!$B$9,IF(G250=Constants!$B$17,Constants!$B$10,Constants!$B$8)))</f>
        <v/>
      </c>
      <c r="U250" s="67" t="str">
        <f aca="false">IF(ISBLANK($C250),"",IF(H250=Constants!$B$19,Constants!$B$19,Constants!$B$18))</f>
        <v/>
      </c>
      <c r="V250" s="67" t="str">
        <f aca="false">IF(ISBLANK($C250),"",IF(ISNUMBER(I250),IF(I250&gt;=0,I250,""),""))</f>
        <v/>
      </c>
      <c r="W250" s="67" t="str">
        <f aca="false">IF(ISBLANK($C250),"",IF(J250=Constants!$B$2, TRUE(), IF(J250=Constants!$B$3, FALSE(), TRUE())))</f>
        <v/>
      </c>
      <c r="X250" s="67" t="str">
        <f aca="false">IF(ISBLANK($C250),"",IF(K250=Constants!$B$2, TRUE(), IF(K250=Constants!$B$3, FALSE(), TRUE())))</f>
        <v/>
      </c>
      <c r="Y250" s="67" t="str">
        <f aca="false">IF(ISBLANK($C250),"",IF(L250=Constants!$B$19,Constants!$B$19,Constants!$B$18))</f>
        <v/>
      </c>
      <c r="Z250" s="67" t="str">
        <f aca="false">IF(ISBLANK($C250),"",IF(ISNUMBER(M250),IF(M250&gt;=0,M250,""),""))</f>
        <v/>
      </c>
      <c r="AA250" s="67" t="str">
        <f aca="false">IF(ISBLANK($C250),"",IF(N250=Constants!$B$2, TRUE(), IF(N250=Constants!$B$3, FALSE(), TRUE())))</f>
        <v/>
      </c>
      <c r="AB250" s="67" t="str">
        <f aca="false">IF(ISBLANK($C250),"",IF(O250=Constants!$B$2, TRUE(), IF(O250=Constants!$B$3, FALSE(), TRUE())))</f>
        <v/>
      </c>
      <c r="AC250" s="67" t="str">
        <f aca="false">IF(ISBLANK($C250),"",IF(P250=Constants!$B$2, TRUE(), IF(P250=Constants!$B$3, FALSE(), FALSE())))</f>
        <v/>
      </c>
      <c r="AD250" s="67" t="str">
        <f aca="false">IF(ISBLANK($C250),"",AND(V250&lt;&gt;"",IF(U250=Constants!$B$19,S250,R250)))</f>
        <v/>
      </c>
      <c r="AE250" s="67" t="str">
        <f aca="false">IF(ISBLANK($C250),"",AND(Z250&lt;&gt;"",IF(Y250=Constants!$B$19,S250,R250)))</f>
        <v/>
      </c>
      <c r="AF250" s="67" t="str">
        <f aca="false">IF(ISBLANK($C250),"",IF(AC250,Constants!$B$4,IF(COUNTA(E250:O250)=0,Constants!$B$5,IF(AND(NOT(AD250),NOT(AE250)),Constants!$B$6,Constants!$B$7))))</f>
        <v/>
      </c>
      <c r="AG250" s="67" t="str">
        <f aca="false">IF(ISBLANK($C250),"",IF($AF250&lt;&gt;Constants!$B$7,$AF250,Constants!$B$20))</f>
        <v/>
      </c>
      <c r="AH250" s="67" t="str">
        <f aca="false">IF($AF250=Constants!$B$7,IF(AD250,V250,Constants!$B$13),"")</f>
        <v/>
      </c>
      <c r="AI250" s="67" t="str">
        <f aca="false">IF($AF250=Constants!$B$7,IF(AD250,T250*IF(W250, 1, Constants!$B$11)*IF(X250, 1, Constants!$B$12),Constants!$B$13),"")</f>
        <v/>
      </c>
      <c r="AJ250" s="67" t="str">
        <f aca="false">IF($AF250=Constants!$B$7,AH250*AI250,"")</f>
        <v/>
      </c>
      <c r="AK250" s="67" t="str">
        <f aca="false">IF($AF250=Constants!$B$7,IF(AE250,Z250,Constants!$B$13),"")</f>
        <v/>
      </c>
      <c r="AL250" s="67" t="str">
        <f aca="false">IF($AF250=Constants!$B$7,IF(AE250,T250*IF(AA250, 1, Constants!$B$11)*IF(AB250, 1, Constants!$B$12),Constants!$B$13),"")</f>
        <v/>
      </c>
      <c r="AM250" s="67" t="str">
        <f aca="false">IF($AF250=Constants!$B$7,AK250*AL250,"")</f>
        <v/>
      </c>
      <c r="AN250" s="67" t="str">
        <f aca="false">IF($AF250=Constants!$B$7,IF(AM250&gt;AJ250,2,1),"")</f>
        <v/>
      </c>
      <c r="AO250" s="67" t="str">
        <f aca="false">IF($AF250=Constants!$B$7,IF(AN250=1,2,1),"")</f>
        <v/>
      </c>
      <c r="AP250" s="67" t="str">
        <f aca="false">IF(ISBLANK($C250),"",IF($AF250&lt;&gt;Constants!$B$7,$AF250,IF(AN250=1,AJ250,AM250)))</f>
        <v/>
      </c>
      <c r="AQ250" s="67" t="str">
        <f aca="false">IF(ISBLANK($C250),"",IF($AF250=Constants!$B$7,IF(ISNUMBER(AP250),RANK(AP250,$AP$8:$AP$507),Constants!$B$14),$AF250))</f>
        <v/>
      </c>
      <c r="AR250" s="67" t="str">
        <f aca="false">IF(ISBLANK($C250),"",IF($AF250=Constants!$B$7,IF(AO250=1,AJ250,AM250),""))</f>
        <v/>
      </c>
      <c r="AS250" s="67" t="str">
        <f aca="false">IF(ISBLANK($C250),"",IF($AF250=Constants!$B$7,RANK(AR250,$AR$8:$AR$507),$AF250))</f>
        <v/>
      </c>
      <c r="AT250" s="67" t="str">
        <f aca="false">IF(ISBLANK($C250),"",IF($AF250=Constants!$B$7,IF(ISNUMBER(AQ250),COUNTIFS($AQ$8:$AQ$507,"&lt;"&amp;$AQ250)+COUNTIFS($AQ$8:$AQ$507,$AQ250,$AS$8:$AS$507,"&lt;"&amp;$AS250)+1,Constants!$B$14),$AF250))</f>
        <v/>
      </c>
      <c r="AU250" s="67" t="str">
        <f aca="false">IF(ISBLANK($C250),"",IF($AF250=Constants!$B$7,IF(ISNUMBER(AQ250),AQ250-AT250,Constants!$B$14),$AF250))</f>
        <v/>
      </c>
      <c r="AV250" s="69"/>
      <c r="AW250" s="70" t="str">
        <f aca="false">IF(ISBLANK($C250),"",IF($AF250&lt;&gt;Constants!$B$7,"",AN250))</f>
        <v/>
      </c>
      <c r="AX250" s="85" t="str">
        <f aca="false">IF(ISBLANK($C250),"",IF($AF250&lt;&gt;Constants!$B$7,"",IF(AN250=1,AH250,AK250)))</f>
        <v/>
      </c>
      <c r="AY250" s="72" t="str">
        <f aca="false">IF(ISBLANK($C250),"",IF($AF250&lt;&gt;Constants!$B$7,"",IF(AN250=1,AI250,AL250)))</f>
        <v/>
      </c>
      <c r="AZ250" s="73" t="str">
        <f aca="false">IF(ISBLANK($C250),"",IF($AF250&lt;&gt;Constants!$B$7,$AF250,AP250))</f>
        <v/>
      </c>
      <c r="BA250" s="74" t="str">
        <f aca="false">IF(ISBLANK($C250),"",IF($AF250&lt;&gt;Constants!$B$7,$AF250,AG250))</f>
        <v/>
      </c>
      <c r="BB250" s="75" t="str">
        <f aca="false">IF(ISBLANK($C250),"",AU250)</f>
        <v/>
      </c>
      <c r="BC250" s="75" t="str">
        <f aca="false">IF(ISBLANK($C250),"",AT250)</f>
        <v/>
      </c>
      <c r="BD250" s="76" t="str">
        <f aca="false">IF(ISBLANK($C250),"",IFERROR(_xlfn.SWITCH(BC250,Constants!$B$4,COUNTA($C$8:$C$507)+2,Constants!$B$5,COUNTA($C$8:$C$507)+1,Constants!$B$6,COUNTA($C$8:$C$507)),BC250))</f>
        <v/>
      </c>
      <c r="BE250" s="5"/>
      <c r="BF250" s="77" t="n">
        <f aca="false">IF(OR(ISNUMBER(BC250),BC250=Constants!$B$4,BC250=Constants!$B$6,BC250=Constants!$B$5),1,0)</f>
        <v>0</v>
      </c>
      <c r="BG250" s="77" t="n">
        <v>243</v>
      </c>
      <c r="BH250" s="77" t="str">
        <f aca="false">IF(ISBLANK($C250),"",IF(ISNUMBER(BD250),BD250+ROW($B250)/1000,""))</f>
        <v/>
      </c>
      <c r="BI250" s="77" t="str">
        <f aca="false">IF(ISNUMBER(BH250),RANK(BH250,$BH$8:$BH$507,1),"")</f>
        <v/>
      </c>
      <c r="BJ250" s="77" t="str">
        <f aca="false">IF(ISBLANK($C250),"",$B250)</f>
        <v/>
      </c>
      <c r="BK250" s="77" t="str">
        <f aca="false">IF(ISBLANK($C250),"",$C250)</f>
        <v/>
      </c>
      <c r="BL250" s="77" t="str">
        <f aca="false">IF(ISBLANK($C250),"",$D250)</f>
        <v/>
      </c>
      <c r="BM250" s="78" t="str">
        <f aca="false">BA250</f>
        <v/>
      </c>
      <c r="BN250" s="79" t="str">
        <f aca="false">AZ250</f>
        <v/>
      </c>
      <c r="BO250" s="77" t="str">
        <f aca="false">IF(ISBLANK($C250),"",BC250)</f>
        <v/>
      </c>
      <c r="BP250" s="80" t="str">
        <f aca="false">IF($BG250&gt;$BF$7,"",VLOOKUP($BG250,$BI$8:$BO$507,7,FALSE()))</f>
        <v/>
      </c>
      <c r="BQ250" s="81" t="str">
        <f aca="false">IF($BG250&gt;$BF$7,"",VLOOKUP($BG250,$BI$8:$BO$507,2,FALSE()))</f>
        <v/>
      </c>
      <c r="BR250" s="81" t="str">
        <f aca="false">IF($BG250&gt;$BF$7,"",VLOOKUP($BG250,$BI$8:$BO$507,3,FALSE()))</f>
        <v/>
      </c>
      <c r="BS250" s="81" t="str">
        <f aca="false">IF($BG250&gt;$BF$7,"",VLOOKUP($BG250,$BI$8:$BO$507,4,FALSE()))</f>
        <v/>
      </c>
      <c r="BT250" s="81" t="str">
        <f aca="false">IF($BG250&gt;$BF$7,"",VLOOKUP($BG250,$BI$8:$BO$507,5,FALSE()))</f>
        <v/>
      </c>
      <c r="BU250" s="82" t="str">
        <f aca="false">IF($BG250&gt;$BF$7,"",VLOOKUP($BG250,$BI$8:$BO$507,6,FALSE()))</f>
        <v/>
      </c>
      <c r="BV250" s="54"/>
    </row>
    <row r="251" customFormat="false" ht="15.75" hidden="false" customHeight="false" outlineLevel="0" collapsed="false">
      <c r="A251" s="5"/>
      <c r="B251" s="128"/>
      <c r="C251" s="129"/>
      <c r="D251" s="114"/>
      <c r="E251" s="134"/>
      <c r="F251" s="139"/>
      <c r="G251" s="93"/>
      <c r="H251" s="140"/>
      <c r="I251" s="95"/>
      <c r="J251" s="95"/>
      <c r="K251" s="93"/>
      <c r="L251" s="141"/>
      <c r="M251" s="95"/>
      <c r="N251" s="95"/>
      <c r="O251" s="93"/>
      <c r="P251" s="134"/>
      <c r="Q251" s="98"/>
      <c r="R251" s="99" t="str">
        <f aca="false">IF(ISBLANK($C251),"",IF(E251=Constants!$B$2, TRUE(), IF(E251=Constants!$B$3, FALSE(), TRUE())))</f>
        <v/>
      </c>
      <c r="S251" s="99" t="str">
        <f aca="false">IF(ISBLANK($C251),"",IF(F251=Constants!$B$2, TRUE(), IF(F251=Constants!$B$3, FALSE(), TRUE())))</f>
        <v/>
      </c>
      <c r="T251" s="99" t="str">
        <f aca="false">IF(ISBLANK($C251),"",IF(G251=Constants!$B$16,Constants!$B$9,IF(G251=Constants!$B$17,Constants!$B$10,Constants!$B$8)))</f>
        <v/>
      </c>
      <c r="U251" s="99" t="str">
        <f aca="false">IF(ISBLANK($C251),"",IF(H251=Constants!$B$19,Constants!$B$19,Constants!$B$18))</f>
        <v/>
      </c>
      <c r="V251" s="99" t="str">
        <f aca="false">IF(ISBLANK($C251),"",IF(ISNUMBER(I251),IF(I251&gt;=0,I251,""),""))</f>
        <v/>
      </c>
      <c r="W251" s="99" t="str">
        <f aca="false">IF(ISBLANK($C251),"",IF(J251=Constants!$B$2, TRUE(), IF(J251=Constants!$B$3, FALSE(), TRUE())))</f>
        <v/>
      </c>
      <c r="X251" s="99" t="str">
        <f aca="false">IF(ISBLANK($C251),"",IF(K251=Constants!$B$2, TRUE(), IF(K251=Constants!$B$3, FALSE(), TRUE())))</f>
        <v/>
      </c>
      <c r="Y251" s="99" t="str">
        <f aca="false">IF(ISBLANK($C251),"",IF(L251=Constants!$B$19,Constants!$B$19,Constants!$B$18))</f>
        <v/>
      </c>
      <c r="Z251" s="99" t="str">
        <f aca="false">IF(ISBLANK($C251),"",IF(ISNUMBER(M251),IF(M251&gt;=0,M251,""),""))</f>
        <v/>
      </c>
      <c r="AA251" s="99" t="str">
        <f aca="false">IF(ISBLANK($C251),"",IF(N251=Constants!$B$2, TRUE(), IF(N251=Constants!$B$3, FALSE(), TRUE())))</f>
        <v/>
      </c>
      <c r="AB251" s="99" t="str">
        <f aca="false">IF(ISBLANK($C251),"",IF(O251=Constants!$B$2, TRUE(), IF(O251=Constants!$B$3, FALSE(), TRUE())))</f>
        <v/>
      </c>
      <c r="AC251" s="99" t="str">
        <f aca="false">IF(ISBLANK($C251),"",IF(P251=Constants!$B$2, TRUE(), IF(P251=Constants!$B$3, FALSE(), FALSE())))</f>
        <v/>
      </c>
      <c r="AD251" s="99" t="str">
        <f aca="false">IF(ISBLANK($C251),"",AND(V251&lt;&gt;"",IF(U251=Constants!$B$19,S251,R251)))</f>
        <v/>
      </c>
      <c r="AE251" s="99" t="str">
        <f aca="false">IF(ISBLANK($C251),"",AND(Z251&lt;&gt;"",IF(Y251=Constants!$B$19,S251,R251)))</f>
        <v/>
      </c>
      <c r="AF251" s="99" t="str">
        <f aca="false">IF(ISBLANK($C251),"",IF(AC251,Constants!$B$4,IF(COUNTA(E251:O251)=0,Constants!$B$5,IF(AND(NOT(AD251),NOT(AE251)),Constants!$B$6,Constants!$B$7))))</f>
        <v/>
      </c>
      <c r="AG251" s="99" t="str">
        <f aca="false">IF(ISBLANK($C251),"",IF($AF251&lt;&gt;Constants!$B$7,$AF251,Constants!$B$20))</f>
        <v/>
      </c>
      <c r="AH251" s="99" t="str">
        <f aca="false">IF($AF251=Constants!$B$7,IF(AD251,V251,Constants!$B$13),"")</f>
        <v/>
      </c>
      <c r="AI251" s="99" t="str">
        <f aca="false">IF($AF251=Constants!$B$7,IF(AD251,T251*IF(W251, 1, Constants!$B$11)*IF(X251, 1, Constants!$B$12),Constants!$B$13),"")</f>
        <v/>
      </c>
      <c r="AJ251" s="99" t="str">
        <f aca="false">IF($AF251=Constants!$B$7,AH251*AI251,"")</f>
        <v/>
      </c>
      <c r="AK251" s="99" t="str">
        <f aca="false">IF($AF251=Constants!$B$7,IF(AE251,Z251,Constants!$B$13),"")</f>
        <v/>
      </c>
      <c r="AL251" s="99" t="str">
        <f aca="false">IF($AF251=Constants!$B$7,IF(AE251,T251*IF(AA251, 1, Constants!$B$11)*IF(AB251, 1, Constants!$B$12),Constants!$B$13),"")</f>
        <v/>
      </c>
      <c r="AM251" s="99" t="str">
        <f aca="false">IF($AF251=Constants!$B$7,AK251*AL251,"")</f>
        <v/>
      </c>
      <c r="AN251" s="99" t="str">
        <f aca="false">IF($AF251=Constants!$B$7,IF(AM251&gt;AJ251,2,1),"")</f>
        <v/>
      </c>
      <c r="AO251" s="99" t="str">
        <f aca="false">IF($AF251=Constants!$B$7,IF(AN251=1,2,1),"")</f>
        <v/>
      </c>
      <c r="AP251" s="99" t="str">
        <f aca="false">IF(ISBLANK($C251),"",IF($AF251&lt;&gt;Constants!$B$7,$AF251,IF(AN251=1,AJ251,AM251)))</f>
        <v/>
      </c>
      <c r="AQ251" s="99" t="str">
        <f aca="false">IF(ISBLANK($C251),"",IF($AF251=Constants!$B$7,IF(ISNUMBER(AP251),RANK(AP251,$AP$8:$AP$507),Constants!$B$14),$AF251))</f>
        <v/>
      </c>
      <c r="AR251" s="99" t="str">
        <f aca="false">IF(ISBLANK($C251),"",IF($AF251=Constants!$B$7,IF(AO251=1,AJ251,AM251),""))</f>
        <v/>
      </c>
      <c r="AS251" s="99" t="str">
        <f aca="false">IF(ISBLANK($C251),"",IF($AF251=Constants!$B$7,RANK(AR251,$AR$8:$AR$507),$AF251))</f>
        <v/>
      </c>
      <c r="AT251" s="99" t="str">
        <f aca="false">IF(ISBLANK($C251),"",IF($AF251=Constants!$B$7,IF(ISNUMBER(AQ251),COUNTIFS($AQ$8:$AQ$507,"&lt;"&amp;$AQ251)+COUNTIFS($AQ$8:$AQ$507,$AQ251,$AS$8:$AS$507,"&lt;"&amp;$AS251)+1,Constants!$B$14),$AF251))</f>
        <v/>
      </c>
      <c r="AU251" s="99" t="str">
        <f aca="false">IF(ISBLANK($C251),"",IF($AF251=Constants!$B$7,IF(ISNUMBER(AQ251),AQ251-AT251,Constants!$B$14),$AF251))</f>
        <v/>
      </c>
      <c r="AV251" s="100"/>
      <c r="AW251" s="101" t="str">
        <f aca="false">IF(ISBLANK($C251),"",IF($AF251&lt;&gt;Constants!$B$7,"",AN251))</f>
        <v/>
      </c>
      <c r="AX251" s="102" t="str">
        <f aca="false">IF(ISBLANK($C251),"",IF($AF251&lt;&gt;Constants!$B$7,"",IF(AN251=1,AH251,AK251)))</f>
        <v/>
      </c>
      <c r="AY251" s="103" t="str">
        <f aca="false">IF(ISBLANK($C251),"",IF($AF251&lt;&gt;Constants!$B$7,"",IF(AN251=1,AI251,AL251)))</f>
        <v/>
      </c>
      <c r="AZ251" s="104" t="str">
        <f aca="false">IF(ISBLANK($C251),"",IF($AF251&lt;&gt;Constants!$B$7,$AF251,AP251))</f>
        <v/>
      </c>
      <c r="BA251" s="105" t="str">
        <f aca="false">IF(ISBLANK($C251),"",IF($AF251&lt;&gt;Constants!$B$7,$AF251,AG251))</f>
        <v/>
      </c>
      <c r="BB251" s="106" t="str">
        <f aca="false">IF(ISBLANK($C251),"",AU251)</f>
        <v/>
      </c>
      <c r="BC251" s="106" t="str">
        <f aca="false">IF(ISBLANK($C251),"",AT251)</f>
        <v/>
      </c>
      <c r="BD251" s="107" t="str">
        <f aca="false">IF(ISBLANK($C251),"",IFERROR(_xlfn.SWITCH(BC251,Constants!$B$4,COUNTA($C$8:$C$507)+2,Constants!$B$5,COUNTA($C$8:$C$507)+1,Constants!$B$6,COUNTA($C$8:$C$507)),BC251))</f>
        <v/>
      </c>
      <c r="BE251" s="5"/>
      <c r="BF251" s="108" t="n">
        <f aca="false">IF(OR(ISNUMBER(BC251),BC251=Constants!$B$4,BC251=Constants!$B$6,BC251=Constants!$B$5),1,0)</f>
        <v>0</v>
      </c>
      <c r="BG251" s="108" t="n">
        <v>244</v>
      </c>
      <c r="BH251" s="108" t="str">
        <f aca="false">IF(ISBLANK($C251),"",IF(ISNUMBER(BD251),BD251+ROW($B251)/1000,""))</f>
        <v/>
      </c>
      <c r="BI251" s="108" t="str">
        <f aca="false">IF(ISNUMBER(BH251),RANK(BH251,$BH$8:$BH$507,1),"")</f>
        <v/>
      </c>
      <c r="BJ251" s="108" t="str">
        <f aca="false">IF(ISBLANK($C251),"",$B251)</f>
        <v/>
      </c>
      <c r="BK251" s="108" t="str">
        <f aca="false">IF(ISBLANK($C251),"",$C251)</f>
        <v/>
      </c>
      <c r="BL251" s="108" t="str">
        <f aca="false">IF(ISBLANK($C251),"",$D251)</f>
        <v/>
      </c>
      <c r="BM251" s="109" t="str">
        <f aca="false">BA251</f>
        <v/>
      </c>
      <c r="BN251" s="110" t="str">
        <f aca="false">AZ251</f>
        <v/>
      </c>
      <c r="BO251" s="108" t="str">
        <f aca="false">IF(ISBLANK($C251),"",BC251)</f>
        <v/>
      </c>
      <c r="BP251" s="111" t="str">
        <f aca="false">IF($BG251&gt;$BF$7,"",VLOOKUP($BG251,$BI$8:$BO$507,7,FALSE()))</f>
        <v/>
      </c>
      <c r="BQ251" s="112" t="str">
        <f aca="false">IF($BG251&gt;$BF$7,"",VLOOKUP($BG251,$BI$8:$BO$507,2,FALSE()))</f>
        <v/>
      </c>
      <c r="BR251" s="112" t="str">
        <f aca="false">IF($BG251&gt;$BF$7,"",VLOOKUP($BG251,$BI$8:$BO$507,3,FALSE()))</f>
        <v/>
      </c>
      <c r="BS251" s="112" t="str">
        <f aca="false">IF($BG251&gt;$BF$7,"",VLOOKUP($BG251,$BI$8:$BO$507,4,FALSE()))</f>
        <v/>
      </c>
      <c r="BT251" s="112" t="str">
        <f aca="false">IF($BG251&gt;$BF$7,"",VLOOKUP($BG251,$BI$8:$BO$507,5,FALSE()))</f>
        <v/>
      </c>
      <c r="BU251" s="113" t="str">
        <f aca="false">IF($BG251&gt;$BF$7,"",VLOOKUP($BG251,$BI$8:$BO$507,6,FALSE()))</f>
        <v/>
      </c>
      <c r="BV251" s="54"/>
    </row>
    <row r="252" customFormat="false" ht="15.75" hidden="false" customHeight="false" outlineLevel="0" collapsed="false">
      <c r="A252" s="5"/>
      <c r="B252" s="128"/>
      <c r="C252" s="129"/>
      <c r="D252" s="114"/>
      <c r="E252" s="134"/>
      <c r="F252" s="139"/>
      <c r="G252" s="93"/>
      <c r="H252" s="140"/>
      <c r="I252" s="95"/>
      <c r="J252" s="95"/>
      <c r="K252" s="93"/>
      <c r="L252" s="141"/>
      <c r="M252" s="95"/>
      <c r="N252" s="95"/>
      <c r="O252" s="93"/>
      <c r="P252" s="134"/>
      <c r="Q252" s="98"/>
      <c r="R252" s="99" t="str">
        <f aca="false">IF(ISBLANK($C252),"",IF(E252=Constants!$B$2, TRUE(), IF(E252=Constants!$B$3, FALSE(), TRUE())))</f>
        <v/>
      </c>
      <c r="S252" s="99" t="str">
        <f aca="false">IF(ISBLANK($C252),"",IF(F252=Constants!$B$2, TRUE(), IF(F252=Constants!$B$3, FALSE(), TRUE())))</f>
        <v/>
      </c>
      <c r="T252" s="99" t="str">
        <f aca="false">IF(ISBLANK($C252),"",IF(G252=Constants!$B$16,Constants!$B$9,IF(G252=Constants!$B$17,Constants!$B$10,Constants!$B$8)))</f>
        <v/>
      </c>
      <c r="U252" s="99" t="str">
        <f aca="false">IF(ISBLANK($C252),"",IF(H252=Constants!$B$19,Constants!$B$19,Constants!$B$18))</f>
        <v/>
      </c>
      <c r="V252" s="99" t="str">
        <f aca="false">IF(ISBLANK($C252),"",IF(ISNUMBER(I252),IF(I252&gt;=0,I252,""),""))</f>
        <v/>
      </c>
      <c r="W252" s="99" t="str">
        <f aca="false">IF(ISBLANK($C252),"",IF(J252=Constants!$B$2, TRUE(), IF(J252=Constants!$B$3, FALSE(), TRUE())))</f>
        <v/>
      </c>
      <c r="X252" s="99" t="str">
        <f aca="false">IF(ISBLANK($C252),"",IF(K252=Constants!$B$2, TRUE(), IF(K252=Constants!$B$3, FALSE(), TRUE())))</f>
        <v/>
      </c>
      <c r="Y252" s="99" t="str">
        <f aca="false">IF(ISBLANK($C252),"",IF(L252=Constants!$B$19,Constants!$B$19,Constants!$B$18))</f>
        <v/>
      </c>
      <c r="Z252" s="99" t="str">
        <f aca="false">IF(ISBLANK($C252),"",IF(ISNUMBER(M252),IF(M252&gt;=0,M252,""),""))</f>
        <v/>
      </c>
      <c r="AA252" s="99" t="str">
        <f aca="false">IF(ISBLANK($C252),"",IF(N252=Constants!$B$2, TRUE(), IF(N252=Constants!$B$3, FALSE(), TRUE())))</f>
        <v/>
      </c>
      <c r="AB252" s="99" t="str">
        <f aca="false">IF(ISBLANK($C252),"",IF(O252=Constants!$B$2, TRUE(), IF(O252=Constants!$B$3, FALSE(), TRUE())))</f>
        <v/>
      </c>
      <c r="AC252" s="99" t="str">
        <f aca="false">IF(ISBLANK($C252),"",IF(P252=Constants!$B$2, TRUE(), IF(P252=Constants!$B$3, FALSE(), FALSE())))</f>
        <v/>
      </c>
      <c r="AD252" s="99" t="str">
        <f aca="false">IF(ISBLANK($C252),"",AND(V252&lt;&gt;"",IF(U252=Constants!$B$19,S252,R252)))</f>
        <v/>
      </c>
      <c r="AE252" s="99" t="str">
        <f aca="false">IF(ISBLANK($C252),"",AND(Z252&lt;&gt;"",IF(Y252=Constants!$B$19,S252,R252)))</f>
        <v/>
      </c>
      <c r="AF252" s="99" t="str">
        <f aca="false">IF(ISBLANK($C252),"",IF(AC252,Constants!$B$4,IF(COUNTA(E252:O252)=0,Constants!$B$5,IF(AND(NOT(AD252),NOT(AE252)),Constants!$B$6,Constants!$B$7))))</f>
        <v/>
      </c>
      <c r="AG252" s="99" t="str">
        <f aca="false">IF(ISBLANK($C252),"",IF($AF252&lt;&gt;Constants!$B$7,$AF252,Constants!$B$20))</f>
        <v/>
      </c>
      <c r="AH252" s="99" t="str">
        <f aca="false">IF($AF252=Constants!$B$7,IF(AD252,V252,Constants!$B$13),"")</f>
        <v/>
      </c>
      <c r="AI252" s="99" t="str">
        <f aca="false">IF($AF252=Constants!$B$7,IF(AD252,T252*IF(W252, 1, Constants!$B$11)*IF(X252, 1, Constants!$B$12),Constants!$B$13),"")</f>
        <v/>
      </c>
      <c r="AJ252" s="99" t="str">
        <f aca="false">IF($AF252=Constants!$B$7,AH252*AI252,"")</f>
        <v/>
      </c>
      <c r="AK252" s="99" t="str">
        <f aca="false">IF($AF252=Constants!$B$7,IF(AE252,Z252,Constants!$B$13),"")</f>
        <v/>
      </c>
      <c r="AL252" s="99" t="str">
        <f aca="false">IF($AF252=Constants!$B$7,IF(AE252,T252*IF(AA252, 1, Constants!$B$11)*IF(AB252, 1, Constants!$B$12),Constants!$B$13),"")</f>
        <v/>
      </c>
      <c r="AM252" s="99" t="str">
        <f aca="false">IF($AF252=Constants!$B$7,AK252*AL252,"")</f>
        <v/>
      </c>
      <c r="AN252" s="99" t="str">
        <f aca="false">IF($AF252=Constants!$B$7,IF(AM252&gt;AJ252,2,1),"")</f>
        <v/>
      </c>
      <c r="AO252" s="99" t="str">
        <f aca="false">IF($AF252=Constants!$B$7,IF(AN252=1,2,1),"")</f>
        <v/>
      </c>
      <c r="AP252" s="99" t="str">
        <f aca="false">IF(ISBLANK($C252),"",IF($AF252&lt;&gt;Constants!$B$7,$AF252,IF(AN252=1,AJ252,AM252)))</f>
        <v/>
      </c>
      <c r="AQ252" s="99" t="str">
        <f aca="false">IF(ISBLANK($C252),"",IF($AF252=Constants!$B$7,IF(ISNUMBER(AP252),RANK(AP252,$AP$8:$AP$507),Constants!$B$14),$AF252))</f>
        <v/>
      </c>
      <c r="AR252" s="99" t="str">
        <f aca="false">IF(ISBLANK($C252),"",IF($AF252=Constants!$B$7,IF(AO252=1,AJ252,AM252),""))</f>
        <v/>
      </c>
      <c r="AS252" s="99" t="str">
        <f aca="false">IF(ISBLANK($C252),"",IF($AF252=Constants!$B$7,RANK(AR252,$AR$8:$AR$507),$AF252))</f>
        <v/>
      </c>
      <c r="AT252" s="99" t="str">
        <f aca="false">IF(ISBLANK($C252),"",IF($AF252=Constants!$B$7,IF(ISNUMBER(AQ252),COUNTIFS($AQ$8:$AQ$507,"&lt;"&amp;$AQ252)+COUNTIFS($AQ$8:$AQ$507,$AQ252,$AS$8:$AS$507,"&lt;"&amp;$AS252)+1,Constants!$B$14),$AF252))</f>
        <v/>
      </c>
      <c r="AU252" s="99" t="str">
        <f aca="false">IF(ISBLANK($C252),"",IF($AF252=Constants!$B$7,IF(ISNUMBER(AQ252),AQ252-AT252,Constants!$B$14),$AF252))</f>
        <v/>
      </c>
      <c r="AV252" s="100"/>
      <c r="AW252" s="101" t="str">
        <f aca="false">IF(ISBLANK($C252),"",IF($AF252&lt;&gt;Constants!$B$7,"",AN252))</f>
        <v/>
      </c>
      <c r="AX252" s="102" t="str">
        <f aca="false">IF(ISBLANK($C252),"",IF($AF252&lt;&gt;Constants!$B$7,"",IF(AN252=1,AH252,AK252)))</f>
        <v/>
      </c>
      <c r="AY252" s="103" t="str">
        <f aca="false">IF(ISBLANK($C252),"",IF($AF252&lt;&gt;Constants!$B$7,"",IF(AN252=1,AI252,AL252)))</f>
        <v/>
      </c>
      <c r="AZ252" s="104" t="str">
        <f aca="false">IF(ISBLANK($C252),"",IF($AF252&lt;&gt;Constants!$B$7,$AF252,AP252))</f>
        <v/>
      </c>
      <c r="BA252" s="105" t="str">
        <f aca="false">IF(ISBLANK($C252),"",IF($AF252&lt;&gt;Constants!$B$7,$AF252,AG252))</f>
        <v/>
      </c>
      <c r="BB252" s="106" t="str">
        <f aca="false">IF(ISBLANK($C252),"",AU252)</f>
        <v/>
      </c>
      <c r="BC252" s="106" t="str">
        <f aca="false">IF(ISBLANK($C252),"",AT252)</f>
        <v/>
      </c>
      <c r="BD252" s="107" t="str">
        <f aca="false">IF(ISBLANK($C252),"",IFERROR(_xlfn.SWITCH(BC252,Constants!$B$4,COUNTA($C$8:$C$507)+2,Constants!$B$5,COUNTA($C$8:$C$507)+1,Constants!$B$6,COUNTA($C$8:$C$507)),BC252))</f>
        <v/>
      </c>
      <c r="BE252" s="5"/>
      <c r="BF252" s="108" t="n">
        <f aca="false">IF(OR(ISNUMBER(BC252),BC252=Constants!$B$4,BC252=Constants!$B$6,BC252=Constants!$B$5),1,0)</f>
        <v>0</v>
      </c>
      <c r="BG252" s="108" t="n">
        <v>245</v>
      </c>
      <c r="BH252" s="108" t="str">
        <f aca="false">IF(ISBLANK($C252),"",IF(ISNUMBER(BD252),BD252+ROW($B252)/1000,""))</f>
        <v/>
      </c>
      <c r="BI252" s="108" t="str">
        <f aca="false">IF(ISNUMBER(BH252),RANK(BH252,$BH$8:$BH$507,1),"")</f>
        <v/>
      </c>
      <c r="BJ252" s="108" t="str">
        <f aca="false">IF(ISBLANK($C252),"",$B252)</f>
        <v/>
      </c>
      <c r="BK252" s="108" t="str">
        <f aca="false">IF(ISBLANK($C252),"",$C252)</f>
        <v/>
      </c>
      <c r="BL252" s="108" t="str">
        <f aca="false">IF(ISBLANK($C252),"",$D252)</f>
        <v/>
      </c>
      <c r="BM252" s="109" t="str">
        <f aca="false">BA252</f>
        <v/>
      </c>
      <c r="BN252" s="110" t="str">
        <f aca="false">AZ252</f>
        <v/>
      </c>
      <c r="BO252" s="108" t="str">
        <f aca="false">IF(ISBLANK($C252),"",BC252)</f>
        <v/>
      </c>
      <c r="BP252" s="111" t="str">
        <f aca="false">IF($BG252&gt;$BF$7,"",VLOOKUP($BG252,$BI$8:$BO$507,7,FALSE()))</f>
        <v/>
      </c>
      <c r="BQ252" s="112" t="str">
        <f aca="false">IF($BG252&gt;$BF$7,"",VLOOKUP($BG252,$BI$8:$BO$507,2,FALSE()))</f>
        <v/>
      </c>
      <c r="BR252" s="112" t="str">
        <f aca="false">IF($BG252&gt;$BF$7,"",VLOOKUP($BG252,$BI$8:$BO$507,3,FALSE()))</f>
        <v/>
      </c>
      <c r="BS252" s="112" t="str">
        <f aca="false">IF($BG252&gt;$BF$7,"",VLOOKUP($BG252,$BI$8:$BO$507,4,FALSE()))</f>
        <v/>
      </c>
      <c r="BT252" s="112" t="str">
        <f aca="false">IF($BG252&gt;$BF$7,"",VLOOKUP($BG252,$BI$8:$BO$507,5,FALSE()))</f>
        <v/>
      </c>
      <c r="BU252" s="113" t="str">
        <f aca="false">IF($BG252&gt;$BF$7,"",VLOOKUP($BG252,$BI$8:$BO$507,6,FALSE()))</f>
        <v/>
      </c>
      <c r="BV252" s="54"/>
    </row>
    <row r="253" customFormat="false" ht="15.75" hidden="false" customHeight="false" outlineLevel="0" collapsed="false">
      <c r="A253" s="5"/>
      <c r="B253" s="128"/>
      <c r="C253" s="129"/>
      <c r="D253" s="114"/>
      <c r="E253" s="134"/>
      <c r="F253" s="139"/>
      <c r="G253" s="93"/>
      <c r="H253" s="140"/>
      <c r="I253" s="95"/>
      <c r="J253" s="95"/>
      <c r="K253" s="93"/>
      <c r="L253" s="141"/>
      <c r="M253" s="95"/>
      <c r="N253" s="95"/>
      <c r="O253" s="93"/>
      <c r="P253" s="134"/>
      <c r="Q253" s="98"/>
      <c r="R253" s="99" t="str">
        <f aca="false">IF(ISBLANK($C253),"",IF(E253=Constants!$B$2, TRUE(), IF(E253=Constants!$B$3, FALSE(), TRUE())))</f>
        <v/>
      </c>
      <c r="S253" s="99" t="str">
        <f aca="false">IF(ISBLANK($C253),"",IF(F253=Constants!$B$2, TRUE(), IF(F253=Constants!$B$3, FALSE(), TRUE())))</f>
        <v/>
      </c>
      <c r="T253" s="99" t="str">
        <f aca="false">IF(ISBLANK($C253),"",IF(G253=Constants!$B$16,Constants!$B$9,IF(G253=Constants!$B$17,Constants!$B$10,Constants!$B$8)))</f>
        <v/>
      </c>
      <c r="U253" s="99" t="str">
        <f aca="false">IF(ISBLANK($C253),"",IF(H253=Constants!$B$19,Constants!$B$19,Constants!$B$18))</f>
        <v/>
      </c>
      <c r="V253" s="99" t="str">
        <f aca="false">IF(ISBLANK($C253),"",IF(ISNUMBER(I253),IF(I253&gt;=0,I253,""),""))</f>
        <v/>
      </c>
      <c r="W253" s="99" t="str">
        <f aca="false">IF(ISBLANK($C253),"",IF(J253=Constants!$B$2, TRUE(), IF(J253=Constants!$B$3, FALSE(), TRUE())))</f>
        <v/>
      </c>
      <c r="X253" s="99" t="str">
        <f aca="false">IF(ISBLANK($C253),"",IF(K253=Constants!$B$2, TRUE(), IF(K253=Constants!$B$3, FALSE(), TRUE())))</f>
        <v/>
      </c>
      <c r="Y253" s="99" t="str">
        <f aca="false">IF(ISBLANK($C253),"",IF(L253=Constants!$B$19,Constants!$B$19,Constants!$B$18))</f>
        <v/>
      </c>
      <c r="Z253" s="99" t="str">
        <f aca="false">IF(ISBLANK($C253),"",IF(ISNUMBER(M253),IF(M253&gt;=0,M253,""),""))</f>
        <v/>
      </c>
      <c r="AA253" s="99" t="str">
        <f aca="false">IF(ISBLANK($C253),"",IF(N253=Constants!$B$2, TRUE(), IF(N253=Constants!$B$3, FALSE(), TRUE())))</f>
        <v/>
      </c>
      <c r="AB253" s="99" t="str">
        <f aca="false">IF(ISBLANK($C253),"",IF(O253=Constants!$B$2, TRUE(), IF(O253=Constants!$B$3, FALSE(), TRUE())))</f>
        <v/>
      </c>
      <c r="AC253" s="99" t="str">
        <f aca="false">IF(ISBLANK($C253),"",IF(P253=Constants!$B$2, TRUE(), IF(P253=Constants!$B$3, FALSE(), FALSE())))</f>
        <v/>
      </c>
      <c r="AD253" s="99" t="str">
        <f aca="false">IF(ISBLANK($C253),"",AND(V253&lt;&gt;"",IF(U253=Constants!$B$19,S253,R253)))</f>
        <v/>
      </c>
      <c r="AE253" s="99" t="str">
        <f aca="false">IF(ISBLANK($C253),"",AND(Z253&lt;&gt;"",IF(Y253=Constants!$B$19,S253,R253)))</f>
        <v/>
      </c>
      <c r="AF253" s="99" t="str">
        <f aca="false">IF(ISBLANK($C253),"",IF(AC253,Constants!$B$4,IF(COUNTA(E253:O253)=0,Constants!$B$5,IF(AND(NOT(AD253),NOT(AE253)),Constants!$B$6,Constants!$B$7))))</f>
        <v/>
      </c>
      <c r="AG253" s="99" t="str">
        <f aca="false">IF(ISBLANK($C253),"",IF($AF253&lt;&gt;Constants!$B$7,$AF253,Constants!$B$20))</f>
        <v/>
      </c>
      <c r="AH253" s="99" t="str">
        <f aca="false">IF($AF253=Constants!$B$7,IF(AD253,V253,Constants!$B$13),"")</f>
        <v/>
      </c>
      <c r="AI253" s="99" t="str">
        <f aca="false">IF($AF253=Constants!$B$7,IF(AD253,T253*IF(W253, 1, Constants!$B$11)*IF(X253, 1, Constants!$B$12),Constants!$B$13),"")</f>
        <v/>
      </c>
      <c r="AJ253" s="99" t="str">
        <f aca="false">IF($AF253=Constants!$B$7,AH253*AI253,"")</f>
        <v/>
      </c>
      <c r="AK253" s="99" t="str">
        <f aca="false">IF($AF253=Constants!$B$7,IF(AE253,Z253,Constants!$B$13),"")</f>
        <v/>
      </c>
      <c r="AL253" s="99" t="str">
        <f aca="false">IF($AF253=Constants!$B$7,IF(AE253,T253*IF(AA253, 1, Constants!$B$11)*IF(AB253, 1, Constants!$B$12),Constants!$B$13),"")</f>
        <v/>
      </c>
      <c r="AM253" s="99" t="str">
        <f aca="false">IF($AF253=Constants!$B$7,AK253*AL253,"")</f>
        <v/>
      </c>
      <c r="AN253" s="99" t="str">
        <f aca="false">IF($AF253=Constants!$B$7,IF(AM253&gt;AJ253,2,1),"")</f>
        <v/>
      </c>
      <c r="AO253" s="99" t="str">
        <f aca="false">IF($AF253=Constants!$B$7,IF(AN253=1,2,1),"")</f>
        <v/>
      </c>
      <c r="AP253" s="99" t="str">
        <f aca="false">IF(ISBLANK($C253),"",IF($AF253&lt;&gt;Constants!$B$7,$AF253,IF(AN253=1,AJ253,AM253)))</f>
        <v/>
      </c>
      <c r="AQ253" s="99" t="str">
        <f aca="false">IF(ISBLANK($C253),"",IF($AF253=Constants!$B$7,IF(ISNUMBER(AP253),RANK(AP253,$AP$8:$AP$507),Constants!$B$14),$AF253))</f>
        <v/>
      </c>
      <c r="AR253" s="99" t="str">
        <f aca="false">IF(ISBLANK($C253),"",IF($AF253=Constants!$B$7,IF(AO253=1,AJ253,AM253),""))</f>
        <v/>
      </c>
      <c r="AS253" s="99" t="str">
        <f aca="false">IF(ISBLANK($C253),"",IF($AF253=Constants!$B$7,RANK(AR253,$AR$8:$AR$507),$AF253))</f>
        <v/>
      </c>
      <c r="AT253" s="99" t="str">
        <f aca="false">IF(ISBLANK($C253),"",IF($AF253=Constants!$B$7,IF(ISNUMBER(AQ253),COUNTIFS($AQ$8:$AQ$507,"&lt;"&amp;$AQ253)+COUNTIFS($AQ$8:$AQ$507,$AQ253,$AS$8:$AS$507,"&lt;"&amp;$AS253)+1,Constants!$B$14),$AF253))</f>
        <v/>
      </c>
      <c r="AU253" s="99" t="str">
        <f aca="false">IF(ISBLANK($C253),"",IF($AF253=Constants!$B$7,IF(ISNUMBER(AQ253),AQ253-AT253,Constants!$B$14),$AF253))</f>
        <v/>
      </c>
      <c r="AV253" s="100"/>
      <c r="AW253" s="101" t="str">
        <f aca="false">IF(ISBLANK($C253),"",IF($AF253&lt;&gt;Constants!$B$7,"",AN253))</f>
        <v/>
      </c>
      <c r="AX253" s="102" t="str">
        <f aca="false">IF(ISBLANK($C253),"",IF($AF253&lt;&gt;Constants!$B$7,"",IF(AN253=1,AH253,AK253)))</f>
        <v/>
      </c>
      <c r="AY253" s="103" t="str">
        <f aca="false">IF(ISBLANK($C253),"",IF($AF253&lt;&gt;Constants!$B$7,"",IF(AN253=1,AI253,AL253)))</f>
        <v/>
      </c>
      <c r="AZ253" s="104" t="str">
        <f aca="false">IF(ISBLANK($C253),"",IF($AF253&lt;&gt;Constants!$B$7,$AF253,AP253))</f>
        <v/>
      </c>
      <c r="BA253" s="105" t="str">
        <f aca="false">IF(ISBLANK($C253),"",IF($AF253&lt;&gt;Constants!$B$7,$AF253,AG253))</f>
        <v/>
      </c>
      <c r="BB253" s="106" t="str">
        <f aca="false">IF(ISBLANK($C253),"",AU253)</f>
        <v/>
      </c>
      <c r="BC253" s="106" t="str">
        <f aca="false">IF(ISBLANK($C253),"",AT253)</f>
        <v/>
      </c>
      <c r="BD253" s="107" t="str">
        <f aca="false">IF(ISBLANK($C253),"",IFERROR(_xlfn.SWITCH(BC253,Constants!$B$4,COUNTA($C$8:$C$507)+2,Constants!$B$5,COUNTA($C$8:$C$507)+1,Constants!$B$6,COUNTA($C$8:$C$507)),BC253))</f>
        <v/>
      </c>
      <c r="BE253" s="5"/>
      <c r="BF253" s="108" t="n">
        <f aca="false">IF(OR(ISNUMBER(BC253),BC253=Constants!$B$4,BC253=Constants!$B$6,BC253=Constants!$B$5),1,0)</f>
        <v>0</v>
      </c>
      <c r="BG253" s="108" t="n">
        <v>246</v>
      </c>
      <c r="BH253" s="108" t="str">
        <f aca="false">IF(ISBLANK($C253),"",IF(ISNUMBER(BD253),BD253+ROW($B253)/1000,""))</f>
        <v/>
      </c>
      <c r="BI253" s="108" t="str">
        <f aca="false">IF(ISNUMBER(BH253),RANK(BH253,$BH$8:$BH$507,1),"")</f>
        <v/>
      </c>
      <c r="BJ253" s="108" t="str">
        <f aca="false">IF(ISBLANK($C253),"",$B253)</f>
        <v/>
      </c>
      <c r="BK253" s="108" t="str">
        <f aca="false">IF(ISBLANK($C253),"",$C253)</f>
        <v/>
      </c>
      <c r="BL253" s="108" t="str">
        <f aca="false">IF(ISBLANK($C253),"",$D253)</f>
        <v/>
      </c>
      <c r="BM253" s="109" t="str">
        <f aca="false">BA253</f>
        <v/>
      </c>
      <c r="BN253" s="110" t="str">
        <f aca="false">AZ253</f>
        <v/>
      </c>
      <c r="BO253" s="108" t="str">
        <f aca="false">IF(ISBLANK($C253),"",BC253)</f>
        <v/>
      </c>
      <c r="BP253" s="111" t="str">
        <f aca="false">IF($BG253&gt;$BF$7,"",VLOOKUP($BG253,$BI$8:$BO$507,7,FALSE()))</f>
        <v/>
      </c>
      <c r="BQ253" s="112" t="str">
        <f aca="false">IF($BG253&gt;$BF$7,"",VLOOKUP($BG253,$BI$8:$BO$507,2,FALSE()))</f>
        <v/>
      </c>
      <c r="BR253" s="112" t="str">
        <f aca="false">IF($BG253&gt;$BF$7,"",VLOOKUP($BG253,$BI$8:$BO$507,3,FALSE()))</f>
        <v/>
      </c>
      <c r="BS253" s="112" t="str">
        <f aca="false">IF($BG253&gt;$BF$7,"",VLOOKUP($BG253,$BI$8:$BO$507,4,FALSE()))</f>
        <v/>
      </c>
      <c r="BT253" s="112" t="str">
        <f aca="false">IF($BG253&gt;$BF$7,"",VLOOKUP($BG253,$BI$8:$BO$507,5,FALSE()))</f>
        <v/>
      </c>
      <c r="BU253" s="113" t="str">
        <f aca="false">IF($BG253&gt;$BF$7,"",VLOOKUP($BG253,$BI$8:$BO$507,6,FALSE()))</f>
        <v/>
      </c>
      <c r="BV253" s="54"/>
    </row>
    <row r="254" customFormat="false" ht="15.75" hidden="false" customHeight="false" outlineLevel="0" collapsed="false">
      <c r="A254" s="5"/>
      <c r="B254" s="135"/>
      <c r="C254" s="56"/>
      <c r="D254" s="57"/>
      <c r="E254" s="84"/>
      <c r="F254" s="136"/>
      <c r="G254" s="60"/>
      <c r="H254" s="137"/>
      <c r="I254" s="62"/>
      <c r="J254" s="62"/>
      <c r="K254" s="60"/>
      <c r="L254" s="138"/>
      <c r="M254" s="62"/>
      <c r="N254" s="62"/>
      <c r="O254" s="60"/>
      <c r="P254" s="84"/>
      <c r="Q254" s="65"/>
      <c r="R254" s="67" t="str">
        <f aca="false">IF(ISBLANK($C254),"",IF(E254=Constants!$B$2, TRUE(), IF(E254=Constants!$B$3, FALSE(), TRUE())))</f>
        <v/>
      </c>
      <c r="S254" s="67" t="str">
        <f aca="false">IF(ISBLANK($C254),"",IF(F254=Constants!$B$2, TRUE(), IF(F254=Constants!$B$3, FALSE(), TRUE())))</f>
        <v/>
      </c>
      <c r="T254" s="67" t="str">
        <f aca="false">IF(ISBLANK($C254),"",IF(G254=Constants!$B$16,Constants!$B$9,IF(G254=Constants!$B$17,Constants!$B$10,Constants!$B$8)))</f>
        <v/>
      </c>
      <c r="U254" s="67" t="str">
        <f aca="false">IF(ISBLANK($C254),"",IF(H254=Constants!$B$19,Constants!$B$19,Constants!$B$18))</f>
        <v/>
      </c>
      <c r="V254" s="67" t="str">
        <f aca="false">IF(ISBLANK($C254),"",IF(ISNUMBER(I254),IF(I254&gt;=0,I254,""),""))</f>
        <v/>
      </c>
      <c r="W254" s="67" t="str">
        <f aca="false">IF(ISBLANK($C254),"",IF(J254=Constants!$B$2, TRUE(), IF(J254=Constants!$B$3, FALSE(), TRUE())))</f>
        <v/>
      </c>
      <c r="X254" s="67" t="str">
        <f aca="false">IF(ISBLANK($C254),"",IF(K254=Constants!$B$2, TRUE(), IF(K254=Constants!$B$3, FALSE(), TRUE())))</f>
        <v/>
      </c>
      <c r="Y254" s="67" t="str">
        <f aca="false">IF(ISBLANK($C254),"",IF(L254=Constants!$B$19,Constants!$B$19,Constants!$B$18))</f>
        <v/>
      </c>
      <c r="Z254" s="67" t="str">
        <f aca="false">IF(ISBLANK($C254),"",IF(ISNUMBER(M254),IF(M254&gt;=0,M254,""),""))</f>
        <v/>
      </c>
      <c r="AA254" s="67" t="str">
        <f aca="false">IF(ISBLANK($C254),"",IF(N254=Constants!$B$2, TRUE(), IF(N254=Constants!$B$3, FALSE(), TRUE())))</f>
        <v/>
      </c>
      <c r="AB254" s="67" t="str">
        <f aca="false">IF(ISBLANK($C254),"",IF(O254=Constants!$B$2, TRUE(), IF(O254=Constants!$B$3, FALSE(), TRUE())))</f>
        <v/>
      </c>
      <c r="AC254" s="67" t="str">
        <f aca="false">IF(ISBLANK($C254),"",IF(P254=Constants!$B$2, TRUE(), IF(P254=Constants!$B$3, FALSE(), FALSE())))</f>
        <v/>
      </c>
      <c r="AD254" s="67" t="str">
        <f aca="false">IF(ISBLANK($C254),"",AND(V254&lt;&gt;"",IF(U254=Constants!$B$19,S254,R254)))</f>
        <v/>
      </c>
      <c r="AE254" s="67" t="str">
        <f aca="false">IF(ISBLANK($C254),"",AND(Z254&lt;&gt;"",IF(Y254=Constants!$B$19,S254,R254)))</f>
        <v/>
      </c>
      <c r="AF254" s="67" t="str">
        <f aca="false">IF(ISBLANK($C254),"",IF(AC254,Constants!$B$4,IF(COUNTA(E254:O254)=0,Constants!$B$5,IF(AND(NOT(AD254),NOT(AE254)),Constants!$B$6,Constants!$B$7))))</f>
        <v/>
      </c>
      <c r="AG254" s="67" t="str">
        <f aca="false">IF(ISBLANK($C254),"",IF($AF254&lt;&gt;Constants!$B$7,$AF254,Constants!$B$20))</f>
        <v/>
      </c>
      <c r="AH254" s="67" t="str">
        <f aca="false">IF($AF254=Constants!$B$7,IF(AD254,V254,Constants!$B$13),"")</f>
        <v/>
      </c>
      <c r="AI254" s="67" t="str">
        <f aca="false">IF($AF254=Constants!$B$7,IF(AD254,T254*IF(W254, 1, Constants!$B$11)*IF(X254, 1, Constants!$B$12),Constants!$B$13),"")</f>
        <v/>
      </c>
      <c r="AJ254" s="67" t="str">
        <f aca="false">IF($AF254=Constants!$B$7,AH254*AI254,"")</f>
        <v/>
      </c>
      <c r="AK254" s="67" t="str">
        <f aca="false">IF($AF254=Constants!$B$7,IF(AE254,Z254,Constants!$B$13),"")</f>
        <v/>
      </c>
      <c r="AL254" s="67" t="str">
        <f aca="false">IF($AF254=Constants!$B$7,IF(AE254,T254*IF(AA254, 1, Constants!$B$11)*IF(AB254, 1, Constants!$B$12),Constants!$B$13),"")</f>
        <v/>
      </c>
      <c r="AM254" s="67" t="str">
        <f aca="false">IF($AF254=Constants!$B$7,AK254*AL254,"")</f>
        <v/>
      </c>
      <c r="AN254" s="67" t="str">
        <f aca="false">IF($AF254=Constants!$B$7,IF(AM254&gt;AJ254,2,1),"")</f>
        <v/>
      </c>
      <c r="AO254" s="67" t="str">
        <f aca="false">IF($AF254=Constants!$B$7,IF(AN254=1,2,1),"")</f>
        <v/>
      </c>
      <c r="AP254" s="67" t="str">
        <f aca="false">IF(ISBLANK($C254),"",IF($AF254&lt;&gt;Constants!$B$7,$AF254,IF(AN254=1,AJ254,AM254)))</f>
        <v/>
      </c>
      <c r="AQ254" s="67" t="str">
        <f aca="false">IF(ISBLANK($C254),"",IF($AF254=Constants!$B$7,IF(ISNUMBER(AP254),RANK(AP254,$AP$8:$AP$507),Constants!$B$14),$AF254))</f>
        <v/>
      </c>
      <c r="AR254" s="67" t="str">
        <f aca="false">IF(ISBLANK($C254),"",IF($AF254=Constants!$B$7,IF(AO254=1,AJ254,AM254),""))</f>
        <v/>
      </c>
      <c r="AS254" s="67" t="str">
        <f aca="false">IF(ISBLANK($C254),"",IF($AF254=Constants!$B$7,RANK(AR254,$AR$8:$AR$507),$AF254))</f>
        <v/>
      </c>
      <c r="AT254" s="67" t="str">
        <f aca="false">IF(ISBLANK($C254),"",IF($AF254=Constants!$B$7,IF(ISNUMBER(AQ254),COUNTIFS($AQ$8:$AQ$507,"&lt;"&amp;$AQ254)+COUNTIFS($AQ$8:$AQ$507,$AQ254,$AS$8:$AS$507,"&lt;"&amp;$AS254)+1,Constants!$B$14),$AF254))</f>
        <v/>
      </c>
      <c r="AU254" s="67" t="str">
        <f aca="false">IF(ISBLANK($C254),"",IF($AF254=Constants!$B$7,IF(ISNUMBER(AQ254),AQ254-AT254,Constants!$B$14),$AF254))</f>
        <v/>
      </c>
      <c r="AV254" s="69"/>
      <c r="AW254" s="70" t="str">
        <f aca="false">IF(ISBLANK($C254),"",IF($AF254&lt;&gt;Constants!$B$7,"",AN254))</f>
        <v/>
      </c>
      <c r="AX254" s="85" t="str">
        <f aca="false">IF(ISBLANK($C254),"",IF($AF254&lt;&gt;Constants!$B$7,"",IF(AN254=1,AH254,AK254)))</f>
        <v/>
      </c>
      <c r="AY254" s="72" t="str">
        <f aca="false">IF(ISBLANK($C254),"",IF($AF254&lt;&gt;Constants!$B$7,"",IF(AN254=1,AI254,AL254)))</f>
        <v/>
      </c>
      <c r="AZ254" s="73" t="str">
        <f aca="false">IF(ISBLANK($C254),"",IF($AF254&lt;&gt;Constants!$B$7,$AF254,AP254))</f>
        <v/>
      </c>
      <c r="BA254" s="74" t="str">
        <f aca="false">IF(ISBLANK($C254),"",IF($AF254&lt;&gt;Constants!$B$7,$AF254,AG254))</f>
        <v/>
      </c>
      <c r="BB254" s="75" t="str">
        <f aca="false">IF(ISBLANK($C254),"",AU254)</f>
        <v/>
      </c>
      <c r="BC254" s="75" t="str">
        <f aca="false">IF(ISBLANK($C254),"",AT254)</f>
        <v/>
      </c>
      <c r="BD254" s="76" t="str">
        <f aca="false">IF(ISBLANK($C254),"",IFERROR(_xlfn.SWITCH(BC254,Constants!$B$4,COUNTA($C$8:$C$507)+2,Constants!$B$5,COUNTA($C$8:$C$507)+1,Constants!$B$6,COUNTA($C$8:$C$507)),BC254))</f>
        <v/>
      </c>
      <c r="BE254" s="5"/>
      <c r="BF254" s="77" t="n">
        <f aca="false">IF(OR(ISNUMBER(BC254),BC254=Constants!$B$4,BC254=Constants!$B$6,BC254=Constants!$B$5),1,0)</f>
        <v>0</v>
      </c>
      <c r="BG254" s="77" t="n">
        <v>247</v>
      </c>
      <c r="BH254" s="77" t="str">
        <f aca="false">IF(ISBLANK($C254),"",IF(ISNUMBER(BD254),BD254+ROW($B254)/1000,""))</f>
        <v/>
      </c>
      <c r="BI254" s="77" t="str">
        <f aca="false">IF(ISNUMBER(BH254),RANK(BH254,$BH$8:$BH$507,1),"")</f>
        <v/>
      </c>
      <c r="BJ254" s="77" t="str">
        <f aca="false">IF(ISBLANK($C254),"",$B254)</f>
        <v/>
      </c>
      <c r="BK254" s="77" t="str">
        <f aca="false">IF(ISBLANK($C254),"",$C254)</f>
        <v/>
      </c>
      <c r="BL254" s="77" t="str">
        <f aca="false">IF(ISBLANK($C254),"",$D254)</f>
        <v/>
      </c>
      <c r="BM254" s="78" t="str">
        <f aca="false">BA254</f>
        <v/>
      </c>
      <c r="BN254" s="79" t="str">
        <f aca="false">AZ254</f>
        <v/>
      </c>
      <c r="BO254" s="77" t="str">
        <f aca="false">IF(ISBLANK($C254),"",BC254)</f>
        <v/>
      </c>
      <c r="BP254" s="80" t="str">
        <f aca="false">IF($BG254&gt;$BF$7,"",VLOOKUP($BG254,$BI$8:$BO$507,7,FALSE()))</f>
        <v/>
      </c>
      <c r="BQ254" s="81" t="str">
        <f aca="false">IF($BG254&gt;$BF$7,"",VLOOKUP($BG254,$BI$8:$BO$507,2,FALSE()))</f>
        <v/>
      </c>
      <c r="BR254" s="81" t="str">
        <f aca="false">IF($BG254&gt;$BF$7,"",VLOOKUP($BG254,$BI$8:$BO$507,3,FALSE()))</f>
        <v/>
      </c>
      <c r="BS254" s="81" t="str">
        <f aca="false">IF($BG254&gt;$BF$7,"",VLOOKUP($BG254,$BI$8:$BO$507,4,FALSE()))</f>
        <v/>
      </c>
      <c r="BT254" s="81" t="str">
        <f aca="false">IF($BG254&gt;$BF$7,"",VLOOKUP($BG254,$BI$8:$BO$507,5,FALSE()))</f>
        <v/>
      </c>
      <c r="BU254" s="82" t="str">
        <f aca="false">IF($BG254&gt;$BF$7,"",VLOOKUP($BG254,$BI$8:$BO$507,6,FALSE()))</f>
        <v/>
      </c>
      <c r="BV254" s="54"/>
    </row>
    <row r="255" customFormat="false" ht="15.75" hidden="false" customHeight="false" outlineLevel="0" collapsed="false">
      <c r="A255" s="5"/>
      <c r="B255" s="135"/>
      <c r="C255" s="56"/>
      <c r="D255" s="57"/>
      <c r="E255" s="84"/>
      <c r="F255" s="136"/>
      <c r="G255" s="60"/>
      <c r="H255" s="137"/>
      <c r="I255" s="62"/>
      <c r="J255" s="62"/>
      <c r="K255" s="60"/>
      <c r="L255" s="138"/>
      <c r="M255" s="62"/>
      <c r="N255" s="62"/>
      <c r="O255" s="60"/>
      <c r="P255" s="84"/>
      <c r="Q255" s="65"/>
      <c r="R255" s="67" t="str">
        <f aca="false">IF(ISBLANK($C255),"",IF(E255=Constants!$B$2, TRUE(), IF(E255=Constants!$B$3, FALSE(), TRUE())))</f>
        <v/>
      </c>
      <c r="S255" s="67" t="str">
        <f aca="false">IF(ISBLANK($C255),"",IF(F255=Constants!$B$2, TRUE(), IF(F255=Constants!$B$3, FALSE(), TRUE())))</f>
        <v/>
      </c>
      <c r="T255" s="67" t="str">
        <f aca="false">IF(ISBLANK($C255),"",IF(G255=Constants!$B$16,Constants!$B$9,IF(G255=Constants!$B$17,Constants!$B$10,Constants!$B$8)))</f>
        <v/>
      </c>
      <c r="U255" s="67" t="str">
        <f aca="false">IF(ISBLANK($C255),"",IF(H255=Constants!$B$19,Constants!$B$19,Constants!$B$18))</f>
        <v/>
      </c>
      <c r="V255" s="67" t="str">
        <f aca="false">IF(ISBLANK($C255),"",IF(ISNUMBER(I255),IF(I255&gt;=0,I255,""),""))</f>
        <v/>
      </c>
      <c r="W255" s="67" t="str">
        <f aca="false">IF(ISBLANK($C255),"",IF(J255=Constants!$B$2, TRUE(), IF(J255=Constants!$B$3, FALSE(), TRUE())))</f>
        <v/>
      </c>
      <c r="X255" s="67" t="str">
        <f aca="false">IF(ISBLANK($C255),"",IF(K255=Constants!$B$2, TRUE(), IF(K255=Constants!$B$3, FALSE(), TRUE())))</f>
        <v/>
      </c>
      <c r="Y255" s="67" t="str">
        <f aca="false">IF(ISBLANK($C255),"",IF(L255=Constants!$B$19,Constants!$B$19,Constants!$B$18))</f>
        <v/>
      </c>
      <c r="Z255" s="67" t="str">
        <f aca="false">IF(ISBLANK($C255),"",IF(ISNUMBER(M255),IF(M255&gt;=0,M255,""),""))</f>
        <v/>
      </c>
      <c r="AA255" s="67" t="str">
        <f aca="false">IF(ISBLANK($C255),"",IF(N255=Constants!$B$2, TRUE(), IF(N255=Constants!$B$3, FALSE(), TRUE())))</f>
        <v/>
      </c>
      <c r="AB255" s="67" t="str">
        <f aca="false">IF(ISBLANK($C255),"",IF(O255=Constants!$B$2, TRUE(), IF(O255=Constants!$B$3, FALSE(), TRUE())))</f>
        <v/>
      </c>
      <c r="AC255" s="67" t="str">
        <f aca="false">IF(ISBLANK($C255),"",IF(P255=Constants!$B$2, TRUE(), IF(P255=Constants!$B$3, FALSE(), FALSE())))</f>
        <v/>
      </c>
      <c r="AD255" s="67" t="str">
        <f aca="false">IF(ISBLANK($C255),"",AND(V255&lt;&gt;"",IF(U255=Constants!$B$19,S255,R255)))</f>
        <v/>
      </c>
      <c r="AE255" s="67" t="str">
        <f aca="false">IF(ISBLANK($C255),"",AND(Z255&lt;&gt;"",IF(Y255=Constants!$B$19,S255,R255)))</f>
        <v/>
      </c>
      <c r="AF255" s="67" t="str">
        <f aca="false">IF(ISBLANK($C255),"",IF(AC255,Constants!$B$4,IF(COUNTA(E255:O255)=0,Constants!$B$5,IF(AND(NOT(AD255),NOT(AE255)),Constants!$B$6,Constants!$B$7))))</f>
        <v/>
      </c>
      <c r="AG255" s="67" t="str">
        <f aca="false">IF(ISBLANK($C255),"",IF($AF255&lt;&gt;Constants!$B$7,$AF255,Constants!$B$20))</f>
        <v/>
      </c>
      <c r="AH255" s="67" t="str">
        <f aca="false">IF($AF255=Constants!$B$7,IF(AD255,V255,Constants!$B$13),"")</f>
        <v/>
      </c>
      <c r="AI255" s="67" t="str">
        <f aca="false">IF($AF255=Constants!$B$7,IF(AD255,T255*IF(W255, 1, Constants!$B$11)*IF(X255, 1, Constants!$B$12),Constants!$B$13),"")</f>
        <v/>
      </c>
      <c r="AJ255" s="67" t="str">
        <f aca="false">IF($AF255=Constants!$B$7,AH255*AI255,"")</f>
        <v/>
      </c>
      <c r="AK255" s="67" t="str">
        <f aca="false">IF($AF255=Constants!$B$7,IF(AE255,Z255,Constants!$B$13),"")</f>
        <v/>
      </c>
      <c r="AL255" s="67" t="str">
        <f aca="false">IF($AF255=Constants!$B$7,IF(AE255,T255*IF(AA255, 1, Constants!$B$11)*IF(AB255, 1, Constants!$B$12),Constants!$B$13),"")</f>
        <v/>
      </c>
      <c r="AM255" s="67" t="str">
        <f aca="false">IF($AF255=Constants!$B$7,AK255*AL255,"")</f>
        <v/>
      </c>
      <c r="AN255" s="67" t="str">
        <f aca="false">IF($AF255=Constants!$B$7,IF(AM255&gt;AJ255,2,1),"")</f>
        <v/>
      </c>
      <c r="AO255" s="67" t="str">
        <f aca="false">IF($AF255=Constants!$B$7,IF(AN255=1,2,1),"")</f>
        <v/>
      </c>
      <c r="AP255" s="67" t="str">
        <f aca="false">IF(ISBLANK($C255),"",IF($AF255&lt;&gt;Constants!$B$7,$AF255,IF(AN255=1,AJ255,AM255)))</f>
        <v/>
      </c>
      <c r="AQ255" s="67" t="str">
        <f aca="false">IF(ISBLANK($C255),"",IF($AF255=Constants!$B$7,IF(ISNUMBER(AP255),RANK(AP255,$AP$8:$AP$507),Constants!$B$14),$AF255))</f>
        <v/>
      </c>
      <c r="AR255" s="67" t="str">
        <f aca="false">IF(ISBLANK($C255),"",IF($AF255=Constants!$B$7,IF(AO255=1,AJ255,AM255),""))</f>
        <v/>
      </c>
      <c r="AS255" s="67" t="str">
        <f aca="false">IF(ISBLANK($C255),"",IF($AF255=Constants!$B$7,RANK(AR255,$AR$8:$AR$507),$AF255))</f>
        <v/>
      </c>
      <c r="AT255" s="67" t="str">
        <f aca="false">IF(ISBLANK($C255),"",IF($AF255=Constants!$B$7,IF(ISNUMBER(AQ255),COUNTIFS($AQ$8:$AQ$507,"&lt;"&amp;$AQ255)+COUNTIFS($AQ$8:$AQ$507,$AQ255,$AS$8:$AS$507,"&lt;"&amp;$AS255)+1,Constants!$B$14),$AF255))</f>
        <v/>
      </c>
      <c r="AU255" s="67" t="str">
        <f aca="false">IF(ISBLANK($C255),"",IF($AF255=Constants!$B$7,IF(ISNUMBER(AQ255),AQ255-AT255,Constants!$B$14),$AF255))</f>
        <v/>
      </c>
      <c r="AV255" s="69"/>
      <c r="AW255" s="70" t="str">
        <f aca="false">IF(ISBLANK($C255),"",IF($AF255&lt;&gt;Constants!$B$7,"",AN255))</f>
        <v/>
      </c>
      <c r="AX255" s="85" t="str">
        <f aca="false">IF(ISBLANK($C255),"",IF($AF255&lt;&gt;Constants!$B$7,"",IF(AN255=1,AH255,AK255)))</f>
        <v/>
      </c>
      <c r="AY255" s="72" t="str">
        <f aca="false">IF(ISBLANK($C255),"",IF($AF255&lt;&gt;Constants!$B$7,"",IF(AN255=1,AI255,AL255)))</f>
        <v/>
      </c>
      <c r="AZ255" s="73" t="str">
        <f aca="false">IF(ISBLANK($C255),"",IF($AF255&lt;&gt;Constants!$B$7,$AF255,AP255))</f>
        <v/>
      </c>
      <c r="BA255" s="74" t="str">
        <f aca="false">IF(ISBLANK($C255),"",IF($AF255&lt;&gt;Constants!$B$7,$AF255,AG255))</f>
        <v/>
      </c>
      <c r="BB255" s="75" t="str">
        <f aca="false">IF(ISBLANK($C255),"",AU255)</f>
        <v/>
      </c>
      <c r="BC255" s="75" t="str">
        <f aca="false">IF(ISBLANK($C255),"",AT255)</f>
        <v/>
      </c>
      <c r="BD255" s="76" t="str">
        <f aca="false">IF(ISBLANK($C255),"",IFERROR(_xlfn.SWITCH(BC255,Constants!$B$4,COUNTA($C$8:$C$507)+2,Constants!$B$5,COUNTA($C$8:$C$507)+1,Constants!$B$6,COUNTA($C$8:$C$507)),BC255))</f>
        <v/>
      </c>
      <c r="BE255" s="5"/>
      <c r="BF255" s="77" t="n">
        <f aca="false">IF(OR(ISNUMBER(BC255),BC255=Constants!$B$4,BC255=Constants!$B$6,BC255=Constants!$B$5),1,0)</f>
        <v>0</v>
      </c>
      <c r="BG255" s="77" t="n">
        <v>248</v>
      </c>
      <c r="BH255" s="77" t="str">
        <f aca="false">IF(ISBLANK($C255),"",IF(ISNUMBER(BD255),BD255+ROW($B255)/1000,""))</f>
        <v/>
      </c>
      <c r="BI255" s="77" t="str">
        <f aca="false">IF(ISNUMBER(BH255),RANK(BH255,$BH$8:$BH$507,1),"")</f>
        <v/>
      </c>
      <c r="BJ255" s="77" t="str">
        <f aca="false">IF(ISBLANK($C255),"",$B255)</f>
        <v/>
      </c>
      <c r="BK255" s="77" t="str">
        <f aca="false">IF(ISBLANK($C255),"",$C255)</f>
        <v/>
      </c>
      <c r="BL255" s="77" t="str">
        <f aca="false">IF(ISBLANK($C255),"",$D255)</f>
        <v/>
      </c>
      <c r="BM255" s="78" t="str">
        <f aca="false">BA255</f>
        <v/>
      </c>
      <c r="BN255" s="79" t="str">
        <f aca="false">AZ255</f>
        <v/>
      </c>
      <c r="BO255" s="77" t="str">
        <f aca="false">IF(ISBLANK($C255),"",BC255)</f>
        <v/>
      </c>
      <c r="BP255" s="80" t="str">
        <f aca="false">IF($BG255&gt;$BF$7,"",VLOOKUP($BG255,$BI$8:$BO$507,7,FALSE()))</f>
        <v/>
      </c>
      <c r="BQ255" s="81" t="str">
        <f aca="false">IF($BG255&gt;$BF$7,"",VLOOKUP($BG255,$BI$8:$BO$507,2,FALSE()))</f>
        <v/>
      </c>
      <c r="BR255" s="81" t="str">
        <f aca="false">IF($BG255&gt;$BF$7,"",VLOOKUP($BG255,$BI$8:$BO$507,3,FALSE()))</f>
        <v/>
      </c>
      <c r="BS255" s="81" t="str">
        <f aca="false">IF($BG255&gt;$BF$7,"",VLOOKUP($BG255,$BI$8:$BO$507,4,FALSE()))</f>
        <v/>
      </c>
      <c r="BT255" s="81" t="str">
        <f aca="false">IF($BG255&gt;$BF$7,"",VLOOKUP($BG255,$BI$8:$BO$507,5,FALSE()))</f>
        <v/>
      </c>
      <c r="BU255" s="82" t="str">
        <f aca="false">IF($BG255&gt;$BF$7,"",VLOOKUP($BG255,$BI$8:$BO$507,6,FALSE()))</f>
        <v/>
      </c>
      <c r="BV255" s="54"/>
    </row>
    <row r="256" customFormat="false" ht="15.75" hidden="false" customHeight="false" outlineLevel="0" collapsed="false">
      <c r="A256" s="5"/>
      <c r="B256" s="135"/>
      <c r="C256" s="56"/>
      <c r="D256" s="57"/>
      <c r="E256" s="84"/>
      <c r="F256" s="136"/>
      <c r="G256" s="60"/>
      <c r="H256" s="137"/>
      <c r="I256" s="62"/>
      <c r="J256" s="62"/>
      <c r="K256" s="60"/>
      <c r="L256" s="138"/>
      <c r="M256" s="62"/>
      <c r="N256" s="62"/>
      <c r="O256" s="60"/>
      <c r="P256" s="84"/>
      <c r="Q256" s="65"/>
      <c r="R256" s="67" t="str">
        <f aca="false">IF(ISBLANK($C256),"",IF(E256=Constants!$B$2, TRUE(), IF(E256=Constants!$B$3, FALSE(), TRUE())))</f>
        <v/>
      </c>
      <c r="S256" s="67" t="str">
        <f aca="false">IF(ISBLANK($C256),"",IF(F256=Constants!$B$2, TRUE(), IF(F256=Constants!$B$3, FALSE(), TRUE())))</f>
        <v/>
      </c>
      <c r="T256" s="67" t="str">
        <f aca="false">IF(ISBLANK($C256),"",IF(G256=Constants!$B$16,Constants!$B$9,IF(G256=Constants!$B$17,Constants!$B$10,Constants!$B$8)))</f>
        <v/>
      </c>
      <c r="U256" s="67" t="str">
        <f aca="false">IF(ISBLANK($C256),"",IF(H256=Constants!$B$19,Constants!$B$19,Constants!$B$18))</f>
        <v/>
      </c>
      <c r="V256" s="67" t="str">
        <f aca="false">IF(ISBLANK($C256),"",IF(ISNUMBER(I256),IF(I256&gt;=0,I256,""),""))</f>
        <v/>
      </c>
      <c r="W256" s="67" t="str">
        <f aca="false">IF(ISBLANK($C256),"",IF(J256=Constants!$B$2, TRUE(), IF(J256=Constants!$B$3, FALSE(), TRUE())))</f>
        <v/>
      </c>
      <c r="X256" s="67" t="str">
        <f aca="false">IF(ISBLANK($C256),"",IF(K256=Constants!$B$2, TRUE(), IF(K256=Constants!$B$3, FALSE(), TRUE())))</f>
        <v/>
      </c>
      <c r="Y256" s="67" t="str">
        <f aca="false">IF(ISBLANK($C256),"",IF(L256=Constants!$B$19,Constants!$B$19,Constants!$B$18))</f>
        <v/>
      </c>
      <c r="Z256" s="67" t="str">
        <f aca="false">IF(ISBLANK($C256),"",IF(ISNUMBER(M256),IF(M256&gt;=0,M256,""),""))</f>
        <v/>
      </c>
      <c r="AA256" s="67" t="str">
        <f aca="false">IF(ISBLANK($C256),"",IF(N256=Constants!$B$2, TRUE(), IF(N256=Constants!$B$3, FALSE(), TRUE())))</f>
        <v/>
      </c>
      <c r="AB256" s="67" t="str">
        <f aca="false">IF(ISBLANK($C256),"",IF(O256=Constants!$B$2, TRUE(), IF(O256=Constants!$B$3, FALSE(), TRUE())))</f>
        <v/>
      </c>
      <c r="AC256" s="67" t="str">
        <f aca="false">IF(ISBLANK($C256),"",IF(P256=Constants!$B$2, TRUE(), IF(P256=Constants!$B$3, FALSE(), FALSE())))</f>
        <v/>
      </c>
      <c r="AD256" s="67" t="str">
        <f aca="false">IF(ISBLANK($C256),"",AND(V256&lt;&gt;"",IF(U256=Constants!$B$19,S256,R256)))</f>
        <v/>
      </c>
      <c r="AE256" s="67" t="str">
        <f aca="false">IF(ISBLANK($C256),"",AND(Z256&lt;&gt;"",IF(Y256=Constants!$B$19,S256,R256)))</f>
        <v/>
      </c>
      <c r="AF256" s="67" t="str">
        <f aca="false">IF(ISBLANK($C256),"",IF(AC256,Constants!$B$4,IF(COUNTA(E256:O256)=0,Constants!$B$5,IF(AND(NOT(AD256),NOT(AE256)),Constants!$B$6,Constants!$B$7))))</f>
        <v/>
      </c>
      <c r="AG256" s="67" t="str">
        <f aca="false">IF(ISBLANK($C256),"",IF($AF256&lt;&gt;Constants!$B$7,$AF256,Constants!$B$20))</f>
        <v/>
      </c>
      <c r="AH256" s="67" t="str">
        <f aca="false">IF($AF256=Constants!$B$7,IF(AD256,V256,Constants!$B$13),"")</f>
        <v/>
      </c>
      <c r="AI256" s="67" t="str">
        <f aca="false">IF($AF256=Constants!$B$7,IF(AD256,T256*IF(W256, 1, Constants!$B$11)*IF(X256, 1, Constants!$B$12),Constants!$B$13),"")</f>
        <v/>
      </c>
      <c r="AJ256" s="67" t="str">
        <f aca="false">IF($AF256=Constants!$B$7,AH256*AI256,"")</f>
        <v/>
      </c>
      <c r="AK256" s="67" t="str">
        <f aca="false">IF($AF256=Constants!$B$7,IF(AE256,Z256,Constants!$B$13),"")</f>
        <v/>
      </c>
      <c r="AL256" s="67" t="str">
        <f aca="false">IF($AF256=Constants!$B$7,IF(AE256,T256*IF(AA256, 1, Constants!$B$11)*IF(AB256, 1, Constants!$B$12),Constants!$B$13),"")</f>
        <v/>
      </c>
      <c r="AM256" s="67" t="str">
        <f aca="false">IF($AF256=Constants!$B$7,AK256*AL256,"")</f>
        <v/>
      </c>
      <c r="AN256" s="67" t="str">
        <f aca="false">IF($AF256=Constants!$B$7,IF(AM256&gt;AJ256,2,1),"")</f>
        <v/>
      </c>
      <c r="AO256" s="67" t="str">
        <f aca="false">IF($AF256=Constants!$B$7,IF(AN256=1,2,1),"")</f>
        <v/>
      </c>
      <c r="AP256" s="67" t="str">
        <f aca="false">IF(ISBLANK($C256),"",IF($AF256&lt;&gt;Constants!$B$7,$AF256,IF(AN256=1,AJ256,AM256)))</f>
        <v/>
      </c>
      <c r="AQ256" s="67" t="str">
        <f aca="false">IF(ISBLANK($C256),"",IF($AF256=Constants!$B$7,IF(ISNUMBER(AP256),RANK(AP256,$AP$8:$AP$507),Constants!$B$14),$AF256))</f>
        <v/>
      </c>
      <c r="AR256" s="67" t="str">
        <f aca="false">IF(ISBLANK($C256),"",IF($AF256=Constants!$B$7,IF(AO256=1,AJ256,AM256),""))</f>
        <v/>
      </c>
      <c r="AS256" s="67" t="str">
        <f aca="false">IF(ISBLANK($C256),"",IF($AF256=Constants!$B$7,RANK(AR256,$AR$8:$AR$507),$AF256))</f>
        <v/>
      </c>
      <c r="AT256" s="67" t="str">
        <f aca="false">IF(ISBLANK($C256),"",IF($AF256=Constants!$B$7,IF(ISNUMBER(AQ256),COUNTIFS($AQ$8:$AQ$507,"&lt;"&amp;$AQ256)+COUNTIFS($AQ$8:$AQ$507,$AQ256,$AS$8:$AS$507,"&lt;"&amp;$AS256)+1,Constants!$B$14),$AF256))</f>
        <v/>
      </c>
      <c r="AU256" s="67" t="str">
        <f aca="false">IF(ISBLANK($C256),"",IF($AF256=Constants!$B$7,IF(ISNUMBER(AQ256),AQ256-AT256,Constants!$B$14),$AF256))</f>
        <v/>
      </c>
      <c r="AV256" s="69"/>
      <c r="AW256" s="70" t="str">
        <f aca="false">IF(ISBLANK($C256),"",IF($AF256&lt;&gt;Constants!$B$7,"",AN256))</f>
        <v/>
      </c>
      <c r="AX256" s="85" t="str">
        <f aca="false">IF(ISBLANK($C256),"",IF($AF256&lt;&gt;Constants!$B$7,"",IF(AN256=1,AH256,AK256)))</f>
        <v/>
      </c>
      <c r="AY256" s="72" t="str">
        <f aca="false">IF(ISBLANK($C256),"",IF($AF256&lt;&gt;Constants!$B$7,"",IF(AN256=1,AI256,AL256)))</f>
        <v/>
      </c>
      <c r="AZ256" s="73" t="str">
        <f aca="false">IF(ISBLANK($C256),"",IF($AF256&lt;&gt;Constants!$B$7,$AF256,AP256))</f>
        <v/>
      </c>
      <c r="BA256" s="74" t="str">
        <f aca="false">IF(ISBLANK($C256),"",IF($AF256&lt;&gt;Constants!$B$7,$AF256,AG256))</f>
        <v/>
      </c>
      <c r="BB256" s="75" t="str">
        <f aca="false">IF(ISBLANK($C256),"",AU256)</f>
        <v/>
      </c>
      <c r="BC256" s="75" t="str">
        <f aca="false">IF(ISBLANK($C256),"",AT256)</f>
        <v/>
      </c>
      <c r="BD256" s="76" t="str">
        <f aca="false">IF(ISBLANK($C256),"",IFERROR(_xlfn.SWITCH(BC256,Constants!$B$4,COUNTA($C$8:$C$507)+2,Constants!$B$5,COUNTA($C$8:$C$507)+1,Constants!$B$6,COUNTA($C$8:$C$507)),BC256))</f>
        <v/>
      </c>
      <c r="BE256" s="5"/>
      <c r="BF256" s="77" t="n">
        <f aca="false">IF(OR(ISNUMBER(BC256),BC256=Constants!$B$4,BC256=Constants!$B$6,BC256=Constants!$B$5),1,0)</f>
        <v>0</v>
      </c>
      <c r="BG256" s="77" t="n">
        <v>249</v>
      </c>
      <c r="BH256" s="77" t="str">
        <f aca="false">IF(ISBLANK($C256),"",IF(ISNUMBER(BD256),BD256+ROW($B256)/1000,""))</f>
        <v/>
      </c>
      <c r="BI256" s="77" t="str">
        <f aca="false">IF(ISNUMBER(BH256),RANK(BH256,$BH$8:$BH$507,1),"")</f>
        <v/>
      </c>
      <c r="BJ256" s="77" t="str">
        <f aca="false">IF(ISBLANK($C256),"",$B256)</f>
        <v/>
      </c>
      <c r="BK256" s="77" t="str">
        <f aca="false">IF(ISBLANK($C256),"",$C256)</f>
        <v/>
      </c>
      <c r="BL256" s="77" t="str">
        <f aca="false">IF(ISBLANK($C256),"",$D256)</f>
        <v/>
      </c>
      <c r="BM256" s="78" t="str">
        <f aca="false">BA256</f>
        <v/>
      </c>
      <c r="BN256" s="79" t="str">
        <f aca="false">AZ256</f>
        <v/>
      </c>
      <c r="BO256" s="77" t="str">
        <f aca="false">IF(ISBLANK($C256),"",BC256)</f>
        <v/>
      </c>
      <c r="BP256" s="80" t="str">
        <f aca="false">IF($BG256&gt;$BF$7,"",VLOOKUP($BG256,$BI$8:$BO$507,7,FALSE()))</f>
        <v/>
      </c>
      <c r="BQ256" s="81" t="str">
        <f aca="false">IF($BG256&gt;$BF$7,"",VLOOKUP($BG256,$BI$8:$BO$507,2,FALSE()))</f>
        <v/>
      </c>
      <c r="BR256" s="81" t="str">
        <f aca="false">IF($BG256&gt;$BF$7,"",VLOOKUP($BG256,$BI$8:$BO$507,3,FALSE()))</f>
        <v/>
      </c>
      <c r="BS256" s="81" t="str">
        <f aca="false">IF($BG256&gt;$BF$7,"",VLOOKUP($BG256,$BI$8:$BO$507,4,FALSE()))</f>
        <v/>
      </c>
      <c r="BT256" s="81" t="str">
        <f aca="false">IF($BG256&gt;$BF$7,"",VLOOKUP($BG256,$BI$8:$BO$507,5,FALSE()))</f>
        <v/>
      </c>
      <c r="BU256" s="82" t="str">
        <f aca="false">IF($BG256&gt;$BF$7,"",VLOOKUP($BG256,$BI$8:$BO$507,6,FALSE()))</f>
        <v/>
      </c>
      <c r="BV256" s="54"/>
    </row>
    <row r="257" customFormat="false" ht="15.75" hidden="false" customHeight="false" outlineLevel="0" collapsed="false">
      <c r="A257" s="5"/>
      <c r="B257" s="128"/>
      <c r="C257" s="129"/>
      <c r="D257" s="114"/>
      <c r="E257" s="134"/>
      <c r="F257" s="139"/>
      <c r="G257" s="93"/>
      <c r="H257" s="140"/>
      <c r="I257" s="95"/>
      <c r="J257" s="95"/>
      <c r="K257" s="93"/>
      <c r="L257" s="141"/>
      <c r="M257" s="95"/>
      <c r="N257" s="95"/>
      <c r="O257" s="93"/>
      <c r="P257" s="134"/>
      <c r="Q257" s="98"/>
      <c r="R257" s="99" t="str">
        <f aca="false">IF(ISBLANK($C257),"",IF(E257=Constants!$B$2, TRUE(), IF(E257=Constants!$B$3, FALSE(), TRUE())))</f>
        <v/>
      </c>
      <c r="S257" s="99" t="str">
        <f aca="false">IF(ISBLANK($C257),"",IF(F257=Constants!$B$2, TRUE(), IF(F257=Constants!$B$3, FALSE(), TRUE())))</f>
        <v/>
      </c>
      <c r="T257" s="99" t="str">
        <f aca="false">IF(ISBLANK($C257),"",IF(G257=Constants!$B$16,Constants!$B$9,IF(G257=Constants!$B$17,Constants!$B$10,Constants!$B$8)))</f>
        <v/>
      </c>
      <c r="U257" s="99" t="str">
        <f aca="false">IF(ISBLANK($C257),"",IF(H257=Constants!$B$19,Constants!$B$19,Constants!$B$18))</f>
        <v/>
      </c>
      <c r="V257" s="99" t="str">
        <f aca="false">IF(ISBLANK($C257),"",IF(ISNUMBER(I257),IF(I257&gt;=0,I257,""),""))</f>
        <v/>
      </c>
      <c r="W257" s="99" t="str">
        <f aca="false">IF(ISBLANK($C257),"",IF(J257=Constants!$B$2, TRUE(), IF(J257=Constants!$B$3, FALSE(), TRUE())))</f>
        <v/>
      </c>
      <c r="X257" s="99" t="str">
        <f aca="false">IF(ISBLANK($C257),"",IF(K257=Constants!$B$2, TRUE(), IF(K257=Constants!$B$3, FALSE(), TRUE())))</f>
        <v/>
      </c>
      <c r="Y257" s="99" t="str">
        <f aca="false">IF(ISBLANK($C257),"",IF(L257=Constants!$B$19,Constants!$B$19,Constants!$B$18))</f>
        <v/>
      </c>
      <c r="Z257" s="99" t="str">
        <f aca="false">IF(ISBLANK($C257),"",IF(ISNUMBER(M257),IF(M257&gt;=0,M257,""),""))</f>
        <v/>
      </c>
      <c r="AA257" s="99" t="str">
        <f aca="false">IF(ISBLANK($C257),"",IF(N257=Constants!$B$2, TRUE(), IF(N257=Constants!$B$3, FALSE(), TRUE())))</f>
        <v/>
      </c>
      <c r="AB257" s="99" t="str">
        <f aca="false">IF(ISBLANK($C257),"",IF(O257=Constants!$B$2, TRUE(), IF(O257=Constants!$B$3, FALSE(), TRUE())))</f>
        <v/>
      </c>
      <c r="AC257" s="99" t="str">
        <f aca="false">IF(ISBLANK($C257),"",IF(P257=Constants!$B$2, TRUE(), IF(P257=Constants!$B$3, FALSE(), FALSE())))</f>
        <v/>
      </c>
      <c r="AD257" s="99" t="str">
        <f aca="false">IF(ISBLANK($C257),"",AND(V257&lt;&gt;"",IF(U257=Constants!$B$19,S257,R257)))</f>
        <v/>
      </c>
      <c r="AE257" s="99" t="str">
        <f aca="false">IF(ISBLANK($C257),"",AND(Z257&lt;&gt;"",IF(Y257=Constants!$B$19,S257,R257)))</f>
        <v/>
      </c>
      <c r="AF257" s="99" t="str">
        <f aca="false">IF(ISBLANK($C257),"",IF(AC257,Constants!$B$4,IF(COUNTA(E257:O257)=0,Constants!$B$5,IF(AND(NOT(AD257),NOT(AE257)),Constants!$B$6,Constants!$B$7))))</f>
        <v/>
      </c>
      <c r="AG257" s="99" t="str">
        <f aca="false">IF(ISBLANK($C257),"",IF($AF257&lt;&gt;Constants!$B$7,$AF257,Constants!$B$20))</f>
        <v/>
      </c>
      <c r="AH257" s="99" t="str">
        <f aca="false">IF($AF257=Constants!$B$7,IF(AD257,V257,Constants!$B$13),"")</f>
        <v/>
      </c>
      <c r="AI257" s="99" t="str">
        <f aca="false">IF($AF257=Constants!$B$7,IF(AD257,T257*IF(W257, 1, Constants!$B$11)*IF(X257, 1, Constants!$B$12),Constants!$B$13),"")</f>
        <v/>
      </c>
      <c r="AJ257" s="99" t="str">
        <f aca="false">IF($AF257=Constants!$B$7,AH257*AI257,"")</f>
        <v/>
      </c>
      <c r="AK257" s="99" t="str">
        <f aca="false">IF($AF257=Constants!$B$7,IF(AE257,Z257,Constants!$B$13),"")</f>
        <v/>
      </c>
      <c r="AL257" s="99" t="str">
        <f aca="false">IF($AF257=Constants!$B$7,IF(AE257,T257*IF(AA257, 1, Constants!$B$11)*IF(AB257, 1, Constants!$B$12),Constants!$B$13),"")</f>
        <v/>
      </c>
      <c r="AM257" s="99" t="str">
        <f aca="false">IF($AF257=Constants!$B$7,AK257*AL257,"")</f>
        <v/>
      </c>
      <c r="AN257" s="99" t="str">
        <f aca="false">IF($AF257=Constants!$B$7,IF(AM257&gt;AJ257,2,1),"")</f>
        <v/>
      </c>
      <c r="AO257" s="99" t="str">
        <f aca="false">IF($AF257=Constants!$B$7,IF(AN257=1,2,1),"")</f>
        <v/>
      </c>
      <c r="AP257" s="99" t="str">
        <f aca="false">IF(ISBLANK($C257),"",IF($AF257&lt;&gt;Constants!$B$7,$AF257,IF(AN257=1,AJ257,AM257)))</f>
        <v/>
      </c>
      <c r="AQ257" s="99" t="str">
        <f aca="false">IF(ISBLANK($C257),"",IF($AF257=Constants!$B$7,IF(ISNUMBER(AP257),RANK(AP257,$AP$8:$AP$507),Constants!$B$14),$AF257))</f>
        <v/>
      </c>
      <c r="AR257" s="99" t="str">
        <f aca="false">IF(ISBLANK($C257),"",IF($AF257=Constants!$B$7,IF(AO257=1,AJ257,AM257),""))</f>
        <v/>
      </c>
      <c r="AS257" s="99" t="str">
        <f aca="false">IF(ISBLANK($C257),"",IF($AF257=Constants!$B$7,RANK(AR257,$AR$8:$AR$507),$AF257))</f>
        <v/>
      </c>
      <c r="AT257" s="99" t="str">
        <f aca="false">IF(ISBLANK($C257),"",IF($AF257=Constants!$B$7,IF(ISNUMBER(AQ257),COUNTIFS($AQ$8:$AQ$507,"&lt;"&amp;$AQ257)+COUNTIFS($AQ$8:$AQ$507,$AQ257,$AS$8:$AS$507,"&lt;"&amp;$AS257)+1,Constants!$B$14),$AF257))</f>
        <v/>
      </c>
      <c r="AU257" s="99" t="str">
        <f aca="false">IF(ISBLANK($C257),"",IF($AF257=Constants!$B$7,IF(ISNUMBER(AQ257),AQ257-AT257,Constants!$B$14),$AF257))</f>
        <v/>
      </c>
      <c r="AV257" s="100"/>
      <c r="AW257" s="101" t="str">
        <f aca="false">IF(ISBLANK($C257),"",IF($AF257&lt;&gt;Constants!$B$7,"",AN257))</f>
        <v/>
      </c>
      <c r="AX257" s="102" t="str">
        <f aca="false">IF(ISBLANK($C257),"",IF($AF257&lt;&gt;Constants!$B$7,"",IF(AN257=1,AH257,AK257)))</f>
        <v/>
      </c>
      <c r="AY257" s="103" t="str">
        <f aca="false">IF(ISBLANK($C257),"",IF($AF257&lt;&gt;Constants!$B$7,"",IF(AN257=1,AI257,AL257)))</f>
        <v/>
      </c>
      <c r="AZ257" s="104" t="str">
        <f aca="false">IF(ISBLANK($C257),"",IF($AF257&lt;&gt;Constants!$B$7,$AF257,AP257))</f>
        <v/>
      </c>
      <c r="BA257" s="105" t="str">
        <f aca="false">IF(ISBLANK($C257),"",IF($AF257&lt;&gt;Constants!$B$7,$AF257,AG257))</f>
        <v/>
      </c>
      <c r="BB257" s="106" t="str">
        <f aca="false">IF(ISBLANK($C257),"",AU257)</f>
        <v/>
      </c>
      <c r="BC257" s="106" t="str">
        <f aca="false">IF(ISBLANK($C257),"",AT257)</f>
        <v/>
      </c>
      <c r="BD257" s="107" t="str">
        <f aca="false">IF(ISBLANK($C257),"",IFERROR(_xlfn.SWITCH(BC257,Constants!$B$4,COUNTA($C$8:$C$507)+2,Constants!$B$5,COUNTA($C$8:$C$507)+1,Constants!$B$6,COUNTA($C$8:$C$507)),BC257))</f>
        <v/>
      </c>
      <c r="BE257" s="5"/>
      <c r="BF257" s="108" t="n">
        <f aca="false">IF(OR(ISNUMBER(BC257),BC257=Constants!$B$4,BC257=Constants!$B$6,BC257=Constants!$B$5),1,0)</f>
        <v>0</v>
      </c>
      <c r="BG257" s="108" t="n">
        <v>250</v>
      </c>
      <c r="BH257" s="108" t="str">
        <f aca="false">IF(ISBLANK($C257),"",IF(ISNUMBER(BD257),BD257+ROW($B257)/1000,""))</f>
        <v/>
      </c>
      <c r="BI257" s="108" t="str">
        <f aca="false">IF(ISNUMBER(BH257),RANK(BH257,$BH$8:$BH$507,1),"")</f>
        <v/>
      </c>
      <c r="BJ257" s="108" t="str">
        <f aca="false">IF(ISBLANK($C257),"",$B257)</f>
        <v/>
      </c>
      <c r="BK257" s="108" t="str">
        <f aca="false">IF(ISBLANK($C257),"",$C257)</f>
        <v/>
      </c>
      <c r="BL257" s="108" t="str">
        <f aca="false">IF(ISBLANK($C257),"",$D257)</f>
        <v/>
      </c>
      <c r="BM257" s="109" t="str">
        <f aca="false">BA257</f>
        <v/>
      </c>
      <c r="BN257" s="110" t="str">
        <f aca="false">AZ257</f>
        <v/>
      </c>
      <c r="BO257" s="108" t="str">
        <f aca="false">IF(ISBLANK($C257),"",BC257)</f>
        <v/>
      </c>
      <c r="BP257" s="111" t="str">
        <f aca="false">IF($BG257&gt;$BF$7,"",VLOOKUP($BG257,$BI$8:$BO$507,7,FALSE()))</f>
        <v/>
      </c>
      <c r="BQ257" s="112" t="str">
        <f aca="false">IF($BG257&gt;$BF$7,"",VLOOKUP($BG257,$BI$8:$BO$507,2,FALSE()))</f>
        <v/>
      </c>
      <c r="BR257" s="112" t="str">
        <f aca="false">IF($BG257&gt;$BF$7,"",VLOOKUP($BG257,$BI$8:$BO$507,3,FALSE()))</f>
        <v/>
      </c>
      <c r="BS257" s="112" t="str">
        <f aca="false">IF($BG257&gt;$BF$7,"",VLOOKUP($BG257,$BI$8:$BO$507,4,FALSE()))</f>
        <v/>
      </c>
      <c r="BT257" s="112" t="str">
        <f aca="false">IF($BG257&gt;$BF$7,"",VLOOKUP($BG257,$BI$8:$BO$507,5,FALSE()))</f>
        <v/>
      </c>
      <c r="BU257" s="113" t="str">
        <f aca="false">IF($BG257&gt;$BF$7,"",VLOOKUP($BG257,$BI$8:$BO$507,6,FALSE()))</f>
        <v/>
      </c>
      <c r="BV257" s="54"/>
    </row>
    <row r="258" customFormat="false" ht="15.75" hidden="false" customHeight="false" outlineLevel="0" collapsed="false">
      <c r="A258" s="5"/>
      <c r="B258" s="128"/>
      <c r="C258" s="129"/>
      <c r="D258" s="114"/>
      <c r="E258" s="134"/>
      <c r="F258" s="139"/>
      <c r="G258" s="93"/>
      <c r="H258" s="140"/>
      <c r="I258" s="95"/>
      <c r="J258" s="95"/>
      <c r="K258" s="93"/>
      <c r="L258" s="141"/>
      <c r="M258" s="95"/>
      <c r="N258" s="95"/>
      <c r="O258" s="93"/>
      <c r="P258" s="134"/>
      <c r="Q258" s="98"/>
      <c r="R258" s="99" t="str">
        <f aca="false">IF(ISBLANK($C258),"",IF(E258=Constants!$B$2, TRUE(), IF(E258=Constants!$B$3, FALSE(), TRUE())))</f>
        <v/>
      </c>
      <c r="S258" s="99" t="str">
        <f aca="false">IF(ISBLANK($C258),"",IF(F258=Constants!$B$2, TRUE(), IF(F258=Constants!$B$3, FALSE(), TRUE())))</f>
        <v/>
      </c>
      <c r="T258" s="99" t="str">
        <f aca="false">IF(ISBLANK($C258),"",IF(G258=Constants!$B$16,Constants!$B$9,IF(G258=Constants!$B$17,Constants!$B$10,Constants!$B$8)))</f>
        <v/>
      </c>
      <c r="U258" s="99" t="str">
        <f aca="false">IF(ISBLANK($C258),"",IF(H258=Constants!$B$19,Constants!$B$19,Constants!$B$18))</f>
        <v/>
      </c>
      <c r="V258" s="99" t="str">
        <f aca="false">IF(ISBLANK($C258),"",IF(ISNUMBER(I258),IF(I258&gt;=0,I258,""),""))</f>
        <v/>
      </c>
      <c r="W258" s="99" t="str">
        <f aca="false">IF(ISBLANK($C258),"",IF(J258=Constants!$B$2, TRUE(), IF(J258=Constants!$B$3, FALSE(), TRUE())))</f>
        <v/>
      </c>
      <c r="X258" s="99" t="str">
        <f aca="false">IF(ISBLANK($C258),"",IF(K258=Constants!$B$2, TRUE(), IF(K258=Constants!$B$3, FALSE(), TRUE())))</f>
        <v/>
      </c>
      <c r="Y258" s="99" t="str">
        <f aca="false">IF(ISBLANK($C258),"",IF(L258=Constants!$B$19,Constants!$B$19,Constants!$B$18))</f>
        <v/>
      </c>
      <c r="Z258" s="99" t="str">
        <f aca="false">IF(ISBLANK($C258),"",IF(ISNUMBER(M258),IF(M258&gt;=0,M258,""),""))</f>
        <v/>
      </c>
      <c r="AA258" s="99" t="str">
        <f aca="false">IF(ISBLANK($C258),"",IF(N258=Constants!$B$2, TRUE(), IF(N258=Constants!$B$3, FALSE(), TRUE())))</f>
        <v/>
      </c>
      <c r="AB258" s="99" t="str">
        <f aca="false">IF(ISBLANK($C258),"",IF(O258=Constants!$B$2, TRUE(), IF(O258=Constants!$B$3, FALSE(), TRUE())))</f>
        <v/>
      </c>
      <c r="AC258" s="99" t="str">
        <f aca="false">IF(ISBLANK($C258),"",IF(P258=Constants!$B$2, TRUE(), IF(P258=Constants!$B$3, FALSE(), FALSE())))</f>
        <v/>
      </c>
      <c r="AD258" s="99" t="str">
        <f aca="false">IF(ISBLANK($C258),"",AND(V258&lt;&gt;"",IF(U258=Constants!$B$19,S258,R258)))</f>
        <v/>
      </c>
      <c r="AE258" s="99" t="str">
        <f aca="false">IF(ISBLANK($C258),"",AND(Z258&lt;&gt;"",IF(Y258=Constants!$B$19,S258,R258)))</f>
        <v/>
      </c>
      <c r="AF258" s="99" t="str">
        <f aca="false">IF(ISBLANK($C258),"",IF(AC258,Constants!$B$4,IF(COUNTA(E258:O258)=0,Constants!$B$5,IF(AND(NOT(AD258),NOT(AE258)),Constants!$B$6,Constants!$B$7))))</f>
        <v/>
      </c>
      <c r="AG258" s="99" t="str">
        <f aca="false">IF(ISBLANK($C258),"",IF($AF258&lt;&gt;Constants!$B$7,$AF258,Constants!$B$20))</f>
        <v/>
      </c>
      <c r="AH258" s="99" t="str">
        <f aca="false">IF($AF258=Constants!$B$7,IF(AD258,V258,Constants!$B$13),"")</f>
        <v/>
      </c>
      <c r="AI258" s="99" t="str">
        <f aca="false">IF($AF258=Constants!$B$7,IF(AD258,T258*IF(W258, 1, Constants!$B$11)*IF(X258, 1, Constants!$B$12),Constants!$B$13),"")</f>
        <v/>
      </c>
      <c r="AJ258" s="99" t="str">
        <f aca="false">IF($AF258=Constants!$B$7,AH258*AI258,"")</f>
        <v/>
      </c>
      <c r="AK258" s="99" t="str">
        <f aca="false">IF($AF258=Constants!$B$7,IF(AE258,Z258,Constants!$B$13),"")</f>
        <v/>
      </c>
      <c r="AL258" s="99" t="str">
        <f aca="false">IF($AF258=Constants!$B$7,IF(AE258,T258*IF(AA258, 1, Constants!$B$11)*IF(AB258, 1, Constants!$B$12),Constants!$B$13),"")</f>
        <v/>
      </c>
      <c r="AM258" s="99" t="str">
        <f aca="false">IF($AF258=Constants!$B$7,AK258*AL258,"")</f>
        <v/>
      </c>
      <c r="AN258" s="99" t="str">
        <f aca="false">IF($AF258=Constants!$B$7,IF(AM258&gt;AJ258,2,1),"")</f>
        <v/>
      </c>
      <c r="AO258" s="99" t="str">
        <f aca="false">IF($AF258=Constants!$B$7,IF(AN258=1,2,1),"")</f>
        <v/>
      </c>
      <c r="AP258" s="99" t="str">
        <f aca="false">IF(ISBLANK($C258),"",IF($AF258&lt;&gt;Constants!$B$7,$AF258,IF(AN258=1,AJ258,AM258)))</f>
        <v/>
      </c>
      <c r="AQ258" s="99" t="str">
        <f aca="false">IF(ISBLANK($C258),"",IF($AF258=Constants!$B$7,IF(ISNUMBER(AP258),RANK(AP258,$AP$8:$AP$507),Constants!$B$14),$AF258))</f>
        <v/>
      </c>
      <c r="AR258" s="99" t="str">
        <f aca="false">IF(ISBLANK($C258),"",IF($AF258=Constants!$B$7,IF(AO258=1,AJ258,AM258),""))</f>
        <v/>
      </c>
      <c r="AS258" s="99" t="str">
        <f aca="false">IF(ISBLANK($C258),"",IF($AF258=Constants!$B$7,RANK(AR258,$AR$8:$AR$507),$AF258))</f>
        <v/>
      </c>
      <c r="AT258" s="99" t="str">
        <f aca="false">IF(ISBLANK($C258),"",IF($AF258=Constants!$B$7,IF(ISNUMBER(AQ258),COUNTIFS($AQ$8:$AQ$507,"&lt;"&amp;$AQ258)+COUNTIFS($AQ$8:$AQ$507,$AQ258,$AS$8:$AS$507,"&lt;"&amp;$AS258)+1,Constants!$B$14),$AF258))</f>
        <v/>
      </c>
      <c r="AU258" s="99" t="str">
        <f aca="false">IF(ISBLANK($C258),"",IF($AF258=Constants!$B$7,IF(ISNUMBER(AQ258),AQ258-AT258,Constants!$B$14),$AF258))</f>
        <v/>
      </c>
      <c r="AV258" s="100"/>
      <c r="AW258" s="101" t="str">
        <f aca="false">IF(ISBLANK($C258),"",IF($AF258&lt;&gt;Constants!$B$7,"",AN258))</f>
        <v/>
      </c>
      <c r="AX258" s="102" t="str">
        <f aca="false">IF(ISBLANK($C258),"",IF($AF258&lt;&gt;Constants!$B$7,"",IF(AN258=1,AH258,AK258)))</f>
        <v/>
      </c>
      <c r="AY258" s="103" t="str">
        <f aca="false">IF(ISBLANK($C258),"",IF($AF258&lt;&gt;Constants!$B$7,"",IF(AN258=1,AI258,AL258)))</f>
        <v/>
      </c>
      <c r="AZ258" s="104" t="str">
        <f aca="false">IF(ISBLANK($C258),"",IF($AF258&lt;&gt;Constants!$B$7,$AF258,AP258))</f>
        <v/>
      </c>
      <c r="BA258" s="105" t="str">
        <f aca="false">IF(ISBLANK($C258),"",IF($AF258&lt;&gt;Constants!$B$7,$AF258,AG258))</f>
        <v/>
      </c>
      <c r="BB258" s="106" t="str">
        <f aca="false">IF(ISBLANK($C258),"",AU258)</f>
        <v/>
      </c>
      <c r="BC258" s="106" t="str">
        <f aca="false">IF(ISBLANK($C258),"",AT258)</f>
        <v/>
      </c>
      <c r="BD258" s="107" t="str">
        <f aca="false">IF(ISBLANK($C258),"",IFERROR(_xlfn.SWITCH(BC258,Constants!$B$4,COUNTA($C$8:$C$507)+2,Constants!$B$5,COUNTA($C$8:$C$507)+1,Constants!$B$6,COUNTA($C$8:$C$507)),BC258))</f>
        <v/>
      </c>
      <c r="BE258" s="5"/>
      <c r="BF258" s="108" t="n">
        <f aca="false">IF(OR(ISNUMBER(BC258),BC258=Constants!$B$4,BC258=Constants!$B$6,BC258=Constants!$B$5),1,0)</f>
        <v>0</v>
      </c>
      <c r="BG258" s="108" t="n">
        <v>251</v>
      </c>
      <c r="BH258" s="108" t="str">
        <f aca="false">IF(ISBLANK($C258),"",IF(ISNUMBER(BD258),BD258+ROW($B258)/1000,""))</f>
        <v/>
      </c>
      <c r="BI258" s="108" t="str">
        <f aca="false">IF(ISNUMBER(BH258),RANK(BH258,$BH$8:$BH$507,1),"")</f>
        <v/>
      </c>
      <c r="BJ258" s="108" t="str">
        <f aca="false">IF(ISBLANK($C258),"",$B258)</f>
        <v/>
      </c>
      <c r="BK258" s="108" t="str">
        <f aca="false">IF(ISBLANK($C258),"",$C258)</f>
        <v/>
      </c>
      <c r="BL258" s="108" t="str">
        <f aca="false">IF(ISBLANK($C258),"",$D258)</f>
        <v/>
      </c>
      <c r="BM258" s="109" t="str">
        <f aca="false">BA258</f>
        <v/>
      </c>
      <c r="BN258" s="110" t="str">
        <f aca="false">AZ258</f>
        <v/>
      </c>
      <c r="BO258" s="108" t="str">
        <f aca="false">IF(ISBLANK($C258),"",BC258)</f>
        <v/>
      </c>
      <c r="BP258" s="111" t="str">
        <f aca="false">IF($BG258&gt;$BF$7,"",VLOOKUP($BG258,$BI$8:$BO$507,7,FALSE()))</f>
        <v/>
      </c>
      <c r="BQ258" s="112" t="str">
        <f aca="false">IF($BG258&gt;$BF$7,"",VLOOKUP($BG258,$BI$8:$BO$507,2,FALSE()))</f>
        <v/>
      </c>
      <c r="BR258" s="112" t="str">
        <f aca="false">IF($BG258&gt;$BF$7,"",VLOOKUP($BG258,$BI$8:$BO$507,3,FALSE()))</f>
        <v/>
      </c>
      <c r="BS258" s="112" t="str">
        <f aca="false">IF($BG258&gt;$BF$7,"",VLOOKUP($BG258,$BI$8:$BO$507,4,FALSE()))</f>
        <v/>
      </c>
      <c r="BT258" s="112" t="str">
        <f aca="false">IF($BG258&gt;$BF$7,"",VLOOKUP($BG258,$BI$8:$BO$507,5,FALSE()))</f>
        <v/>
      </c>
      <c r="BU258" s="113" t="str">
        <f aca="false">IF($BG258&gt;$BF$7,"",VLOOKUP($BG258,$BI$8:$BO$507,6,FALSE()))</f>
        <v/>
      </c>
      <c r="BV258" s="54"/>
    </row>
    <row r="259" customFormat="false" ht="15.75" hidden="false" customHeight="false" outlineLevel="0" collapsed="false">
      <c r="A259" s="5"/>
      <c r="B259" s="128"/>
      <c r="C259" s="129"/>
      <c r="D259" s="114"/>
      <c r="E259" s="134"/>
      <c r="F259" s="139"/>
      <c r="G259" s="93"/>
      <c r="H259" s="140"/>
      <c r="I259" s="95"/>
      <c r="J259" s="95"/>
      <c r="K259" s="93"/>
      <c r="L259" s="141"/>
      <c r="M259" s="95"/>
      <c r="N259" s="95"/>
      <c r="O259" s="93"/>
      <c r="P259" s="134"/>
      <c r="Q259" s="98"/>
      <c r="R259" s="99" t="str">
        <f aca="false">IF(ISBLANK($C259),"",IF(E259=Constants!$B$2, TRUE(), IF(E259=Constants!$B$3, FALSE(), TRUE())))</f>
        <v/>
      </c>
      <c r="S259" s="99" t="str">
        <f aca="false">IF(ISBLANK($C259),"",IF(F259=Constants!$B$2, TRUE(), IF(F259=Constants!$B$3, FALSE(), TRUE())))</f>
        <v/>
      </c>
      <c r="T259" s="99" t="str">
        <f aca="false">IF(ISBLANK($C259),"",IF(G259=Constants!$B$16,Constants!$B$9,IF(G259=Constants!$B$17,Constants!$B$10,Constants!$B$8)))</f>
        <v/>
      </c>
      <c r="U259" s="99" t="str">
        <f aca="false">IF(ISBLANK($C259),"",IF(H259=Constants!$B$19,Constants!$B$19,Constants!$B$18))</f>
        <v/>
      </c>
      <c r="V259" s="99" t="str">
        <f aca="false">IF(ISBLANK($C259),"",IF(ISNUMBER(I259),IF(I259&gt;=0,I259,""),""))</f>
        <v/>
      </c>
      <c r="W259" s="99" t="str">
        <f aca="false">IF(ISBLANK($C259),"",IF(J259=Constants!$B$2, TRUE(), IF(J259=Constants!$B$3, FALSE(), TRUE())))</f>
        <v/>
      </c>
      <c r="X259" s="99" t="str">
        <f aca="false">IF(ISBLANK($C259),"",IF(K259=Constants!$B$2, TRUE(), IF(K259=Constants!$B$3, FALSE(), TRUE())))</f>
        <v/>
      </c>
      <c r="Y259" s="99" t="str">
        <f aca="false">IF(ISBLANK($C259),"",IF(L259=Constants!$B$19,Constants!$B$19,Constants!$B$18))</f>
        <v/>
      </c>
      <c r="Z259" s="99" t="str">
        <f aca="false">IF(ISBLANK($C259),"",IF(ISNUMBER(M259),IF(M259&gt;=0,M259,""),""))</f>
        <v/>
      </c>
      <c r="AA259" s="99" t="str">
        <f aca="false">IF(ISBLANK($C259),"",IF(N259=Constants!$B$2, TRUE(), IF(N259=Constants!$B$3, FALSE(), TRUE())))</f>
        <v/>
      </c>
      <c r="AB259" s="99" t="str">
        <f aca="false">IF(ISBLANK($C259),"",IF(O259=Constants!$B$2, TRUE(), IF(O259=Constants!$B$3, FALSE(), TRUE())))</f>
        <v/>
      </c>
      <c r="AC259" s="99" t="str">
        <f aca="false">IF(ISBLANK($C259),"",IF(P259=Constants!$B$2, TRUE(), IF(P259=Constants!$B$3, FALSE(), FALSE())))</f>
        <v/>
      </c>
      <c r="AD259" s="99" t="str">
        <f aca="false">IF(ISBLANK($C259),"",AND(V259&lt;&gt;"",IF(U259=Constants!$B$19,S259,R259)))</f>
        <v/>
      </c>
      <c r="AE259" s="99" t="str">
        <f aca="false">IF(ISBLANK($C259),"",AND(Z259&lt;&gt;"",IF(Y259=Constants!$B$19,S259,R259)))</f>
        <v/>
      </c>
      <c r="AF259" s="99" t="str">
        <f aca="false">IF(ISBLANK($C259),"",IF(AC259,Constants!$B$4,IF(COUNTA(E259:O259)=0,Constants!$B$5,IF(AND(NOT(AD259),NOT(AE259)),Constants!$B$6,Constants!$B$7))))</f>
        <v/>
      </c>
      <c r="AG259" s="99" t="str">
        <f aca="false">IF(ISBLANK($C259),"",IF($AF259&lt;&gt;Constants!$B$7,$AF259,Constants!$B$20))</f>
        <v/>
      </c>
      <c r="AH259" s="99" t="str">
        <f aca="false">IF($AF259=Constants!$B$7,IF(AD259,V259,Constants!$B$13),"")</f>
        <v/>
      </c>
      <c r="AI259" s="99" t="str">
        <f aca="false">IF($AF259=Constants!$B$7,IF(AD259,T259*IF(W259, 1, Constants!$B$11)*IF(X259, 1, Constants!$B$12),Constants!$B$13),"")</f>
        <v/>
      </c>
      <c r="AJ259" s="99" t="str">
        <f aca="false">IF($AF259=Constants!$B$7,AH259*AI259,"")</f>
        <v/>
      </c>
      <c r="AK259" s="99" t="str">
        <f aca="false">IF($AF259=Constants!$B$7,IF(AE259,Z259,Constants!$B$13),"")</f>
        <v/>
      </c>
      <c r="AL259" s="99" t="str">
        <f aca="false">IF($AF259=Constants!$B$7,IF(AE259,T259*IF(AA259, 1, Constants!$B$11)*IF(AB259, 1, Constants!$B$12),Constants!$B$13),"")</f>
        <v/>
      </c>
      <c r="AM259" s="99" t="str">
        <f aca="false">IF($AF259=Constants!$B$7,AK259*AL259,"")</f>
        <v/>
      </c>
      <c r="AN259" s="99" t="str">
        <f aca="false">IF($AF259=Constants!$B$7,IF(AM259&gt;AJ259,2,1),"")</f>
        <v/>
      </c>
      <c r="AO259" s="99" t="str">
        <f aca="false">IF($AF259=Constants!$B$7,IF(AN259=1,2,1),"")</f>
        <v/>
      </c>
      <c r="AP259" s="99" t="str">
        <f aca="false">IF(ISBLANK($C259),"",IF($AF259&lt;&gt;Constants!$B$7,$AF259,IF(AN259=1,AJ259,AM259)))</f>
        <v/>
      </c>
      <c r="AQ259" s="99" t="str">
        <f aca="false">IF(ISBLANK($C259),"",IF($AF259=Constants!$B$7,IF(ISNUMBER(AP259),RANK(AP259,$AP$8:$AP$507),Constants!$B$14),$AF259))</f>
        <v/>
      </c>
      <c r="AR259" s="99" t="str">
        <f aca="false">IF(ISBLANK($C259),"",IF($AF259=Constants!$B$7,IF(AO259=1,AJ259,AM259),""))</f>
        <v/>
      </c>
      <c r="AS259" s="99" t="str">
        <f aca="false">IF(ISBLANK($C259),"",IF($AF259=Constants!$B$7,RANK(AR259,$AR$8:$AR$507),$AF259))</f>
        <v/>
      </c>
      <c r="AT259" s="99" t="str">
        <f aca="false">IF(ISBLANK($C259),"",IF($AF259=Constants!$B$7,IF(ISNUMBER(AQ259),COUNTIFS($AQ$8:$AQ$507,"&lt;"&amp;$AQ259)+COUNTIFS($AQ$8:$AQ$507,$AQ259,$AS$8:$AS$507,"&lt;"&amp;$AS259)+1,Constants!$B$14),$AF259))</f>
        <v/>
      </c>
      <c r="AU259" s="99" t="str">
        <f aca="false">IF(ISBLANK($C259),"",IF($AF259=Constants!$B$7,IF(ISNUMBER(AQ259),AQ259-AT259,Constants!$B$14),$AF259))</f>
        <v/>
      </c>
      <c r="AV259" s="100"/>
      <c r="AW259" s="101" t="str">
        <f aca="false">IF(ISBLANK($C259),"",IF($AF259&lt;&gt;Constants!$B$7,"",AN259))</f>
        <v/>
      </c>
      <c r="AX259" s="102" t="str">
        <f aca="false">IF(ISBLANK($C259),"",IF($AF259&lt;&gt;Constants!$B$7,"",IF(AN259=1,AH259,AK259)))</f>
        <v/>
      </c>
      <c r="AY259" s="103" t="str">
        <f aca="false">IF(ISBLANK($C259),"",IF($AF259&lt;&gt;Constants!$B$7,"",IF(AN259=1,AI259,AL259)))</f>
        <v/>
      </c>
      <c r="AZ259" s="104" t="str">
        <f aca="false">IF(ISBLANK($C259),"",IF($AF259&lt;&gt;Constants!$B$7,$AF259,AP259))</f>
        <v/>
      </c>
      <c r="BA259" s="105" t="str">
        <f aca="false">IF(ISBLANK($C259),"",IF($AF259&lt;&gt;Constants!$B$7,$AF259,AG259))</f>
        <v/>
      </c>
      <c r="BB259" s="106" t="str">
        <f aca="false">IF(ISBLANK($C259),"",AU259)</f>
        <v/>
      </c>
      <c r="BC259" s="106" t="str">
        <f aca="false">IF(ISBLANK($C259),"",AT259)</f>
        <v/>
      </c>
      <c r="BD259" s="107" t="str">
        <f aca="false">IF(ISBLANK($C259),"",IFERROR(_xlfn.SWITCH(BC259,Constants!$B$4,COUNTA($C$8:$C$507)+2,Constants!$B$5,COUNTA($C$8:$C$507)+1,Constants!$B$6,COUNTA($C$8:$C$507)),BC259))</f>
        <v/>
      </c>
      <c r="BE259" s="5"/>
      <c r="BF259" s="108" t="n">
        <f aca="false">IF(OR(ISNUMBER(BC259),BC259=Constants!$B$4,BC259=Constants!$B$6,BC259=Constants!$B$5),1,0)</f>
        <v>0</v>
      </c>
      <c r="BG259" s="108" t="n">
        <v>252</v>
      </c>
      <c r="BH259" s="108" t="str">
        <f aca="false">IF(ISBLANK($C259),"",IF(ISNUMBER(BD259),BD259+ROW($B259)/1000,""))</f>
        <v/>
      </c>
      <c r="BI259" s="108" t="str">
        <f aca="false">IF(ISNUMBER(BH259),RANK(BH259,$BH$8:$BH$507,1),"")</f>
        <v/>
      </c>
      <c r="BJ259" s="108" t="str">
        <f aca="false">IF(ISBLANK($C259),"",$B259)</f>
        <v/>
      </c>
      <c r="BK259" s="108" t="str">
        <f aca="false">IF(ISBLANK($C259),"",$C259)</f>
        <v/>
      </c>
      <c r="BL259" s="108" t="str">
        <f aca="false">IF(ISBLANK($C259),"",$D259)</f>
        <v/>
      </c>
      <c r="BM259" s="109" t="str">
        <f aca="false">BA259</f>
        <v/>
      </c>
      <c r="BN259" s="110" t="str">
        <f aca="false">AZ259</f>
        <v/>
      </c>
      <c r="BO259" s="108" t="str">
        <f aca="false">IF(ISBLANK($C259),"",BC259)</f>
        <v/>
      </c>
      <c r="BP259" s="111" t="str">
        <f aca="false">IF($BG259&gt;$BF$7,"",VLOOKUP($BG259,$BI$8:$BO$507,7,FALSE()))</f>
        <v/>
      </c>
      <c r="BQ259" s="112" t="str">
        <f aca="false">IF($BG259&gt;$BF$7,"",VLOOKUP($BG259,$BI$8:$BO$507,2,FALSE()))</f>
        <v/>
      </c>
      <c r="BR259" s="112" t="str">
        <f aca="false">IF($BG259&gt;$BF$7,"",VLOOKUP($BG259,$BI$8:$BO$507,3,FALSE()))</f>
        <v/>
      </c>
      <c r="BS259" s="112" t="str">
        <f aca="false">IF($BG259&gt;$BF$7,"",VLOOKUP($BG259,$BI$8:$BO$507,4,FALSE()))</f>
        <v/>
      </c>
      <c r="BT259" s="112" t="str">
        <f aca="false">IF($BG259&gt;$BF$7,"",VLOOKUP($BG259,$BI$8:$BO$507,5,FALSE()))</f>
        <v/>
      </c>
      <c r="BU259" s="113" t="str">
        <f aca="false">IF($BG259&gt;$BF$7,"",VLOOKUP($BG259,$BI$8:$BO$507,6,FALSE()))</f>
        <v/>
      </c>
      <c r="BV259" s="54"/>
    </row>
    <row r="260" customFormat="false" ht="15.75" hidden="false" customHeight="false" outlineLevel="0" collapsed="false">
      <c r="A260" s="5"/>
      <c r="B260" s="135"/>
      <c r="C260" s="56"/>
      <c r="D260" s="57"/>
      <c r="E260" s="84"/>
      <c r="F260" s="136"/>
      <c r="G260" s="60"/>
      <c r="H260" s="137"/>
      <c r="I260" s="62"/>
      <c r="J260" s="62"/>
      <c r="K260" s="60"/>
      <c r="L260" s="138"/>
      <c r="M260" s="62"/>
      <c r="N260" s="62"/>
      <c r="O260" s="60"/>
      <c r="P260" s="84"/>
      <c r="Q260" s="65"/>
      <c r="R260" s="67" t="str">
        <f aca="false">IF(ISBLANK($C260),"",IF(E260=Constants!$B$2, TRUE(), IF(E260=Constants!$B$3, FALSE(), TRUE())))</f>
        <v/>
      </c>
      <c r="S260" s="67" t="str">
        <f aca="false">IF(ISBLANK($C260),"",IF(F260=Constants!$B$2, TRUE(), IF(F260=Constants!$B$3, FALSE(), TRUE())))</f>
        <v/>
      </c>
      <c r="T260" s="67" t="str">
        <f aca="false">IF(ISBLANK($C260),"",IF(G260=Constants!$B$16,Constants!$B$9,IF(G260=Constants!$B$17,Constants!$B$10,Constants!$B$8)))</f>
        <v/>
      </c>
      <c r="U260" s="67" t="str">
        <f aca="false">IF(ISBLANK($C260),"",IF(H260=Constants!$B$19,Constants!$B$19,Constants!$B$18))</f>
        <v/>
      </c>
      <c r="V260" s="67" t="str">
        <f aca="false">IF(ISBLANK($C260),"",IF(ISNUMBER(I260),IF(I260&gt;=0,I260,""),""))</f>
        <v/>
      </c>
      <c r="W260" s="67" t="str">
        <f aca="false">IF(ISBLANK($C260),"",IF(J260=Constants!$B$2, TRUE(), IF(J260=Constants!$B$3, FALSE(), TRUE())))</f>
        <v/>
      </c>
      <c r="X260" s="67" t="str">
        <f aca="false">IF(ISBLANK($C260),"",IF(K260=Constants!$B$2, TRUE(), IF(K260=Constants!$B$3, FALSE(), TRUE())))</f>
        <v/>
      </c>
      <c r="Y260" s="67" t="str">
        <f aca="false">IF(ISBLANK($C260),"",IF(L260=Constants!$B$19,Constants!$B$19,Constants!$B$18))</f>
        <v/>
      </c>
      <c r="Z260" s="67" t="str">
        <f aca="false">IF(ISBLANK($C260),"",IF(ISNUMBER(M260),IF(M260&gt;=0,M260,""),""))</f>
        <v/>
      </c>
      <c r="AA260" s="67" t="str">
        <f aca="false">IF(ISBLANK($C260),"",IF(N260=Constants!$B$2, TRUE(), IF(N260=Constants!$B$3, FALSE(), TRUE())))</f>
        <v/>
      </c>
      <c r="AB260" s="67" t="str">
        <f aca="false">IF(ISBLANK($C260),"",IF(O260=Constants!$B$2, TRUE(), IF(O260=Constants!$B$3, FALSE(), TRUE())))</f>
        <v/>
      </c>
      <c r="AC260" s="67" t="str">
        <f aca="false">IF(ISBLANK($C260),"",IF(P260=Constants!$B$2, TRUE(), IF(P260=Constants!$B$3, FALSE(), FALSE())))</f>
        <v/>
      </c>
      <c r="AD260" s="67" t="str">
        <f aca="false">IF(ISBLANK($C260),"",AND(V260&lt;&gt;"",IF(U260=Constants!$B$19,S260,R260)))</f>
        <v/>
      </c>
      <c r="AE260" s="67" t="str">
        <f aca="false">IF(ISBLANK($C260),"",AND(Z260&lt;&gt;"",IF(Y260=Constants!$B$19,S260,R260)))</f>
        <v/>
      </c>
      <c r="AF260" s="67" t="str">
        <f aca="false">IF(ISBLANK($C260),"",IF(AC260,Constants!$B$4,IF(COUNTA(E260:O260)=0,Constants!$B$5,IF(AND(NOT(AD260),NOT(AE260)),Constants!$B$6,Constants!$B$7))))</f>
        <v/>
      </c>
      <c r="AG260" s="67" t="str">
        <f aca="false">IF(ISBLANK($C260),"",IF($AF260&lt;&gt;Constants!$B$7,$AF260,Constants!$B$20))</f>
        <v/>
      </c>
      <c r="AH260" s="67" t="str">
        <f aca="false">IF($AF260=Constants!$B$7,IF(AD260,V260,Constants!$B$13),"")</f>
        <v/>
      </c>
      <c r="AI260" s="67" t="str">
        <f aca="false">IF($AF260=Constants!$B$7,IF(AD260,T260*IF(W260, 1, Constants!$B$11)*IF(X260, 1, Constants!$B$12),Constants!$B$13),"")</f>
        <v/>
      </c>
      <c r="AJ260" s="67" t="str">
        <f aca="false">IF($AF260=Constants!$B$7,AH260*AI260,"")</f>
        <v/>
      </c>
      <c r="AK260" s="67" t="str">
        <f aca="false">IF($AF260=Constants!$B$7,IF(AE260,Z260,Constants!$B$13),"")</f>
        <v/>
      </c>
      <c r="AL260" s="67" t="str">
        <f aca="false">IF($AF260=Constants!$B$7,IF(AE260,T260*IF(AA260, 1, Constants!$B$11)*IF(AB260, 1, Constants!$B$12),Constants!$B$13),"")</f>
        <v/>
      </c>
      <c r="AM260" s="67" t="str">
        <f aca="false">IF($AF260=Constants!$B$7,AK260*AL260,"")</f>
        <v/>
      </c>
      <c r="AN260" s="67" t="str">
        <f aca="false">IF($AF260=Constants!$B$7,IF(AM260&gt;AJ260,2,1),"")</f>
        <v/>
      </c>
      <c r="AO260" s="67" t="str">
        <f aca="false">IF($AF260=Constants!$B$7,IF(AN260=1,2,1),"")</f>
        <v/>
      </c>
      <c r="AP260" s="67" t="str">
        <f aca="false">IF(ISBLANK($C260),"",IF($AF260&lt;&gt;Constants!$B$7,$AF260,IF(AN260=1,AJ260,AM260)))</f>
        <v/>
      </c>
      <c r="AQ260" s="67" t="str">
        <f aca="false">IF(ISBLANK($C260),"",IF($AF260=Constants!$B$7,IF(ISNUMBER(AP260),RANK(AP260,$AP$8:$AP$507),Constants!$B$14),$AF260))</f>
        <v/>
      </c>
      <c r="AR260" s="67" t="str">
        <f aca="false">IF(ISBLANK($C260),"",IF($AF260=Constants!$B$7,IF(AO260=1,AJ260,AM260),""))</f>
        <v/>
      </c>
      <c r="AS260" s="67" t="str">
        <f aca="false">IF(ISBLANK($C260),"",IF($AF260=Constants!$B$7,RANK(AR260,$AR$8:$AR$507),$AF260))</f>
        <v/>
      </c>
      <c r="AT260" s="67" t="str">
        <f aca="false">IF(ISBLANK($C260),"",IF($AF260=Constants!$B$7,IF(ISNUMBER(AQ260),COUNTIFS($AQ$8:$AQ$507,"&lt;"&amp;$AQ260)+COUNTIFS($AQ$8:$AQ$507,$AQ260,$AS$8:$AS$507,"&lt;"&amp;$AS260)+1,Constants!$B$14),$AF260))</f>
        <v/>
      </c>
      <c r="AU260" s="67" t="str">
        <f aca="false">IF(ISBLANK($C260),"",IF($AF260=Constants!$B$7,IF(ISNUMBER(AQ260),AQ260-AT260,Constants!$B$14),$AF260))</f>
        <v/>
      </c>
      <c r="AV260" s="69"/>
      <c r="AW260" s="70" t="str">
        <f aca="false">IF(ISBLANK($C260),"",IF($AF260&lt;&gt;Constants!$B$7,"",AN260))</f>
        <v/>
      </c>
      <c r="AX260" s="85" t="str">
        <f aca="false">IF(ISBLANK($C260),"",IF($AF260&lt;&gt;Constants!$B$7,"",IF(AN260=1,AH260,AK260)))</f>
        <v/>
      </c>
      <c r="AY260" s="72" t="str">
        <f aca="false">IF(ISBLANK($C260),"",IF($AF260&lt;&gt;Constants!$B$7,"",IF(AN260=1,AI260,AL260)))</f>
        <v/>
      </c>
      <c r="AZ260" s="73" t="str">
        <f aca="false">IF(ISBLANK($C260),"",IF($AF260&lt;&gt;Constants!$B$7,$AF260,AP260))</f>
        <v/>
      </c>
      <c r="BA260" s="74" t="str">
        <f aca="false">IF(ISBLANK($C260),"",IF($AF260&lt;&gt;Constants!$B$7,$AF260,AG260))</f>
        <v/>
      </c>
      <c r="BB260" s="75" t="str">
        <f aca="false">IF(ISBLANK($C260),"",AU260)</f>
        <v/>
      </c>
      <c r="BC260" s="75" t="str">
        <f aca="false">IF(ISBLANK($C260),"",AT260)</f>
        <v/>
      </c>
      <c r="BD260" s="76" t="str">
        <f aca="false">IF(ISBLANK($C260),"",IFERROR(_xlfn.SWITCH(BC260,Constants!$B$4,COUNTA($C$8:$C$507)+2,Constants!$B$5,COUNTA($C$8:$C$507)+1,Constants!$B$6,COUNTA($C$8:$C$507)),BC260))</f>
        <v/>
      </c>
      <c r="BE260" s="5"/>
      <c r="BF260" s="77" t="n">
        <f aca="false">IF(OR(ISNUMBER(BC260),BC260=Constants!$B$4,BC260=Constants!$B$6,BC260=Constants!$B$5),1,0)</f>
        <v>0</v>
      </c>
      <c r="BG260" s="77" t="n">
        <v>253</v>
      </c>
      <c r="BH260" s="77" t="str">
        <f aca="false">IF(ISBLANK($C260),"",IF(ISNUMBER(BD260),BD260+ROW($B260)/1000,""))</f>
        <v/>
      </c>
      <c r="BI260" s="77" t="str">
        <f aca="false">IF(ISNUMBER(BH260),RANK(BH260,$BH$8:$BH$507,1),"")</f>
        <v/>
      </c>
      <c r="BJ260" s="77" t="str">
        <f aca="false">IF(ISBLANK($C260),"",$B260)</f>
        <v/>
      </c>
      <c r="BK260" s="77" t="str">
        <f aca="false">IF(ISBLANK($C260),"",$C260)</f>
        <v/>
      </c>
      <c r="BL260" s="77" t="str">
        <f aca="false">IF(ISBLANK($C260),"",$D260)</f>
        <v/>
      </c>
      <c r="BM260" s="78" t="str">
        <f aca="false">BA260</f>
        <v/>
      </c>
      <c r="BN260" s="79" t="str">
        <f aca="false">AZ260</f>
        <v/>
      </c>
      <c r="BO260" s="77" t="str">
        <f aca="false">IF(ISBLANK($C260),"",BC260)</f>
        <v/>
      </c>
      <c r="BP260" s="80" t="str">
        <f aca="false">IF($BG260&gt;$BF$7,"",VLOOKUP($BG260,$BI$8:$BO$507,7,FALSE()))</f>
        <v/>
      </c>
      <c r="BQ260" s="81" t="str">
        <f aca="false">IF($BG260&gt;$BF$7,"",VLOOKUP($BG260,$BI$8:$BO$507,2,FALSE()))</f>
        <v/>
      </c>
      <c r="BR260" s="81" t="str">
        <f aca="false">IF($BG260&gt;$BF$7,"",VLOOKUP($BG260,$BI$8:$BO$507,3,FALSE()))</f>
        <v/>
      </c>
      <c r="BS260" s="81" t="str">
        <f aca="false">IF($BG260&gt;$BF$7,"",VLOOKUP($BG260,$BI$8:$BO$507,4,FALSE()))</f>
        <v/>
      </c>
      <c r="BT260" s="81" t="str">
        <f aca="false">IF($BG260&gt;$BF$7,"",VLOOKUP($BG260,$BI$8:$BO$507,5,FALSE()))</f>
        <v/>
      </c>
      <c r="BU260" s="82" t="str">
        <f aca="false">IF($BG260&gt;$BF$7,"",VLOOKUP($BG260,$BI$8:$BO$507,6,FALSE()))</f>
        <v/>
      </c>
      <c r="BV260" s="54"/>
    </row>
    <row r="261" customFormat="false" ht="15.75" hidden="false" customHeight="false" outlineLevel="0" collapsed="false">
      <c r="A261" s="5"/>
      <c r="B261" s="135"/>
      <c r="C261" s="56"/>
      <c r="D261" s="57"/>
      <c r="E261" s="84"/>
      <c r="F261" s="136"/>
      <c r="G261" s="60"/>
      <c r="H261" s="137"/>
      <c r="I261" s="62"/>
      <c r="J261" s="62"/>
      <c r="K261" s="60"/>
      <c r="L261" s="138"/>
      <c r="M261" s="62"/>
      <c r="N261" s="62"/>
      <c r="O261" s="60"/>
      <c r="P261" s="84"/>
      <c r="Q261" s="65"/>
      <c r="R261" s="67" t="str">
        <f aca="false">IF(ISBLANK($C261),"",IF(E261=Constants!$B$2, TRUE(), IF(E261=Constants!$B$3, FALSE(), TRUE())))</f>
        <v/>
      </c>
      <c r="S261" s="67" t="str">
        <f aca="false">IF(ISBLANK($C261),"",IF(F261=Constants!$B$2, TRUE(), IF(F261=Constants!$B$3, FALSE(), TRUE())))</f>
        <v/>
      </c>
      <c r="T261" s="67" t="str">
        <f aca="false">IF(ISBLANK($C261),"",IF(G261=Constants!$B$16,Constants!$B$9,IF(G261=Constants!$B$17,Constants!$B$10,Constants!$B$8)))</f>
        <v/>
      </c>
      <c r="U261" s="67" t="str">
        <f aca="false">IF(ISBLANK($C261),"",IF(H261=Constants!$B$19,Constants!$B$19,Constants!$B$18))</f>
        <v/>
      </c>
      <c r="V261" s="67" t="str">
        <f aca="false">IF(ISBLANK($C261),"",IF(ISNUMBER(I261),IF(I261&gt;=0,I261,""),""))</f>
        <v/>
      </c>
      <c r="W261" s="67" t="str">
        <f aca="false">IF(ISBLANK($C261),"",IF(J261=Constants!$B$2, TRUE(), IF(J261=Constants!$B$3, FALSE(), TRUE())))</f>
        <v/>
      </c>
      <c r="X261" s="67" t="str">
        <f aca="false">IF(ISBLANK($C261),"",IF(K261=Constants!$B$2, TRUE(), IF(K261=Constants!$B$3, FALSE(), TRUE())))</f>
        <v/>
      </c>
      <c r="Y261" s="67" t="str">
        <f aca="false">IF(ISBLANK($C261),"",IF(L261=Constants!$B$19,Constants!$B$19,Constants!$B$18))</f>
        <v/>
      </c>
      <c r="Z261" s="67" t="str">
        <f aca="false">IF(ISBLANK($C261),"",IF(ISNUMBER(M261),IF(M261&gt;=0,M261,""),""))</f>
        <v/>
      </c>
      <c r="AA261" s="67" t="str">
        <f aca="false">IF(ISBLANK($C261),"",IF(N261=Constants!$B$2, TRUE(), IF(N261=Constants!$B$3, FALSE(), TRUE())))</f>
        <v/>
      </c>
      <c r="AB261" s="67" t="str">
        <f aca="false">IF(ISBLANK($C261),"",IF(O261=Constants!$B$2, TRUE(), IF(O261=Constants!$B$3, FALSE(), TRUE())))</f>
        <v/>
      </c>
      <c r="AC261" s="67" t="str">
        <f aca="false">IF(ISBLANK($C261),"",IF(P261=Constants!$B$2, TRUE(), IF(P261=Constants!$B$3, FALSE(), FALSE())))</f>
        <v/>
      </c>
      <c r="AD261" s="67" t="str">
        <f aca="false">IF(ISBLANK($C261),"",AND(V261&lt;&gt;"",IF(U261=Constants!$B$19,S261,R261)))</f>
        <v/>
      </c>
      <c r="AE261" s="67" t="str">
        <f aca="false">IF(ISBLANK($C261),"",AND(Z261&lt;&gt;"",IF(Y261=Constants!$B$19,S261,R261)))</f>
        <v/>
      </c>
      <c r="AF261" s="67" t="str">
        <f aca="false">IF(ISBLANK($C261),"",IF(AC261,Constants!$B$4,IF(COUNTA(E261:O261)=0,Constants!$B$5,IF(AND(NOT(AD261),NOT(AE261)),Constants!$B$6,Constants!$B$7))))</f>
        <v/>
      </c>
      <c r="AG261" s="67" t="str">
        <f aca="false">IF(ISBLANK($C261),"",IF($AF261&lt;&gt;Constants!$B$7,$AF261,Constants!$B$20))</f>
        <v/>
      </c>
      <c r="AH261" s="67" t="str">
        <f aca="false">IF($AF261=Constants!$B$7,IF(AD261,V261,Constants!$B$13),"")</f>
        <v/>
      </c>
      <c r="AI261" s="67" t="str">
        <f aca="false">IF($AF261=Constants!$B$7,IF(AD261,T261*IF(W261, 1, Constants!$B$11)*IF(X261, 1, Constants!$B$12),Constants!$B$13),"")</f>
        <v/>
      </c>
      <c r="AJ261" s="67" t="str">
        <f aca="false">IF($AF261=Constants!$B$7,AH261*AI261,"")</f>
        <v/>
      </c>
      <c r="AK261" s="67" t="str">
        <f aca="false">IF($AF261=Constants!$B$7,IF(AE261,Z261,Constants!$B$13),"")</f>
        <v/>
      </c>
      <c r="AL261" s="67" t="str">
        <f aca="false">IF($AF261=Constants!$B$7,IF(AE261,T261*IF(AA261, 1, Constants!$B$11)*IF(AB261, 1, Constants!$B$12),Constants!$B$13),"")</f>
        <v/>
      </c>
      <c r="AM261" s="67" t="str">
        <f aca="false">IF($AF261=Constants!$B$7,AK261*AL261,"")</f>
        <v/>
      </c>
      <c r="AN261" s="67" t="str">
        <f aca="false">IF($AF261=Constants!$B$7,IF(AM261&gt;AJ261,2,1),"")</f>
        <v/>
      </c>
      <c r="AO261" s="67" t="str">
        <f aca="false">IF($AF261=Constants!$B$7,IF(AN261=1,2,1),"")</f>
        <v/>
      </c>
      <c r="AP261" s="67" t="str">
        <f aca="false">IF(ISBLANK($C261),"",IF($AF261&lt;&gt;Constants!$B$7,$AF261,IF(AN261=1,AJ261,AM261)))</f>
        <v/>
      </c>
      <c r="AQ261" s="67" t="str">
        <f aca="false">IF(ISBLANK($C261),"",IF($AF261=Constants!$B$7,IF(ISNUMBER(AP261),RANK(AP261,$AP$8:$AP$507),Constants!$B$14),$AF261))</f>
        <v/>
      </c>
      <c r="AR261" s="67" t="str">
        <f aca="false">IF(ISBLANK($C261),"",IF($AF261=Constants!$B$7,IF(AO261=1,AJ261,AM261),""))</f>
        <v/>
      </c>
      <c r="AS261" s="67" t="str">
        <f aca="false">IF(ISBLANK($C261),"",IF($AF261=Constants!$B$7,RANK(AR261,$AR$8:$AR$507),$AF261))</f>
        <v/>
      </c>
      <c r="AT261" s="67" t="str">
        <f aca="false">IF(ISBLANK($C261),"",IF($AF261=Constants!$B$7,IF(ISNUMBER(AQ261),COUNTIFS($AQ$8:$AQ$507,"&lt;"&amp;$AQ261)+COUNTIFS($AQ$8:$AQ$507,$AQ261,$AS$8:$AS$507,"&lt;"&amp;$AS261)+1,Constants!$B$14),$AF261))</f>
        <v/>
      </c>
      <c r="AU261" s="67" t="str">
        <f aca="false">IF(ISBLANK($C261),"",IF($AF261=Constants!$B$7,IF(ISNUMBER(AQ261),AQ261-AT261,Constants!$B$14),$AF261))</f>
        <v/>
      </c>
      <c r="AV261" s="69"/>
      <c r="AW261" s="70" t="str">
        <f aca="false">IF(ISBLANK($C261),"",IF($AF261&lt;&gt;Constants!$B$7,"",AN261))</f>
        <v/>
      </c>
      <c r="AX261" s="85" t="str">
        <f aca="false">IF(ISBLANK($C261),"",IF($AF261&lt;&gt;Constants!$B$7,"",IF(AN261=1,AH261,AK261)))</f>
        <v/>
      </c>
      <c r="AY261" s="72" t="str">
        <f aca="false">IF(ISBLANK($C261),"",IF($AF261&lt;&gt;Constants!$B$7,"",IF(AN261=1,AI261,AL261)))</f>
        <v/>
      </c>
      <c r="AZ261" s="73" t="str">
        <f aca="false">IF(ISBLANK($C261),"",IF($AF261&lt;&gt;Constants!$B$7,$AF261,AP261))</f>
        <v/>
      </c>
      <c r="BA261" s="74" t="str">
        <f aca="false">IF(ISBLANK($C261),"",IF($AF261&lt;&gt;Constants!$B$7,$AF261,AG261))</f>
        <v/>
      </c>
      <c r="BB261" s="75" t="str">
        <f aca="false">IF(ISBLANK($C261),"",AU261)</f>
        <v/>
      </c>
      <c r="BC261" s="75" t="str">
        <f aca="false">IF(ISBLANK($C261),"",AT261)</f>
        <v/>
      </c>
      <c r="BD261" s="76" t="str">
        <f aca="false">IF(ISBLANK($C261),"",IFERROR(_xlfn.SWITCH(BC261,Constants!$B$4,COUNTA($C$8:$C$507)+2,Constants!$B$5,COUNTA($C$8:$C$507)+1,Constants!$B$6,COUNTA($C$8:$C$507)),BC261))</f>
        <v/>
      </c>
      <c r="BE261" s="5"/>
      <c r="BF261" s="77" t="n">
        <f aca="false">IF(OR(ISNUMBER(BC261),BC261=Constants!$B$4,BC261=Constants!$B$6,BC261=Constants!$B$5),1,0)</f>
        <v>0</v>
      </c>
      <c r="BG261" s="77" t="n">
        <v>254</v>
      </c>
      <c r="BH261" s="77" t="str">
        <f aca="false">IF(ISBLANK($C261),"",IF(ISNUMBER(BD261),BD261+ROW($B261)/1000,""))</f>
        <v/>
      </c>
      <c r="BI261" s="77" t="str">
        <f aca="false">IF(ISNUMBER(BH261),RANK(BH261,$BH$8:$BH$507,1),"")</f>
        <v/>
      </c>
      <c r="BJ261" s="77" t="str">
        <f aca="false">IF(ISBLANK($C261),"",$B261)</f>
        <v/>
      </c>
      <c r="BK261" s="77" t="str">
        <f aca="false">IF(ISBLANK($C261),"",$C261)</f>
        <v/>
      </c>
      <c r="BL261" s="77" t="str">
        <f aca="false">IF(ISBLANK($C261),"",$D261)</f>
        <v/>
      </c>
      <c r="BM261" s="78" t="str">
        <f aca="false">BA261</f>
        <v/>
      </c>
      <c r="BN261" s="79" t="str">
        <f aca="false">AZ261</f>
        <v/>
      </c>
      <c r="BO261" s="77" t="str">
        <f aca="false">IF(ISBLANK($C261),"",BC261)</f>
        <v/>
      </c>
      <c r="BP261" s="80" t="str">
        <f aca="false">IF($BG261&gt;$BF$7,"",VLOOKUP($BG261,$BI$8:$BO$507,7,FALSE()))</f>
        <v/>
      </c>
      <c r="BQ261" s="81" t="str">
        <f aca="false">IF($BG261&gt;$BF$7,"",VLOOKUP($BG261,$BI$8:$BO$507,2,FALSE()))</f>
        <v/>
      </c>
      <c r="BR261" s="81" t="str">
        <f aca="false">IF($BG261&gt;$BF$7,"",VLOOKUP($BG261,$BI$8:$BO$507,3,FALSE()))</f>
        <v/>
      </c>
      <c r="BS261" s="81" t="str">
        <f aca="false">IF($BG261&gt;$BF$7,"",VLOOKUP($BG261,$BI$8:$BO$507,4,FALSE()))</f>
        <v/>
      </c>
      <c r="BT261" s="81" t="str">
        <f aca="false">IF($BG261&gt;$BF$7,"",VLOOKUP($BG261,$BI$8:$BO$507,5,FALSE()))</f>
        <v/>
      </c>
      <c r="BU261" s="82" t="str">
        <f aca="false">IF($BG261&gt;$BF$7,"",VLOOKUP($BG261,$BI$8:$BO$507,6,FALSE()))</f>
        <v/>
      </c>
      <c r="BV261" s="54"/>
    </row>
    <row r="262" customFormat="false" ht="15.75" hidden="false" customHeight="false" outlineLevel="0" collapsed="false">
      <c r="A262" s="5"/>
      <c r="B262" s="135"/>
      <c r="C262" s="56"/>
      <c r="D262" s="57"/>
      <c r="E262" s="84"/>
      <c r="F262" s="136"/>
      <c r="G262" s="60"/>
      <c r="H262" s="137"/>
      <c r="I262" s="62"/>
      <c r="J262" s="62"/>
      <c r="K262" s="60"/>
      <c r="L262" s="138"/>
      <c r="M262" s="62"/>
      <c r="N262" s="62"/>
      <c r="O262" s="60"/>
      <c r="P262" s="84"/>
      <c r="Q262" s="65"/>
      <c r="R262" s="67" t="str">
        <f aca="false">IF(ISBLANK($C262),"",IF(E262=Constants!$B$2, TRUE(), IF(E262=Constants!$B$3, FALSE(), TRUE())))</f>
        <v/>
      </c>
      <c r="S262" s="67" t="str">
        <f aca="false">IF(ISBLANK($C262),"",IF(F262=Constants!$B$2, TRUE(), IF(F262=Constants!$B$3, FALSE(), TRUE())))</f>
        <v/>
      </c>
      <c r="T262" s="67" t="str">
        <f aca="false">IF(ISBLANK($C262),"",IF(G262=Constants!$B$16,Constants!$B$9,IF(G262=Constants!$B$17,Constants!$B$10,Constants!$B$8)))</f>
        <v/>
      </c>
      <c r="U262" s="67" t="str">
        <f aca="false">IF(ISBLANK($C262),"",IF(H262=Constants!$B$19,Constants!$B$19,Constants!$B$18))</f>
        <v/>
      </c>
      <c r="V262" s="67" t="str">
        <f aca="false">IF(ISBLANK($C262),"",IF(ISNUMBER(I262),IF(I262&gt;=0,I262,""),""))</f>
        <v/>
      </c>
      <c r="W262" s="67" t="str">
        <f aca="false">IF(ISBLANK($C262),"",IF(J262=Constants!$B$2, TRUE(), IF(J262=Constants!$B$3, FALSE(), TRUE())))</f>
        <v/>
      </c>
      <c r="X262" s="67" t="str">
        <f aca="false">IF(ISBLANK($C262),"",IF(K262=Constants!$B$2, TRUE(), IF(K262=Constants!$B$3, FALSE(), TRUE())))</f>
        <v/>
      </c>
      <c r="Y262" s="67" t="str">
        <f aca="false">IF(ISBLANK($C262),"",IF(L262=Constants!$B$19,Constants!$B$19,Constants!$B$18))</f>
        <v/>
      </c>
      <c r="Z262" s="67" t="str">
        <f aca="false">IF(ISBLANK($C262),"",IF(ISNUMBER(M262),IF(M262&gt;=0,M262,""),""))</f>
        <v/>
      </c>
      <c r="AA262" s="67" t="str">
        <f aca="false">IF(ISBLANK($C262),"",IF(N262=Constants!$B$2, TRUE(), IF(N262=Constants!$B$3, FALSE(), TRUE())))</f>
        <v/>
      </c>
      <c r="AB262" s="67" t="str">
        <f aca="false">IF(ISBLANK($C262),"",IF(O262=Constants!$B$2, TRUE(), IF(O262=Constants!$B$3, FALSE(), TRUE())))</f>
        <v/>
      </c>
      <c r="AC262" s="67" t="str">
        <f aca="false">IF(ISBLANK($C262),"",IF(P262=Constants!$B$2, TRUE(), IF(P262=Constants!$B$3, FALSE(), FALSE())))</f>
        <v/>
      </c>
      <c r="AD262" s="67" t="str">
        <f aca="false">IF(ISBLANK($C262),"",AND(V262&lt;&gt;"",IF(U262=Constants!$B$19,S262,R262)))</f>
        <v/>
      </c>
      <c r="AE262" s="67" t="str">
        <f aca="false">IF(ISBLANK($C262),"",AND(Z262&lt;&gt;"",IF(Y262=Constants!$B$19,S262,R262)))</f>
        <v/>
      </c>
      <c r="AF262" s="67" t="str">
        <f aca="false">IF(ISBLANK($C262),"",IF(AC262,Constants!$B$4,IF(COUNTA(E262:O262)=0,Constants!$B$5,IF(AND(NOT(AD262),NOT(AE262)),Constants!$B$6,Constants!$B$7))))</f>
        <v/>
      </c>
      <c r="AG262" s="67" t="str">
        <f aca="false">IF(ISBLANK($C262),"",IF($AF262&lt;&gt;Constants!$B$7,$AF262,Constants!$B$20))</f>
        <v/>
      </c>
      <c r="AH262" s="67" t="str">
        <f aca="false">IF($AF262=Constants!$B$7,IF(AD262,V262,Constants!$B$13),"")</f>
        <v/>
      </c>
      <c r="AI262" s="67" t="str">
        <f aca="false">IF($AF262=Constants!$B$7,IF(AD262,T262*IF(W262, 1, Constants!$B$11)*IF(X262, 1, Constants!$B$12),Constants!$B$13),"")</f>
        <v/>
      </c>
      <c r="AJ262" s="67" t="str">
        <f aca="false">IF($AF262=Constants!$B$7,AH262*AI262,"")</f>
        <v/>
      </c>
      <c r="AK262" s="67" t="str">
        <f aca="false">IF($AF262=Constants!$B$7,IF(AE262,Z262,Constants!$B$13),"")</f>
        <v/>
      </c>
      <c r="AL262" s="67" t="str">
        <f aca="false">IF($AF262=Constants!$B$7,IF(AE262,T262*IF(AA262, 1, Constants!$B$11)*IF(AB262, 1, Constants!$B$12),Constants!$B$13),"")</f>
        <v/>
      </c>
      <c r="AM262" s="67" t="str">
        <f aca="false">IF($AF262=Constants!$B$7,AK262*AL262,"")</f>
        <v/>
      </c>
      <c r="AN262" s="67" t="str">
        <f aca="false">IF($AF262=Constants!$B$7,IF(AM262&gt;AJ262,2,1),"")</f>
        <v/>
      </c>
      <c r="AO262" s="67" t="str">
        <f aca="false">IF($AF262=Constants!$B$7,IF(AN262=1,2,1),"")</f>
        <v/>
      </c>
      <c r="AP262" s="67" t="str">
        <f aca="false">IF(ISBLANK($C262),"",IF($AF262&lt;&gt;Constants!$B$7,$AF262,IF(AN262=1,AJ262,AM262)))</f>
        <v/>
      </c>
      <c r="AQ262" s="67" t="str">
        <f aca="false">IF(ISBLANK($C262),"",IF($AF262=Constants!$B$7,IF(ISNUMBER(AP262),RANK(AP262,$AP$8:$AP$507),Constants!$B$14),$AF262))</f>
        <v/>
      </c>
      <c r="AR262" s="67" t="str">
        <f aca="false">IF(ISBLANK($C262),"",IF($AF262=Constants!$B$7,IF(AO262=1,AJ262,AM262),""))</f>
        <v/>
      </c>
      <c r="AS262" s="67" t="str">
        <f aca="false">IF(ISBLANK($C262),"",IF($AF262=Constants!$B$7,RANK(AR262,$AR$8:$AR$507),$AF262))</f>
        <v/>
      </c>
      <c r="AT262" s="67" t="str">
        <f aca="false">IF(ISBLANK($C262),"",IF($AF262=Constants!$B$7,IF(ISNUMBER(AQ262),COUNTIFS($AQ$8:$AQ$507,"&lt;"&amp;$AQ262)+COUNTIFS($AQ$8:$AQ$507,$AQ262,$AS$8:$AS$507,"&lt;"&amp;$AS262)+1,Constants!$B$14),$AF262))</f>
        <v/>
      </c>
      <c r="AU262" s="67" t="str">
        <f aca="false">IF(ISBLANK($C262),"",IF($AF262=Constants!$B$7,IF(ISNUMBER(AQ262),AQ262-AT262,Constants!$B$14),$AF262))</f>
        <v/>
      </c>
      <c r="AV262" s="69"/>
      <c r="AW262" s="70" t="str">
        <f aca="false">IF(ISBLANK($C262),"",IF($AF262&lt;&gt;Constants!$B$7,"",AN262))</f>
        <v/>
      </c>
      <c r="AX262" s="85" t="str">
        <f aca="false">IF(ISBLANK($C262),"",IF($AF262&lt;&gt;Constants!$B$7,"",IF(AN262=1,AH262,AK262)))</f>
        <v/>
      </c>
      <c r="AY262" s="72" t="str">
        <f aca="false">IF(ISBLANK($C262),"",IF($AF262&lt;&gt;Constants!$B$7,"",IF(AN262=1,AI262,AL262)))</f>
        <v/>
      </c>
      <c r="AZ262" s="73" t="str">
        <f aca="false">IF(ISBLANK($C262),"",IF($AF262&lt;&gt;Constants!$B$7,$AF262,AP262))</f>
        <v/>
      </c>
      <c r="BA262" s="74" t="str">
        <f aca="false">IF(ISBLANK($C262),"",IF($AF262&lt;&gt;Constants!$B$7,$AF262,AG262))</f>
        <v/>
      </c>
      <c r="BB262" s="75" t="str">
        <f aca="false">IF(ISBLANK($C262),"",AU262)</f>
        <v/>
      </c>
      <c r="BC262" s="75" t="str">
        <f aca="false">IF(ISBLANK($C262),"",AT262)</f>
        <v/>
      </c>
      <c r="BD262" s="76" t="str">
        <f aca="false">IF(ISBLANK($C262),"",IFERROR(_xlfn.SWITCH(BC262,Constants!$B$4,COUNTA($C$8:$C$507)+2,Constants!$B$5,COUNTA($C$8:$C$507)+1,Constants!$B$6,COUNTA($C$8:$C$507)),BC262))</f>
        <v/>
      </c>
      <c r="BE262" s="5"/>
      <c r="BF262" s="77" t="n">
        <f aca="false">IF(OR(ISNUMBER(BC262),BC262=Constants!$B$4,BC262=Constants!$B$6,BC262=Constants!$B$5),1,0)</f>
        <v>0</v>
      </c>
      <c r="BG262" s="77" t="n">
        <v>255</v>
      </c>
      <c r="BH262" s="77" t="str">
        <f aca="false">IF(ISBLANK($C262),"",IF(ISNUMBER(BD262),BD262+ROW($B262)/1000,""))</f>
        <v/>
      </c>
      <c r="BI262" s="77" t="str">
        <f aca="false">IF(ISNUMBER(BH262),RANK(BH262,$BH$8:$BH$507,1),"")</f>
        <v/>
      </c>
      <c r="BJ262" s="77" t="str">
        <f aca="false">IF(ISBLANK($C262),"",$B262)</f>
        <v/>
      </c>
      <c r="BK262" s="77" t="str">
        <f aca="false">IF(ISBLANK($C262),"",$C262)</f>
        <v/>
      </c>
      <c r="BL262" s="77" t="str">
        <f aca="false">IF(ISBLANK($C262),"",$D262)</f>
        <v/>
      </c>
      <c r="BM262" s="78" t="str">
        <f aca="false">BA262</f>
        <v/>
      </c>
      <c r="BN262" s="79" t="str">
        <f aca="false">AZ262</f>
        <v/>
      </c>
      <c r="BO262" s="77" t="str">
        <f aca="false">IF(ISBLANK($C262),"",BC262)</f>
        <v/>
      </c>
      <c r="BP262" s="80" t="str">
        <f aca="false">IF($BG262&gt;$BF$7,"",VLOOKUP($BG262,$BI$8:$BO$507,7,FALSE()))</f>
        <v/>
      </c>
      <c r="BQ262" s="81" t="str">
        <f aca="false">IF($BG262&gt;$BF$7,"",VLOOKUP($BG262,$BI$8:$BO$507,2,FALSE()))</f>
        <v/>
      </c>
      <c r="BR262" s="81" t="str">
        <f aca="false">IF($BG262&gt;$BF$7,"",VLOOKUP($BG262,$BI$8:$BO$507,3,FALSE()))</f>
        <v/>
      </c>
      <c r="BS262" s="81" t="str">
        <f aca="false">IF($BG262&gt;$BF$7,"",VLOOKUP($BG262,$BI$8:$BO$507,4,FALSE()))</f>
        <v/>
      </c>
      <c r="BT262" s="81" t="str">
        <f aca="false">IF($BG262&gt;$BF$7,"",VLOOKUP($BG262,$BI$8:$BO$507,5,FALSE()))</f>
        <v/>
      </c>
      <c r="BU262" s="82" t="str">
        <f aca="false">IF($BG262&gt;$BF$7,"",VLOOKUP($BG262,$BI$8:$BO$507,6,FALSE()))</f>
        <v/>
      </c>
      <c r="BV262" s="54"/>
    </row>
    <row r="263" customFormat="false" ht="15.75" hidden="false" customHeight="false" outlineLevel="0" collapsed="false">
      <c r="A263" s="5"/>
      <c r="B263" s="128"/>
      <c r="C263" s="129"/>
      <c r="D263" s="114"/>
      <c r="E263" s="134"/>
      <c r="F263" s="139"/>
      <c r="G263" s="93"/>
      <c r="H263" s="140"/>
      <c r="I263" s="95"/>
      <c r="J263" s="95"/>
      <c r="K263" s="93"/>
      <c r="L263" s="141"/>
      <c r="M263" s="95"/>
      <c r="N263" s="95"/>
      <c r="O263" s="93"/>
      <c r="P263" s="134"/>
      <c r="Q263" s="98"/>
      <c r="R263" s="99" t="str">
        <f aca="false">IF(ISBLANK($C263),"",IF(E263=Constants!$B$2, TRUE(), IF(E263=Constants!$B$3, FALSE(), TRUE())))</f>
        <v/>
      </c>
      <c r="S263" s="99" t="str">
        <f aca="false">IF(ISBLANK($C263),"",IF(F263=Constants!$B$2, TRUE(), IF(F263=Constants!$B$3, FALSE(), TRUE())))</f>
        <v/>
      </c>
      <c r="T263" s="99" t="str">
        <f aca="false">IF(ISBLANK($C263),"",IF(G263=Constants!$B$16,Constants!$B$9,IF(G263=Constants!$B$17,Constants!$B$10,Constants!$B$8)))</f>
        <v/>
      </c>
      <c r="U263" s="99" t="str">
        <f aca="false">IF(ISBLANK($C263),"",IF(H263=Constants!$B$19,Constants!$B$19,Constants!$B$18))</f>
        <v/>
      </c>
      <c r="V263" s="99" t="str">
        <f aca="false">IF(ISBLANK($C263),"",IF(ISNUMBER(I263),IF(I263&gt;=0,I263,""),""))</f>
        <v/>
      </c>
      <c r="W263" s="99" t="str">
        <f aca="false">IF(ISBLANK($C263),"",IF(J263=Constants!$B$2, TRUE(), IF(J263=Constants!$B$3, FALSE(), TRUE())))</f>
        <v/>
      </c>
      <c r="X263" s="99" t="str">
        <f aca="false">IF(ISBLANK($C263),"",IF(K263=Constants!$B$2, TRUE(), IF(K263=Constants!$B$3, FALSE(), TRUE())))</f>
        <v/>
      </c>
      <c r="Y263" s="99" t="str">
        <f aca="false">IF(ISBLANK($C263),"",IF(L263=Constants!$B$19,Constants!$B$19,Constants!$B$18))</f>
        <v/>
      </c>
      <c r="Z263" s="99" t="str">
        <f aca="false">IF(ISBLANK($C263),"",IF(ISNUMBER(M263),IF(M263&gt;=0,M263,""),""))</f>
        <v/>
      </c>
      <c r="AA263" s="99" t="str">
        <f aca="false">IF(ISBLANK($C263),"",IF(N263=Constants!$B$2, TRUE(), IF(N263=Constants!$B$3, FALSE(), TRUE())))</f>
        <v/>
      </c>
      <c r="AB263" s="99" t="str">
        <f aca="false">IF(ISBLANK($C263),"",IF(O263=Constants!$B$2, TRUE(), IF(O263=Constants!$B$3, FALSE(), TRUE())))</f>
        <v/>
      </c>
      <c r="AC263" s="99" t="str">
        <f aca="false">IF(ISBLANK($C263),"",IF(P263=Constants!$B$2, TRUE(), IF(P263=Constants!$B$3, FALSE(), FALSE())))</f>
        <v/>
      </c>
      <c r="AD263" s="99" t="str">
        <f aca="false">IF(ISBLANK($C263),"",AND(V263&lt;&gt;"",IF(U263=Constants!$B$19,S263,R263)))</f>
        <v/>
      </c>
      <c r="AE263" s="99" t="str">
        <f aca="false">IF(ISBLANK($C263),"",AND(Z263&lt;&gt;"",IF(Y263=Constants!$B$19,S263,R263)))</f>
        <v/>
      </c>
      <c r="AF263" s="99" t="str">
        <f aca="false">IF(ISBLANK($C263),"",IF(AC263,Constants!$B$4,IF(COUNTA(E263:O263)=0,Constants!$B$5,IF(AND(NOT(AD263),NOT(AE263)),Constants!$B$6,Constants!$B$7))))</f>
        <v/>
      </c>
      <c r="AG263" s="99" t="str">
        <f aca="false">IF(ISBLANK($C263),"",IF($AF263&lt;&gt;Constants!$B$7,$AF263,Constants!$B$20))</f>
        <v/>
      </c>
      <c r="AH263" s="99" t="str">
        <f aca="false">IF($AF263=Constants!$B$7,IF(AD263,V263,Constants!$B$13),"")</f>
        <v/>
      </c>
      <c r="AI263" s="99" t="str">
        <f aca="false">IF($AF263=Constants!$B$7,IF(AD263,T263*IF(W263, 1, Constants!$B$11)*IF(X263, 1, Constants!$B$12),Constants!$B$13),"")</f>
        <v/>
      </c>
      <c r="AJ263" s="99" t="str">
        <f aca="false">IF($AF263=Constants!$B$7,AH263*AI263,"")</f>
        <v/>
      </c>
      <c r="AK263" s="99" t="str">
        <f aca="false">IF($AF263=Constants!$B$7,IF(AE263,Z263,Constants!$B$13),"")</f>
        <v/>
      </c>
      <c r="AL263" s="99" t="str">
        <f aca="false">IF($AF263=Constants!$B$7,IF(AE263,T263*IF(AA263, 1, Constants!$B$11)*IF(AB263, 1, Constants!$B$12),Constants!$B$13),"")</f>
        <v/>
      </c>
      <c r="AM263" s="99" t="str">
        <f aca="false">IF($AF263=Constants!$B$7,AK263*AL263,"")</f>
        <v/>
      </c>
      <c r="AN263" s="99" t="str">
        <f aca="false">IF($AF263=Constants!$B$7,IF(AM263&gt;AJ263,2,1),"")</f>
        <v/>
      </c>
      <c r="AO263" s="99" t="str">
        <f aca="false">IF($AF263=Constants!$B$7,IF(AN263=1,2,1),"")</f>
        <v/>
      </c>
      <c r="AP263" s="99" t="str">
        <f aca="false">IF(ISBLANK($C263),"",IF($AF263&lt;&gt;Constants!$B$7,$AF263,IF(AN263=1,AJ263,AM263)))</f>
        <v/>
      </c>
      <c r="AQ263" s="99" t="str">
        <f aca="false">IF(ISBLANK($C263),"",IF($AF263=Constants!$B$7,IF(ISNUMBER(AP263),RANK(AP263,$AP$8:$AP$507),Constants!$B$14),$AF263))</f>
        <v/>
      </c>
      <c r="AR263" s="99" t="str">
        <f aca="false">IF(ISBLANK($C263),"",IF($AF263=Constants!$B$7,IF(AO263=1,AJ263,AM263),""))</f>
        <v/>
      </c>
      <c r="AS263" s="99" t="str">
        <f aca="false">IF(ISBLANK($C263),"",IF($AF263=Constants!$B$7,RANK(AR263,$AR$8:$AR$507),$AF263))</f>
        <v/>
      </c>
      <c r="AT263" s="99" t="str">
        <f aca="false">IF(ISBLANK($C263),"",IF($AF263=Constants!$B$7,IF(ISNUMBER(AQ263),COUNTIFS($AQ$8:$AQ$507,"&lt;"&amp;$AQ263)+COUNTIFS($AQ$8:$AQ$507,$AQ263,$AS$8:$AS$507,"&lt;"&amp;$AS263)+1,Constants!$B$14),$AF263))</f>
        <v/>
      </c>
      <c r="AU263" s="99" t="str">
        <f aca="false">IF(ISBLANK($C263),"",IF($AF263=Constants!$B$7,IF(ISNUMBER(AQ263),AQ263-AT263,Constants!$B$14),$AF263))</f>
        <v/>
      </c>
      <c r="AV263" s="100"/>
      <c r="AW263" s="101" t="str">
        <f aca="false">IF(ISBLANK($C263),"",IF($AF263&lt;&gt;Constants!$B$7,"",AN263))</f>
        <v/>
      </c>
      <c r="AX263" s="102" t="str">
        <f aca="false">IF(ISBLANK($C263),"",IF($AF263&lt;&gt;Constants!$B$7,"",IF(AN263=1,AH263,AK263)))</f>
        <v/>
      </c>
      <c r="AY263" s="103" t="str">
        <f aca="false">IF(ISBLANK($C263),"",IF($AF263&lt;&gt;Constants!$B$7,"",IF(AN263=1,AI263,AL263)))</f>
        <v/>
      </c>
      <c r="AZ263" s="104" t="str">
        <f aca="false">IF(ISBLANK($C263),"",IF($AF263&lt;&gt;Constants!$B$7,$AF263,AP263))</f>
        <v/>
      </c>
      <c r="BA263" s="105" t="str">
        <f aca="false">IF(ISBLANK($C263),"",IF($AF263&lt;&gt;Constants!$B$7,$AF263,AG263))</f>
        <v/>
      </c>
      <c r="BB263" s="106" t="str">
        <f aca="false">IF(ISBLANK($C263),"",AU263)</f>
        <v/>
      </c>
      <c r="BC263" s="106" t="str">
        <f aca="false">IF(ISBLANK($C263),"",AT263)</f>
        <v/>
      </c>
      <c r="BD263" s="107" t="str">
        <f aca="false">IF(ISBLANK($C263),"",IFERROR(_xlfn.SWITCH(BC263,Constants!$B$4,COUNTA($C$8:$C$507)+2,Constants!$B$5,COUNTA($C$8:$C$507)+1,Constants!$B$6,COUNTA($C$8:$C$507)),BC263))</f>
        <v/>
      </c>
      <c r="BE263" s="5"/>
      <c r="BF263" s="108" t="n">
        <f aca="false">IF(OR(ISNUMBER(BC263),BC263=Constants!$B$4,BC263=Constants!$B$6,BC263=Constants!$B$5),1,0)</f>
        <v>0</v>
      </c>
      <c r="BG263" s="108" t="n">
        <v>256</v>
      </c>
      <c r="BH263" s="108" t="str">
        <f aca="false">IF(ISBLANK($C263),"",IF(ISNUMBER(BD263),BD263+ROW($B263)/1000,""))</f>
        <v/>
      </c>
      <c r="BI263" s="108" t="str">
        <f aca="false">IF(ISNUMBER(BH263),RANK(BH263,$BH$8:$BH$507,1),"")</f>
        <v/>
      </c>
      <c r="BJ263" s="108" t="str">
        <f aca="false">IF(ISBLANK($C263),"",$B263)</f>
        <v/>
      </c>
      <c r="BK263" s="108" t="str">
        <f aca="false">IF(ISBLANK($C263),"",$C263)</f>
        <v/>
      </c>
      <c r="BL263" s="108" t="str">
        <f aca="false">IF(ISBLANK($C263),"",$D263)</f>
        <v/>
      </c>
      <c r="BM263" s="109" t="str">
        <f aca="false">BA263</f>
        <v/>
      </c>
      <c r="BN263" s="110" t="str">
        <f aca="false">AZ263</f>
        <v/>
      </c>
      <c r="BO263" s="108" t="str">
        <f aca="false">IF(ISBLANK($C263),"",BC263)</f>
        <v/>
      </c>
      <c r="BP263" s="111" t="str">
        <f aca="false">IF($BG263&gt;$BF$7,"",VLOOKUP($BG263,$BI$8:$BO$507,7,FALSE()))</f>
        <v/>
      </c>
      <c r="BQ263" s="112" t="str">
        <f aca="false">IF($BG263&gt;$BF$7,"",VLOOKUP($BG263,$BI$8:$BO$507,2,FALSE()))</f>
        <v/>
      </c>
      <c r="BR263" s="112" t="str">
        <f aca="false">IF($BG263&gt;$BF$7,"",VLOOKUP($BG263,$BI$8:$BO$507,3,FALSE()))</f>
        <v/>
      </c>
      <c r="BS263" s="112" t="str">
        <f aca="false">IF($BG263&gt;$BF$7,"",VLOOKUP($BG263,$BI$8:$BO$507,4,FALSE()))</f>
        <v/>
      </c>
      <c r="BT263" s="112" t="str">
        <f aca="false">IF($BG263&gt;$BF$7,"",VLOOKUP($BG263,$BI$8:$BO$507,5,FALSE()))</f>
        <v/>
      </c>
      <c r="BU263" s="113" t="str">
        <f aca="false">IF($BG263&gt;$BF$7,"",VLOOKUP($BG263,$BI$8:$BO$507,6,FALSE()))</f>
        <v/>
      </c>
      <c r="BV263" s="54"/>
    </row>
    <row r="264" customFormat="false" ht="15.75" hidden="false" customHeight="false" outlineLevel="0" collapsed="false">
      <c r="A264" s="5"/>
      <c r="B264" s="128"/>
      <c r="C264" s="129"/>
      <c r="D264" s="114"/>
      <c r="E264" s="134"/>
      <c r="F264" s="139"/>
      <c r="G264" s="93"/>
      <c r="H264" s="140"/>
      <c r="I264" s="95"/>
      <c r="J264" s="95"/>
      <c r="K264" s="93"/>
      <c r="L264" s="141"/>
      <c r="M264" s="95"/>
      <c r="N264" s="95"/>
      <c r="O264" s="93"/>
      <c r="P264" s="134"/>
      <c r="Q264" s="98"/>
      <c r="R264" s="99" t="str">
        <f aca="false">IF(ISBLANK($C264),"",IF(E264=Constants!$B$2, TRUE(), IF(E264=Constants!$B$3, FALSE(), TRUE())))</f>
        <v/>
      </c>
      <c r="S264" s="99" t="str">
        <f aca="false">IF(ISBLANK($C264),"",IF(F264=Constants!$B$2, TRUE(), IF(F264=Constants!$B$3, FALSE(), TRUE())))</f>
        <v/>
      </c>
      <c r="T264" s="99" t="str">
        <f aca="false">IF(ISBLANK($C264),"",IF(G264=Constants!$B$16,Constants!$B$9,IF(G264=Constants!$B$17,Constants!$B$10,Constants!$B$8)))</f>
        <v/>
      </c>
      <c r="U264" s="99" t="str">
        <f aca="false">IF(ISBLANK($C264),"",IF(H264=Constants!$B$19,Constants!$B$19,Constants!$B$18))</f>
        <v/>
      </c>
      <c r="V264" s="99" t="str">
        <f aca="false">IF(ISBLANK($C264),"",IF(ISNUMBER(I264),IF(I264&gt;=0,I264,""),""))</f>
        <v/>
      </c>
      <c r="W264" s="99" t="str">
        <f aca="false">IF(ISBLANK($C264),"",IF(J264=Constants!$B$2, TRUE(), IF(J264=Constants!$B$3, FALSE(), TRUE())))</f>
        <v/>
      </c>
      <c r="X264" s="99" t="str">
        <f aca="false">IF(ISBLANK($C264),"",IF(K264=Constants!$B$2, TRUE(), IF(K264=Constants!$B$3, FALSE(), TRUE())))</f>
        <v/>
      </c>
      <c r="Y264" s="99" t="str">
        <f aca="false">IF(ISBLANK($C264),"",IF(L264=Constants!$B$19,Constants!$B$19,Constants!$B$18))</f>
        <v/>
      </c>
      <c r="Z264" s="99" t="str">
        <f aca="false">IF(ISBLANK($C264),"",IF(ISNUMBER(M264),IF(M264&gt;=0,M264,""),""))</f>
        <v/>
      </c>
      <c r="AA264" s="99" t="str">
        <f aca="false">IF(ISBLANK($C264),"",IF(N264=Constants!$B$2, TRUE(), IF(N264=Constants!$B$3, FALSE(), TRUE())))</f>
        <v/>
      </c>
      <c r="AB264" s="99" t="str">
        <f aca="false">IF(ISBLANK($C264),"",IF(O264=Constants!$B$2, TRUE(), IF(O264=Constants!$B$3, FALSE(), TRUE())))</f>
        <v/>
      </c>
      <c r="AC264" s="99" t="str">
        <f aca="false">IF(ISBLANK($C264),"",IF(P264=Constants!$B$2, TRUE(), IF(P264=Constants!$B$3, FALSE(), FALSE())))</f>
        <v/>
      </c>
      <c r="AD264" s="99" t="str">
        <f aca="false">IF(ISBLANK($C264),"",AND(V264&lt;&gt;"",IF(U264=Constants!$B$19,S264,R264)))</f>
        <v/>
      </c>
      <c r="AE264" s="99" t="str">
        <f aca="false">IF(ISBLANK($C264),"",AND(Z264&lt;&gt;"",IF(Y264=Constants!$B$19,S264,R264)))</f>
        <v/>
      </c>
      <c r="AF264" s="99" t="str">
        <f aca="false">IF(ISBLANK($C264),"",IF(AC264,Constants!$B$4,IF(COUNTA(E264:O264)=0,Constants!$B$5,IF(AND(NOT(AD264),NOT(AE264)),Constants!$B$6,Constants!$B$7))))</f>
        <v/>
      </c>
      <c r="AG264" s="99" t="str">
        <f aca="false">IF(ISBLANK($C264),"",IF($AF264&lt;&gt;Constants!$B$7,$AF264,Constants!$B$20))</f>
        <v/>
      </c>
      <c r="AH264" s="99" t="str">
        <f aca="false">IF($AF264=Constants!$B$7,IF(AD264,V264,Constants!$B$13),"")</f>
        <v/>
      </c>
      <c r="AI264" s="99" t="str">
        <f aca="false">IF($AF264=Constants!$B$7,IF(AD264,T264*IF(W264, 1, Constants!$B$11)*IF(X264, 1, Constants!$B$12),Constants!$B$13),"")</f>
        <v/>
      </c>
      <c r="AJ264" s="99" t="str">
        <f aca="false">IF($AF264=Constants!$B$7,AH264*AI264,"")</f>
        <v/>
      </c>
      <c r="AK264" s="99" t="str">
        <f aca="false">IF($AF264=Constants!$B$7,IF(AE264,Z264,Constants!$B$13),"")</f>
        <v/>
      </c>
      <c r="AL264" s="99" t="str">
        <f aca="false">IF($AF264=Constants!$B$7,IF(AE264,T264*IF(AA264, 1, Constants!$B$11)*IF(AB264, 1, Constants!$B$12),Constants!$B$13),"")</f>
        <v/>
      </c>
      <c r="AM264" s="99" t="str">
        <f aca="false">IF($AF264=Constants!$B$7,AK264*AL264,"")</f>
        <v/>
      </c>
      <c r="AN264" s="99" t="str">
        <f aca="false">IF($AF264=Constants!$B$7,IF(AM264&gt;AJ264,2,1),"")</f>
        <v/>
      </c>
      <c r="AO264" s="99" t="str">
        <f aca="false">IF($AF264=Constants!$B$7,IF(AN264=1,2,1),"")</f>
        <v/>
      </c>
      <c r="AP264" s="99" t="str">
        <f aca="false">IF(ISBLANK($C264),"",IF($AF264&lt;&gt;Constants!$B$7,$AF264,IF(AN264=1,AJ264,AM264)))</f>
        <v/>
      </c>
      <c r="AQ264" s="99" t="str">
        <f aca="false">IF(ISBLANK($C264),"",IF($AF264=Constants!$B$7,IF(ISNUMBER(AP264),RANK(AP264,$AP$8:$AP$507),Constants!$B$14),$AF264))</f>
        <v/>
      </c>
      <c r="AR264" s="99" t="str">
        <f aca="false">IF(ISBLANK($C264),"",IF($AF264=Constants!$B$7,IF(AO264=1,AJ264,AM264),""))</f>
        <v/>
      </c>
      <c r="AS264" s="99" t="str">
        <f aca="false">IF(ISBLANK($C264),"",IF($AF264=Constants!$B$7,RANK(AR264,$AR$8:$AR$507),$AF264))</f>
        <v/>
      </c>
      <c r="AT264" s="99" t="str">
        <f aca="false">IF(ISBLANK($C264),"",IF($AF264=Constants!$B$7,IF(ISNUMBER(AQ264),COUNTIFS($AQ$8:$AQ$507,"&lt;"&amp;$AQ264)+COUNTIFS($AQ$8:$AQ$507,$AQ264,$AS$8:$AS$507,"&lt;"&amp;$AS264)+1,Constants!$B$14),$AF264))</f>
        <v/>
      </c>
      <c r="AU264" s="99" t="str">
        <f aca="false">IF(ISBLANK($C264),"",IF($AF264=Constants!$B$7,IF(ISNUMBER(AQ264),AQ264-AT264,Constants!$B$14),$AF264))</f>
        <v/>
      </c>
      <c r="AV264" s="100"/>
      <c r="AW264" s="101" t="str">
        <f aca="false">IF(ISBLANK($C264),"",IF($AF264&lt;&gt;Constants!$B$7,"",AN264))</f>
        <v/>
      </c>
      <c r="AX264" s="102" t="str">
        <f aca="false">IF(ISBLANK($C264),"",IF($AF264&lt;&gt;Constants!$B$7,"",IF(AN264=1,AH264,AK264)))</f>
        <v/>
      </c>
      <c r="AY264" s="103" t="str">
        <f aca="false">IF(ISBLANK($C264),"",IF($AF264&lt;&gt;Constants!$B$7,"",IF(AN264=1,AI264,AL264)))</f>
        <v/>
      </c>
      <c r="AZ264" s="104" t="str">
        <f aca="false">IF(ISBLANK($C264),"",IF($AF264&lt;&gt;Constants!$B$7,$AF264,AP264))</f>
        <v/>
      </c>
      <c r="BA264" s="105" t="str">
        <f aca="false">IF(ISBLANK($C264),"",IF($AF264&lt;&gt;Constants!$B$7,$AF264,AG264))</f>
        <v/>
      </c>
      <c r="BB264" s="106" t="str">
        <f aca="false">IF(ISBLANK($C264),"",AU264)</f>
        <v/>
      </c>
      <c r="BC264" s="106" t="str">
        <f aca="false">IF(ISBLANK($C264),"",AT264)</f>
        <v/>
      </c>
      <c r="BD264" s="107" t="str">
        <f aca="false">IF(ISBLANK($C264),"",IFERROR(_xlfn.SWITCH(BC264,Constants!$B$4,COUNTA($C$8:$C$507)+2,Constants!$B$5,COUNTA($C$8:$C$507)+1,Constants!$B$6,COUNTA($C$8:$C$507)),BC264))</f>
        <v/>
      </c>
      <c r="BE264" s="5"/>
      <c r="BF264" s="108" t="n">
        <f aca="false">IF(OR(ISNUMBER(BC264),BC264=Constants!$B$4,BC264=Constants!$B$6,BC264=Constants!$B$5),1,0)</f>
        <v>0</v>
      </c>
      <c r="BG264" s="108" t="n">
        <v>257</v>
      </c>
      <c r="BH264" s="108" t="str">
        <f aca="false">IF(ISBLANK($C264),"",IF(ISNUMBER(BD264),BD264+ROW($B264)/1000,""))</f>
        <v/>
      </c>
      <c r="BI264" s="108" t="str">
        <f aca="false">IF(ISNUMBER(BH264),RANK(BH264,$BH$8:$BH$507,1),"")</f>
        <v/>
      </c>
      <c r="BJ264" s="108" t="str">
        <f aca="false">IF(ISBLANK($C264),"",$B264)</f>
        <v/>
      </c>
      <c r="BK264" s="108" t="str">
        <f aca="false">IF(ISBLANK($C264),"",$C264)</f>
        <v/>
      </c>
      <c r="BL264" s="108" t="str">
        <f aca="false">IF(ISBLANK($C264),"",$D264)</f>
        <v/>
      </c>
      <c r="BM264" s="109" t="str">
        <f aca="false">BA264</f>
        <v/>
      </c>
      <c r="BN264" s="110" t="str">
        <f aca="false">AZ264</f>
        <v/>
      </c>
      <c r="BO264" s="108" t="str">
        <f aca="false">IF(ISBLANK($C264),"",BC264)</f>
        <v/>
      </c>
      <c r="BP264" s="111" t="str">
        <f aca="false">IF($BG264&gt;$BF$7,"",VLOOKUP($BG264,$BI$8:$BO$507,7,FALSE()))</f>
        <v/>
      </c>
      <c r="BQ264" s="112" t="str">
        <f aca="false">IF($BG264&gt;$BF$7,"",VLOOKUP($BG264,$BI$8:$BO$507,2,FALSE()))</f>
        <v/>
      </c>
      <c r="BR264" s="112" t="str">
        <f aca="false">IF($BG264&gt;$BF$7,"",VLOOKUP($BG264,$BI$8:$BO$507,3,FALSE()))</f>
        <v/>
      </c>
      <c r="BS264" s="112" t="str">
        <f aca="false">IF($BG264&gt;$BF$7,"",VLOOKUP($BG264,$BI$8:$BO$507,4,FALSE()))</f>
        <v/>
      </c>
      <c r="BT264" s="112" t="str">
        <f aca="false">IF($BG264&gt;$BF$7,"",VLOOKUP($BG264,$BI$8:$BO$507,5,FALSE()))</f>
        <v/>
      </c>
      <c r="BU264" s="113" t="str">
        <f aca="false">IF($BG264&gt;$BF$7,"",VLOOKUP($BG264,$BI$8:$BO$507,6,FALSE()))</f>
        <v/>
      </c>
      <c r="BV264" s="54"/>
    </row>
    <row r="265" customFormat="false" ht="15.75" hidden="false" customHeight="false" outlineLevel="0" collapsed="false">
      <c r="A265" s="5"/>
      <c r="B265" s="128"/>
      <c r="C265" s="129"/>
      <c r="D265" s="114"/>
      <c r="E265" s="134"/>
      <c r="F265" s="139"/>
      <c r="G265" s="93"/>
      <c r="H265" s="140"/>
      <c r="I265" s="95"/>
      <c r="J265" s="95"/>
      <c r="K265" s="93"/>
      <c r="L265" s="141"/>
      <c r="M265" s="95"/>
      <c r="N265" s="95"/>
      <c r="O265" s="93"/>
      <c r="P265" s="134"/>
      <c r="Q265" s="98"/>
      <c r="R265" s="99" t="str">
        <f aca="false">IF(ISBLANK($C265),"",IF(E265=Constants!$B$2, TRUE(), IF(E265=Constants!$B$3, FALSE(), TRUE())))</f>
        <v/>
      </c>
      <c r="S265" s="99" t="str">
        <f aca="false">IF(ISBLANK($C265),"",IF(F265=Constants!$B$2, TRUE(), IF(F265=Constants!$B$3, FALSE(), TRUE())))</f>
        <v/>
      </c>
      <c r="T265" s="99" t="str">
        <f aca="false">IF(ISBLANK($C265),"",IF(G265=Constants!$B$16,Constants!$B$9,IF(G265=Constants!$B$17,Constants!$B$10,Constants!$B$8)))</f>
        <v/>
      </c>
      <c r="U265" s="99" t="str">
        <f aca="false">IF(ISBLANK($C265),"",IF(H265=Constants!$B$19,Constants!$B$19,Constants!$B$18))</f>
        <v/>
      </c>
      <c r="V265" s="99" t="str">
        <f aca="false">IF(ISBLANK($C265),"",IF(ISNUMBER(I265),IF(I265&gt;=0,I265,""),""))</f>
        <v/>
      </c>
      <c r="W265" s="99" t="str">
        <f aca="false">IF(ISBLANK($C265),"",IF(J265=Constants!$B$2, TRUE(), IF(J265=Constants!$B$3, FALSE(), TRUE())))</f>
        <v/>
      </c>
      <c r="X265" s="99" t="str">
        <f aca="false">IF(ISBLANK($C265),"",IF(K265=Constants!$B$2, TRUE(), IF(K265=Constants!$B$3, FALSE(), TRUE())))</f>
        <v/>
      </c>
      <c r="Y265" s="99" t="str">
        <f aca="false">IF(ISBLANK($C265),"",IF(L265=Constants!$B$19,Constants!$B$19,Constants!$B$18))</f>
        <v/>
      </c>
      <c r="Z265" s="99" t="str">
        <f aca="false">IF(ISBLANK($C265),"",IF(ISNUMBER(M265),IF(M265&gt;=0,M265,""),""))</f>
        <v/>
      </c>
      <c r="AA265" s="99" t="str">
        <f aca="false">IF(ISBLANK($C265),"",IF(N265=Constants!$B$2, TRUE(), IF(N265=Constants!$B$3, FALSE(), TRUE())))</f>
        <v/>
      </c>
      <c r="AB265" s="99" t="str">
        <f aca="false">IF(ISBLANK($C265),"",IF(O265=Constants!$B$2, TRUE(), IF(O265=Constants!$B$3, FALSE(), TRUE())))</f>
        <v/>
      </c>
      <c r="AC265" s="99" t="str">
        <f aca="false">IF(ISBLANK($C265),"",IF(P265=Constants!$B$2, TRUE(), IF(P265=Constants!$B$3, FALSE(), FALSE())))</f>
        <v/>
      </c>
      <c r="AD265" s="99" t="str">
        <f aca="false">IF(ISBLANK($C265),"",AND(V265&lt;&gt;"",IF(U265=Constants!$B$19,S265,R265)))</f>
        <v/>
      </c>
      <c r="AE265" s="99" t="str">
        <f aca="false">IF(ISBLANK($C265),"",AND(Z265&lt;&gt;"",IF(Y265=Constants!$B$19,S265,R265)))</f>
        <v/>
      </c>
      <c r="AF265" s="99" t="str">
        <f aca="false">IF(ISBLANK($C265),"",IF(AC265,Constants!$B$4,IF(COUNTA(E265:O265)=0,Constants!$B$5,IF(AND(NOT(AD265),NOT(AE265)),Constants!$B$6,Constants!$B$7))))</f>
        <v/>
      </c>
      <c r="AG265" s="99" t="str">
        <f aca="false">IF(ISBLANK($C265),"",IF($AF265&lt;&gt;Constants!$B$7,$AF265,Constants!$B$20))</f>
        <v/>
      </c>
      <c r="AH265" s="99" t="str">
        <f aca="false">IF($AF265=Constants!$B$7,IF(AD265,V265,Constants!$B$13),"")</f>
        <v/>
      </c>
      <c r="AI265" s="99" t="str">
        <f aca="false">IF($AF265=Constants!$B$7,IF(AD265,T265*IF(W265, 1, Constants!$B$11)*IF(X265, 1, Constants!$B$12),Constants!$B$13),"")</f>
        <v/>
      </c>
      <c r="AJ265" s="99" t="str">
        <f aca="false">IF($AF265=Constants!$B$7,AH265*AI265,"")</f>
        <v/>
      </c>
      <c r="AK265" s="99" t="str">
        <f aca="false">IF($AF265=Constants!$B$7,IF(AE265,Z265,Constants!$B$13),"")</f>
        <v/>
      </c>
      <c r="AL265" s="99" t="str">
        <f aca="false">IF($AF265=Constants!$B$7,IF(AE265,T265*IF(AA265, 1, Constants!$B$11)*IF(AB265, 1, Constants!$B$12),Constants!$B$13),"")</f>
        <v/>
      </c>
      <c r="AM265" s="99" t="str">
        <f aca="false">IF($AF265=Constants!$B$7,AK265*AL265,"")</f>
        <v/>
      </c>
      <c r="AN265" s="99" t="str">
        <f aca="false">IF($AF265=Constants!$B$7,IF(AM265&gt;AJ265,2,1),"")</f>
        <v/>
      </c>
      <c r="AO265" s="99" t="str">
        <f aca="false">IF($AF265=Constants!$B$7,IF(AN265=1,2,1),"")</f>
        <v/>
      </c>
      <c r="AP265" s="99" t="str">
        <f aca="false">IF(ISBLANK($C265),"",IF($AF265&lt;&gt;Constants!$B$7,$AF265,IF(AN265=1,AJ265,AM265)))</f>
        <v/>
      </c>
      <c r="AQ265" s="99" t="str">
        <f aca="false">IF(ISBLANK($C265),"",IF($AF265=Constants!$B$7,IF(ISNUMBER(AP265),RANK(AP265,$AP$8:$AP$507),Constants!$B$14),$AF265))</f>
        <v/>
      </c>
      <c r="AR265" s="99" t="str">
        <f aca="false">IF(ISBLANK($C265),"",IF($AF265=Constants!$B$7,IF(AO265=1,AJ265,AM265),""))</f>
        <v/>
      </c>
      <c r="AS265" s="99" t="str">
        <f aca="false">IF(ISBLANK($C265),"",IF($AF265=Constants!$B$7,RANK(AR265,$AR$8:$AR$507),$AF265))</f>
        <v/>
      </c>
      <c r="AT265" s="99" t="str">
        <f aca="false">IF(ISBLANK($C265),"",IF($AF265=Constants!$B$7,IF(ISNUMBER(AQ265),COUNTIFS($AQ$8:$AQ$507,"&lt;"&amp;$AQ265)+COUNTIFS($AQ$8:$AQ$507,$AQ265,$AS$8:$AS$507,"&lt;"&amp;$AS265)+1,Constants!$B$14),$AF265))</f>
        <v/>
      </c>
      <c r="AU265" s="99" t="str">
        <f aca="false">IF(ISBLANK($C265),"",IF($AF265=Constants!$B$7,IF(ISNUMBER(AQ265),AQ265-AT265,Constants!$B$14),$AF265))</f>
        <v/>
      </c>
      <c r="AV265" s="100"/>
      <c r="AW265" s="101" t="str">
        <f aca="false">IF(ISBLANK($C265),"",IF($AF265&lt;&gt;Constants!$B$7,"",AN265))</f>
        <v/>
      </c>
      <c r="AX265" s="102" t="str">
        <f aca="false">IF(ISBLANK($C265),"",IF($AF265&lt;&gt;Constants!$B$7,"",IF(AN265=1,AH265,AK265)))</f>
        <v/>
      </c>
      <c r="AY265" s="103" t="str">
        <f aca="false">IF(ISBLANK($C265),"",IF($AF265&lt;&gt;Constants!$B$7,"",IF(AN265=1,AI265,AL265)))</f>
        <v/>
      </c>
      <c r="AZ265" s="104" t="str">
        <f aca="false">IF(ISBLANK($C265),"",IF($AF265&lt;&gt;Constants!$B$7,$AF265,AP265))</f>
        <v/>
      </c>
      <c r="BA265" s="105" t="str">
        <f aca="false">IF(ISBLANK($C265),"",IF($AF265&lt;&gt;Constants!$B$7,$AF265,AG265))</f>
        <v/>
      </c>
      <c r="BB265" s="106" t="str">
        <f aca="false">IF(ISBLANK($C265),"",AU265)</f>
        <v/>
      </c>
      <c r="BC265" s="106" t="str">
        <f aca="false">IF(ISBLANK($C265),"",AT265)</f>
        <v/>
      </c>
      <c r="BD265" s="107" t="str">
        <f aca="false">IF(ISBLANK($C265),"",IFERROR(_xlfn.SWITCH(BC265,Constants!$B$4,COUNTA($C$8:$C$507)+2,Constants!$B$5,COUNTA($C$8:$C$507)+1,Constants!$B$6,COUNTA($C$8:$C$507)),BC265))</f>
        <v/>
      </c>
      <c r="BE265" s="5"/>
      <c r="BF265" s="108" t="n">
        <f aca="false">IF(OR(ISNUMBER(BC265),BC265=Constants!$B$4,BC265=Constants!$B$6,BC265=Constants!$B$5),1,0)</f>
        <v>0</v>
      </c>
      <c r="BG265" s="108" t="n">
        <v>258</v>
      </c>
      <c r="BH265" s="108" t="str">
        <f aca="false">IF(ISBLANK($C265),"",IF(ISNUMBER(BD265),BD265+ROW($B265)/1000,""))</f>
        <v/>
      </c>
      <c r="BI265" s="108" t="str">
        <f aca="false">IF(ISNUMBER(BH265),RANK(BH265,$BH$8:$BH$507,1),"")</f>
        <v/>
      </c>
      <c r="BJ265" s="108" t="str">
        <f aca="false">IF(ISBLANK($C265),"",$B265)</f>
        <v/>
      </c>
      <c r="BK265" s="108" t="str">
        <f aca="false">IF(ISBLANK($C265),"",$C265)</f>
        <v/>
      </c>
      <c r="BL265" s="108" t="str">
        <f aca="false">IF(ISBLANK($C265),"",$D265)</f>
        <v/>
      </c>
      <c r="BM265" s="109" t="str">
        <f aca="false">BA265</f>
        <v/>
      </c>
      <c r="BN265" s="110" t="str">
        <f aca="false">AZ265</f>
        <v/>
      </c>
      <c r="BO265" s="108" t="str">
        <f aca="false">IF(ISBLANK($C265),"",BC265)</f>
        <v/>
      </c>
      <c r="BP265" s="111" t="str">
        <f aca="false">IF($BG265&gt;$BF$7,"",VLOOKUP($BG265,$BI$8:$BO$507,7,FALSE()))</f>
        <v/>
      </c>
      <c r="BQ265" s="112" t="str">
        <f aca="false">IF($BG265&gt;$BF$7,"",VLOOKUP($BG265,$BI$8:$BO$507,2,FALSE()))</f>
        <v/>
      </c>
      <c r="BR265" s="112" t="str">
        <f aca="false">IF($BG265&gt;$BF$7,"",VLOOKUP($BG265,$BI$8:$BO$507,3,FALSE()))</f>
        <v/>
      </c>
      <c r="BS265" s="112" t="str">
        <f aca="false">IF($BG265&gt;$BF$7,"",VLOOKUP($BG265,$BI$8:$BO$507,4,FALSE()))</f>
        <v/>
      </c>
      <c r="BT265" s="112" t="str">
        <f aca="false">IF($BG265&gt;$BF$7,"",VLOOKUP($BG265,$BI$8:$BO$507,5,FALSE()))</f>
        <v/>
      </c>
      <c r="BU265" s="113" t="str">
        <f aca="false">IF($BG265&gt;$BF$7,"",VLOOKUP($BG265,$BI$8:$BO$507,6,FALSE()))</f>
        <v/>
      </c>
      <c r="BV265" s="54"/>
    </row>
    <row r="266" customFormat="false" ht="15.75" hidden="false" customHeight="false" outlineLevel="0" collapsed="false">
      <c r="A266" s="5"/>
      <c r="B266" s="135"/>
      <c r="C266" s="56"/>
      <c r="D266" s="57"/>
      <c r="E266" s="84"/>
      <c r="F266" s="136"/>
      <c r="G266" s="60"/>
      <c r="H266" s="137"/>
      <c r="I266" s="62"/>
      <c r="J266" s="62"/>
      <c r="K266" s="60"/>
      <c r="L266" s="138"/>
      <c r="M266" s="62"/>
      <c r="N266" s="62"/>
      <c r="O266" s="60"/>
      <c r="P266" s="84"/>
      <c r="Q266" s="65"/>
      <c r="R266" s="67" t="str">
        <f aca="false">IF(ISBLANK($C266),"",IF(E266=Constants!$B$2, TRUE(), IF(E266=Constants!$B$3, FALSE(), TRUE())))</f>
        <v/>
      </c>
      <c r="S266" s="67" t="str">
        <f aca="false">IF(ISBLANK($C266),"",IF(F266=Constants!$B$2, TRUE(), IF(F266=Constants!$B$3, FALSE(), TRUE())))</f>
        <v/>
      </c>
      <c r="T266" s="67" t="str">
        <f aca="false">IF(ISBLANK($C266),"",IF(G266=Constants!$B$16,Constants!$B$9,IF(G266=Constants!$B$17,Constants!$B$10,Constants!$B$8)))</f>
        <v/>
      </c>
      <c r="U266" s="67" t="str">
        <f aca="false">IF(ISBLANK($C266),"",IF(H266=Constants!$B$19,Constants!$B$19,Constants!$B$18))</f>
        <v/>
      </c>
      <c r="V266" s="67" t="str">
        <f aca="false">IF(ISBLANK($C266),"",IF(ISNUMBER(I266),IF(I266&gt;=0,I266,""),""))</f>
        <v/>
      </c>
      <c r="W266" s="67" t="str">
        <f aca="false">IF(ISBLANK($C266),"",IF(J266=Constants!$B$2, TRUE(), IF(J266=Constants!$B$3, FALSE(), TRUE())))</f>
        <v/>
      </c>
      <c r="X266" s="67" t="str">
        <f aca="false">IF(ISBLANK($C266),"",IF(K266=Constants!$B$2, TRUE(), IF(K266=Constants!$B$3, FALSE(), TRUE())))</f>
        <v/>
      </c>
      <c r="Y266" s="67" t="str">
        <f aca="false">IF(ISBLANK($C266),"",IF(L266=Constants!$B$19,Constants!$B$19,Constants!$B$18))</f>
        <v/>
      </c>
      <c r="Z266" s="67" t="str">
        <f aca="false">IF(ISBLANK($C266),"",IF(ISNUMBER(M266),IF(M266&gt;=0,M266,""),""))</f>
        <v/>
      </c>
      <c r="AA266" s="67" t="str">
        <f aca="false">IF(ISBLANK($C266),"",IF(N266=Constants!$B$2, TRUE(), IF(N266=Constants!$B$3, FALSE(), TRUE())))</f>
        <v/>
      </c>
      <c r="AB266" s="67" t="str">
        <f aca="false">IF(ISBLANK($C266),"",IF(O266=Constants!$B$2, TRUE(), IF(O266=Constants!$B$3, FALSE(), TRUE())))</f>
        <v/>
      </c>
      <c r="AC266" s="67" t="str">
        <f aca="false">IF(ISBLANK($C266),"",IF(P266=Constants!$B$2, TRUE(), IF(P266=Constants!$B$3, FALSE(), FALSE())))</f>
        <v/>
      </c>
      <c r="AD266" s="67" t="str">
        <f aca="false">IF(ISBLANK($C266),"",AND(V266&lt;&gt;"",IF(U266=Constants!$B$19,S266,R266)))</f>
        <v/>
      </c>
      <c r="AE266" s="67" t="str">
        <f aca="false">IF(ISBLANK($C266),"",AND(Z266&lt;&gt;"",IF(Y266=Constants!$B$19,S266,R266)))</f>
        <v/>
      </c>
      <c r="AF266" s="67" t="str">
        <f aca="false">IF(ISBLANK($C266),"",IF(AC266,Constants!$B$4,IF(COUNTA(E266:O266)=0,Constants!$B$5,IF(AND(NOT(AD266),NOT(AE266)),Constants!$B$6,Constants!$B$7))))</f>
        <v/>
      </c>
      <c r="AG266" s="67" t="str">
        <f aca="false">IF(ISBLANK($C266),"",IF($AF266&lt;&gt;Constants!$B$7,$AF266,Constants!$B$20))</f>
        <v/>
      </c>
      <c r="AH266" s="67" t="str">
        <f aca="false">IF($AF266=Constants!$B$7,IF(AD266,V266,Constants!$B$13),"")</f>
        <v/>
      </c>
      <c r="AI266" s="67" t="str">
        <f aca="false">IF($AF266=Constants!$B$7,IF(AD266,T266*IF(W266, 1, Constants!$B$11)*IF(X266, 1, Constants!$B$12),Constants!$B$13),"")</f>
        <v/>
      </c>
      <c r="AJ266" s="67" t="str">
        <f aca="false">IF($AF266=Constants!$B$7,AH266*AI266,"")</f>
        <v/>
      </c>
      <c r="AK266" s="67" t="str">
        <f aca="false">IF($AF266=Constants!$B$7,IF(AE266,Z266,Constants!$B$13),"")</f>
        <v/>
      </c>
      <c r="AL266" s="67" t="str">
        <f aca="false">IF($AF266=Constants!$B$7,IF(AE266,T266*IF(AA266, 1, Constants!$B$11)*IF(AB266, 1, Constants!$B$12),Constants!$B$13),"")</f>
        <v/>
      </c>
      <c r="AM266" s="67" t="str">
        <f aca="false">IF($AF266=Constants!$B$7,AK266*AL266,"")</f>
        <v/>
      </c>
      <c r="AN266" s="67" t="str">
        <f aca="false">IF($AF266=Constants!$B$7,IF(AM266&gt;AJ266,2,1),"")</f>
        <v/>
      </c>
      <c r="AO266" s="67" t="str">
        <f aca="false">IF($AF266=Constants!$B$7,IF(AN266=1,2,1),"")</f>
        <v/>
      </c>
      <c r="AP266" s="67" t="str">
        <f aca="false">IF(ISBLANK($C266),"",IF($AF266&lt;&gt;Constants!$B$7,$AF266,IF(AN266=1,AJ266,AM266)))</f>
        <v/>
      </c>
      <c r="AQ266" s="67" t="str">
        <f aca="false">IF(ISBLANK($C266),"",IF($AF266=Constants!$B$7,IF(ISNUMBER(AP266),RANK(AP266,$AP$8:$AP$507),Constants!$B$14),$AF266))</f>
        <v/>
      </c>
      <c r="AR266" s="67" t="str">
        <f aca="false">IF(ISBLANK($C266),"",IF($AF266=Constants!$B$7,IF(AO266=1,AJ266,AM266),""))</f>
        <v/>
      </c>
      <c r="AS266" s="67" t="str">
        <f aca="false">IF(ISBLANK($C266),"",IF($AF266=Constants!$B$7,RANK(AR266,$AR$8:$AR$507),$AF266))</f>
        <v/>
      </c>
      <c r="AT266" s="67" t="str">
        <f aca="false">IF(ISBLANK($C266),"",IF($AF266=Constants!$B$7,IF(ISNUMBER(AQ266),COUNTIFS($AQ$8:$AQ$507,"&lt;"&amp;$AQ266)+COUNTIFS($AQ$8:$AQ$507,$AQ266,$AS$8:$AS$507,"&lt;"&amp;$AS266)+1,Constants!$B$14),$AF266))</f>
        <v/>
      </c>
      <c r="AU266" s="67" t="str">
        <f aca="false">IF(ISBLANK($C266),"",IF($AF266=Constants!$B$7,IF(ISNUMBER(AQ266),AQ266-AT266,Constants!$B$14),$AF266))</f>
        <v/>
      </c>
      <c r="AV266" s="69"/>
      <c r="AW266" s="70" t="str">
        <f aca="false">IF(ISBLANK($C266),"",IF($AF266&lt;&gt;Constants!$B$7,"",AN266))</f>
        <v/>
      </c>
      <c r="AX266" s="85" t="str">
        <f aca="false">IF(ISBLANK($C266),"",IF($AF266&lt;&gt;Constants!$B$7,"",IF(AN266=1,AH266,AK266)))</f>
        <v/>
      </c>
      <c r="AY266" s="72" t="str">
        <f aca="false">IF(ISBLANK($C266),"",IF($AF266&lt;&gt;Constants!$B$7,"",IF(AN266=1,AI266,AL266)))</f>
        <v/>
      </c>
      <c r="AZ266" s="73" t="str">
        <f aca="false">IF(ISBLANK($C266),"",IF($AF266&lt;&gt;Constants!$B$7,$AF266,AP266))</f>
        <v/>
      </c>
      <c r="BA266" s="74" t="str">
        <f aca="false">IF(ISBLANK($C266),"",IF($AF266&lt;&gt;Constants!$B$7,$AF266,AG266))</f>
        <v/>
      </c>
      <c r="BB266" s="75" t="str">
        <f aca="false">IF(ISBLANK($C266),"",AU266)</f>
        <v/>
      </c>
      <c r="BC266" s="75" t="str">
        <f aca="false">IF(ISBLANK($C266),"",AT266)</f>
        <v/>
      </c>
      <c r="BD266" s="76" t="str">
        <f aca="false">IF(ISBLANK($C266),"",IFERROR(_xlfn.SWITCH(BC266,Constants!$B$4,COUNTA($C$8:$C$507)+2,Constants!$B$5,COUNTA($C$8:$C$507)+1,Constants!$B$6,COUNTA($C$8:$C$507)),BC266))</f>
        <v/>
      </c>
      <c r="BE266" s="5"/>
      <c r="BF266" s="77" t="n">
        <f aca="false">IF(OR(ISNUMBER(BC266),BC266=Constants!$B$4,BC266=Constants!$B$6,BC266=Constants!$B$5),1,0)</f>
        <v>0</v>
      </c>
      <c r="BG266" s="77" t="n">
        <v>259</v>
      </c>
      <c r="BH266" s="77" t="str">
        <f aca="false">IF(ISBLANK($C266),"",IF(ISNUMBER(BD266),BD266+ROW($B266)/1000,""))</f>
        <v/>
      </c>
      <c r="BI266" s="77" t="str">
        <f aca="false">IF(ISNUMBER(BH266),RANK(BH266,$BH$8:$BH$507,1),"")</f>
        <v/>
      </c>
      <c r="BJ266" s="77" t="str">
        <f aca="false">IF(ISBLANK($C266),"",$B266)</f>
        <v/>
      </c>
      <c r="BK266" s="77" t="str">
        <f aca="false">IF(ISBLANK($C266),"",$C266)</f>
        <v/>
      </c>
      <c r="BL266" s="77" t="str">
        <f aca="false">IF(ISBLANK($C266),"",$D266)</f>
        <v/>
      </c>
      <c r="BM266" s="78" t="str">
        <f aca="false">BA266</f>
        <v/>
      </c>
      <c r="BN266" s="79" t="str">
        <f aca="false">AZ266</f>
        <v/>
      </c>
      <c r="BO266" s="77" t="str">
        <f aca="false">IF(ISBLANK($C266),"",BC266)</f>
        <v/>
      </c>
      <c r="BP266" s="80" t="str">
        <f aca="false">IF($BG266&gt;$BF$7,"",VLOOKUP($BG266,$BI$8:$BO$507,7,FALSE()))</f>
        <v/>
      </c>
      <c r="BQ266" s="81" t="str">
        <f aca="false">IF($BG266&gt;$BF$7,"",VLOOKUP($BG266,$BI$8:$BO$507,2,FALSE()))</f>
        <v/>
      </c>
      <c r="BR266" s="81" t="str">
        <f aca="false">IF($BG266&gt;$BF$7,"",VLOOKUP($BG266,$BI$8:$BO$507,3,FALSE()))</f>
        <v/>
      </c>
      <c r="BS266" s="81" t="str">
        <f aca="false">IF($BG266&gt;$BF$7,"",VLOOKUP($BG266,$BI$8:$BO$507,4,FALSE()))</f>
        <v/>
      </c>
      <c r="BT266" s="81" t="str">
        <f aca="false">IF($BG266&gt;$BF$7,"",VLOOKUP($BG266,$BI$8:$BO$507,5,FALSE()))</f>
        <v/>
      </c>
      <c r="BU266" s="82" t="str">
        <f aca="false">IF($BG266&gt;$BF$7,"",VLOOKUP($BG266,$BI$8:$BO$507,6,FALSE()))</f>
        <v/>
      </c>
      <c r="BV266" s="54"/>
    </row>
    <row r="267" customFormat="false" ht="15.75" hidden="false" customHeight="false" outlineLevel="0" collapsed="false">
      <c r="A267" s="5"/>
      <c r="B267" s="135"/>
      <c r="C267" s="56"/>
      <c r="D267" s="57"/>
      <c r="E267" s="84"/>
      <c r="F267" s="136"/>
      <c r="G267" s="60"/>
      <c r="H267" s="137"/>
      <c r="I267" s="62"/>
      <c r="J267" s="62"/>
      <c r="K267" s="60"/>
      <c r="L267" s="138"/>
      <c r="M267" s="62"/>
      <c r="N267" s="62"/>
      <c r="O267" s="60"/>
      <c r="P267" s="84"/>
      <c r="Q267" s="65"/>
      <c r="R267" s="67" t="str">
        <f aca="false">IF(ISBLANK($C267),"",IF(E267=Constants!$B$2, TRUE(), IF(E267=Constants!$B$3, FALSE(), TRUE())))</f>
        <v/>
      </c>
      <c r="S267" s="67" t="str">
        <f aca="false">IF(ISBLANK($C267),"",IF(F267=Constants!$B$2, TRUE(), IF(F267=Constants!$B$3, FALSE(), TRUE())))</f>
        <v/>
      </c>
      <c r="T267" s="67" t="str">
        <f aca="false">IF(ISBLANK($C267),"",IF(G267=Constants!$B$16,Constants!$B$9,IF(G267=Constants!$B$17,Constants!$B$10,Constants!$B$8)))</f>
        <v/>
      </c>
      <c r="U267" s="67" t="str">
        <f aca="false">IF(ISBLANK($C267),"",IF(H267=Constants!$B$19,Constants!$B$19,Constants!$B$18))</f>
        <v/>
      </c>
      <c r="V267" s="67" t="str">
        <f aca="false">IF(ISBLANK($C267),"",IF(ISNUMBER(I267),IF(I267&gt;=0,I267,""),""))</f>
        <v/>
      </c>
      <c r="W267" s="67" t="str">
        <f aca="false">IF(ISBLANK($C267),"",IF(J267=Constants!$B$2, TRUE(), IF(J267=Constants!$B$3, FALSE(), TRUE())))</f>
        <v/>
      </c>
      <c r="X267" s="67" t="str">
        <f aca="false">IF(ISBLANK($C267),"",IF(K267=Constants!$B$2, TRUE(), IF(K267=Constants!$B$3, FALSE(), TRUE())))</f>
        <v/>
      </c>
      <c r="Y267" s="67" t="str">
        <f aca="false">IF(ISBLANK($C267),"",IF(L267=Constants!$B$19,Constants!$B$19,Constants!$B$18))</f>
        <v/>
      </c>
      <c r="Z267" s="67" t="str">
        <f aca="false">IF(ISBLANK($C267),"",IF(ISNUMBER(M267),IF(M267&gt;=0,M267,""),""))</f>
        <v/>
      </c>
      <c r="AA267" s="67" t="str">
        <f aca="false">IF(ISBLANK($C267),"",IF(N267=Constants!$B$2, TRUE(), IF(N267=Constants!$B$3, FALSE(), TRUE())))</f>
        <v/>
      </c>
      <c r="AB267" s="67" t="str">
        <f aca="false">IF(ISBLANK($C267),"",IF(O267=Constants!$B$2, TRUE(), IF(O267=Constants!$B$3, FALSE(), TRUE())))</f>
        <v/>
      </c>
      <c r="AC267" s="67" t="str">
        <f aca="false">IF(ISBLANK($C267),"",IF(P267=Constants!$B$2, TRUE(), IF(P267=Constants!$B$3, FALSE(), FALSE())))</f>
        <v/>
      </c>
      <c r="AD267" s="67" t="str">
        <f aca="false">IF(ISBLANK($C267),"",AND(V267&lt;&gt;"",IF(U267=Constants!$B$19,S267,R267)))</f>
        <v/>
      </c>
      <c r="AE267" s="67" t="str">
        <f aca="false">IF(ISBLANK($C267),"",AND(Z267&lt;&gt;"",IF(Y267=Constants!$B$19,S267,R267)))</f>
        <v/>
      </c>
      <c r="AF267" s="67" t="str">
        <f aca="false">IF(ISBLANK($C267),"",IF(AC267,Constants!$B$4,IF(COUNTA(E267:O267)=0,Constants!$B$5,IF(AND(NOT(AD267),NOT(AE267)),Constants!$B$6,Constants!$B$7))))</f>
        <v/>
      </c>
      <c r="AG267" s="67" t="str">
        <f aca="false">IF(ISBLANK($C267),"",IF($AF267&lt;&gt;Constants!$B$7,$AF267,Constants!$B$20))</f>
        <v/>
      </c>
      <c r="AH267" s="67" t="str">
        <f aca="false">IF($AF267=Constants!$B$7,IF(AD267,V267,Constants!$B$13),"")</f>
        <v/>
      </c>
      <c r="AI267" s="67" t="str">
        <f aca="false">IF($AF267=Constants!$B$7,IF(AD267,T267*IF(W267, 1, Constants!$B$11)*IF(X267, 1, Constants!$B$12),Constants!$B$13),"")</f>
        <v/>
      </c>
      <c r="AJ267" s="67" t="str">
        <f aca="false">IF($AF267=Constants!$B$7,AH267*AI267,"")</f>
        <v/>
      </c>
      <c r="AK267" s="67" t="str">
        <f aca="false">IF($AF267=Constants!$B$7,IF(AE267,Z267,Constants!$B$13),"")</f>
        <v/>
      </c>
      <c r="AL267" s="67" t="str">
        <f aca="false">IF($AF267=Constants!$B$7,IF(AE267,T267*IF(AA267, 1, Constants!$B$11)*IF(AB267, 1, Constants!$B$12),Constants!$B$13),"")</f>
        <v/>
      </c>
      <c r="AM267" s="67" t="str">
        <f aca="false">IF($AF267=Constants!$B$7,AK267*AL267,"")</f>
        <v/>
      </c>
      <c r="AN267" s="67" t="str">
        <f aca="false">IF($AF267=Constants!$B$7,IF(AM267&gt;AJ267,2,1),"")</f>
        <v/>
      </c>
      <c r="AO267" s="67" t="str">
        <f aca="false">IF($AF267=Constants!$B$7,IF(AN267=1,2,1),"")</f>
        <v/>
      </c>
      <c r="AP267" s="67" t="str">
        <f aca="false">IF(ISBLANK($C267),"",IF($AF267&lt;&gt;Constants!$B$7,$AF267,IF(AN267=1,AJ267,AM267)))</f>
        <v/>
      </c>
      <c r="AQ267" s="67" t="str">
        <f aca="false">IF(ISBLANK($C267),"",IF($AF267=Constants!$B$7,IF(ISNUMBER(AP267),RANK(AP267,$AP$8:$AP$507),Constants!$B$14),$AF267))</f>
        <v/>
      </c>
      <c r="AR267" s="67" t="str">
        <f aca="false">IF(ISBLANK($C267),"",IF($AF267=Constants!$B$7,IF(AO267=1,AJ267,AM267),""))</f>
        <v/>
      </c>
      <c r="AS267" s="67" t="str">
        <f aca="false">IF(ISBLANK($C267),"",IF($AF267=Constants!$B$7,RANK(AR267,$AR$8:$AR$507),$AF267))</f>
        <v/>
      </c>
      <c r="AT267" s="67" t="str">
        <f aca="false">IF(ISBLANK($C267),"",IF($AF267=Constants!$B$7,IF(ISNUMBER(AQ267),COUNTIFS($AQ$8:$AQ$507,"&lt;"&amp;$AQ267)+COUNTIFS($AQ$8:$AQ$507,$AQ267,$AS$8:$AS$507,"&lt;"&amp;$AS267)+1,Constants!$B$14),$AF267))</f>
        <v/>
      </c>
      <c r="AU267" s="67" t="str">
        <f aca="false">IF(ISBLANK($C267),"",IF($AF267=Constants!$B$7,IF(ISNUMBER(AQ267),AQ267-AT267,Constants!$B$14),$AF267))</f>
        <v/>
      </c>
      <c r="AV267" s="69"/>
      <c r="AW267" s="70" t="str">
        <f aca="false">IF(ISBLANK($C267),"",IF($AF267&lt;&gt;Constants!$B$7,"",AN267))</f>
        <v/>
      </c>
      <c r="AX267" s="85" t="str">
        <f aca="false">IF(ISBLANK($C267),"",IF($AF267&lt;&gt;Constants!$B$7,"",IF(AN267=1,AH267,AK267)))</f>
        <v/>
      </c>
      <c r="AY267" s="72" t="str">
        <f aca="false">IF(ISBLANK($C267),"",IF($AF267&lt;&gt;Constants!$B$7,"",IF(AN267=1,AI267,AL267)))</f>
        <v/>
      </c>
      <c r="AZ267" s="73" t="str">
        <f aca="false">IF(ISBLANK($C267),"",IF($AF267&lt;&gt;Constants!$B$7,$AF267,AP267))</f>
        <v/>
      </c>
      <c r="BA267" s="74" t="str">
        <f aca="false">IF(ISBLANK($C267),"",IF($AF267&lt;&gt;Constants!$B$7,$AF267,AG267))</f>
        <v/>
      </c>
      <c r="BB267" s="75" t="str">
        <f aca="false">IF(ISBLANK($C267),"",AU267)</f>
        <v/>
      </c>
      <c r="BC267" s="75" t="str">
        <f aca="false">IF(ISBLANK($C267),"",AT267)</f>
        <v/>
      </c>
      <c r="BD267" s="76" t="str">
        <f aca="false">IF(ISBLANK($C267),"",IFERROR(_xlfn.SWITCH(BC267,Constants!$B$4,COUNTA($C$8:$C$507)+2,Constants!$B$5,COUNTA($C$8:$C$507)+1,Constants!$B$6,COUNTA($C$8:$C$507)),BC267))</f>
        <v/>
      </c>
      <c r="BE267" s="5"/>
      <c r="BF267" s="77" t="n">
        <f aca="false">IF(OR(ISNUMBER(BC267),BC267=Constants!$B$4,BC267=Constants!$B$6,BC267=Constants!$B$5),1,0)</f>
        <v>0</v>
      </c>
      <c r="BG267" s="77" t="n">
        <v>260</v>
      </c>
      <c r="BH267" s="77" t="str">
        <f aca="false">IF(ISBLANK($C267),"",IF(ISNUMBER(BD267),BD267+ROW($B267)/1000,""))</f>
        <v/>
      </c>
      <c r="BI267" s="77" t="str">
        <f aca="false">IF(ISNUMBER(BH267),RANK(BH267,$BH$8:$BH$507,1),"")</f>
        <v/>
      </c>
      <c r="BJ267" s="77" t="str">
        <f aca="false">IF(ISBLANK($C267),"",$B267)</f>
        <v/>
      </c>
      <c r="BK267" s="77" t="str">
        <f aca="false">IF(ISBLANK($C267),"",$C267)</f>
        <v/>
      </c>
      <c r="BL267" s="77" t="str">
        <f aca="false">IF(ISBLANK($C267),"",$D267)</f>
        <v/>
      </c>
      <c r="BM267" s="78" t="str">
        <f aca="false">BA267</f>
        <v/>
      </c>
      <c r="BN267" s="79" t="str">
        <f aca="false">AZ267</f>
        <v/>
      </c>
      <c r="BO267" s="77" t="str">
        <f aca="false">IF(ISBLANK($C267),"",BC267)</f>
        <v/>
      </c>
      <c r="BP267" s="80" t="str">
        <f aca="false">IF($BG267&gt;$BF$7,"",VLOOKUP($BG267,$BI$8:$BO$507,7,FALSE()))</f>
        <v/>
      </c>
      <c r="BQ267" s="81" t="str">
        <f aca="false">IF($BG267&gt;$BF$7,"",VLOOKUP($BG267,$BI$8:$BO$507,2,FALSE()))</f>
        <v/>
      </c>
      <c r="BR267" s="81" t="str">
        <f aca="false">IF($BG267&gt;$BF$7,"",VLOOKUP($BG267,$BI$8:$BO$507,3,FALSE()))</f>
        <v/>
      </c>
      <c r="BS267" s="81" t="str">
        <f aca="false">IF($BG267&gt;$BF$7,"",VLOOKUP($BG267,$BI$8:$BO$507,4,FALSE()))</f>
        <v/>
      </c>
      <c r="BT267" s="81" t="str">
        <f aca="false">IF($BG267&gt;$BF$7,"",VLOOKUP($BG267,$BI$8:$BO$507,5,FALSE()))</f>
        <v/>
      </c>
      <c r="BU267" s="82" t="str">
        <f aca="false">IF($BG267&gt;$BF$7,"",VLOOKUP($BG267,$BI$8:$BO$507,6,FALSE()))</f>
        <v/>
      </c>
      <c r="BV267" s="54"/>
    </row>
    <row r="268" customFormat="false" ht="15.75" hidden="false" customHeight="false" outlineLevel="0" collapsed="false">
      <c r="A268" s="5"/>
      <c r="B268" s="135"/>
      <c r="C268" s="56"/>
      <c r="D268" s="57"/>
      <c r="E268" s="84"/>
      <c r="F268" s="136"/>
      <c r="G268" s="60"/>
      <c r="H268" s="137"/>
      <c r="I268" s="62"/>
      <c r="J268" s="62"/>
      <c r="K268" s="60"/>
      <c r="L268" s="138"/>
      <c r="M268" s="62"/>
      <c r="N268" s="62"/>
      <c r="O268" s="60"/>
      <c r="P268" s="84"/>
      <c r="Q268" s="65"/>
      <c r="R268" s="67" t="str">
        <f aca="false">IF(ISBLANK($C268),"",IF(E268=Constants!$B$2, TRUE(), IF(E268=Constants!$B$3, FALSE(), TRUE())))</f>
        <v/>
      </c>
      <c r="S268" s="67" t="str">
        <f aca="false">IF(ISBLANK($C268),"",IF(F268=Constants!$B$2, TRUE(), IF(F268=Constants!$B$3, FALSE(), TRUE())))</f>
        <v/>
      </c>
      <c r="T268" s="67" t="str">
        <f aca="false">IF(ISBLANK($C268),"",IF(G268=Constants!$B$16,Constants!$B$9,IF(G268=Constants!$B$17,Constants!$B$10,Constants!$B$8)))</f>
        <v/>
      </c>
      <c r="U268" s="67" t="str">
        <f aca="false">IF(ISBLANK($C268),"",IF(H268=Constants!$B$19,Constants!$B$19,Constants!$B$18))</f>
        <v/>
      </c>
      <c r="V268" s="67" t="str">
        <f aca="false">IF(ISBLANK($C268),"",IF(ISNUMBER(I268),IF(I268&gt;=0,I268,""),""))</f>
        <v/>
      </c>
      <c r="W268" s="67" t="str">
        <f aca="false">IF(ISBLANK($C268),"",IF(J268=Constants!$B$2, TRUE(), IF(J268=Constants!$B$3, FALSE(), TRUE())))</f>
        <v/>
      </c>
      <c r="X268" s="67" t="str">
        <f aca="false">IF(ISBLANK($C268),"",IF(K268=Constants!$B$2, TRUE(), IF(K268=Constants!$B$3, FALSE(), TRUE())))</f>
        <v/>
      </c>
      <c r="Y268" s="67" t="str">
        <f aca="false">IF(ISBLANK($C268),"",IF(L268=Constants!$B$19,Constants!$B$19,Constants!$B$18))</f>
        <v/>
      </c>
      <c r="Z268" s="67" t="str">
        <f aca="false">IF(ISBLANK($C268),"",IF(ISNUMBER(M268),IF(M268&gt;=0,M268,""),""))</f>
        <v/>
      </c>
      <c r="AA268" s="67" t="str">
        <f aca="false">IF(ISBLANK($C268),"",IF(N268=Constants!$B$2, TRUE(), IF(N268=Constants!$B$3, FALSE(), TRUE())))</f>
        <v/>
      </c>
      <c r="AB268" s="67" t="str">
        <f aca="false">IF(ISBLANK($C268),"",IF(O268=Constants!$B$2, TRUE(), IF(O268=Constants!$B$3, FALSE(), TRUE())))</f>
        <v/>
      </c>
      <c r="AC268" s="67" t="str">
        <f aca="false">IF(ISBLANK($C268),"",IF(P268=Constants!$B$2, TRUE(), IF(P268=Constants!$B$3, FALSE(), FALSE())))</f>
        <v/>
      </c>
      <c r="AD268" s="67" t="str">
        <f aca="false">IF(ISBLANK($C268),"",AND(V268&lt;&gt;"",IF(U268=Constants!$B$19,S268,R268)))</f>
        <v/>
      </c>
      <c r="AE268" s="67" t="str">
        <f aca="false">IF(ISBLANK($C268),"",AND(Z268&lt;&gt;"",IF(Y268=Constants!$B$19,S268,R268)))</f>
        <v/>
      </c>
      <c r="AF268" s="67" t="str">
        <f aca="false">IF(ISBLANK($C268),"",IF(AC268,Constants!$B$4,IF(COUNTA(E268:O268)=0,Constants!$B$5,IF(AND(NOT(AD268),NOT(AE268)),Constants!$B$6,Constants!$B$7))))</f>
        <v/>
      </c>
      <c r="AG268" s="67" t="str">
        <f aca="false">IF(ISBLANK($C268),"",IF($AF268&lt;&gt;Constants!$B$7,$AF268,Constants!$B$20))</f>
        <v/>
      </c>
      <c r="AH268" s="67" t="str">
        <f aca="false">IF($AF268=Constants!$B$7,IF(AD268,V268,Constants!$B$13),"")</f>
        <v/>
      </c>
      <c r="AI268" s="67" t="str">
        <f aca="false">IF($AF268=Constants!$B$7,IF(AD268,T268*IF(W268, 1, Constants!$B$11)*IF(X268, 1, Constants!$B$12),Constants!$B$13),"")</f>
        <v/>
      </c>
      <c r="AJ268" s="67" t="str">
        <f aca="false">IF($AF268=Constants!$B$7,AH268*AI268,"")</f>
        <v/>
      </c>
      <c r="AK268" s="67" t="str">
        <f aca="false">IF($AF268=Constants!$B$7,IF(AE268,Z268,Constants!$B$13),"")</f>
        <v/>
      </c>
      <c r="AL268" s="67" t="str">
        <f aca="false">IF($AF268=Constants!$B$7,IF(AE268,T268*IF(AA268, 1, Constants!$B$11)*IF(AB268, 1, Constants!$B$12),Constants!$B$13),"")</f>
        <v/>
      </c>
      <c r="AM268" s="67" t="str">
        <f aca="false">IF($AF268=Constants!$B$7,AK268*AL268,"")</f>
        <v/>
      </c>
      <c r="AN268" s="67" t="str">
        <f aca="false">IF($AF268=Constants!$B$7,IF(AM268&gt;AJ268,2,1),"")</f>
        <v/>
      </c>
      <c r="AO268" s="67" t="str">
        <f aca="false">IF($AF268=Constants!$B$7,IF(AN268=1,2,1),"")</f>
        <v/>
      </c>
      <c r="AP268" s="67" t="str">
        <f aca="false">IF(ISBLANK($C268),"",IF($AF268&lt;&gt;Constants!$B$7,$AF268,IF(AN268=1,AJ268,AM268)))</f>
        <v/>
      </c>
      <c r="AQ268" s="67" t="str">
        <f aca="false">IF(ISBLANK($C268),"",IF($AF268=Constants!$B$7,IF(ISNUMBER(AP268),RANK(AP268,$AP$8:$AP$507),Constants!$B$14),$AF268))</f>
        <v/>
      </c>
      <c r="AR268" s="67" t="str">
        <f aca="false">IF(ISBLANK($C268),"",IF($AF268=Constants!$B$7,IF(AO268=1,AJ268,AM268),""))</f>
        <v/>
      </c>
      <c r="AS268" s="67" t="str">
        <f aca="false">IF(ISBLANK($C268),"",IF($AF268=Constants!$B$7,RANK(AR268,$AR$8:$AR$507),$AF268))</f>
        <v/>
      </c>
      <c r="AT268" s="67" t="str">
        <f aca="false">IF(ISBLANK($C268),"",IF($AF268=Constants!$B$7,IF(ISNUMBER(AQ268),COUNTIFS($AQ$8:$AQ$507,"&lt;"&amp;$AQ268)+COUNTIFS($AQ$8:$AQ$507,$AQ268,$AS$8:$AS$507,"&lt;"&amp;$AS268)+1,Constants!$B$14),$AF268))</f>
        <v/>
      </c>
      <c r="AU268" s="67" t="str">
        <f aca="false">IF(ISBLANK($C268),"",IF($AF268=Constants!$B$7,IF(ISNUMBER(AQ268),AQ268-AT268,Constants!$B$14),$AF268))</f>
        <v/>
      </c>
      <c r="AV268" s="69"/>
      <c r="AW268" s="70" t="str">
        <f aca="false">IF(ISBLANK($C268),"",IF($AF268&lt;&gt;Constants!$B$7,"",AN268))</f>
        <v/>
      </c>
      <c r="AX268" s="85" t="str">
        <f aca="false">IF(ISBLANK($C268),"",IF($AF268&lt;&gt;Constants!$B$7,"",IF(AN268=1,AH268,AK268)))</f>
        <v/>
      </c>
      <c r="AY268" s="72" t="str">
        <f aca="false">IF(ISBLANK($C268),"",IF($AF268&lt;&gt;Constants!$B$7,"",IF(AN268=1,AI268,AL268)))</f>
        <v/>
      </c>
      <c r="AZ268" s="73" t="str">
        <f aca="false">IF(ISBLANK($C268),"",IF($AF268&lt;&gt;Constants!$B$7,$AF268,AP268))</f>
        <v/>
      </c>
      <c r="BA268" s="74" t="str">
        <f aca="false">IF(ISBLANK($C268),"",IF($AF268&lt;&gt;Constants!$B$7,$AF268,AG268))</f>
        <v/>
      </c>
      <c r="BB268" s="75" t="str">
        <f aca="false">IF(ISBLANK($C268),"",AU268)</f>
        <v/>
      </c>
      <c r="BC268" s="75" t="str">
        <f aca="false">IF(ISBLANK($C268),"",AT268)</f>
        <v/>
      </c>
      <c r="BD268" s="76" t="str">
        <f aca="false">IF(ISBLANK($C268),"",IFERROR(_xlfn.SWITCH(BC268,Constants!$B$4,COUNTA($C$8:$C$507)+2,Constants!$B$5,COUNTA($C$8:$C$507)+1,Constants!$B$6,COUNTA($C$8:$C$507)),BC268))</f>
        <v/>
      </c>
      <c r="BE268" s="5"/>
      <c r="BF268" s="77" t="n">
        <f aca="false">IF(OR(ISNUMBER(BC268),BC268=Constants!$B$4,BC268=Constants!$B$6,BC268=Constants!$B$5),1,0)</f>
        <v>0</v>
      </c>
      <c r="BG268" s="77" t="n">
        <v>261</v>
      </c>
      <c r="BH268" s="77" t="str">
        <f aca="false">IF(ISBLANK($C268),"",IF(ISNUMBER(BD268),BD268+ROW($B268)/1000,""))</f>
        <v/>
      </c>
      <c r="BI268" s="77" t="str">
        <f aca="false">IF(ISNUMBER(BH268),RANK(BH268,$BH$8:$BH$507,1),"")</f>
        <v/>
      </c>
      <c r="BJ268" s="77" t="str">
        <f aca="false">IF(ISBLANK($C268),"",$B268)</f>
        <v/>
      </c>
      <c r="BK268" s="77" t="str">
        <f aca="false">IF(ISBLANK($C268),"",$C268)</f>
        <v/>
      </c>
      <c r="BL268" s="77" t="str">
        <f aca="false">IF(ISBLANK($C268),"",$D268)</f>
        <v/>
      </c>
      <c r="BM268" s="78" t="str">
        <f aca="false">BA268</f>
        <v/>
      </c>
      <c r="BN268" s="79" t="str">
        <f aca="false">AZ268</f>
        <v/>
      </c>
      <c r="BO268" s="77" t="str">
        <f aca="false">IF(ISBLANK($C268),"",BC268)</f>
        <v/>
      </c>
      <c r="BP268" s="80" t="str">
        <f aca="false">IF($BG268&gt;$BF$7,"",VLOOKUP($BG268,$BI$8:$BO$507,7,FALSE()))</f>
        <v/>
      </c>
      <c r="BQ268" s="81" t="str">
        <f aca="false">IF($BG268&gt;$BF$7,"",VLOOKUP($BG268,$BI$8:$BO$507,2,FALSE()))</f>
        <v/>
      </c>
      <c r="BR268" s="81" t="str">
        <f aca="false">IF($BG268&gt;$BF$7,"",VLOOKUP($BG268,$BI$8:$BO$507,3,FALSE()))</f>
        <v/>
      </c>
      <c r="BS268" s="81" t="str">
        <f aca="false">IF($BG268&gt;$BF$7,"",VLOOKUP($BG268,$BI$8:$BO$507,4,FALSE()))</f>
        <v/>
      </c>
      <c r="BT268" s="81" t="str">
        <f aca="false">IF($BG268&gt;$BF$7,"",VLOOKUP($BG268,$BI$8:$BO$507,5,FALSE()))</f>
        <v/>
      </c>
      <c r="BU268" s="82" t="str">
        <f aca="false">IF($BG268&gt;$BF$7,"",VLOOKUP($BG268,$BI$8:$BO$507,6,FALSE()))</f>
        <v/>
      </c>
      <c r="BV268" s="54"/>
    </row>
    <row r="269" customFormat="false" ht="15.75" hidden="false" customHeight="false" outlineLevel="0" collapsed="false">
      <c r="A269" s="5"/>
      <c r="B269" s="128"/>
      <c r="C269" s="129"/>
      <c r="D269" s="114"/>
      <c r="E269" s="134"/>
      <c r="F269" s="139"/>
      <c r="G269" s="93"/>
      <c r="H269" s="140"/>
      <c r="I269" s="95"/>
      <c r="J269" s="95"/>
      <c r="K269" s="93"/>
      <c r="L269" s="141"/>
      <c r="M269" s="95"/>
      <c r="N269" s="95"/>
      <c r="O269" s="93"/>
      <c r="P269" s="134"/>
      <c r="Q269" s="98"/>
      <c r="R269" s="99" t="str">
        <f aca="false">IF(ISBLANK($C269),"",IF(E269=Constants!$B$2, TRUE(), IF(E269=Constants!$B$3, FALSE(), TRUE())))</f>
        <v/>
      </c>
      <c r="S269" s="99" t="str">
        <f aca="false">IF(ISBLANK($C269),"",IF(F269=Constants!$B$2, TRUE(), IF(F269=Constants!$B$3, FALSE(), TRUE())))</f>
        <v/>
      </c>
      <c r="T269" s="99" t="str">
        <f aca="false">IF(ISBLANK($C269),"",IF(G269=Constants!$B$16,Constants!$B$9,IF(G269=Constants!$B$17,Constants!$B$10,Constants!$B$8)))</f>
        <v/>
      </c>
      <c r="U269" s="99" t="str">
        <f aca="false">IF(ISBLANK($C269),"",IF(H269=Constants!$B$19,Constants!$B$19,Constants!$B$18))</f>
        <v/>
      </c>
      <c r="V269" s="99" t="str">
        <f aca="false">IF(ISBLANK($C269),"",IF(ISNUMBER(I269),IF(I269&gt;=0,I269,""),""))</f>
        <v/>
      </c>
      <c r="W269" s="99" t="str">
        <f aca="false">IF(ISBLANK($C269),"",IF(J269=Constants!$B$2, TRUE(), IF(J269=Constants!$B$3, FALSE(), TRUE())))</f>
        <v/>
      </c>
      <c r="X269" s="99" t="str">
        <f aca="false">IF(ISBLANK($C269),"",IF(K269=Constants!$B$2, TRUE(), IF(K269=Constants!$B$3, FALSE(), TRUE())))</f>
        <v/>
      </c>
      <c r="Y269" s="99" t="str">
        <f aca="false">IF(ISBLANK($C269),"",IF(L269=Constants!$B$19,Constants!$B$19,Constants!$B$18))</f>
        <v/>
      </c>
      <c r="Z269" s="99" t="str">
        <f aca="false">IF(ISBLANK($C269),"",IF(ISNUMBER(M269),IF(M269&gt;=0,M269,""),""))</f>
        <v/>
      </c>
      <c r="AA269" s="99" t="str">
        <f aca="false">IF(ISBLANK($C269),"",IF(N269=Constants!$B$2, TRUE(), IF(N269=Constants!$B$3, FALSE(), TRUE())))</f>
        <v/>
      </c>
      <c r="AB269" s="99" t="str">
        <f aca="false">IF(ISBLANK($C269),"",IF(O269=Constants!$B$2, TRUE(), IF(O269=Constants!$B$3, FALSE(), TRUE())))</f>
        <v/>
      </c>
      <c r="AC269" s="99" t="str">
        <f aca="false">IF(ISBLANK($C269),"",IF(P269=Constants!$B$2, TRUE(), IF(P269=Constants!$B$3, FALSE(), FALSE())))</f>
        <v/>
      </c>
      <c r="AD269" s="99" t="str">
        <f aca="false">IF(ISBLANK($C269),"",AND(V269&lt;&gt;"",IF(U269=Constants!$B$19,S269,R269)))</f>
        <v/>
      </c>
      <c r="AE269" s="99" t="str">
        <f aca="false">IF(ISBLANK($C269),"",AND(Z269&lt;&gt;"",IF(Y269=Constants!$B$19,S269,R269)))</f>
        <v/>
      </c>
      <c r="AF269" s="99" t="str">
        <f aca="false">IF(ISBLANK($C269),"",IF(AC269,Constants!$B$4,IF(COUNTA(E269:O269)=0,Constants!$B$5,IF(AND(NOT(AD269),NOT(AE269)),Constants!$B$6,Constants!$B$7))))</f>
        <v/>
      </c>
      <c r="AG269" s="99" t="str">
        <f aca="false">IF(ISBLANK($C269),"",IF($AF269&lt;&gt;Constants!$B$7,$AF269,Constants!$B$20))</f>
        <v/>
      </c>
      <c r="AH269" s="99" t="str">
        <f aca="false">IF($AF269=Constants!$B$7,IF(AD269,V269,Constants!$B$13),"")</f>
        <v/>
      </c>
      <c r="AI269" s="99" t="str">
        <f aca="false">IF($AF269=Constants!$B$7,IF(AD269,T269*IF(W269, 1, Constants!$B$11)*IF(X269, 1, Constants!$B$12),Constants!$B$13),"")</f>
        <v/>
      </c>
      <c r="AJ269" s="99" t="str">
        <f aca="false">IF($AF269=Constants!$B$7,AH269*AI269,"")</f>
        <v/>
      </c>
      <c r="AK269" s="99" t="str">
        <f aca="false">IF($AF269=Constants!$B$7,IF(AE269,Z269,Constants!$B$13),"")</f>
        <v/>
      </c>
      <c r="AL269" s="99" t="str">
        <f aca="false">IF($AF269=Constants!$B$7,IF(AE269,T269*IF(AA269, 1, Constants!$B$11)*IF(AB269, 1, Constants!$B$12),Constants!$B$13),"")</f>
        <v/>
      </c>
      <c r="AM269" s="99" t="str">
        <f aca="false">IF($AF269=Constants!$B$7,AK269*AL269,"")</f>
        <v/>
      </c>
      <c r="AN269" s="99" t="str">
        <f aca="false">IF($AF269=Constants!$B$7,IF(AM269&gt;AJ269,2,1),"")</f>
        <v/>
      </c>
      <c r="AO269" s="99" t="str">
        <f aca="false">IF($AF269=Constants!$B$7,IF(AN269=1,2,1),"")</f>
        <v/>
      </c>
      <c r="AP269" s="99" t="str">
        <f aca="false">IF(ISBLANK($C269),"",IF($AF269&lt;&gt;Constants!$B$7,$AF269,IF(AN269=1,AJ269,AM269)))</f>
        <v/>
      </c>
      <c r="AQ269" s="99" t="str">
        <f aca="false">IF(ISBLANK($C269),"",IF($AF269=Constants!$B$7,IF(ISNUMBER(AP269),RANK(AP269,$AP$8:$AP$507),Constants!$B$14),$AF269))</f>
        <v/>
      </c>
      <c r="AR269" s="99" t="str">
        <f aca="false">IF(ISBLANK($C269),"",IF($AF269=Constants!$B$7,IF(AO269=1,AJ269,AM269),""))</f>
        <v/>
      </c>
      <c r="AS269" s="99" t="str">
        <f aca="false">IF(ISBLANK($C269),"",IF($AF269=Constants!$B$7,RANK(AR269,$AR$8:$AR$507),$AF269))</f>
        <v/>
      </c>
      <c r="AT269" s="99" t="str">
        <f aca="false">IF(ISBLANK($C269),"",IF($AF269=Constants!$B$7,IF(ISNUMBER(AQ269),COUNTIFS($AQ$8:$AQ$507,"&lt;"&amp;$AQ269)+COUNTIFS($AQ$8:$AQ$507,$AQ269,$AS$8:$AS$507,"&lt;"&amp;$AS269)+1,Constants!$B$14),$AF269))</f>
        <v/>
      </c>
      <c r="AU269" s="99" t="str">
        <f aca="false">IF(ISBLANK($C269),"",IF($AF269=Constants!$B$7,IF(ISNUMBER(AQ269),AQ269-AT269,Constants!$B$14),$AF269))</f>
        <v/>
      </c>
      <c r="AV269" s="100"/>
      <c r="AW269" s="101" t="str">
        <f aca="false">IF(ISBLANK($C269),"",IF($AF269&lt;&gt;Constants!$B$7,"",AN269))</f>
        <v/>
      </c>
      <c r="AX269" s="102" t="str">
        <f aca="false">IF(ISBLANK($C269),"",IF($AF269&lt;&gt;Constants!$B$7,"",IF(AN269=1,AH269,AK269)))</f>
        <v/>
      </c>
      <c r="AY269" s="103" t="str">
        <f aca="false">IF(ISBLANK($C269),"",IF($AF269&lt;&gt;Constants!$B$7,"",IF(AN269=1,AI269,AL269)))</f>
        <v/>
      </c>
      <c r="AZ269" s="104" t="str">
        <f aca="false">IF(ISBLANK($C269),"",IF($AF269&lt;&gt;Constants!$B$7,$AF269,AP269))</f>
        <v/>
      </c>
      <c r="BA269" s="105" t="str">
        <f aca="false">IF(ISBLANK($C269),"",IF($AF269&lt;&gt;Constants!$B$7,$AF269,AG269))</f>
        <v/>
      </c>
      <c r="BB269" s="106" t="str">
        <f aca="false">IF(ISBLANK($C269),"",AU269)</f>
        <v/>
      </c>
      <c r="BC269" s="106" t="str">
        <f aca="false">IF(ISBLANK($C269),"",AT269)</f>
        <v/>
      </c>
      <c r="BD269" s="107" t="str">
        <f aca="false">IF(ISBLANK($C269),"",IFERROR(_xlfn.SWITCH(BC269,Constants!$B$4,COUNTA($C$8:$C$507)+2,Constants!$B$5,COUNTA($C$8:$C$507)+1,Constants!$B$6,COUNTA($C$8:$C$507)),BC269))</f>
        <v/>
      </c>
      <c r="BE269" s="5"/>
      <c r="BF269" s="108" t="n">
        <f aca="false">IF(OR(ISNUMBER(BC269),BC269=Constants!$B$4,BC269=Constants!$B$6,BC269=Constants!$B$5),1,0)</f>
        <v>0</v>
      </c>
      <c r="BG269" s="108" t="n">
        <v>262</v>
      </c>
      <c r="BH269" s="108" t="str">
        <f aca="false">IF(ISBLANK($C269),"",IF(ISNUMBER(BD269),BD269+ROW($B269)/1000,""))</f>
        <v/>
      </c>
      <c r="BI269" s="108" t="str">
        <f aca="false">IF(ISNUMBER(BH269),RANK(BH269,$BH$8:$BH$507,1),"")</f>
        <v/>
      </c>
      <c r="BJ269" s="108" t="str">
        <f aca="false">IF(ISBLANK($C269),"",$B269)</f>
        <v/>
      </c>
      <c r="BK269" s="108" t="str">
        <f aca="false">IF(ISBLANK($C269),"",$C269)</f>
        <v/>
      </c>
      <c r="BL269" s="108" t="str">
        <f aca="false">IF(ISBLANK($C269),"",$D269)</f>
        <v/>
      </c>
      <c r="BM269" s="109" t="str">
        <f aca="false">BA269</f>
        <v/>
      </c>
      <c r="BN269" s="110" t="str">
        <f aca="false">AZ269</f>
        <v/>
      </c>
      <c r="BO269" s="108" t="str">
        <f aca="false">IF(ISBLANK($C269),"",BC269)</f>
        <v/>
      </c>
      <c r="BP269" s="111" t="str">
        <f aca="false">IF($BG269&gt;$BF$7,"",VLOOKUP($BG269,$BI$8:$BO$507,7,FALSE()))</f>
        <v/>
      </c>
      <c r="BQ269" s="112" t="str">
        <f aca="false">IF($BG269&gt;$BF$7,"",VLOOKUP($BG269,$BI$8:$BO$507,2,FALSE()))</f>
        <v/>
      </c>
      <c r="BR269" s="112" t="str">
        <f aca="false">IF($BG269&gt;$BF$7,"",VLOOKUP($BG269,$BI$8:$BO$507,3,FALSE()))</f>
        <v/>
      </c>
      <c r="BS269" s="112" t="str">
        <f aca="false">IF($BG269&gt;$BF$7,"",VLOOKUP($BG269,$BI$8:$BO$507,4,FALSE()))</f>
        <v/>
      </c>
      <c r="BT269" s="112" t="str">
        <f aca="false">IF($BG269&gt;$BF$7,"",VLOOKUP($BG269,$BI$8:$BO$507,5,FALSE()))</f>
        <v/>
      </c>
      <c r="BU269" s="113" t="str">
        <f aca="false">IF($BG269&gt;$BF$7,"",VLOOKUP($BG269,$BI$8:$BO$507,6,FALSE()))</f>
        <v/>
      </c>
      <c r="BV269" s="54"/>
    </row>
    <row r="270" customFormat="false" ht="15.75" hidden="false" customHeight="false" outlineLevel="0" collapsed="false">
      <c r="A270" s="5"/>
      <c r="B270" s="128"/>
      <c r="C270" s="129"/>
      <c r="D270" s="114"/>
      <c r="E270" s="134"/>
      <c r="F270" s="139"/>
      <c r="G270" s="93"/>
      <c r="H270" s="140"/>
      <c r="I270" s="95"/>
      <c r="J270" s="95"/>
      <c r="K270" s="93"/>
      <c r="L270" s="141"/>
      <c r="M270" s="95"/>
      <c r="N270" s="95"/>
      <c r="O270" s="93"/>
      <c r="P270" s="134"/>
      <c r="Q270" s="98"/>
      <c r="R270" s="99" t="str">
        <f aca="false">IF(ISBLANK($C270),"",IF(E270=Constants!$B$2, TRUE(), IF(E270=Constants!$B$3, FALSE(), TRUE())))</f>
        <v/>
      </c>
      <c r="S270" s="99" t="str">
        <f aca="false">IF(ISBLANK($C270),"",IF(F270=Constants!$B$2, TRUE(), IF(F270=Constants!$B$3, FALSE(), TRUE())))</f>
        <v/>
      </c>
      <c r="T270" s="99" t="str">
        <f aca="false">IF(ISBLANK($C270),"",IF(G270=Constants!$B$16,Constants!$B$9,IF(G270=Constants!$B$17,Constants!$B$10,Constants!$B$8)))</f>
        <v/>
      </c>
      <c r="U270" s="99" t="str">
        <f aca="false">IF(ISBLANK($C270),"",IF(H270=Constants!$B$19,Constants!$B$19,Constants!$B$18))</f>
        <v/>
      </c>
      <c r="V270" s="99" t="str">
        <f aca="false">IF(ISBLANK($C270),"",IF(ISNUMBER(I270),IF(I270&gt;=0,I270,""),""))</f>
        <v/>
      </c>
      <c r="W270" s="99" t="str">
        <f aca="false">IF(ISBLANK($C270),"",IF(J270=Constants!$B$2, TRUE(), IF(J270=Constants!$B$3, FALSE(), TRUE())))</f>
        <v/>
      </c>
      <c r="X270" s="99" t="str">
        <f aca="false">IF(ISBLANK($C270),"",IF(K270=Constants!$B$2, TRUE(), IF(K270=Constants!$B$3, FALSE(), TRUE())))</f>
        <v/>
      </c>
      <c r="Y270" s="99" t="str">
        <f aca="false">IF(ISBLANK($C270),"",IF(L270=Constants!$B$19,Constants!$B$19,Constants!$B$18))</f>
        <v/>
      </c>
      <c r="Z270" s="99" t="str">
        <f aca="false">IF(ISBLANK($C270),"",IF(ISNUMBER(M270),IF(M270&gt;=0,M270,""),""))</f>
        <v/>
      </c>
      <c r="AA270" s="99" t="str">
        <f aca="false">IF(ISBLANK($C270),"",IF(N270=Constants!$B$2, TRUE(), IF(N270=Constants!$B$3, FALSE(), TRUE())))</f>
        <v/>
      </c>
      <c r="AB270" s="99" t="str">
        <f aca="false">IF(ISBLANK($C270),"",IF(O270=Constants!$B$2, TRUE(), IF(O270=Constants!$B$3, FALSE(), TRUE())))</f>
        <v/>
      </c>
      <c r="AC270" s="99" t="str">
        <f aca="false">IF(ISBLANK($C270),"",IF(P270=Constants!$B$2, TRUE(), IF(P270=Constants!$B$3, FALSE(), FALSE())))</f>
        <v/>
      </c>
      <c r="AD270" s="99" t="str">
        <f aca="false">IF(ISBLANK($C270),"",AND(V270&lt;&gt;"",IF(U270=Constants!$B$19,S270,R270)))</f>
        <v/>
      </c>
      <c r="AE270" s="99" t="str">
        <f aca="false">IF(ISBLANK($C270),"",AND(Z270&lt;&gt;"",IF(Y270=Constants!$B$19,S270,R270)))</f>
        <v/>
      </c>
      <c r="AF270" s="99" t="str">
        <f aca="false">IF(ISBLANK($C270),"",IF(AC270,Constants!$B$4,IF(COUNTA(E270:O270)=0,Constants!$B$5,IF(AND(NOT(AD270),NOT(AE270)),Constants!$B$6,Constants!$B$7))))</f>
        <v/>
      </c>
      <c r="AG270" s="99" t="str">
        <f aca="false">IF(ISBLANK($C270),"",IF($AF270&lt;&gt;Constants!$B$7,$AF270,Constants!$B$20))</f>
        <v/>
      </c>
      <c r="AH270" s="99" t="str">
        <f aca="false">IF($AF270=Constants!$B$7,IF(AD270,V270,Constants!$B$13),"")</f>
        <v/>
      </c>
      <c r="AI270" s="99" t="str">
        <f aca="false">IF($AF270=Constants!$B$7,IF(AD270,T270*IF(W270, 1, Constants!$B$11)*IF(X270, 1, Constants!$B$12),Constants!$B$13),"")</f>
        <v/>
      </c>
      <c r="AJ270" s="99" t="str">
        <f aca="false">IF($AF270=Constants!$B$7,AH270*AI270,"")</f>
        <v/>
      </c>
      <c r="AK270" s="99" t="str">
        <f aca="false">IF($AF270=Constants!$B$7,IF(AE270,Z270,Constants!$B$13),"")</f>
        <v/>
      </c>
      <c r="AL270" s="99" t="str">
        <f aca="false">IF($AF270=Constants!$B$7,IF(AE270,T270*IF(AA270, 1, Constants!$B$11)*IF(AB270, 1, Constants!$B$12),Constants!$B$13),"")</f>
        <v/>
      </c>
      <c r="AM270" s="99" t="str">
        <f aca="false">IF($AF270=Constants!$B$7,AK270*AL270,"")</f>
        <v/>
      </c>
      <c r="AN270" s="99" t="str">
        <f aca="false">IF($AF270=Constants!$B$7,IF(AM270&gt;AJ270,2,1),"")</f>
        <v/>
      </c>
      <c r="AO270" s="99" t="str">
        <f aca="false">IF($AF270=Constants!$B$7,IF(AN270=1,2,1),"")</f>
        <v/>
      </c>
      <c r="AP270" s="99" t="str">
        <f aca="false">IF(ISBLANK($C270),"",IF($AF270&lt;&gt;Constants!$B$7,$AF270,IF(AN270=1,AJ270,AM270)))</f>
        <v/>
      </c>
      <c r="AQ270" s="99" t="str">
        <f aca="false">IF(ISBLANK($C270),"",IF($AF270=Constants!$B$7,IF(ISNUMBER(AP270),RANK(AP270,$AP$8:$AP$507),Constants!$B$14),$AF270))</f>
        <v/>
      </c>
      <c r="AR270" s="99" t="str">
        <f aca="false">IF(ISBLANK($C270),"",IF($AF270=Constants!$B$7,IF(AO270=1,AJ270,AM270),""))</f>
        <v/>
      </c>
      <c r="AS270" s="99" t="str">
        <f aca="false">IF(ISBLANK($C270),"",IF($AF270=Constants!$B$7,RANK(AR270,$AR$8:$AR$507),$AF270))</f>
        <v/>
      </c>
      <c r="AT270" s="99" t="str">
        <f aca="false">IF(ISBLANK($C270),"",IF($AF270=Constants!$B$7,IF(ISNUMBER(AQ270),COUNTIFS($AQ$8:$AQ$507,"&lt;"&amp;$AQ270)+COUNTIFS($AQ$8:$AQ$507,$AQ270,$AS$8:$AS$507,"&lt;"&amp;$AS270)+1,Constants!$B$14),$AF270))</f>
        <v/>
      </c>
      <c r="AU270" s="99" t="str">
        <f aca="false">IF(ISBLANK($C270),"",IF($AF270=Constants!$B$7,IF(ISNUMBER(AQ270),AQ270-AT270,Constants!$B$14),$AF270))</f>
        <v/>
      </c>
      <c r="AV270" s="100"/>
      <c r="AW270" s="101" t="str">
        <f aca="false">IF(ISBLANK($C270),"",IF($AF270&lt;&gt;Constants!$B$7,"",AN270))</f>
        <v/>
      </c>
      <c r="AX270" s="102" t="str">
        <f aca="false">IF(ISBLANK($C270),"",IF($AF270&lt;&gt;Constants!$B$7,"",IF(AN270=1,AH270,AK270)))</f>
        <v/>
      </c>
      <c r="AY270" s="103" t="str">
        <f aca="false">IF(ISBLANK($C270),"",IF($AF270&lt;&gt;Constants!$B$7,"",IF(AN270=1,AI270,AL270)))</f>
        <v/>
      </c>
      <c r="AZ270" s="104" t="str">
        <f aca="false">IF(ISBLANK($C270),"",IF($AF270&lt;&gt;Constants!$B$7,$AF270,AP270))</f>
        <v/>
      </c>
      <c r="BA270" s="105" t="str">
        <f aca="false">IF(ISBLANK($C270),"",IF($AF270&lt;&gt;Constants!$B$7,$AF270,AG270))</f>
        <v/>
      </c>
      <c r="BB270" s="106" t="str">
        <f aca="false">IF(ISBLANK($C270),"",AU270)</f>
        <v/>
      </c>
      <c r="BC270" s="106" t="str">
        <f aca="false">IF(ISBLANK($C270),"",AT270)</f>
        <v/>
      </c>
      <c r="BD270" s="107" t="str">
        <f aca="false">IF(ISBLANK($C270),"",IFERROR(_xlfn.SWITCH(BC270,Constants!$B$4,COUNTA($C$8:$C$507)+2,Constants!$B$5,COUNTA($C$8:$C$507)+1,Constants!$B$6,COUNTA($C$8:$C$507)),BC270))</f>
        <v/>
      </c>
      <c r="BE270" s="5"/>
      <c r="BF270" s="108" t="n">
        <f aca="false">IF(OR(ISNUMBER(BC270),BC270=Constants!$B$4,BC270=Constants!$B$6,BC270=Constants!$B$5),1,0)</f>
        <v>0</v>
      </c>
      <c r="BG270" s="108" t="n">
        <v>263</v>
      </c>
      <c r="BH270" s="108" t="str">
        <f aca="false">IF(ISBLANK($C270),"",IF(ISNUMBER(BD270),BD270+ROW($B270)/1000,""))</f>
        <v/>
      </c>
      <c r="BI270" s="108" t="str">
        <f aca="false">IF(ISNUMBER(BH270),RANK(BH270,$BH$8:$BH$507,1),"")</f>
        <v/>
      </c>
      <c r="BJ270" s="108" t="str">
        <f aca="false">IF(ISBLANK($C270),"",$B270)</f>
        <v/>
      </c>
      <c r="BK270" s="108" t="str">
        <f aca="false">IF(ISBLANK($C270),"",$C270)</f>
        <v/>
      </c>
      <c r="BL270" s="108" t="str">
        <f aca="false">IF(ISBLANK($C270),"",$D270)</f>
        <v/>
      </c>
      <c r="BM270" s="109" t="str">
        <f aca="false">BA270</f>
        <v/>
      </c>
      <c r="BN270" s="110" t="str">
        <f aca="false">AZ270</f>
        <v/>
      </c>
      <c r="BO270" s="108" t="str">
        <f aca="false">IF(ISBLANK($C270),"",BC270)</f>
        <v/>
      </c>
      <c r="BP270" s="111" t="str">
        <f aca="false">IF($BG270&gt;$BF$7,"",VLOOKUP($BG270,$BI$8:$BO$507,7,FALSE()))</f>
        <v/>
      </c>
      <c r="BQ270" s="112" t="str">
        <f aca="false">IF($BG270&gt;$BF$7,"",VLOOKUP($BG270,$BI$8:$BO$507,2,FALSE()))</f>
        <v/>
      </c>
      <c r="BR270" s="112" t="str">
        <f aca="false">IF($BG270&gt;$BF$7,"",VLOOKUP($BG270,$BI$8:$BO$507,3,FALSE()))</f>
        <v/>
      </c>
      <c r="BS270" s="112" t="str">
        <f aca="false">IF($BG270&gt;$BF$7,"",VLOOKUP($BG270,$BI$8:$BO$507,4,FALSE()))</f>
        <v/>
      </c>
      <c r="BT270" s="112" t="str">
        <f aca="false">IF($BG270&gt;$BF$7,"",VLOOKUP($BG270,$BI$8:$BO$507,5,FALSE()))</f>
        <v/>
      </c>
      <c r="BU270" s="113" t="str">
        <f aca="false">IF($BG270&gt;$BF$7,"",VLOOKUP($BG270,$BI$8:$BO$507,6,FALSE()))</f>
        <v/>
      </c>
      <c r="BV270" s="54"/>
    </row>
    <row r="271" customFormat="false" ht="15.75" hidden="false" customHeight="false" outlineLevel="0" collapsed="false">
      <c r="A271" s="5"/>
      <c r="B271" s="128"/>
      <c r="C271" s="129"/>
      <c r="D271" s="114"/>
      <c r="E271" s="134"/>
      <c r="F271" s="139"/>
      <c r="G271" s="93"/>
      <c r="H271" s="140"/>
      <c r="I271" s="95"/>
      <c r="J271" s="95"/>
      <c r="K271" s="93"/>
      <c r="L271" s="141"/>
      <c r="M271" s="95"/>
      <c r="N271" s="95"/>
      <c r="O271" s="93"/>
      <c r="P271" s="134"/>
      <c r="Q271" s="98"/>
      <c r="R271" s="99" t="str">
        <f aca="false">IF(ISBLANK($C271),"",IF(E271=Constants!$B$2, TRUE(), IF(E271=Constants!$B$3, FALSE(), TRUE())))</f>
        <v/>
      </c>
      <c r="S271" s="99" t="str">
        <f aca="false">IF(ISBLANK($C271),"",IF(F271=Constants!$B$2, TRUE(), IF(F271=Constants!$B$3, FALSE(), TRUE())))</f>
        <v/>
      </c>
      <c r="T271" s="99" t="str">
        <f aca="false">IF(ISBLANK($C271),"",IF(G271=Constants!$B$16,Constants!$B$9,IF(G271=Constants!$B$17,Constants!$B$10,Constants!$B$8)))</f>
        <v/>
      </c>
      <c r="U271" s="99" t="str">
        <f aca="false">IF(ISBLANK($C271),"",IF(H271=Constants!$B$19,Constants!$B$19,Constants!$B$18))</f>
        <v/>
      </c>
      <c r="V271" s="99" t="str">
        <f aca="false">IF(ISBLANK($C271),"",IF(ISNUMBER(I271),IF(I271&gt;=0,I271,""),""))</f>
        <v/>
      </c>
      <c r="W271" s="99" t="str">
        <f aca="false">IF(ISBLANK($C271),"",IF(J271=Constants!$B$2, TRUE(), IF(J271=Constants!$B$3, FALSE(), TRUE())))</f>
        <v/>
      </c>
      <c r="X271" s="99" t="str">
        <f aca="false">IF(ISBLANK($C271),"",IF(K271=Constants!$B$2, TRUE(), IF(K271=Constants!$B$3, FALSE(), TRUE())))</f>
        <v/>
      </c>
      <c r="Y271" s="99" t="str">
        <f aca="false">IF(ISBLANK($C271),"",IF(L271=Constants!$B$19,Constants!$B$19,Constants!$B$18))</f>
        <v/>
      </c>
      <c r="Z271" s="99" t="str">
        <f aca="false">IF(ISBLANK($C271),"",IF(ISNUMBER(M271),IF(M271&gt;=0,M271,""),""))</f>
        <v/>
      </c>
      <c r="AA271" s="99" t="str">
        <f aca="false">IF(ISBLANK($C271),"",IF(N271=Constants!$B$2, TRUE(), IF(N271=Constants!$B$3, FALSE(), TRUE())))</f>
        <v/>
      </c>
      <c r="AB271" s="99" t="str">
        <f aca="false">IF(ISBLANK($C271),"",IF(O271=Constants!$B$2, TRUE(), IF(O271=Constants!$B$3, FALSE(), TRUE())))</f>
        <v/>
      </c>
      <c r="AC271" s="99" t="str">
        <f aca="false">IF(ISBLANK($C271),"",IF(P271=Constants!$B$2, TRUE(), IF(P271=Constants!$B$3, FALSE(), FALSE())))</f>
        <v/>
      </c>
      <c r="AD271" s="99" t="str">
        <f aca="false">IF(ISBLANK($C271),"",AND(V271&lt;&gt;"",IF(U271=Constants!$B$19,S271,R271)))</f>
        <v/>
      </c>
      <c r="AE271" s="99" t="str">
        <f aca="false">IF(ISBLANK($C271),"",AND(Z271&lt;&gt;"",IF(Y271=Constants!$B$19,S271,R271)))</f>
        <v/>
      </c>
      <c r="AF271" s="99" t="str">
        <f aca="false">IF(ISBLANK($C271),"",IF(AC271,Constants!$B$4,IF(COUNTA(E271:O271)=0,Constants!$B$5,IF(AND(NOT(AD271),NOT(AE271)),Constants!$B$6,Constants!$B$7))))</f>
        <v/>
      </c>
      <c r="AG271" s="99" t="str">
        <f aca="false">IF(ISBLANK($C271),"",IF($AF271&lt;&gt;Constants!$B$7,$AF271,Constants!$B$20))</f>
        <v/>
      </c>
      <c r="AH271" s="99" t="str">
        <f aca="false">IF($AF271=Constants!$B$7,IF(AD271,V271,Constants!$B$13),"")</f>
        <v/>
      </c>
      <c r="AI271" s="99" t="str">
        <f aca="false">IF($AF271=Constants!$B$7,IF(AD271,T271*IF(W271, 1, Constants!$B$11)*IF(X271, 1, Constants!$B$12),Constants!$B$13),"")</f>
        <v/>
      </c>
      <c r="AJ271" s="99" t="str">
        <f aca="false">IF($AF271=Constants!$B$7,AH271*AI271,"")</f>
        <v/>
      </c>
      <c r="AK271" s="99" t="str">
        <f aca="false">IF($AF271=Constants!$B$7,IF(AE271,Z271,Constants!$B$13),"")</f>
        <v/>
      </c>
      <c r="AL271" s="99" t="str">
        <f aca="false">IF($AF271=Constants!$B$7,IF(AE271,T271*IF(AA271, 1, Constants!$B$11)*IF(AB271, 1, Constants!$B$12),Constants!$B$13),"")</f>
        <v/>
      </c>
      <c r="AM271" s="99" t="str">
        <f aca="false">IF($AF271=Constants!$B$7,AK271*AL271,"")</f>
        <v/>
      </c>
      <c r="AN271" s="99" t="str">
        <f aca="false">IF($AF271=Constants!$B$7,IF(AM271&gt;AJ271,2,1),"")</f>
        <v/>
      </c>
      <c r="AO271" s="99" t="str">
        <f aca="false">IF($AF271=Constants!$B$7,IF(AN271=1,2,1),"")</f>
        <v/>
      </c>
      <c r="AP271" s="99" t="str">
        <f aca="false">IF(ISBLANK($C271),"",IF($AF271&lt;&gt;Constants!$B$7,$AF271,IF(AN271=1,AJ271,AM271)))</f>
        <v/>
      </c>
      <c r="AQ271" s="99" t="str">
        <f aca="false">IF(ISBLANK($C271),"",IF($AF271=Constants!$B$7,IF(ISNUMBER(AP271),RANK(AP271,$AP$8:$AP$507),Constants!$B$14),$AF271))</f>
        <v/>
      </c>
      <c r="AR271" s="99" t="str">
        <f aca="false">IF(ISBLANK($C271),"",IF($AF271=Constants!$B$7,IF(AO271=1,AJ271,AM271),""))</f>
        <v/>
      </c>
      <c r="AS271" s="99" t="str">
        <f aca="false">IF(ISBLANK($C271),"",IF($AF271=Constants!$B$7,RANK(AR271,$AR$8:$AR$507),$AF271))</f>
        <v/>
      </c>
      <c r="AT271" s="99" t="str">
        <f aca="false">IF(ISBLANK($C271),"",IF($AF271=Constants!$B$7,IF(ISNUMBER(AQ271),COUNTIFS($AQ$8:$AQ$507,"&lt;"&amp;$AQ271)+COUNTIFS($AQ$8:$AQ$507,$AQ271,$AS$8:$AS$507,"&lt;"&amp;$AS271)+1,Constants!$B$14),$AF271))</f>
        <v/>
      </c>
      <c r="AU271" s="99" t="str">
        <f aca="false">IF(ISBLANK($C271),"",IF($AF271=Constants!$B$7,IF(ISNUMBER(AQ271),AQ271-AT271,Constants!$B$14),$AF271))</f>
        <v/>
      </c>
      <c r="AV271" s="100"/>
      <c r="AW271" s="101" t="str">
        <f aca="false">IF(ISBLANK($C271),"",IF($AF271&lt;&gt;Constants!$B$7,"",AN271))</f>
        <v/>
      </c>
      <c r="AX271" s="102" t="str">
        <f aca="false">IF(ISBLANK($C271),"",IF($AF271&lt;&gt;Constants!$B$7,"",IF(AN271=1,AH271,AK271)))</f>
        <v/>
      </c>
      <c r="AY271" s="103" t="str">
        <f aca="false">IF(ISBLANK($C271),"",IF($AF271&lt;&gt;Constants!$B$7,"",IF(AN271=1,AI271,AL271)))</f>
        <v/>
      </c>
      <c r="AZ271" s="104" t="str">
        <f aca="false">IF(ISBLANK($C271),"",IF($AF271&lt;&gt;Constants!$B$7,$AF271,AP271))</f>
        <v/>
      </c>
      <c r="BA271" s="105" t="str">
        <f aca="false">IF(ISBLANK($C271),"",IF($AF271&lt;&gt;Constants!$B$7,$AF271,AG271))</f>
        <v/>
      </c>
      <c r="BB271" s="106" t="str">
        <f aca="false">IF(ISBLANK($C271),"",AU271)</f>
        <v/>
      </c>
      <c r="BC271" s="106" t="str">
        <f aca="false">IF(ISBLANK($C271),"",AT271)</f>
        <v/>
      </c>
      <c r="BD271" s="107" t="str">
        <f aca="false">IF(ISBLANK($C271),"",IFERROR(_xlfn.SWITCH(BC271,Constants!$B$4,COUNTA($C$8:$C$507)+2,Constants!$B$5,COUNTA($C$8:$C$507)+1,Constants!$B$6,COUNTA($C$8:$C$507)),BC271))</f>
        <v/>
      </c>
      <c r="BE271" s="5"/>
      <c r="BF271" s="108" t="n">
        <f aca="false">IF(OR(ISNUMBER(BC271),BC271=Constants!$B$4,BC271=Constants!$B$6,BC271=Constants!$B$5),1,0)</f>
        <v>0</v>
      </c>
      <c r="BG271" s="108" t="n">
        <v>264</v>
      </c>
      <c r="BH271" s="108" t="str">
        <f aca="false">IF(ISBLANK($C271),"",IF(ISNUMBER(BD271),BD271+ROW($B271)/1000,""))</f>
        <v/>
      </c>
      <c r="BI271" s="108" t="str">
        <f aca="false">IF(ISNUMBER(BH271),RANK(BH271,$BH$8:$BH$507,1),"")</f>
        <v/>
      </c>
      <c r="BJ271" s="108" t="str">
        <f aca="false">IF(ISBLANK($C271),"",$B271)</f>
        <v/>
      </c>
      <c r="BK271" s="108" t="str">
        <f aca="false">IF(ISBLANK($C271),"",$C271)</f>
        <v/>
      </c>
      <c r="BL271" s="108" t="str">
        <f aca="false">IF(ISBLANK($C271),"",$D271)</f>
        <v/>
      </c>
      <c r="BM271" s="109" t="str">
        <f aca="false">BA271</f>
        <v/>
      </c>
      <c r="BN271" s="110" t="str">
        <f aca="false">AZ271</f>
        <v/>
      </c>
      <c r="BO271" s="108" t="str">
        <f aca="false">IF(ISBLANK($C271),"",BC271)</f>
        <v/>
      </c>
      <c r="BP271" s="111" t="str">
        <f aca="false">IF($BG271&gt;$BF$7,"",VLOOKUP($BG271,$BI$8:$BO$507,7,FALSE()))</f>
        <v/>
      </c>
      <c r="BQ271" s="112" t="str">
        <f aca="false">IF($BG271&gt;$BF$7,"",VLOOKUP($BG271,$BI$8:$BO$507,2,FALSE()))</f>
        <v/>
      </c>
      <c r="BR271" s="112" t="str">
        <f aca="false">IF($BG271&gt;$BF$7,"",VLOOKUP($BG271,$BI$8:$BO$507,3,FALSE()))</f>
        <v/>
      </c>
      <c r="BS271" s="112" t="str">
        <f aca="false">IF($BG271&gt;$BF$7,"",VLOOKUP($BG271,$BI$8:$BO$507,4,FALSE()))</f>
        <v/>
      </c>
      <c r="BT271" s="112" t="str">
        <f aca="false">IF($BG271&gt;$BF$7,"",VLOOKUP($BG271,$BI$8:$BO$507,5,FALSE()))</f>
        <v/>
      </c>
      <c r="BU271" s="113" t="str">
        <f aca="false">IF($BG271&gt;$BF$7,"",VLOOKUP($BG271,$BI$8:$BO$507,6,FALSE()))</f>
        <v/>
      </c>
      <c r="BV271" s="54"/>
    </row>
    <row r="272" customFormat="false" ht="15.75" hidden="false" customHeight="false" outlineLevel="0" collapsed="false">
      <c r="A272" s="5"/>
      <c r="B272" s="135"/>
      <c r="C272" s="56"/>
      <c r="D272" s="57"/>
      <c r="E272" s="84"/>
      <c r="F272" s="136"/>
      <c r="G272" s="60"/>
      <c r="H272" s="137"/>
      <c r="I272" s="62"/>
      <c r="J272" s="62"/>
      <c r="K272" s="60"/>
      <c r="L272" s="138"/>
      <c r="M272" s="62"/>
      <c r="N272" s="62"/>
      <c r="O272" s="60"/>
      <c r="P272" s="84"/>
      <c r="Q272" s="65"/>
      <c r="R272" s="67" t="str">
        <f aca="false">IF(ISBLANK($C272),"",IF(E272=Constants!$B$2, TRUE(), IF(E272=Constants!$B$3, FALSE(), TRUE())))</f>
        <v/>
      </c>
      <c r="S272" s="67" t="str">
        <f aca="false">IF(ISBLANK($C272),"",IF(F272=Constants!$B$2, TRUE(), IF(F272=Constants!$B$3, FALSE(), TRUE())))</f>
        <v/>
      </c>
      <c r="T272" s="67" t="str">
        <f aca="false">IF(ISBLANK($C272),"",IF(G272=Constants!$B$16,Constants!$B$9,IF(G272=Constants!$B$17,Constants!$B$10,Constants!$B$8)))</f>
        <v/>
      </c>
      <c r="U272" s="67" t="str">
        <f aca="false">IF(ISBLANK($C272),"",IF(H272=Constants!$B$19,Constants!$B$19,Constants!$B$18))</f>
        <v/>
      </c>
      <c r="V272" s="67" t="str">
        <f aca="false">IF(ISBLANK($C272),"",IF(ISNUMBER(I272),IF(I272&gt;=0,I272,""),""))</f>
        <v/>
      </c>
      <c r="W272" s="67" t="str">
        <f aca="false">IF(ISBLANK($C272),"",IF(J272=Constants!$B$2, TRUE(), IF(J272=Constants!$B$3, FALSE(), TRUE())))</f>
        <v/>
      </c>
      <c r="X272" s="67" t="str">
        <f aca="false">IF(ISBLANK($C272),"",IF(K272=Constants!$B$2, TRUE(), IF(K272=Constants!$B$3, FALSE(), TRUE())))</f>
        <v/>
      </c>
      <c r="Y272" s="67" t="str">
        <f aca="false">IF(ISBLANK($C272),"",IF(L272=Constants!$B$19,Constants!$B$19,Constants!$B$18))</f>
        <v/>
      </c>
      <c r="Z272" s="67" t="str">
        <f aca="false">IF(ISBLANK($C272),"",IF(ISNUMBER(M272),IF(M272&gt;=0,M272,""),""))</f>
        <v/>
      </c>
      <c r="AA272" s="67" t="str">
        <f aca="false">IF(ISBLANK($C272),"",IF(N272=Constants!$B$2, TRUE(), IF(N272=Constants!$B$3, FALSE(), TRUE())))</f>
        <v/>
      </c>
      <c r="AB272" s="67" t="str">
        <f aca="false">IF(ISBLANK($C272),"",IF(O272=Constants!$B$2, TRUE(), IF(O272=Constants!$B$3, FALSE(), TRUE())))</f>
        <v/>
      </c>
      <c r="AC272" s="67" t="str">
        <f aca="false">IF(ISBLANK($C272),"",IF(P272=Constants!$B$2, TRUE(), IF(P272=Constants!$B$3, FALSE(), FALSE())))</f>
        <v/>
      </c>
      <c r="AD272" s="67" t="str">
        <f aca="false">IF(ISBLANK($C272),"",AND(V272&lt;&gt;"",IF(U272=Constants!$B$19,S272,R272)))</f>
        <v/>
      </c>
      <c r="AE272" s="67" t="str">
        <f aca="false">IF(ISBLANK($C272),"",AND(Z272&lt;&gt;"",IF(Y272=Constants!$B$19,S272,R272)))</f>
        <v/>
      </c>
      <c r="AF272" s="67" t="str">
        <f aca="false">IF(ISBLANK($C272),"",IF(AC272,Constants!$B$4,IF(COUNTA(E272:O272)=0,Constants!$B$5,IF(AND(NOT(AD272),NOT(AE272)),Constants!$B$6,Constants!$B$7))))</f>
        <v/>
      </c>
      <c r="AG272" s="67" t="str">
        <f aca="false">IF(ISBLANK($C272),"",IF($AF272&lt;&gt;Constants!$B$7,$AF272,Constants!$B$20))</f>
        <v/>
      </c>
      <c r="AH272" s="67" t="str">
        <f aca="false">IF($AF272=Constants!$B$7,IF(AD272,V272,Constants!$B$13),"")</f>
        <v/>
      </c>
      <c r="AI272" s="67" t="str">
        <f aca="false">IF($AF272=Constants!$B$7,IF(AD272,T272*IF(W272, 1, Constants!$B$11)*IF(X272, 1, Constants!$B$12),Constants!$B$13),"")</f>
        <v/>
      </c>
      <c r="AJ272" s="67" t="str">
        <f aca="false">IF($AF272=Constants!$B$7,AH272*AI272,"")</f>
        <v/>
      </c>
      <c r="AK272" s="67" t="str">
        <f aca="false">IF($AF272=Constants!$B$7,IF(AE272,Z272,Constants!$B$13),"")</f>
        <v/>
      </c>
      <c r="AL272" s="67" t="str">
        <f aca="false">IF($AF272=Constants!$B$7,IF(AE272,T272*IF(AA272, 1, Constants!$B$11)*IF(AB272, 1, Constants!$B$12),Constants!$B$13),"")</f>
        <v/>
      </c>
      <c r="AM272" s="67" t="str">
        <f aca="false">IF($AF272=Constants!$B$7,AK272*AL272,"")</f>
        <v/>
      </c>
      <c r="AN272" s="67" t="str">
        <f aca="false">IF($AF272=Constants!$B$7,IF(AM272&gt;AJ272,2,1),"")</f>
        <v/>
      </c>
      <c r="AO272" s="67" t="str">
        <f aca="false">IF($AF272=Constants!$B$7,IF(AN272=1,2,1),"")</f>
        <v/>
      </c>
      <c r="AP272" s="67" t="str">
        <f aca="false">IF(ISBLANK($C272),"",IF($AF272&lt;&gt;Constants!$B$7,$AF272,IF(AN272=1,AJ272,AM272)))</f>
        <v/>
      </c>
      <c r="AQ272" s="67" t="str">
        <f aca="false">IF(ISBLANK($C272),"",IF($AF272=Constants!$B$7,IF(ISNUMBER(AP272),RANK(AP272,$AP$8:$AP$507),Constants!$B$14),$AF272))</f>
        <v/>
      </c>
      <c r="AR272" s="67" t="str">
        <f aca="false">IF(ISBLANK($C272),"",IF($AF272=Constants!$B$7,IF(AO272=1,AJ272,AM272),""))</f>
        <v/>
      </c>
      <c r="AS272" s="67" t="str">
        <f aca="false">IF(ISBLANK($C272),"",IF($AF272=Constants!$B$7,RANK(AR272,$AR$8:$AR$507),$AF272))</f>
        <v/>
      </c>
      <c r="AT272" s="67" t="str">
        <f aca="false">IF(ISBLANK($C272),"",IF($AF272=Constants!$B$7,IF(ISNUMBER(AQ272),COUNTIFS($AQ$8:$AQ$507,"&lt;"&amp;$AQ272)+COUNTIFS($AQ$8:$AQ$507,$AQ272,$AS$8:$AS$507,"&lt;"&amp;$AS272)+1,Constants!$B$14),$AF272))</f>
        <v/>
      </c>
      <c r="AU272" s="67" t="str">
        <f aca="false">IF(ISBLANK($C272),"",IF($AF272=Constants!$B$7,IF(ISNUMBER(AQ272),AQ272-AT272,Constants!$B$14),$AF272))</f>
        <v/>
      </c>
      <c r="AV272" s="69"/>
      <c r="AW272" s="70" t="str">
        <f aca="false">IF(ISBLANK($C272),"",IF($AF272&lt;&gt;Constants!$B$7,"",AN272))</f>
        <v/>
      </c>
      <c r="AX272" s="85" t="str">
        <f aca="false">IF(ISBLANK($C272),"",IF($AF272&lt;&gt;Constants!$B$7,"",IF(AN272=1,AH272,AK272)))</f>
        <v/>
      </c>
      <c r="AY272" s="72" t="str">
        <f aca="false">IF(ISBLANK($C272),"",IF($AF272&lt;&gt;Constants!$B$7,"",IF(AN272=1,AI272,AL272)))</f>
        <v/>
      </c>
      <c r="AZ272" s="73" t="str">
        <f aca="false">IF(ISBLANK($C272),"",IF($AF272&lt;&gt;Constants!$B$7,$AF272,AP272))</f>
        <v/>
      </c>
      <c r="BA272" s="74" t="str">
        <f aca="false">IF(ISBLANK($C272),"",IF($AF272&lt;&gt;Constants!$B$7,$AF272,AG272))</f>
        <v/>
      </c>
      <c r="BB272" s="75" t="str">
        <f aca="false">IF(ISBLANK($C272),"",AU272)</f>
        <v/>
      </c>
      <c r="BC272" s="75" t="str">
        <f aca="false">IF(ISBLANK($C272),"",AT272)</f>
        <v/>
      </c>
      <c r="BD272" s="76" t="str">
        <f aca="false">IF(ISBLANK($C272),"",IFERROR(_xlfn.SWITCH(BC272,Constants!$B$4,COUNTA($C$8:$C$507)+2,Constants!$B$5,COUNTA($C$8:$C$507)+1,Constants!$B$6,COUNTA($C$8:$C$507)),BC272))</f>
        <v/>
      </c>
      <c r="BE272" s="5"/>
      <c r="BF272" s="77" t="n">
        <f aca="false">IF(OR(ISNUMBER(BC272),BC272=Constants!$B$4,BC272=Constants!$B$6,BC272=Constants!$B$5),1,0)</f>
        <v>0</v>
      </c>
      <c r="BG272" s="77" t="n">
        <v>265</v>
      </c>
      <c r="BH272" s="77" t="str">
        <f aca="false">IF(ISBLANK($C272),"",IF(ISNUMBER(BD272),BD272+ROW($B272)/1000,""))</f>
        <v/>
      </c>
      <c r="BI272" s="77" t="str">
        <f aca="false">IF(ISNUMBER(BH272),RANK(BH272,$BH$8:$BH$507,1),"")</f>
        <v/>
      </c>
      <c r="BJ272" s="77" t="str">
        <f aca="false">IF(ISBLANK($C272),"",$B272)</f>
        <v/>
      </c>
      <c r="BK272" s="77" t="str">
        <f aca="false">IF(ISBLANK($C272),"",$C272)</f>
        <v/>
      </c>
      <c r="BL272" s="77" t="str">
        <f aca="false">IF(ISBLANK($C272),"",$D272)</f>
        <v/>
      </c>
      <c r="BM272" s="78" t="str">
        <f aca="false">BA272</f>
        <v/>
      </c>
      <c r="BN272" s="79" t="str">
        <f aca="false">AZ272</f>
        <v/>
      </c>
      <c r="BO272" s="77" t="str">
        <f aca="false">IF(ISBLANK($C272),"",BC272)</f>
        <v/>
      </c>
      <c r="BP272" s="80" t="str">
        <f aca="false">IF($BG272&gt;$BF$7,"",VLOOKUP($BG272,$BI$8:$BO$507,7,FALSE()))</f>
        <v/>
      </c>
      <c r="BQ272" s="81" t="str">
        <f aca="false">IF($BG272&gt;$BF$7,"",VLOOKUP($BG272,$BI$8:$BO$507,2,FALSE()))</f>
        <v/>
      </c>
      <c r="BR272" s="81" t="str">
        <f aca="false">IF($BG272&gt;$BF$7,"",VLOOKUP($BG272,$BI$8:$BO$507,3,FALSE()))</f>
        <v/>
      </c>
      <c r="BS272" s="81" t="str">
        <f aca="false">IF($BG272&gt;$BF$7,"",VLOOKUP($BG272,$BI$8:$BO$507,4,FALSE()))</f>
        <v/>
      </c>
      <c r="BT272" s="81" t="str">
        <f aca="false">IF($BG272&gt;$BF$7,"",VLOOKUP($BG272,$BI$8:$BO$507,5,FALSE()))</f>
        <v/>
      </c>
      <c r="BU272" s="82" t="str">
        <f aca="false">IF($BG272&gt;$BF$7,"",VLOOKUP($BG272,$BI$8:$BO$507,6,FALSE()))</f>
        <v/>
      </c>
      <c r="BV272" s="54"/>
    </row>
    <row r="273" customFormat="false" ht="15.75" hidden="false" customHeight="false" outlineLevel="0" collapsed="false">
      <c r="A273" s="5"/>
      <c r="B273" s="135"/>
      <c r="C273" s="56"/>
      <c r="D273" s="57"/>
      <c r="E273" s="84"/>
      <c r="F273" s="136"/>
      <c r="G273" s="60"/>
      <c r="H273" s="137"/>
      <c r="I273" s="62"/>
      <c r="J273" s="62"/>
      <c r="K273" s="60"/>
      <c r="L273" s="138"/>
      <c r="M273" s="62"/>
      <c r="N273" s="62"/>
      <c r="O273" s="60"/>
      <c r="P273" s="84"/>
      <c r="Q273" s="65"/>
      <c r="R273" s="67" t="str">
        <f aca="false">IF(ISBLANK($C273),"",IF(E273=Constants!$B$2, TRUE(), IF(E273=Constants!$B$3, FALSE(), TRUE())))</f>
        <v/>
      </c>
      <c r="S273" s="67" t="str">
        <f aca="false">IF(ISBLANK($C273),"",IF(F273=Constants!$B$2, TRUE(), IF(F273=Constants!$B$3, FALSE(), TRUE())))</f>
        <v/>
      </c>
      <c r="T273" s="67" t="str">
        <f aca="false">IF(ISBLANK($C273),"",IF(G273=Constants!$B$16,Constants!$B$9,IF(G273=Constants!$B$17,Constants!$B$10,Constants!$B$8)))</f>
        <v/>
      </c>
      <c r="U273" s="67" t="str">
        <f aca="false">IF(ISBLANK($C273),"",IF(H273=Constants!$B$19,Constants!$B$19,Constants!$B$18))</f>
        <v/>
      </c>
      <c r="V273" s="67" t="str">
        <f aca="false">IF(ISBLANK($C273),"",IF(ISNUMBER(I273),IF(I273&gt;=0,I273,""),""))</f>
        <v/>
      </c>
      <c r="W273" s="67" t="str">
        <f aca="false">IF(ISBLANK($C273),"",IF(J273=Constants!$B$2, TRUE(), IF(J273=Constants!$B$3, FALSE(), TRUE())))</f>
        <v/>
      </c>
      <c r="X273" s="67" t="str">
        <f aca="false">IF(ISBLANK($C273),"",IF(K273=Constants!$B$2, TRUE(), IF(K273=Constants!$B$3, FALSE(), TRUE())))</f>
        <v/>
      </c>
      <c r="Y273" s="67" t="str">
        <f aca="false">IF(ISBLANK($C273),"",IF(L273=Constants!$B$19,Constants!$B$19,Constants!$B$18))</f>
        <v/>
      </c>
      <c r="Z273" s="67" t="str">
        <f aca="false">IF(ISBLANK($C273),"",IF(ISNUMBER(M273),IF(M273&gt;=0,M273,""),""))</f>
        <v/>
      </c>
      <c r="AA273" s="67" t="str">
        <f aca="false">IF(ISBLANK($C273),"",IF(N273=Constants!$B$2, TRUE(), IF(N273=Constants!$B$3, FALSE(), TRUE())))</f>
        <v/>
      </c>
      <c r="AB273" s="67" t="str">
        <f aca="false">IF(ISBLANK($C273),"",IF(O273=Constants!$B$2, TRUE(), IF(O273=Constants!$B$3, FALSE(), TRUE())))</f>
        <v/>
      </c>
      <c r="AC273" s="67" t="str">
        <f aca="false">IF(ISBLANK($C273),"",IF(P273=Constants!$B$2, TRUE(), IF(P273=Constants!$B$3, FALSE(), FALSE())))</f>
        <v/>
      </c>
      <c r="AD273" s="67" t="str">
        <f aca="false">IF(ISBLANK($C273),"",AND(V273&lt;&gt;"",IF(U273=Constants!$B$19,S273,R273)))</f>
        <v/>
      </c>
      <c r="AE273" s="67" t="str">
        <f aca="false">IF(ISBLANK($C273),"",AND(Z273&lt;&gt;"",IF(Y273=Constants!$B$19,S273,R273)))</f>
        <v/>
      </c>
      <c r="AF273" s="67" t="str">
        <f aca="false">IF(ISBLANK($C273),"",IF(AC273,Constants!$B$4,IF(COUNTA(E273:O273)=0,Constants!$B$5,IF(AND(NOT(AD273),NOT(AE273)),Constants!$B$6,Constants!$B$7))))</f>
        <v/>
      </c>
      <c r="AG273" s="67" t="str">
        <f aca="false">IF(ISBLANK($C273),"",IF($AF273&lt;&gt;Constants!$B$7,$AF273,Constants!$B$20))</f>
        <v/>
      </c>
      <c r="AH273" s="67" t="str">
        <f aca="false">IF($AF273=Constants!$B$7,IF(AD273,V273,Constants!$B$13),"")</f>
        <v/>
      </c>
      <c r="AI273" s="67" t="str">
        <f aca="false">IF($AF273=Constants!$B$7,IF(AD273,T273*IF(W273, 1, Constants!$B$11)*IF(X273, 1, Constants!$B$12),Constants!$B$13),"")</f>
        <v/>
      </c>
      <c r="AJ273" s="67" t="str">
        <f aca="false">IF($AF273=Constants!$B$7,AH273*AI273,"")</f>
        <v/>
      </c>
      <c r="AK273" s="67" t="str">
        <f aca="false">IF($AF273=Constants!$B$7,IF(AE273,Z273,Constants!$B$13),"")</f>
        <v/>
      </c>
      <c r="AL273" s="67" t="str">
        <f aca="false">IF($AF273=Constants!$B$7,IF(AE273,T273*IF(AA273, 1, Constants!$B$11)*IF(AB273, 1, Constants!$B$12),Constants!$B$13),"")</f>
        <v/>
      </c>
      <c r="AM273" s="67" t="str">
        <f aca="false">IF($AF273=Constants!$B$7,AK273*AL273,"")</f>
        <v/>
      </c>
      <c r="AN273" s="67" t="str">
        <f aca="false">IF($AF273=Constants!$B$7,IF(AM273&gt;AJ273,2,1),"")</f>
        <v/>
      </c>
      <c r="AO273" s="67" t="str">
        <f aca="false">IF($AF273=Constants!$B$7,IF(AN273=1,2,1),"")</f>
        <v/>
      </c>
      <c r="AP273" s="67" t="str">
        <f aca="false">IF(ISBLANK($C273),"",IF($AF273&lt;&gt;Constants!$B$7,$AF273,IF(AN273=1,AJ273,AM273)))</f>
        <v/>
      </c>
      <c r="AQ273" s="67" t="str">
        <f aca="false">IF(ISBLANK($C273),"",IF($AF273=Constants!$B$7,IF(ISNUMBER(AP273),RANK(AP273,$AP$8:$AP$507),Constants!$B$14),$AF273))</f>
        <v/>
      </c>
      <c r="AR273" s="67" t="str">
        <f aca="false">IF(ISBLANK($C273),"",IF($AF273=Constants!$B$7,IF(AO273=1,AJ273,AM273),""))</f>
        <v/>
      </c>
      <c r="AS273" s="67" t="str">
        <f aca="false">IF(ISBLANK($C273),"",IF($AF273=Constants!$B$7,RANK(AR273,$AR$8:$AR$507),$AF273))</f>
        <v/>
      </c>
      <c r="AT273" s="67" t="str">
        <f aca="false">IF(ISBLANK($C273),"",IF($AF273=Constants!$B$7,IF(ISNUMBER(AQ273),COUNTIFS($AQ$8:$AQ$507,"&lt;"&amp;$AQ273)+COUNTIFS($AQ$8:$AQ$507,$AQ273,$AS$8:$AS$507,"&lt;"&amp;$AS273)+1,Constants!$B$14),$AF273))</f>
        <v/>
      </c>
      <c r="AU273" s="67" t="str">
        <f aca="false">IF(ISBLANK($C273),"",IF($AF273=Constants!$B$7,IF(ISNUMBER(AQ273),AQ273-AT273,Constants!$B$14),$AF273))</f>
        <v/>
      </c>
      <c r="AV273" s="69"/>
      <c r="AW273" s="70" t="str">
        <f aca="false">IF(ISBLANK($C273),"",IF($AF273&lt;&gt;Constants!$B$7,"",AN273))</f>
        <v/>
      </c>
      <c r="AX273" s="85" t="str">
        <f aca="false">IF(ISBLANK($C273),"",IF($AF273&lt;&gt;Constants!$B$7,"",IF(AN273=1,AH273,AK273)))</f>
        <v/>
      </c>
      <c r="AY273" s="72" t="str">
        <f aca="false">IF(ISBLANK($C273),"",IF($AF273&lt;&gt;Constants!$B$7,"",IF(AN273=1,AI273,AL273)))</f>
        <v/>
      </c>
      <c r="AZ273" s="73" t="str">
        <f aca="false">IF(ISBLANK($C273),"",IF($AF273&lt;&gt;Constants!$B$7,$AF273,AP273))</f>
        <v/>
      </c>
      <c r="BA273" s="74" t="str">
        <f aca="false">IF(ISBLANK($C273),"",IF($AF273&lt;&gt;Constants!$B$7,$AF273,AG273))</f>
        <v/>
      </c>
      <c r="BB273" s="75" t="str">
        <f aca="false">IF(ISBLANK($C273),"",AU273)</f>
        <v/>
      </c>
      <c r="BC273" s="75" t="str">
        <f aca="false">IF(ISBLANK($C273),"",AT273)</f>
        <v/>
      </c>
      <c r="BD273" s="76" t="str">
        <f aca="false">IF(ISBLANK($C273),"",IFERROR(_xlfn.SWITCH(BC273,Constants!$B$4,COUNTA($C$8:$C$507)+2,Constants!$B$5,COUNTA($C$8:$C$507)+1,Constants!$B$6,COUNTA($C$8:$C$507)),BC273))</f>
        <v/>
      </c>
      <c r="BE273" s="5"/>
      <c r="BF273" s="77" t="n">
        <f aca="false">IF(OR(ISNUMBER(BC273),BC273=Constants!$B$4,BC273=Constants!$B$6,BC273=Constants!$B$5),1,0)</f>
        <v>0</v>
      </c>
      <c r="BG273" s="77" t="n">
        <v>266</v>
      </c>
      <c r="BH273" s="77" t="str">
        <f aca="false">IF(ISBLANK($C273),"",IF(ISNUMBER(BD273),BD273+ROW($B273)/1000,""))</f>
        <v/>
      </c>
      <c r="BI273" s="77" t="str">
        <f aca="false">IF(ISNUMBER(BH273),RANK(BH273,$BH$8:$BH$507,1),"")</f>
        <v/>
      </c>
      <c r="BJ273" s="77" t="str">
        <f aca="false">IF(ISBLANK($C273),"",$B273)</f>
        <v/>
      </c>
      <c r="BK273" s="77" t="str">
        <f aca="false">IF(ISBLANK($C273),"",$C273)</f>
        <v/>
      </c>
      <c r="BL273" s="77" t="str">
        <f aca="false">IF(ISBLANK($C273),"",$D273)</f>
        <v/>
      </c>
      <c r="BM273" s="78" t="str">
        <f aca="false">BA273</f>
        <v/>
      </c>
      <c r="BN273" s="79" t="str">
        <f aca="false">AZ273</f>
        <v/>
      </c>
      <c r="BO273" s="77" t="str">
        <f aca="false">IF(ISBLANK($C273),"",BC273)</f>
        <v/>
      </c>
      <c r="BP273" s="80" t="str">
        <f aca="false">IF($BG273&gt;$BF$7,"",VLOOKUP($BG273,$BI$8:$BO$507,7,FALSE()))</f>
        <v/>
      </c>
      <c r="BQ273" s="81" t="str">
        <f aca="false">IF($BG273&gt;$BF$7,"",VLOOKUP($BG273,$BI$8:$BO$507,2,FALSE()))</f>
        <v/>
      </c>
      <c r="BR273" s="81" t="str">
        <f aca="false">IF($BG273&gt;$BF$7,"",VLOOKUP($BG273,$BI$8:$BO$507,3,FALSE()))</f>
        <v/>
      </c>
      <c r="BS273" s="81" t="str">
        <f aca="false">IF($BG273&gt;$BF$7,"",VLOOKUP($BG273,$BI$8:$BO$507,4,FALSE()))</f>
        <v/>
      </c>
      <c r="BT273" s="81" t="str">
        <f aca="false">IF($BG273&gt;$BF$7,"",VLOOKUP($BG273,$BI$8:$BO$507,5,FALSE()))</f>
        <v/>
      </c>
      <c r="BU273" s="82" t="str">
        <f aca="false">IF($BG273&gt;$BF$7,"",VLOOKUP($BG273,$BI$8:$BO$507,6,FALSE()))</f>
        <v/>
      </c>
      <c r="BV273" s="54"/>
    </row>
    <row r="274" customFormat="false" ht="15.75" hidden="false" customHeight="false" outlineLevel="0" collapsed="false">
      <c r="A274" s="5"/>
      <c r="B274" s="135"/>
      <c r="C274" s="56"/>
      <c r="D274" s="57"/>
      <c r="E274" s="84"/>
      <c r="F274" s="136"/>
      <c r="G274" s="60"/>
      <c r="H274" s="137"/>
      <c r="I274" s="62"/>
      <c r="J274" s="62"/>
      <c r="K274" s="60"/>
      <c r="L274" s="138"/>
      <c r="M274" s="62"/>
      <c r="N274" s="62"/>
      <c r="O274" s="60"/>
      <c r="P274" s="84"/>
      <c r="Q274" s="65"/>
      <c r="R274" s="67" t="str">
        <f aca="false">IF(ISBLANK($C274),"",IF(E274=Constants!$B$2, TRUE(), IF(E274=Constants!$B$3, FALSE(), TRUE())))</f>
        <v/>
      </c>
      <c r="S274" s="67" t="str">
        <f aca="false">IF(ISBLANK($C274),"",IF(F274=Constants!$B$2, TRUE(), IF(F274=Constants!$B$3, FALSE(), TRUE())))</f>
        <v/>
      </c>
      <c r="T274" s="67" t="str">
        <f aca="false">IF(ISBLANK($C274),"",IF(G274=Constants!$B$16,Constants!$B$9,IF(G274=Constants!$B$17,Constants!$B$10,Constants!$B$8)))</f>
        <v/>
      </c>
      <c r="U274" s="67" t="str">
        <f aca="false">IF(ISBLANK($C274),"",IF(H274=Constants!$B$19,Constants!$B$19,Constants!$B$18))</f>
        <v/>
      </c>
      <c r="V274" s="67" t="str">
        <f aca="false">IF(ISBLANK($C274),"",IF(ISNUMBER(I274),IF(I274&gt;=0,I274,""),""))</f>
        <v/>
      </c>
      <c r="W274" s="67" t="str">
        <f aca="false">IF(ISBLANK($C274),"",IF(J274=Constants!$B$2, TRUE(), IF(J274=Constants!$B$3, FALSE(), TRUE())))</f>
        <v/>
      </c>
      <c r="X274" s="67" t="str">
        <f aca="false">IF(ISBLANK($C274),"",IF(K274=Constants!$B$2, TRUE(), IF(K274=Constants!$B$3, FALSE(), TRUE())))</f>
        <v/>
      </c>
      <c r="Y274" s="67" t="str">
        <f aca="false">IF(ISBLANK($C274),"",IF(L274=Constants!$B$19,Constants!$B$19,Constants!$B$18))</f>
        <v/>
      </c>
      <c r="Z274" s="67" t="str">
        <f aca="false">IF(ISBLANK($C274),"",IF(ISNUMBER(M274),IF(M274&gt;=0,M274,""),""))</f>
        <v/>
      </c>
      <c r="AA274" s="67" t="str">
        <f aca="false">IF(ISBLANK($C274),"",IF(N274=Constants!$B$2, TRUE(), IF(N274=Constants!$B$3, FALSE(), TRUE())))</f>
        <v/>
      </c>
      <c r="AB274" s="67" t="str">
        <f aca="false">IF(ISBLANK($C274),"",IF(O274=Constants!$B$2, TRUE(), IF(O274=Constants!$B$3, FALSE(), TRUE())))</f>
        <v/>
      </c>
      <c r="AC274" s="67" t="str">
        <f aca="false">IF(ISBLANK($C274),"",IF(P274=Constants!$B$2, TRUE(), IF(P274=Constants!$B$3, FALSE(), FALSE())))</f>
        <v/>
      </c>
      <c r="AD274" s="67" t="str">
        <f aca="false">IF(ISBLANK($C274),"",AND(V274&lt;&gt;"",IF(U274=Constants!$B$19,S274,R274)))</f>
        <v/>
      </c>
      <c r="AE274" s="67" t="str">
        <f aca="false">IF(ISBLANK($C274),"",AND(Z274&lt;&gt;"",IF(Y274=Constants!$B$19,S274,R274)))</f>
        <v/>
      </c>
      <c r="AF274" s="67" t="str">
        <f aca="false">IF(ISBLANK($C274),"",IF(AC274,Constants!$B$4,IF(COUNTA(E274:O274)=0,Constants!$B$5,IF(AND(NOT(AD274),NOT(AE274)),Constants!$B$6,Constants!$B$7))))</f>
        <v/>
      </c>
      <c r="AG274" s="67" t="str">
        <f aca="false">IF(ISBLANK($C274),"",IF($AF274&lt;&gt;Constants!$B$7,$AF274,Constants!$B$20))</f>
        <v/>
      </c>
      <c r="AH274" s="67" t="str">
        <f aca="false">IF($AF274=Constants!$B$7,IF(AD274,V274,Constants!$B$13),"")</f>
        <v/>
      </c>
      <c r="AI274" s="67" t="str">
        <f aca="false">IF($AF274=Constants!$B$7,IF(AD274,T274*IF(W274, 1, Constants!$B$11)*IF(X274, 1, Constants!$B$12),Constants!$B$13),"")</f>
        <v/>
      </c>
      <c r="AJ274" s="67" t="str">
        <f aca="false">IF($AF274=Constants!$B$7,AH274*AI274,"")</f>
        <v/>
      </c>
      <c r="AK274" s="67" t="str">
        <f aca="false">IF($AF274=Constants!$B$7,IF(AE274,Z274,Constants!$B$13),"")</f>
        <v/>
      </c>
      <c r="AL274" s="67" t="str">
        <f aca="false">IF($AF274=Constants!$B$7,IF(AE274,T274*IF(AA274, 1, Constants!$B$11)*IF(AB274, 1, Constants!$B$12),Constants!$B$13),"")</f>
        <v/>
      </c>
      <c r="AM274" s="67" t="str">
        <f aca="false">IF($AF274=Constants!$B$7,AK274*AL274,"")</f>
        <v/>
      </c>
      <c r="AN274" s="67" t="str">
        <f aca="false">IF($AF274=Constants!$B$7,IF(AM274&gt;AJ274,2,1),"")</f>
        <v/>
      </c>
      <c r="AO274" s="67" t="str">
        <f aca="false">IF($AF274=Constants!$B$7,IF(AN274=1,2,1),"")</f>
        <v/>
      </c>
      <c r="AP274" s="67" t="str">
        <f aca="false">IF(ISBLANK($C274),"",IF($AF274&lt;&gt;Constants!$B$7,$AF274,IF(AN274=1,AJ274,AM274)))</f>
        <v/>
      </c>
      <c r="AQ274" s="67" t="str">
        <f aca="false">IF(ISBLANK($C274),"",IF($AF274=Constants!$B$7,IF(ISNUMBER(AP274),RANK(AP274,$AP$8:$AP$507),Constants!$B$14),$AF274))</f>
        <v/>
      </c>
      <c r="AR274" s="67" t="str">
        <f aca="false">IF(ISBLANK($C274),"",IF($AF274=Constants!$B$7,IF(AO274=1,AJ274,AM274),""))</f>
        <v/>
      </c>
      <c r="AS274" s="67" t="str">
        <f aca="false">IF(ISBLANK($C274),"",IF($AF274=Constants!$B$7,RANK(AR274,$AR$8:$AR$507),$AF274))</f>
        <v/>
      </c>
      <c r="AT274" s="67" t="str">
        <f aca="false">IF(ISBLANK($C274),"",IF($AF274=Constants!$B$7,IF(ISNUMBER(AQ274),COUNTIFS($AQ$8:$AQ$507,"&lt;"&amp;$AQ274)+COUNTIFS($AQ$8:$AQ$507,$AQ274,$AS$8:$AS$507,"&lt;"&amp;$AS274)+1,Constants!$B$14),$AF274))</f>
        <v/>
      </c>
      <c r="AU274" s="67" t="str">
        <f aca="false">IF(ISBLANK($C274),"",IF($AF274=Constants!$B$7,IF(ISNUMBER(AQ274),AQ274-AT274,Constants!$B$14),$AF274))</f>
        <v/>
      </c>
      <c r="AV274" s="69"/>
      <c r="AW274" s="70" t="str">
        <f aca="false">IF(ISBLANK($C274),"",IF($AF274&lt;&gt;Constants!$B$7,"",AN274))</f>
        <v/>
      </c>
      <c r="AX274" s="85" t="str">
        <f aca="false">IF(ISBLANK($C274),"",IF($AF274&lt;&gt;Constants!$B$7,"",IF(AN274=1,AH274,AK274)))</f>
        <v/>
      </c>
      <c r="AY274" s="72" t="str">
        <f aca="false">IF(ISBLANK($C274),"",IF($AF274&lt;&gt;Constants!$B$7,"",IF(AN274=1,AI274,AL274)))</f>
        <v/>
      </c>
      <c r="AZ274" s="73" t="str">
        <f aca="false">IF(ISBLANK($C274),"",IF($AF274&lt;&gt;Constants!$B$7,$AF274,AP274))</f>
        <v/>
      </c>
      <c r="BA274" s="74" t="str">
        <f aca="false">IF(ISBLANK($C274),"",IF($AF274&lt;&gt;Constants!$B$7,$AF274,AG274))</f>
        <v/>
      </c>
      <c r="BB274" s="75" t="str">
        <f aca="false">IF(ISBLANK($C274),"",AU274)</f>
        <v/>
      </c>
      <c r="BC274" s="75" t="str">
        <f aca="false">IF(ISBLANK($C274),"",AT274)</f>
        <v/>
      </c>
      <c r="BD274" s="76" t="str">
        <f aca="false">IF(ISBLANK($C274),"",IFERROR(_xlfn.SWITCH(BC274,Constants!$B$4,COUNTA($C$8:$C$507)+2,Constants!$B$5,COUNTA($C$8:$C$507)+1,Constants!$B$6,COUNTA($C$8:$C$507)),BC274))</f>
        <v/>
      </c>
      <c r="BE274" s="5"/>
      <c r="BF274" s="77" t="n">
        <f aca="false">IF(OR(ISNUMBER(BC274),BC274=Constants!$B$4,BC274=Constants!$B$6,BC274=Constants!$B$5),1,0)</f>
        <v>0</v>
      </c>
      <c r="BG274" s="77" t="n">
        <v>267</v>
      </c>
      <c r="BH274" s="77" t="str">
        <f aca="false">IF(ISBLANK($C274),"",IF(ISNUMBER(BD274),BD274+ROW($B274)/1000,""))</f>
        <v/>
      </c>
      <c r="BI274" s="77" t="str">
        <f aca="false">IF(ISNUMBER(BH274),RANK(BH274,$BH$8:$BH$507,1),"")</f>
        <v/>
      </c>
      <c r="BJ274" s="77" t="str">
        <f aca="false">IF(ISBLANK($C274),"",$B274)</f>
        <v/>
      </c>
      <c r="BK274" s="77" t="str">
        <f aca="false">IF(ISBLANK($C274),"",$C274)</f>
        <v/>
      </c>
      <c r="BL274" s="77" t="str">
        <f aca="false">IF(ISBLANK($C274),"",$D274)</f>
        <v/>
      </c>
      <c r="BM274" s="78" t="str">
        <f aca="false">BA274</f>
        <v/>
      </c>
      <c r="BN274" s="79" t="str">
        <f aca="false">AZ274</f>
        <v/>
      </c>
      <c r="BO274" s="77" t="str">
        <f aca="false">IF(ISBLANK($C274),"",BC274)</f>
        <v/>
      </c>
      <c r="BP274" s="80" t="str">
        <f aca="false">IF($BG274&gt;$BF$7,"",VLOOKUP($BG274,$BI$8:$BO$507,7,FALSE()))</f>
        <v/>
      </c>
      <c r="BQ274" s="81" t="str">
        <f aca="false">IF($BG274&gt;$BF$7,"",VLOOKUP($BG274,$BI$8:$BO$507,2,FALSE()))</f>
        <v/>
      </c>
      <c r="BR274" s="81" t="str">
        <f aca="false">IF($BG274&gt;$BF$7,"",VLOOKUP($BG274,$BI$8:$BO$507,3,FALSE()))</f>
        <v/>
      </c>
      <c r="BS274" s="81" t="str">
        <f aca="false">IF($BG274&gt;$BF$7,"",VLOOKUP($BG274,$BI$8:$BO$507,4,FALSE()))</f>
        <v/>
      </c>
      <c r="BT274" s="81" t="str">
        <f aca="false">IF($BG274&gt;$BF$7,"",VLOOKUP($BG274,$BI$8:$BO$507,5,FALSE()))</f>
        <v/>
      </c>
      <c r="BU274" s="82" t="str">
        <f aca="false">IF($BG274&gt;$BF$7,"",VLOOKUP($BG274,$BI$8:$BO$507,6,FALSE()))</f>
        <v/>
      </c>
      <c r="BV274" s="54"/>
    </row>
    <row r="275" customFormat="false" ht="15.75" hidden="false" customHeight="false" outlineLevel="0" collapsed="false">
      <c r="A275" s="5"/>
      <c r="B275" s="128"/>
      <c r="C275" s="129"/>
      <c r="D275" s="114"/>
      <c r="E275" s="134"/>
      <c r="F275" s="139"/>
      <c r="G275" s="93"/>
      <c r="H275" s="140"/>
      <c r="I275" s="95"/>
      <c r="J275" s="95"/>
      <c r="K275" s="93"/>
      <c r="L275" s="141"/>
      <c r="M275" s="95"/>
      <c r="N275" s="95"/>
      <c r="O275" s="93"/>
      <c r="P275" s="134"/>
      <c r="Q275" s="98"/>
      <c r="R275" s="99" t="str">
        <f aca="false">IF(ISBLANK($C275),"",IF(E275=Constants!$B$2, TRUE(), IF(E275=Constants!$B$3, FALSE(), TRUE())))</f>
        <v/>
      </c>
      <c r="S275" s="99" t="str">
        <f aca="false">IF(ISBLANK($C275),"",IF(F275=Constants!$B$2, TRUE(), IF(F275=Constants!$B$3, FALSE(), TRUE())))</f>
        <v/>
      </c>
      <c r="T275" s="99" t="str">
        <f aca="false">IF(ISBLANK($C275),"",IF(G275=Constants!$B$16,Constants!$B$9,IF(G275=Constants!$B$17,Constants!$B$10,Constants!$B$8)))</f>
        <v/>
      </c>
      <c r="U275" s="99" t="str">
        <f aca="false">IF(ISBLANK($C275),"",IF(H275=Constants!$B$19,Constants!$B$19,Constants!$B$18))</f>
        <v/>
      </c>
      <c r="V275" s="99" t="str">
        <f aca="false">IF(ISBLANK($C275),"",IF(ISNUMBER(I275),IF(I275&gt;=0,I275,""),""))</f>
        <v/>
      </c>
      <c r="W275" s="99" t="str">
        <f aca="false">IF(ISBLANK($C275),"",IF(J275=Constants!$B$2, TRUE(), IF(J275=Constants!$B$3, FALSE(), TRUE())))</f>
        <v/>
      </c>
      <c r="X275" s="99" t="str">
        <f aca="false">IF(ISBLANK($C275),"",IF(K275=Constants!$B$2, TRUE(), IF(K275=Constants!$B$3, FALSE(), TRUE())))</f>
        <v/>
      </c>
      <c r="Y275" s="99" t="str">
        <f aca="false">IF(ISBLANK($C275),"",IF(L275=Constants!$B$19,Constants!$B$19,Constants!$B$18))</f>
        <v/>
      </c>
      <c r="Z275" s="99" t="str">
        <f aca="false">IF(ISBLANK($C275),"",IF(ISNUMBER(M275),IF(M275&gt;=0,M275,""),""))</f>
        <v/>
      </c>
      <c r="AA275" s="99" t="str">
        <f aca="false">IF(ISBLANK($C275),"",IF(N275=Constants!$B$2, TRUE(), IF(N275=Constants!$B$3, FALSE(), TRUE())))</f>
        <v/>
      </c>
      <c r="AB275" s="99" t="str">
        <f aca="false">IF(ISBLANK($C275),"",IF(O275=Constants!$B$2, TRUE(), IF(O275=Constants!$B$3, FALSE(), TRUE())))</f>
        <v/>
      </c>
      <c r="AC275" s="99" t="str">
        <f aca="false">IF(ISBLANK($C275),"",IF(P275=Constants!$B$2, TRUE(), IF(P275=Constants!$B$3, FALSE(), FALSE())))</f>
        <v/>
      </c>
      <c r="AD275" s="99" t="str">
        <f aca="false">IF(ISBLANK($C275),"",AND(V275&lt;&gt;"",IF(U275=Constants!$B$19,S275,R275)))</f>
        <v/>
      </c>
      <c r="AE275" s="99" t="str">
        <f aca="false">IF(ISBLANK($C275),"",AND(Z275&lt;&gt;"",IF(Y275=Constants!$B$19,S275,R275)))</f>
        <v/>
      </c>
      <c r="AF275" s="99" t="str">
        <f aca="false">IF(ISBLANK($C275),"",IF(AC275,Constants!$B$4,IF(COUNTA(E275:O275)=0,Constants!$B$5,IF(AND(NOT(AD275),NOT(AE275)),Constants!$B$6,Constants!$B$7))))</f>
        <v/>
      </c>
      <c r="AG275" s="99" t="str">
        <f aca="false">IF(ISBLANK($C275),"",IF($AF275&lt;&gt;Constants!$B$7,$AF275,Constants!$B$20))</f>
        <v/>
      </c>
      <c r="AH275" s="99" t="str">
        <f aca="false">IF($AF275=Constants!$B$7,IF(AD275,V275,Constants!$B$13),"")</f>
        <v/>
      </c>
      <c r="AI275" s="99" t="str">
        <f aca="false">IF($AF275=Constants!$B$7,IF(AD275,T275*IF(W275, 1, Constants!$B$11)*IF(X275, 1, Constants!$B$12),Constants!$B$13),"")</f>
        <v/>
      </c>
      <c r="AJ275" s="99" t="str">
        <f aca="false">IF($AF275=Constants!$B$7,AH275*AI275,"")</f>
        <v/>
      </c>
      <c r="AK275" s="99" t="str">
        <f aca="false">IF($AF275=Constants!$B$7,IF(AE275,Z275,Constants!$B$13),"")</f>
        <v/>
      </c>
      <c r="AL275" s="99" t="str">
        <f aca="false">IF($AF275=Constants!$B$7,IF(AE275,T275*IF(AA275, 1, Constants!$B$11)*IF(AB275, 1, Constants!$B$12),Constants!$B$13),"")</f>
        <v/>
      </c>
      <c r="AM275" s="99" t="str">
        <f aca="false">IF($AF275=Constants!$B$7,AK275*AL275,"")</f>
        <v/>
      </c>
      <c r="AN275" s="99" t="str">
        <f aca="false">IF($AF275=Constants!$B$7,IF(AM275&gt;AJ275,2,1),"")</f>
        <v/>
      </c>
      <c r="AO275" s="99" t="str">
        <f aca="false">IF($AF275=Constants!$B$7,IF(AN275=1,2,1),"")</f>
        <v/>
      </c>
      <c r="AP275" s="99" t="str">
        <f aca="false">IF(ISBLANK($C275),"",IF($AF275&lt;&gt;Constants!$B$7,$AF275,IF(AN275=1,AJ275,AM275)))</f>
        <v/>
      </c>
      <c r="AQ275" s="99" t="str">
        <f aca="false">IF(ISBLANK($C275),"",IF($AF275=Constants!$B$7,IF(ISNUMBER(AP275),RANK(AP275,$AP$8:$AP$507),Constants!$B$14),$AF275))</f>
        <v/>
      </c>
      <c r="AR275" s="99" t="str">
        <f aca="false">IF(ISBLANK($C275),"",IF($AF275=Constants!$B$7,IF(AO275=1,AJ275,AM275),""))</f>
        <v/>
      </c>
      <c r="AS275" s="99" t="str">
        <f aca="false">IF(ISBLANK($C275),"",IF($AF275=Constants!$B$7,RANK(AR275,$AR$8:$AR$507),$AF275))</f>
        <v/>
      </c>
      <c r="AT275" s="99" t="str">
        <f aca="false">IF(ISBLANK($C275),"",IF($AF275=Constants!$B$7,IF(ISNUMBER(AQ275),COUNTIFS($AQ$8:$AQ$507,"&lt;"&amp;$AQ275)+COUNTIFS($AQ$8:$AQ$507,$AQ275,$AS$8:$AS$507,"&lt;"&amp;$AS275)+1,Constants!$B$14),$AF275))</f>
        <v/>
      </c>
      <c r="AU275" s="99" t="str">
        <f aca="false">IF(ISBLANK($C275),"",IF($AF275=Constants!$B$7,IF(ISNUMBER(AQ275),AQ275-AT275,Constants!$B$14),$AF275))</f>
        <v/>
      </c>
      <c r="AV275" s="100"/>
      <c r="AW275" s="101" t="str">
        <f aca="false">IF(ISBLANK($C275),"",IF($AF275&lt;&gt;Constants!$B$7,"",AN275))</f>
        <v/>
      </c>
      <c r="AX275" s="102" t="str">
        <f aca="false">IF(ISBLANK($C275),"",IF($AF275&lt;&gt;Constants!$B$7,"",IF(AN275=1,AH275,AK275)))</f>
        <v/>
      </c>
      <c r="AY275" s="103" t="str">
        <f aca="false">IF(ISBLANK($C275),"",IF($AF275&lt;&gt;Constants!$B$7,"",IF(AN275=1,AI275,AL275)))</f>
        <v/>
      </c>
      <c r="AZ275" s="104" t="str">
        <f aca="false">IF(ISBLANK($C275),"",IF($AF275&lt;&gt;Constants!$B$7,$AF275,AP275))</f>
        <v/>
      </c>
      <c r="BA275" s="105" t="str">
        <f aca="false">IF(ISBLANK($C275),"",IF($AF275&lt;&gt;Constants!$B$7,$AF275,AG275))</f>
        <v/>
      </c>
      <c r="BB275" s="106" t="str">
        <f aca="false">IF(ISBLANK($C275),"",AU275)</f>
        <v/>
      </c>
      <c r="BC275" s="106" t="str">
        <f aca="false">IF(ISBLANK($C275),"",AT275)</f>
        <v/>
      </c>
      <c r="BD275" s="107" t="str">
        <f aca="false">IF(ISBLANK($C275),"",IFERROR(_xlfn.SWITCH(BC275,Constants!$B$4,COUNTA($C$8:$C$507)+2,Constants!$B$5,COUNTA($C$8:$C$507)+1,Constants!$B$6,COUNTA($C$8:$C$507)),BC275))</f>
        <v/>
      </c>
      <c r="BE275" s="5"/>
      <c r="BF275" s="108" t="n">
        <f aca="false">IF(OR(ISNUMBER(BC275),BC275=Constants!$B$4,BC275=Constants!$B$6,BC275=Constants!$B$5),1,0)</f>
        <v>0</v>
      </c>
      <c r="BG275" s="108" t="n">
        <v>268</v>
      </c>
      <c r="BH275" s="108" t="str">
        <f aca="false">IF(ISBLANK($C275),"",IF(ISNUMBER(BD275),BD275+ROW($B275)/1000,""))</f>
        <v/>
      </c>
      <c r="BI275" s="108" t="str">
        <f aca="false">IF(ISNUMBER(BH275),RANK(BH275,$BH$8:$BH$507,1),"")</f>
        <v/>
      </c>
      <c r="BJ275" s="108" t="str">
        <f aca="false">IF(ISBLANK($C275),"",$B275)</f>
        <v/>
      </c>
      <c r="BK275" s="108" t="str">
        <f aca="false">IF(ISBLANK($C275),"",$C275)</f>
        <v/>
      </c>
      <c r="BL275" s="108" t="str">
        <f aca="false">IF(ISBLANK($C275),"",$D275)</f>
        <v/>
      </c>
      <c r="BM275" s="109" t="str">
        <f aca="false">BA275</f>
        <v/>
      </c>
      <c r="BN275" s="110" t="str">
        <f aca="false">AZ275</f>
        <v/>
      </c>
      <c r="BO275" s="108" t="str">
        <f aca="false">IF(ISBLANK($C275),"",BC275)</f>
        <v/>
      </c>
      <c r="BP275" s="111" t="str">
        <f aca="false">IF($BG275&gt;$BF$7,"",VLOOKUP($BG275,$BI$8:$BO$507,7,FALSE()))</f>
        <v/>
      </c>
      <c r="BQ275" s="112" t="str">
        <f aca="false">IF($BG275&gt;$BF$7,"",VLOOKUP($BG275,$BI$8:$BO$507,2,FALSE()))</f>
        <v/>
      </c>
      <c r="BR275" s="112" t="str">
        <f aca="false">IF($BG275&gt;$BF$7,"",VLOOKUP($BG275,$BI$8:$BO$507,3,FALSE()))</f>
        <v/>
      </c>
      <c r="BS275" s="112" t="str">
        <f aca="false">IF($BG275&gt;$BF$7,"",VLOOKUP($BG275,$BI$8:$BO$507,4,FALSE()))</f>
        <v/>
      </c>
      <c r="BT275" s="112" t="str">
        <f aca="false">IF($BG275&gt;$BF$7,"",VLOOKUP($BG275,$BI$8:$BO$507,5,FALSE()))</f>
        <v/>
      </c>
      <c r="BU275" s="113" t="str">
        <f aca="false">IF($BG275&gt;$BF$7,"",VLOOKUP($BG275,$BI$8:$BO$507,6,FALSE()))</f>
        <v/>
      </c>
      <c r="BV275" s="54"/>
    </row>
    <row r="276" customFormat="false" ht="15.75" hidden="false" customHeight="false" outlineLevel="0" collapsed="false">
      <c r="A276" s="5"/>
      <c r="B276" s="128"/>
      <c r="C276" s="129"/>
      <c r="D276" s="114"/>
      <c r="E276" s="134"/>
      <c r="F276" s="139"/>
      <c r="G276" s="93"/>
      <c r="H276" s="140"/>
      <c r="I276" s="95"/>
      <c r="J276" s="95"/>
      <c r="K276" s="93"/>
      <c r="L276" s="141"/>
      <c r="M276" s="95"/>
      <c r="N276" s="95"/>
      <c r="O276" s="93"/>
      <c r="P276" s="134"/>
      <c r="Q276" s="98"/>
      <c r="R276" s="99" t="str">
        <f aca="false">IF(ISBLANK($C276),"",IF(E276=Constants!$B$2, TRUE(), IF(E276=Constants!$B$3, FALSE(), TRUE())))</f>
        <v/>
      </c>
      <c r="S276" s="99" t="str">
        <f aca="false">IF(ISBLANK($C276),"",IF(F276=Constants!$B$2, TRUE(), IF(F276=Constants!$B$3, FALSE(), TRUE())))</f>
        <v/>
      </c>
      <c r="T276" s="99" t="str">
        <f aca="false">IF(ISBLANK($C276),"",IF(G276=Constants!$B$16,Constants!$B$9,IF(G276=Constants!$B$17,Constants!$B$10,Constants!$B$8)))</f>
        <v/>
      </c>
      <c r="U276" s="99" t="str">
        <f aca="false">IF(ISBLANK($C276),"",IF(H276=Constants!$B$19,Constants!$B$19,Constants!$B$18))</f>
        <v/>
      </c>
      <c r="V276" s="99" t="str">
        <f aca="false">IF(ISBLANK($C276),"",IF(ISNUMBER(I276),IF(I276&gt;=0,I276,""),""))</f>
        <v/>
      </c>
      <c r="W276" s="99" t="str">
        <f aca="false">IF(ISBLANK($C276),"",IF(J276=Constants!$B$2, TRUE(), IF(J276=Constants!$B$3, FALSE(), TRUE())))</f>
        <v/>
      </c>
      <c r="X276" s="99" t="str">
        <f aca="false">IF(ISBLANK($C276),"",IF(K276=Constants!$B$2, TRUE(), IF(K276=Constants!$B$3, FALSE(), TRUE())))</f>
        <v/>
      </c>
      <c r="Y276" s="99" t="str">
        <f aca="false">IF(ISBLANK($C276),"",IF(L276=Constants!$B$19,Constants!$B$19,Constants!$B$18))</f>
        <v/>
      </c>
      <c r="Z276" s="99" t="str">
        <f aca="false">IF(ISBLANK($C276),"",IF(ISNUMBER(M276),IF(M276&gt;=0,M276,""),""))</f>
        <v/>
      </c>
      <c r="AA276" s="99" t="str">
        <f aca="false">IF(ISBLANK($C276),"",IF(N276=Constants!$B$2, TRUE(), IF(N276=Constants!$B$3, FALSE(), TRUE())))</f>
        <v/>
      </c>
      <c r="AB276" s="99" t="str">
        <f aca="false">IF(ISBLANK($C276),"",IF(O276=Constants!$B$2, TRUE(), IF(O276=Constants!$B$3, FALSE(), TRUE())))</f>
        <v/>
      </c>
      <c r="AC276" s="99" t="str">
        <f aca="false">IF(ISBLANK($C276),"",IF(P276=Constants!$B$2, TRUE(), IF(P276=Constants!$B$3, FALSE(), FALSE())))</f>
        <v/>
      </c>
      <c r="AD276" s="99" t="str">
        <f aca="false">IF(ISBLANK($C276),"",AND(V276&lt;&gt;"",IF(U276=Constants!$B$19,S276,R276)))</f>
        <v/>
      </c>
      <c r="AE276" s="99" t="str">
        <f aca="false">IF(ISBLANK($C276),"",AND(Z276&lt;&gt;"",IF(Y276=Constants!$B$19,S276,R276)))</f>
        <v/>
      </c>
      <c r="AF276" s="99" t="str">
        <f aca="false">IF(ISBLANK($C276),"",IF(AC276,Constants!$B$4,IF(COUNTA(E276:O276)=0,Constants!$B$5,IF(AND(NOT(AD276),NOT(AE276)),Constants!$B$6,Constants!$B$7))))</f>
        <v/>
      </c>
      <c r="AG276" s="99" t="str">
        <f aca="false">IF(ISBLANK($C276),"",IF($AF276&lt;&gt;Constants!$B$7,$AF276,Constants!$B$20))</f>
        <v/>
      </c>
      <c r="AH276" s="99" t="str">
        <f aca="false">IF($AF276=Constants!$B$7,IF(AD276,V276,Constants!$B$13),"")</f>
        <v/>
      </c>
      <c r="AI276" s="99" t="str">
        <f aca="false">IF($AF276=Constants!$B$7,IF(AD276,T276*IF(W276, 1, Constants!$B$11)*IF(X276, 1, Constants!$B$12),Constants!$B$13),"")</f>
        <v/>
      </c>
      <c r="AJ276" s="99" t="str">
        <f aca="false">IF($AF276=Constants!$B$7,AH276*AI276,"")</f>
        <v/>
      </c>
      <c r="AK276" s="99" t="str">
        <f aca="false">IF($AF276=Constants!$B$7,IF(AE276,Z276,Constants!$B$13),"")</f>
        <v/>
      </c>
      <c r="AL276" s="99" t="str">
        <f aca="false">IF($AF276=Constants!$B$7,IF(AE276,T276*IF(AA276, 1, Constants!$B$11)*IF(AB276, 1, Constants!$B$12),Constants!$B$13),"")</f>
        <v/>
      </c>
      <c r="AM276" s="99" t="str">
        <f aca="false">IF($AF276=Constants!$B$7,AK276*AL276,"")</f>
        <v/>
      </c>
      <c r="AN276" s="99" t="str">
        <f aca="false">IF($AF276=Constants!$B$7,IF(AM276&gt;AJ276,2,1),"")</f>
        <v/>
      </c>
      <c r="AO276" s="99" t="str">
        <f aca="false">IF($AF276=Constants!$B$7,IF(AN276=1,2,1),"")</f>
        <v/>
      </c>
      <c r="AP276" s="99" t="str">
        <f aca="false">IF(ISBLANK($C276),"",IF($AF276&lt;&gt;Constants!$B$7,$AF276,IF(AN276=1,AJ276,AM276)))</f>
        <v/>
      </c>
      <c r="AQ276" s="99" t="str">
        <f aca="false">IF(ISBLANK($C276),"",IF($AF276=Constants!$B$7,IF(ISNUMBER(AP276),RANK(AP276,$AP$8:$AP$507),Constants!$B$14),$AF276))</f>
        <v/>
      </c>
      <c r="AR276" s="99" t="str">
        <f aca="false">IF(ISBLANK($C276),"",IF($AF276=Constants!$B$7,IF(AO276=1,AJ276,AM276),""))</f>
        <v/>
      </c>
      <c r="AS276" s="99" t="str">
        <f aca="false">IF(ISBLANK($C276),"",IF($AF276=Constants!$B$7,RANK(AR276,$AR$8:$AR$507),$AF276))</f>
        <v/>
      </c>
      <c r="AT276" s="99" t="str">
        <f aca="false">IF(ISBLANK($C276),"",IF($AF276=Constants!$B$7,IF(ISNUMBER(AQ276),COUNTIFS($AQ$8:$AQ$507,"&lt;"&amp;$AQ276)+COUNTIFS($AQ$8:$AQ$507,$AQ276,$AS$8:$AS$507,"&lt;"&amp;$AS276)+1,Constants!$B$14),$AF276))</f>
        <v/>
      </c>
      <c r="AU276" s="99" t="str">
        <f aca="false">IF(ISBLANK($C276),"",IF($AF276=Constants!$B$7,IF(ISNUMBER(AQ276),AQ276-AT276,Constants!$B$14),$AF276))</f>
        <v/>
      </c>
      <c r="AV276" s="100"/>
      <c r="AW276" s="101" t="str">
        <f aca="false">IF(ISBLANK($C276),"",IF($AF276&lt;&gt;Constants!$B$7,"",AN276))</f>
        <v/>
      </c>
      <c r="AX276" s="102" t="str">
        <f aca="false">IF(ISBLANK($C276),"",IF($AF276&lt;&gt;Constants!$B$7,"",IF(AN276=1,AH276,AK276)))</f>
        <v/>
      </c>
      <c r="AY276" s="103" t="str">
        <f aca="false">IF(ISBLANK($C276),"",IF($AF276&lt;&gt;Constants!$B$7,"",IF(AN276=1,AI276,AL276)))</f>
        <v/>
      </c>
      <c r="AZ276" s="104" t="str">
        <f aca="false">IF(ISBLANK($C276),"",IF($AF276&lt;&gt;Constants!$B$7,$AF276,AP276))</f>
        <v/>
      </c>
      <c r="BA276" s="105" t="str">
        <f aca="false">IF(ISBLANK($C276),"",IF($AF276&lt;&gt;Constants!$B$7,$AF276,AG276))</f>
        <v/>
      </c>
      <c r="BB276" s="106" t="str">
        <f aca="false">IF(ISBLANK($C276),"",AU276)</f>
        <v/>
      </c>
      <c r="BC276" s="106" t="str">
        <f aca="false">IF(ISBLANK($C276),"",AT276)</f>
        <v/>
      </c>
      <c r="BD276" s="107" t="str">
        <f aca="false">IF(ISBLANK($C276),"",IFERROR(_xlfn.SWITCH(BC276,Constants!$B$4,COUNTA($C$8:$C$507)+2,Constants!$B$5,COUNTA($C$8:$C$507)+1,Constants!$B$6,COUNTA($C$8:$C$507)),BC276))</f>
        <v/>
      </c>
      <c r="BE276" s="5"/>
      <c r="BF276" s="108" t="n">
        <f aca="false">IF(OR(ISNUMBER(BC276),BC276=Constants!$B$4,BC276=Constants!$B$6,BC276=Constants!$B$5),1,0)</f>
        <v>0</v>
      </c>
      <c r="BG276" s="108" t="n">
        <v>269</v>
      </c>
      <c r="BH276" s="108" t="str">
        <f aca="false">IF(ISBLANK($C276),"",IF(ISNUMBER(BD276),BD276+ROW($B276)/1000,""))</f>
        <v/>
      </c>
      <c r="BI276" s="108" t="str">
        <f aca="false">IF(ISNUMBER(BH276),RANK(BH276,$BH$8:$BH$507,1),"")</f>
        <v/>
      </c>
      <c r="BJ276" s="108" t="str">
        <f aca="false">IF(ISBLANK($C276),"",$B276)</f>
        <v/>
      </c>
      <c r="BK276" s="108" t="str">
        <f aca="false">IF(ISBLANK($C276),"",$C276)</f>
        <v/>
      </c>
      <c r="BL276" s="108" t="str">
        <f aca="false">IF(ISBLANK($C276),"",$D276)</f>
        <v/>
      </c>
      <c r="BM276" s="109" t="str">
        <f aca="false">BA276</f>
        <v/>
      </c>
      <c r="BN276" s="110" t="str">
        <f aca="false">AZ276</f>
        <v/>
      </c>
      <c r="BO276" s="108" t="str">
        <f aca="false">IF(ISBLANK($C276),"",BC276)</f>
        <v/>
      </c>
      <c r="BP276" s="111" t="str">
        <f aca="false">IF($BG276&gt;$BF$7,"",VLOOKUP($BG276,$BI$8:$BO$507,7,FALSE()))</f>
        <v/>
      </c>
      <c r="BQ276" s="112" t="str">
        <f aca="false">IF($BG276&gt;$BF$7,"",VLOOKUP($BG276,$BI$8:$BO$507,2,FALSE()))</f>
        <v/>
      </c>
      <c r="BR276" s="112" t="str">
        <f aca="false">IF($BG276&gt;$BF$7,"",VLOOKUP($BG276,$BI$8:$BO$507,3,FALSE()))</f>
        <v/>
      </c>
      <c r="BS276" s="112" t="str">
        <f aca="false">IF($BG276&gt;$BF$7,"",VLOOKUP($BG276,$BI$8:$BO$507,4,FALSE()))</f>
        <v/>
      </c>
      <c r="BT276" s="112" t="str">
        <f aca="false">IF($BG276&gt;$BF$7,"",VLOOKUP($BG276,$BI$8:$BO$507,5,FALSE()))</f>
        <v/>
      </c>
      <c r="BU276" s="113" t="str">
        <f aca="false">IF($BG276&gt;$BF$7,"",VLOOKUP($BG276,$BI$8:$BO$507,6,FALSE()))</f>
        <v/>
      </c>
      <c r="BV276" s="54"/>
    </row>
    <row r="277" customFormat="false" ht="15.75" hidden="false" customHeight="false" outlineLevel="0" collapsed="false">
      <c r="A277" s="5"/>
      <c r="B277" s="128"/>
      <c r="C277" s="129"/>
      <c r="D277" s="114"/>
      <c r="E277" s="134"/>
      <c r="F277" s="139"/>
      <c r="G277" s="93"/>
      <c r="H277" s="140"/>
      <c r="I277" s="95"/>
      <c r="J277" s="95"/>
      <c r="K277" s="93"/>
      <c r="L277" s="141"/>
      <c r="M277" s="95"/>
      <c r="N277" s="95"/>
      <c r="O277" s="93"/>
      <c r="P277" s="134"/>
      <c r="Q277" s="98"/>
      <c r="R277" s="99" t="str">
        <f aca="false">IF(ISBLANK($C277),"",IF(E277=Constants!$B$2, TRUE(), IF(E277=Constants!$B$3, FALSE(), TRUE())))</f>
        <v/>
      </c>
      <c r="S277" s="99" t="str">
        <f aca="false">IF(ISBLANK($C277),"",IF(F277=Constants!$B$2, TRUE(), IF(F277=Constants!$B$3, FALSE(), TRUE())))</f>
        <v/>
      </c>
      <c r="T277" s="99" t="str">
        <f aca="false">IF(ISBLANK($C277),"",IF(G277=Constants!$B$16,Constants!$B$9,IF(G277=Constants!$B$17,Constants!$B$10,Constants!$B$8)))</f>
        <v/>
      </c>
      <c r="U277" s="99" t="str">
        <f aca="false">IF(ISBLANK($C277),"",IF(H277=Constants!$B$19,Constants!$B$19,Constants!$B$18))</f>
        <v/>
      </c>
      <c r="V277" s="99" t="str">
        <f aca="false">IF(ISBLANK($C277),"",IF(ISNUMBER(I277),IF(I277&gt;=0,I277,""),""))</f>
        <v/>
      </c>
      <c r="W277" s="99" t="str">
        <f aca="false">IF(ISBLANK($C277),"",IF(J277=Constants!$B$2, TRUE(), IF(J277=Constants!$B$3, FALSE(), TRUE())))</f>
        <v/>
      </c>
      <c r="X277" s="99" t="str">
        <f aca="false">IF(ISBLANK($C277),"",IF(K277=Constants!$B$2, TRUE(), IF(K277=Constants!$B$3, FALSE(), TRUE())))</f>
        <v/>
      </c>
      <c r="Y277" s="99" t="str">
        <f aca="false">IF(ISBLANK($C277),"",IF(L277=Constants!$B$19,Constants!$B$19,Constants!$B$18))</f>
        <v/>
      </c>
      <c r="Z277" s="99" t="str">
        <f aca="false">IF(ISBLANK($C277),"",IF(ISNUMBER(M277),IF(M277&gt;=0,M277,""),""))</f>
        <v/>
      </c>
      <c r="AA277" s="99" t="str">
        <f aca="false">IF(ISBLANK($C277),"",IF(N277=Constants!$B$2, TRUE(), IF(N277=Constants!$B$3, FALSE(), TRUE())))</f>
        <v/>
      </c>
      <c r="AB277" s="99" t="str">
        <f aca="false">IF(ISBLANK($C277),"",IF(O277=Constants!$B$2, TRUE(), IF(O277=Constants!$B$3, FALSE(), TRUE())))</f>
        <v/>
      </c>
      <c r="AC277" s="99" t="str">
        <f aca="false">IF(ISBLANK($C277),"",IF(P277=Constants!$B$2, TRUE(), IF(P277=Constants!$B$3, FALSE(), FALSE())))</f>
        <v/>
      </c>
      <c r="AD277" s="99" t="str">
        <f aca="false">IF(ISBLANK($C277),"",AND(V277&lt;&gt;"",IF(U277=Constants!$B$19,S277,R277)))</f>
        <v/>
      </c>
      <c r="AE277" s="99" t="str">
        <f aca="false">IF(ISBLANK($C277),"",AND(Z277&lt;&gt;"",IF(Y277=Constants!$B$19,S277,R277)))</f>
        <v/>
      </c>
      <c r="AF277" s="99" t="str">
        <f aca="false">IF(ISBLANK($C277),"",IF(AC277,Constants!$B$4,IF(COUNTA(E277:O277)=0,Constants!$B$5,IF(AND(NOT(AD277),NOT(AE277)),Constants!$B$6,Constants!$B$7))))</f>
        <v/>
      </c>
      <c r="AG277" s="99" t="str">
        <f aca="false">IF(ISBLANK($C277),"",IF($AF277&lt;&gt;Constants!$B$7,$AF277,Constants!$B$20))</f>
        <v/>
      </c>
      <c r="AH277" s="99" t="str">
        <f aca="false">IF($AF277=Constants!$B$7,IF(AD277,V277,Constants!$B$13),"")</f>
        <v/>
      </c>
      <c r="AI277" s="99" t="str">
        <f aca="false">IF($AF277=Constants!$B$7,IF(AD277,T277*IF(W277, 1, Constants!$B$11)*IF(X277, 1, Constants!$B$12),Constants!$B$13),"")</f>
        <v/>
      </c>
      <c r="AJ277" s="99" t="str">
        <f aca="false">IF($AF277=Constants!$B$7,AH277*AI277,"")</f>
        <v/>
      </c>
      <c r="AK277" s="99" t="str">
        <f aca="false">IF($AF277=Constants!$B$7,IF(AE277,Z277,Constants!$B$13),"")</f>
        <v/>
      </c>
      <c r="AL277" s="99" t="str">
        <f aca="false">IF($AF277=Constants!$B$7,IF(AE277,T277*IF(AA277, 1, Constants!$B$11)*IF(AB277, 1, Constants!$B$12),Constants!$B$13),"")</f>
        <v/>
      </c>
      <c r="AM277" s="99" t="str">
        <f aca="false">IF($AF277=Constants!$B$7,AK277*AL277,"")</f>
        <v/>
      </c>
      <c r="AN277" s="99" t="str">
        <f aca="false">IF($AF277=Constants!$B$7,IF(AM277&gt;AJ277,2,1),"")</f>
        <v/>
      </c>
      <c r="AO277" s="99" t="str">
        <f aca="false">IF($AF277=Constants!$B$7,IF(AN277=1,2,1),"")</f>
        <v/>
      </c>
      <c r="AP277" s="99" t="str">
        <f aca="false">IF(ISBLANK($C277),"",IF($AF277&lt;&gt;Constants!$B$7,$AF277,IF(AN277=1,AJ277,AM277)))</f>
        <v/>
      </c>
      <c r="AQ277" s="99" t="str">
        <f aca="false">IF(ISBLANK($C277),"",IF($AF277=Constants!$B$7,IF(ISNUMBER(AP277),RANK(AP277,$AP$8:$AP$507),Constants!$B$14),$AF277))</f>
        <v/>
      </c>
      <c r="AR277" s="99" t="str">
        <f aca="false">IF(ISBLANK($C277),"",IF($AF277=Constants!$B$7,IF(AO277=1,AJ277,AM277),""))</f>
        <v/>
      </c>
      <c r="AS277" s="99" t="str">
        <f aca="false">IF(ISBLANK($C277),"",IF($AF277=Constants!$B$7,RANK(AR277,$AR$8:$AR$507),$AF277))</f>
        <v/>
      </c>
      <c r="AT277" s="99" t="str">
        <f aca="false">IF(ISBLANK($C277),"",IF($AF277=Constants!$B$7,IF(ISNUMBER(AQ277),COUNTIFS($AQ$8:$AQ$507,"&lt;"&amp;$AQ277)+COUNTIFS($AQ$8:$AQ$507,$AQ277,$AS$8:$AS$507,"&lt;"&amp;$AS277)+1,Constants!$B$14),$AF277))</f>
        <v/>
      </c>
      <c r="AU277" s="99" t="str">
        <f aca="false">IF(ISBLANK($C277),"",IF($AF277=Constants!$B$7,IF(ISNUMBER(AQ277),AQ277-AT277,Constants!$B$14),$AF277))</f>
        <v/>
      </c>
      <c r="AV277" s="100"/>
      <c r="AW277" s="101" t="str">
        <f aca="false">IF(ISBLANK($C277),"",IF($AF277&lt;&gt;Constants!$B$7,"",AN277))</f>
        <v/>
      </c>
      <c r="AX277" s="102" t="str">
        <f aca="false">IF(ISBLANK($C277),"",IF($AF277&lt;&gt;Constants!$B$7,"",IF(AN277=1,AH277,AK277)))</f>
        <v/>
      </c>
      <c r="AY277" s="103" t="str">
        <f aca="false">IF(ISBLANK($C277),"",IF($AF277&lt;&gt;Constants!$B$7,"",IF(AN277=1,AI277,AL277)))</f>
        <v/>
      </c>
      <c r="AZ277" s="104" t="str">
        <f aca="false">IF(ISBLANK($C277),"",IF($AF277&lt;&gt;Constants!$B$7,$AF277,AP277))</f>
        <v/>
      </c>
      <c r="BA277" s="105" t="str">
        <f aca="false">IF(ISBLANK($C277),"",IF($AF277&lt;&gt;Constants!$B$7,$AF277,AG277))</f>
        <v/>
      </c>
      <c r="BB277" s="106" t="str">
        <f aca="false">IF(ISBLANK($C277),"",AU277)</f>
        <v/>
      </c>
      <c r="BC277" s="106" t="str">
        <f aca="false">IF(ISBLANK($C277),"",AT277)</f>
        <v/>
      </c>
      <c r="BD277" s="107" t="str">
        <f aca="false">IF(ISBLANK($C277),"",IFERROR(_xlfn.SWITCH(BC277,Constants!$B$4,COUNTA($C$8:$C$507)+2,Constants!$B$5,COUNTA($C$8:$C$507)+1,Constants!$B$6,COUNTA($C$8:$C$507)),BC277))</f>
        <v/>
      </c>
      <c r="BE277" s="5"/>
      <c r="BF277" s="108" t="n">
        <f aca="false">IF(OR(ISNUMBER(BC277),BC277=Constants!$B$4,BC277=Constants!$B$6,BC277=Constants!$B$5),1,0)</f>
        <v>0</v>
      </c>
      <c r="BG277" s="108" t="n">
        <v>270</v>
      </c>
      <c r="BH277" s="108" t="str">
        <f aca="false">IF(ISBLANK($C277),"",IF(ISNUMBER(BD277),BD277+ROW($B277)/1000,""))</f>
        <v/>
      </c>
      <c r="BI277" s="108" t="str">
        <f aca="false">IF(ISNUMBER(BH277),RANK(BH277,$BH$8:$BH$507,1),"")</f>
        <v/>
      </c>
      <c r="BJ277" s="108" t="str">
        <f aca="false">IF(ISBLANK($C277),"",$B277)</f>
        <v/>
      </c>
      <c r="BK277" s="108" t="str">
        <f aca="false">IF(ISBLANK($C277),"",$C277)</f>
        <v/>
      </c>
      <c r="BL277" s="108" t="str">
        <f aca="false">IF(ISBLANK($C277),"",$D277)</f>
        <v/>
      </c>
      <c r="BM277" s="109" t="str">
        <f aca="false">BA277</f>
        <v/>
      </c>
      <c r="BN277" s="110" t="str">
        <f aca="false">AZ277</f>
        <v/>
      </c>
      <c r="BO277" s="108" t="str">
        <f aca="false">IF(ISBLANK($C277),"",BC277)</f>
        <v/>
      </c>
      <c r="BP277" s="111" t="str">
        <f aca="false">IF($BG277&gt;$BF$7,"",VLOOKUP($BG277,$BI$8:$BO$507,7,FALSE()))</f>
        <v/>
      </c>
      <c r="BQ277" s="112" t="str">
        <f aca="false">IF($BG277&gt;$BF$7,"",VLOOKUP($BG277,$BI$8:$BO$507,2,FALSE()))</f>
        <v/>
      </c>
      <c r="BR277" s="112" t="str">
        <f aca="false">IF($BG277&gt;$BF$7,"",VLOOKUP($BG277,$BI$8:$BO$507,3,FALSE()))</f>
        <v/>
      </c>
      <c r="BS277" s="112" t="str">
        <f aca="false">IF($BG277&gt;$BF$7,"",VLOOKUP($BG277,$BI$8:$BO$507,4,FALSE()))</f>
        <v/>
      </c>
      <c r="BT277" s="112" t="str">
        <f aca="false">IF($BG277&gt;$BF$7,"",VLOOKUP($BG277,$BI$8:$BO$507,5,FALSE()))</f>
        <v/>
      </c>
      <c r="BU277" s="113" t="str">
        <f aca="false">IF($BG277&gt;$BF$7,"",VLOOKUP($BG277,$BI$8:$BO$507,6,FALSE()))</f>
        <v/>
      </c>
      <c r="BV277" s="54"/>
    </row>
    <row r="278" customFormat="false" ht="15.75" hidden="false" customHeight="false" outlineLevel="0" collapsed="false">
      <c r="A278" s="5"/>
      <c r="B278" s="135"/>
      <c r="C278" s="56"/>
      <c r="D278" s="57"/>
      <c r="E278" s="84"/>
      <c r="F278" s="136"/>
      <c r="G278" s="60"/>
      <c r="H278" s="137"/>
      <c r="I278" s="62"/>
      <c r="J278" s="62"/>
      <c r="K278" s="60"/>
      <c r="L278" s="138"/>
      <c r="M278" s="62"/>
      <c r="N278" s="62"/>
      <c r="O278" s="60"/>
      <c r="P278" s="84"/>
      <c r="Q278" s="65"/>
      <c r="R278" s="67" t="str">
        <f aca="false">IF(ISBLANK($C278),"",IF(E278=Constants!$B$2, TRUE(), IF(E278=Constants!$B$3, FALSE(), TRUE())))</f>
        <v/>
      </c>
      <c r="S278" s="67" t="str">
        <f aca="false">IF(ISBLANK($C278),"",IF(F278=Constants!$B$2, TRUE(), IF(F278=Constants!$B$3, FALSE(), TRUE())))</f>
        <v/>
      </c>
      <c r="T278" s="67" t="str">
        <f aca="false">IF(ISBLANK($C278),"",IF(G278=Constants!$B$16,Constants!$B$9,IF(G278=Constants!$B$17,Constants!$B$10,Constants!$B$8)))</f>
        <v/>
      </c>
      <c r="U278" s="67" t="str">
        <f aca="false">IF(ISBLANK($C278),"",IF(H278=Constants!$B$19,Constants!$B$19,Constants!$B$18))</f>
        <v/>
      </c>
      <c r="V278" s="67" t="str">
        <f aca="false">IF(ISBLANK($C278),"",IF(ISNUMBER(I278),IF(I278&gt;=0,I278,""),""))</f>
        <v/>
      </c>
      <c r="W278" s="67" t="str">
        <f aca="false">IF(ISBLANK($C278),"",IF(J278=Constants!$B$2, TRUE(), IF(J278=Constants!$B$3, FALSE(), TRUE())))</f>
        <v/>
      </c>
      <c r="X278" s="67" t="str">
        <f aca="false">IF(ISBLANK($C278),"",IF(K278=Constants!$B$2, TRUE(), IF(K278=Constants!$B$3, FALSE(), TRUE())))</f>
        <v/>
      </c>
      <c r="Y278" s="67" t="str">
        <f aca="false">IF(ISBLANK($C278),"",IF(L278=Constants!$B$19,Constants!$B$19,Constants!$B$18))</f>
        <v/>
      </c>
      <c r="Z278" s="67" t="str">
        <f aca="false">IF(ISBLANK($C278),"",IF(ISNUMBER(M278),IF(M278&gt;=0,M278,""),""))</f>
        <v/>
      </c>
      <c r="AA278" s="67" t="str">
        <f aca="false">IF(ISBLANK($C278),"",IF(N278=Constants!$B$2, TRUE(), IF(N278=Constants!$B$3, FALSE(), TRUE())))</f>
        <v/>
      </c>
      <c r="AB278" s="67" t="str">
        <f aca="false">IF(ISBLANK($C278),"",IF(O278=Constants!$B$2, TRUE(), IF(O278=Constants!$B$3, FALSE(), TRUE())))</f>
        <v/>
      </c>
      <c r="AC278" s="67" t="str">
        <f aca="false">IF(ISBLANK($C278),"",IF(P278=Constants!$B$2, TRUE(), IF(P278=Constants!$B$3, FALSE(), FALSE())))</f>
        <v/>
      </c>
      <c r="AD278" s="67" t="str">
        <f aca="false">IF(ISBLANK($C278),"",AND(V278&lt;&gt;"",IF(U278=Constants!$B$19,S278,R278)))</f>
        <v/>
      </c>
      <c r="AE278" s="67" t="str">
        <f aca="false">IF(ISBLANK($C278),"",AND(Z278&lt;&gt;"",IF(Y278=Constants!$B$19,S278,R278)))</f>
        <v/>
      </c>
      <c r="AF278" s="67" t="str">
        <f aca="false">IF(ISBLANK($C278),"",IF(AC278,Constants!$B$4,IF(COUNTA(E278:O278)=0,Constants!$B$5,IF(AND(NOT(AD278),NOT(AE278)),Constants!$B$6,Constants!$B$7))))</f>
        <v/>
      </c>
      <c r="AG278" s="67" t="str">
        <f aca="false">IF(ISBLANK($C278),"",IF($AF278&lt;&gt;Constants!$B$7,$AF278,Constants!$B$20))</f>
        <v/>
      </c>
      <c r="AH278" s="67" t="str">
        <f aca="false">IF($AF278=Constants!$B$7,IF(AD278,V278,Constants!$B$13),"")</f>
        <v/>
      </c>
      <c r="AI278" s="67" t="str">
        <f aca="false">IF($AF278=Constants!$B$7,IF(AD278,T278*IF(W278, 1, Constants!$B$11)*IF(X278, 1, Constants!$B$12),Constants!$B$13),"")</f>
        <v/>
      </c>
      <c r="AJ278" s="67" t="str">
        <f aca="false">IF($AF278=Constants!$B$7,AH278*AI278,"")</f>
        <v/>
      </c>
      <c r="AK278" s="67" t="str">
        <f aca="false">IF($AF278=Constants!$B$7,IF(AE278,Z278,Constants!$B$13),"")</f>
        <v/>
      </c>
      <c r="AL278" s="67" t="str">
        <f aca="false">IF($AF278=Constants!$B$7,IF(AE278,T278*IF(AA278, 1, Constants!$B$11)*IF(AB278, 1, Constants!$B$12),Constants!$B$13),"")</f>
        <v/>
      </c>
      <c r="AM278" s="67" t="str">
        <f aca="false">IF($AF278=Constants!$B$7,AK278*AL278,"")</f>
        <v/>
      </c>
      <c r="AN278" s="67" t="str">
        <f aca="false">IF($AF278=Constants!$B$7,IF(AM278&gt;AJ278,2,1),"")</f>
        <v/>
      </c>
      <c r="AO278" s="67" t="str">
        <f aca="false">IF($AF278=Constants!$B$7,IF(AN278=1,2,1),"")</f>
        <v/>
      </c>
      <c r="AP278" s="67" t="str">
        <f aca="false">IF(ISBLANK($C278),"",IF($AF278&lt;&gt;Constants!$B$7,$AF278,IF(AN278=1,AJ278,AM278)))</f>
        <v/>
      </c>
      <c r="AQ278" s="67" t="str">
        <f aca="false">IF(ISBLANK($C278),"",IF($AF278=Constants!$B$7,IF(ISNUMBER(AP278),RANK(AP278,$AP$8:$AP$507),Constants!$B$14),$AF278))</f>
        <v/>
      </c>
      <c r="AR278" s="67" t="str">
        <f aca="false">IF(ISBLANK($C278),"",IF($AF278=Constants!$B$7,IF(AO278=1,AJ278,AM278),""))</f>
        <v/>
      </c>
      <c r="AS278" s="67" t="str">
        <f aca="false">IF(ISBLANK($C278),"",IF($AF278=Constants!$B$7,RANK(AR278,$AR$8:$AR$507),$AF278))</f>
        <v/>
      </c>
      <c r="AT278" s="67" t="str">
        <f aca="false">IF(ISBLANK($C278),"",IF($AF278=Constants!$B$7,IF(ISNUMBER(AQ278),COUNTIFS($AQ$8:$AQ$507,"&lt;"&amp;$AQ278)+COUNTIFS($AQ$8:$AQ$507,$AQ278,$AS$8:$AS$507,"&lt;"&amp;$AS278)+1,Constants!$B$14),$AF278))</f>
        <v/>
      </c>
      <c r="AU278" s="67" t="str">
        <f aca="false">IF(ISBLANK($C278),"",IF($AF278=Constants!$B$7,IF(ISNUMBER(AQ278),AQ278-AT278,Constants!$B$14),$AF278))</f>
        <v/>
      </c>
      <c r="AV278" s="69"/>
      <c r="AW278" s="70" t="str">
        <f aca="false">IF(ISBLANK($C278),"",IF($AF278&lt;&gt;Constants!$B$7,"",AN278))</f>
        <v/>
      </c>
      <c r="AX278" s="85" t="str">
        <f aca="false">IF(ISBLANK($C278),"",IF($AF278&lt;&gt;Constants!$B$7,"",IF(AN278=1,AH278,AK278)))</f>
        <v/>
      </c>
      <c r="AY278" s="72" t="str">
        <f aca="false">IF(ISBLANK($C278),"",IF($AF278&lt;&gt;Constants!$B$7,"",IF(AN278=1,AI278,AL278)))</f>
        <v/>
      </c>
      <c r="AZ278" s="73" t="str">
        <f aca="false">IF(ISBLANK($C278),"",IF($AF278&lt;&gt;Constants!$B$7,$AF278,AP278))</f>
        <v/>
      </c>
      <c r="BA278" s="74" t="str">
        <f aca="false">IF(ISBLANK($C278),"",IF($AF278&lt;&gt;Constants!$B$7,$AF278,AG278))</f>
        <v/>
      </c>
      <c r="BB278" s="75" t="str">
        <f aca="false">IF(ISBLANK($C278),"",AU278)</f>
        <v/>
      </c>
      <c r="BC278" s="75" t="str">
        <f aca="false">IF(ISBLANK($C278),"",AT278)</f>
        <v/>
      </c>
      <c r="BD278" s="76" t="str">
        <f aca="false">IF(ISBLANK($C278),"",IFERROR(_xlfn.SWITCH(BC278,Constants!$B$4,COUNTA($C$8:$C$507)+2,Constants!$B$5,COUNTA($C$8:$C$507)+1,Constants!$B$6,COUNTA($C$8:$C$507)),BC278))</f>
        <v/>
      </c>
      <c r="BE278" s="5"/>
      <c r="BF278" s="77" t="n">
        <f aca="false">IF(OR(ISNUMBER(BC278),BC278=Constants!$B$4,BC278=Constants!$B$6,BC278=Constants!$B$5),1,0)</f>
        <v>0</v>
      </c>
      <c r="BG278" s="77" t="n">
        <v>271</v>
      </c>
      <c r="BH278" s="77" t="str">
        <f aca="false">IF(ISBLANK($C278),"",IF(ISNUMBER(BD278),BD278+ROW($B278)/1000,""))</f>
        <v/>
      </c>
      <c r="BI278" s="77" t="str">
        <f aca="false">IF(ISNUMBER(BH278),RANK(BH278,$BH$8:$BH$507,1),"")</f>
        <v/>
      </c>
      <c r="BJ278" s="77" t="str">
        <f aca="false">IF(ISBLANK($C278),"",$B278)</f>
        <v/>
      </c>
      <c r="BK278" s="77" t="str">
        <f aca="false">IF(ISBLANK($C278),"",$C278)</f>
        <v/>
      </c>
      <c r="BL278" s="77" t="str">
        <f aca="false">IF(ISBLANK($C278),"",$D278)</f>
        <v/>
      </c>
      <c r="BM278" s="78" t="str">
        <f aca="false">BA278</f>
        <v/>
      </c>
      <c r="BN278" s="79" t="str">
        <f aca="false">AZ278</f>
        <v/>
      </c>
      <c r="BO278" s="77" t="str">
        <f aca="false">IF(ISBLANK($C278),"",BC278)</f>
        <v/>
      </c>
      <c r="BP278" s="80" t="str">
        <f aca="false">IF($BG278&gt;$BF$7,"",VLOOKUP($BG278,$BI$8:$BO$507,7,FALSE()))</f>
        <v/>
      </c>
      <c r="BQ278" s="81" t="str">
        <f aca="false">IF($BG278&gt;$BF$7,"",VLOOKUP($BG278,$BI$8:$BO$507,2,FALSE()))</f>
        <v/>
      </c>
      <c r="BR278" s="81" t="str">
        <f aca="false">IF($BG278&gt;$BF$7,"",VLOOKUP($BG278,$BI$8:$BO$507,3,FALSE()))</f>
        <v/>
      </c>
      <c r="BS278" s="81" t="str">
        <f aca="false">IF($BG278&gt;$BF$7,"",VLOOKUP($BG278,$BI$8:$BO$507,4,FALSE()))</f>
        <v/>
      </c>
      <c r="BT278" s="81" t="str">
        <f aca="false">IF($BG278&gt;$BF$7,"",VLOOKUP($BG278,$BI$8:$BO$507,5,FALSE()))</f>
        <v/>
      </c>
      <c r="BU278" s="82" t="str">
        <f aca="false">IF($BG278&gt;$BF$7,"",VLOOKUP($BG278,$BI$8:$BO$507,6,FALSE()))</f>
        <v/>
      </c>
      <c r="BV278" s="54"/>
    </row>
    <row r="279" customFormat="false" ht="15.75" hidden="false" customHeight="false" outlineLevel="0" collapsed="false">
      <c r="A279" s="5"/>
      <c r="B279" s="135"/>
      <c r="C279" s="56"/>
      <c r="D279" s="57"/>
      <c r="E279" s="84"/>
      <c r="F279" s="136"/>
      <c r="G279" s="60"/>
      <c r="H279" s="137"/>
      <c r="I279" s="62"/>
      <c r="J279" s="62"/>
      <c r="K279" s="60"/>
      <c r="L279" s="138"/>
      <c r="M279" s="62"/>
      <c r="N279" s="62"/>
      <c r="O279" s="60"/>
      <c r="P279" s="84"/>
      <c r="Q279" s="65"/>
      <c r="R279" s="67" t="str">
        <f aca="false">IF(ISBLANK($C279),"",IF(E279=Constants!$B$2, TRUE(), IF(E279=Constants!$B$3, FALSE(), TRUE())))</f>
        <v/>
      </c>
      <c r="S279" s="67" t="str">
        <f aca="false">IF(ISBLANK($C279),"",IF(F279=Constants!$B$2, TRUE(), IF(F279=Constants!$B$3, FALSE(), TRUE())))</f>
        <v/>
      </c>
      <c r="T279" s="67" t="str">
        <f aca="false">IF(ISBLANK($C279),"",IF(G279=Constants!$B$16,Constants!$B$9,IF(G279=Constants!$B$17,Constants!$B$10,Constants!$B$8)))</f>
        <v/>
      </c>
      <c r="U279" s="67" t="str">
        <f aca="false">IF(ISBLANK($C279),"",IF(H279=Constants!$B$19,Constants!$B$19,Constants!$B$18))</f>
        <v/>
      </c>
      <c r="V279" s="67" t="str">
        <f aca="false">IF(ISBLANK($C279),"",IF(ISNUMBER(I279),IF(I279&gt;=0,I279,""),""))</f>
        <v/>
      </c>
      <c r="W279" s="67" t="str">
        <f aca="false">IF(ISBLANK($C279),"",IF(J279=Constants!$B$2, TRUE(), IF(J279=Constants!$B$3, FALSE(), TRUE())))</f>
        <v/>
      </c>
      <c r="X279" s="67" t="str">
        <f aca="false">IF(ISBLANK($C279),"",IF(K279=Constants!$B$2, TRUE(), IF(K279=Constants!$B$3, FALSE(), TRUE())))</f>
        <v/>
      </c>
      <c r="Y279" s="67" t="str">
        <f aca="false">IF(ISBLANK($C279),"",IF(L279=Constants!$B$19,Constants!$B$19,Constants!$B$18))</f>
        <v/>
      </c>
      <c r="Z279" s="67" t="str">
        <f aca="false">IF(ISBLANK($C279),"",IF(ISNUMBER(M279),IF(M279&gt;=0,M279,""),""))</f>
        <v/>
      </c>
      <c r="AA279" s="67" t="str">
        <f aca="false">IF(ISBLANK($C279),"",IF(N279=Constants!$B$2, TRUE(), IF(N279=Constants!$B$3, FALSE(), TRUE())))</f>
        <v/>
      </c>
      <c r="AB279" s="67" t="str">
        <f aca="false">IF(ISBLANK($C279),"",IF(O279=Constants!$B$2, TRUE(), IF(O279=Constants!$B$3, FALSE(), TRUE())))</f>
        <v/>
      </c>
      <c r="AC279" s="67" t="str">
        <f aca="false">IF(ISBLANK($C279),"",IF(P279=Constants!$B$2, TRUE(), IF(P279=Constants!$B$3, FALSE(), FALSE())))</f>
        <v/>
      </c>
      <c r="AD279" s="67" t="str">
        <f aca="false">IF(ISBLANK($C279),"",AND(V279&lt;&gt;"",IF(U279=Constants!$B$19,S279,R279)))</f>
        <v/>
      </c>
      <c r="AE279" s="67" t="str">
        <f aca="false">IF(ISBLANK($C279),"",AND(Z279&lt;&gt;"",IF(Y279=Constants!$B$19,S279,R279)))</f>
        <v/>
      </c>
      <c r="AF279" s="67" t="str">
        <f aca="false">IF(ISBLANK($C279),"",IF(AC279,Constants!$B$4,IF(COUNTA(E279:O279)=0,Constants!$B$5,IF(AND(NOT(AD279),NOT(AE279)),Constants!$B$6,Constants!$B$7))))</f>
        <v/>
      </c>
      <c r="AG279" s="67" t="str">
        <f aca="false">IF(ISBLANK($C279),"",IF($AF279&lt;&gt;Constants!$B$7,$AF279,Constants!$B$20))</f>
        <v/>
      </c>
      <c r="AH279" s="67" t="str">
        <f aca="false">IF($AF279=Constants!$B$7,IF(AD279,V279,Constants!$B$13),"")</f>
        <v/>
      </c>
      <c r="AI279" s="67" t="str">
        <f aca="false">IF($AF279=Constants!$B$7,IF(AD279,T279*IF(W279, 1, Constants!$B$11)*IF(X279, 1, Constants!$B$12),Constants!$B$13),"")</f>
        <v/>
      </c>
      <c r="AJ279" s="67" t="str">
        <f aca="false">IF($AF279=Constants!$B$7,AH279*AI279,"")</f>
        <v/>
      </c>
      <c r="AK279" s="67" t="str">
        <f aca="false">IF($AF279=Constants!$B$7,IF(AE279,Z279,Constants!$B$13),"")</f>
        <v/>
      </c>
      <c r="AL279" s="67" t="str">
        <f aca="false">IF($AF279=Constants!$B$7,IF(AE279,T279*IF(AA279, 1, Constants!$B$11)*IF(AB279, 1, Constants!$B$12),Constants!$B$13),"")</f>
        <v/>
      </c>
      <c r="AM279" s="67" t="str">
        <f aca="false">IF($AF279=Constants!$B$7,AK279*AL279,"")</f>
        <v/>
      </c>
      <c r="AN279" s="67" t="str">
        <f aca="false">IF($AF279=Constants!$B$7,IF(AM279&gt;AJ279,2,1),"")</f>
        <v/>
      </c>
      <c r="AO279" s="67" t="str">
        <f aca="false">IF($AF279=Constants!$B$7,IF(AN279=1,2,1),"")</f>
        <v/>
      </c>
      <c r="AP279" s="67" t="str">
        <f aca="false">IF(ISBLANK($C279),"",IF($AF279&lt;&gt;Constants!$B$7,$AF279,IF(AN279=1,AJ279,AM279)))</f>
        <v/>
      </c>
      <c r="AQ279" s="67" t="str">
        <f aca="false">IF(ISBLANK($C279),"",IF($AF279=Constants!$B$7,IF(ISNUMBER(AP279),RANK(AP279,$AP$8:$AP$507),Constants!$B$14),$AF279))</f>
        <v/>
      </c>
      <c r="AR279" s="67" t="str">
        <f aca="false">IF(ISBLANK($C279),"",IF($AF279=Constants!$B$7,IF(AO279=1,AJ279,AM279),""))</f>
        <v/>
      </c>
      <c r="AS279" s="67" t="str">
        <f aca="false">IF(ISBLANK($C279),"",IF($AF279=Constants!$B$7,RANK(AR279,$AR$8:$AR$507),$AF279))</f>
        <v/>
      </c>
      <c r="AT279" s="67" t="str">
        <f aca="false">IF(ISBLANK($C279),"",IF($AF279=Constants!$B$7,IF(ISNUMBER(AQ279),COUNTIFS($AQ$8:$AQ$507,"&lt;"&amp;$AQ279)+COUNTIFS($AQ$8:$AQ$507,$AQ279,$AS$8:$AS$507,"&lt;"&amp;$AS279)+1,Constants!$B$14),$AF279))</f>
        <v/>
      </c>
      <c r="AU279" s="67" t="str">
        <f aca="false">IF(ISBLANK($C279),"",IF($AF279=Constants!$B$7,IF(ISNUMBER(AQ279),AQ279-AT279,Constants!$B$14),$AF279))</f>
        <v/>
      </c>
      <c r="AV279" s="69"/>
      <c r="AW279" s="70" t="str">
        <f aca="false">IF(ISBLANK($C279),"",IF($AF279&lt;&gt;Constants!$B$7,"",AN279))</f>
        <v/>
      </c>
      <c r="AX279" s="85" t="str">
        <f aca="false">IF(ISBLANK($C279),"",IF($AF279&lt;&gt;Constants!$B$7,"",IF(AN279=1,AH279,AK279)))</f>
        <v/>
      </c>
      <c r="AY279" s="72" t="str">
        <f aca="false">IF(ISBLANK($C279),"",IF($AF279&lt;&gt;Constants!$B$7,"",IF(AN279=1,AI279,AL279)))</f>
        <v/>
      </c>
      <c r="AZ279" s="73" t="str">
        <f aca="false">IF(ISBLANK($C279),"",IF($AF279&lt;&gt;Constants!$B$7,$AF279,AP279))</f>
        <v/>
      </c>
      <c r="BA279" s="74" t="str">
        <f aca="false">IF(ISBLANK($C279),"",IF($AF279&lt;&gt;Constants!$B$7,$AF279,AG279))</f>
        <v/>
      </c>
      <c r="BB279" s="75" t="str">
        <f aca="false">IF(ISBLANK($C279),"",AU279)</f>
        <v/>
      </c>
      <c r="BC279" s="75" t="str">
        <f aca="false">IF(ISBLANK($C279),"",AT279)</f>
        <v/>
      </c>
      <c r="BD279" s="76" t="str">
        <f aca="false">IF(ISBLANK($C279),"",IFERROR(_xlfn.SWITCH(BC279,Constants!$B$4,COUNTA($C$8:$C$507)+2,Constants!$B$5,COUNTA($C$8:$C$507)+1,Constants!$B$6,COUNTA($C$8:$C$507)),BC279))</f>
        <v/>
      </c>
      <c r="BE279" s="5"/>
      <c r="BF279" s="77" t="n">
        <f aca="false">IF(OR(ISNUMBER(BC279),BC279=Constants!$B$4,BC279=Constants!$B$6,BC279=Constants!$B$5),1,0)</f>
        <v>0</v>
      </c>
      <c r="BG279" s="77" t="n">
        <v>272</v>
      </c>
      <c r="BH279" s="77" t="str">
        <f aca="false">IF(ISBLANK($C279),"",IF(ISNUMBER(BD279),BD279+ROW($B279)/1000,""))</f>
        <v/>
      </c>
      <c r="BI279" s="77" t="str">
        <f aca="false">IF(ISNUMBER(BH279),RANK(BH279,$BH$8:$BH$507,1),"")</f>
        <v/>
      </c>
      <c r="BJ279" s="77" t="str">
        <f aca="false">IF(ISBLANK($C279),"",$B279)</f>
        <v/>
      </c>
      <c r="BK279" s="77" t="str">
        <f aca="false">IF(ISBLANK($C279),"",$C279)</f>
        <v/>
      </c>
      <c r="BL279" s="77" t="str">
        <f aca="false">IF(ISBLANK($C279),"",$D279)</f>
        <v/>
      </c>
      <c r="BM279" s="78" t="str">
        <f aca="false">BA279</f>
        <v/>
      </c>
      <c r="BN279" s="79" t="str">
        <f aca="false">AZ279</f>
        <v/>
      </c>
      <c r="BO279" s="77" t="str">
        <f aca="false">IF(ISBLANK($C279),"",BC279)</f>
        <v/>
      </c>
      <c r="BP279" s="80" t="str">
        <f aca="false">IF($BG279&gt;$BF$7,"",VLOOKUP($BG279,$BI$8:$BO$507,7,FALSE()))</f>
        <v/>
      </c>
      <c r="BQ279" s="81" t="str">
        <f aca="false">IF($BG279&gt;$BF$7,"",VLOOKUP($BG279,$BI$8:$BO$507,2,FALSE()))</f>
        <v/>
      </c>
      <c r="BR279" s="81" t="str">
        <f aca="false">IF($BG279&gt;$BF$7,"",VLOOKUP($BG279,$BI$8:$BO$507,3,FALSE()))</f>
        <v/>
      </c>
      <c r="BS279" s="81" t="str">
        <f aca="false">IF($BG279&gt;$BF$7,"",VLOOKUP($BG279,$BI$8:$BO$507,4,FALSE()))</f>
        <v/>
      </c>
      <c r="BT279" s="81" t="str">
        <f aca="false">IF($BG279&gt;$BF$7,"",VLOOKUP($BG279,$BI$8:$BO$507,5,FALSE()))</f>
        <v/>
      </c>
      <c r="BU279" s="82" t="str">
        <f aca="false">IF($BG279&gt;$BF$7,"",VLOOKUP($BG279,$BI$8:$BO$507,6,FALSE()))</f>
        <v/>
      </c>
      <c r="BV279" s="54"/>
    </row>
    <row r="280" customFormat="false" ht="15.75" hidden="false" customHeight="false" outlineLevel="0" collapsed="false">
      <c r="A280" s="5"/>
      <c r="B280" s="135"/>
      <c r="C280" s="56"/>
      <c r="D280" s="57"/>
      <c r="E280" s="84"/>
      <c r="F280" s="136"/>
      <c r="G280" s="60"/>
      <c r="H280" s="137"/>
      <c r="I280" s="62"/>
      <c r="J280" s="62"/>
      <c r="K280" s="60"/>
      <c r="L280" s="138"/>
      <c r="M280" s="62"/>
      <c r="N280" s="62"/>
      <c r="O280" s="60"/>
      <c r="P280" s="84"/>
      <c r="Q280" s="65"/>
      <c r="R280" s="67" t="str">
        <f aca="false">IF(ISBLANK($C280),"",IF(E280=Constants!$B$2, TRUE(), IF(E280=Constants!$B$3, FALSE(), TRUE())))</f>
        <v/>
      </c>
      <c r="S280" s="67" t="str">
        <f aca="false">IF(ISBLANK($C280),"",IF(F280=Constants!$B$2, TRUE(), IF(F280=Constants!$B$3, FALSE(), TRUE())))</f>
        <v/>
      </c>
      <c r="T280" s="67" t="str">
        <f aca="false">IF(ISBLANK($C280),"",IF(G280=Constants!$B$16,Constants!$B$9,IF(G280=Constants!$B$17,Constants!$B$10,Constants!$B$8)))</f>
        <v/>
      </c>
      <c r="U280" s="67" t="str">
        <f aca="false">IF(ISBLANK($C280),"",IF(H280=Constants!$B$19,Constants!$B$19,Constants!$B$18))</f>
        <v/>
      </c>
      <c r="V280" s="67" t="str">
        <f aca="false">IF(ISBLANK($C280),"",IF(ISNUMBER(I280),IF(I280&gt;=0,I280,""),""))</f>
        <v/>
      </c>
      <c r="W280" s="67" t="str">
        <f aca="false">IF(ISBLANK($C280),"",IF(J280=Constants!$B$2, TRUE(), IF(J280=Constants!$B$3, FALSE(), TRUE())))</f>
        <v/>
      </c>
      <c r="X280" s="67" t="str">
        <f aca="false">IF(ISBLANK($C280),"",IF(K280=Constants!$B$2, TRUE(), IF(K280=Constants!$B$3, FALSE(), TRUE())))</f>
        <v/>
      </c>
      <c r="Y280" s="67" t="str">
        <f aca="false">IF(ISBLANK($C280),"",IF(L280=Constants!$B$19,Constants!$B$19,Constants!$B$18))</f>
        <v/>
      </c>
      <c r="Z280" s="67" t="str">
        <f aca="false">IF(ISBLANK($C280),"",IF(ISNUMBER(M280),IF(M280&gt;=0,M280,""),""))</f>
        <v/>
      </c>
      <c r="AA280" s="67" t="str">
        <f aca="false">IF(ISBLANK($C280),"",IF(N280=Constants!$B$2, TRUE(), IF(N280=Constants!$B$3, FALSE(), TRUE())))</f>
        <v/>
      </c>
      <c r="AB280" s="67" t="str">
        <f aca="false">IF(ISBLANK($C280),"",IF(O280=Constants!$B$2, TRUE(), IF(O280=Constants!$B$3, FALSE(), TRUE())))</f>
        <v/>
      </c>
      <c r="AC280" s="67" t="str">
        <f aca="false">IF(ISBLANK($C280),"",IF(P280=Constants!$B$2, TRUE(), IF(P280=Constants!$B$3, FALSE(), FALSE())))</f>
        <v/>
      </c>
      <c r="AD280" s="67" t="str">
        <f aca="false">IF(ISBLANK($C280),"",AND(V280&lt;&gt;"",IF(U280=Constants!$B$19,S280,R280)))</f>
        <v/>
      </c>
      <c r="AE280" s="67" t="str">
        <f aca="false">IF(ISBLANK($C280),"",AND(Z280&lt;&gt;"",IF(Y280=Constants!$B$19,S280,R280)))</f>
        <v/>
      </c>
      <c r="AF280" s="67" t="str">
        <f aca="false">IF(ISBLANK($C280),"",IF(AC280,Constants!$B$4,IF(COUNTA(E280:O280)=0,Constants!$B$5,IF(AND(NOT(AD280),NOT(AE280)),Constants!$B$6,Constants!$B$7))))</f>
        <v/>
      </c>
      <c r="AG280" s="67" t="str">
        <f aca="false">IF(ISBLANK($C280),"",IF($AF280&lt;&gt;Constants!$B$7,$AF280,Constants!$B$20))</f>
        <v/>
      </c>
      <c r="AH280" s="67" t="str">
        <f aca="false">IF($AF280=Constants!$B$7,IF(AD280,V280,Constants!$B$13),"")</f>
        <v/>
      </c>
      <c r="AI280" s="67" t="str">
        <f aca="false">IF($AF280=Constants!$B$7,IF(AD280,T280*IF(W280, 1, Constants!$B$11)*IF(X280, 1, Constants!$B$12),Constants!$B$13),"")</f>
        <v/>
      </c>
      <c r="AJ280" s="67" t="str">
        <f aca="false">IF($AF280=Constants!$B$7,AH280*AI280,"")</f>
        <v/>
      </c>
      <c r="AK280" s="67" t="str">
        <f aca="false">IF($AF280=Constants!$B$7,IF(AE280,Z280,Constants!$B$13),"")</f>
        <v/>
      </c>
      <c r="AL280" s="67" t="str">
        <f aca="false">IF($AF280=Constants!$B$7,IF(AE280,T280*IF(AA280, 1, Constants!$B$11)*IF(AB280, 1, Constants!$B$12),Constants!$B$13),"")</f>
        <v/>
      </c>
      <c r="AM280" s="67" t="str">
        <f aca="false">IF($AF280=Constants!$B$7,AK280*AL280,"")</f>
        <v/>
      </c>
      <c r="AN280" s="67" t="str">
        <f aca="false">IF($AF280=Constants!$B$7,IF(AM280&gt;AJ280,2,1),"")</f>
        <v/>
      </c>
      <c r="AO280" s="67" t="str">
        <f aca="false">IF($AF280=Constants!$B$7,IF(AN280=1,2,1),"")</f>
        <v/>
      </c>
      <c r="AP280" s="67" t="str">
        <f aca="false">IF(ISBLANK($C280),"",IF($AF280&lt;&gt;Constants!$B$7,$AF280,IF(AN280=1,AJ280,AM280)))</f>
        <v/>
      </c>
      <c r="AQ280" s="67" t="str">
        <f aca="false">IF(ISBLANK($C280),"",IF($AF280=Constants!$B$7,IF(ISNUMBER(AP280),RANK(AP280,$AP$8:$AP$507),Constants!$B$14),$AF280))</f>
        <v/>
      </c>
      <c r="AR280" s="67" t="str">
        <f aca="false">IF(ISBLANK($C280),"",IF($AF280=Constants!$B$7,IF(AO280=1,AJ280,AM280),""))</f>
        <v/>
      </c>
      <c r="AS280" s="67" t="str">
        <f aca="false">IF(ISBLANK($C280),"",IF($AF280=Constants!$B$7,RANK(AR280,$AR$8:$AR$507),$AF280))</f>
        <v/>
      </c>
      <c r="AT280" s="67" t="str">
        <f aca="false">IF(ISBLANK($C280),"",IF($AF280=Constants!$B$7,IF(ISNUMBER(AQ280),COUNTIFS($AQ$8:$AQ$507,"&lt;"&amp;$AQ280)+COUNTIFS($AQ$8:$AQ$507,$AQ280,$AS$8:$AS$507,"&lt;"&amp;$AS280)+1,Constants!$B$14),$AF280))</f>
        <v/>
      </c>
      <c r="AU280" s="67" t="str">
        <f aca="false">IF(ISBLANK($C280),"",IF($AF280=Constants!$B$7,IF(ISNUMBER(AQ280),AQ280-AT280,Constants!$B$14),$AF280))</f>
        <v/>
      </c>
      <c r="AV280" s="69"/>
      <c r="AW280" s="70" t="str">
        <f aca="false">IF(ISBLANK($C280),"",IF($AF280&lt;&gt;Constants!$B$7,"",AN280))</f>
        <v/>
      </c>
      <c r="AX280" s="85" t="str">
        <f aca="false">IF(ISBLANK($C280),"",IF($AF280&lt;&gt;Constants!$B$7,"",IF(AN280=1,AH280,AK280)))</f>
        <v/>
      </c>
      <c r="AY280" s="72" t="str">
        <f aca="false">IF(ISBLANK($C280),"",IF($AF280&lt;&gt;Constants!$B$7,"",IF(AN280=1,AI280,AL280)))</f>
        <v/>
      </c>
      <c r="AZ280" s="73" t="str">
        <f aca="false">IF(ISBLANK($C280),"",IF($AF280&lt;&gt;Constants!$B$7,$AF280,AP280))</f>
        <v/>
      </c>
      <c r="BA280" s="74" t="str">
        <f aca="false">IF(ISBLANK($C280),"",IF($AF280&lt;&gt;Constants!$B$7,$AF280,AG280))</f>
        <v/>
      </c>
      <c r="BB280" s="75" t="str">
        <f aca="false">IF(ISBLANK($C280),"",AU280)</f>
        <v/>
      </c>
      <c r="BC280" s="75" t="str">
        <f aca="false">IF(ISBLANK($C280),"",AT280)</f>
        <v/>
      </c>
      <c r="BD280" s="76" t="str">
        <f aca="false">IF(ISBLANK($C280),"",IFERROR(_xlfn.SWITCH(BC280,Constants!$B$4,COUNTA($C$8:$C$507)+2,Constants!$B$5,COUNTA($C$8:$C$507)+1,Constants!$B$6,COUNTA($C$8:$C$507)),BC280))</f>
        <v/>
      </c>
      <c r="BE280" s="5"/>
      <c r="BF280" s="77" t="n">
        <f aca="false">IF(OR(ISNUMBER(BC280),BC280=Constants!$B$4,BC280=Constants!$B$6,BC280=Constants!$B$5),1,0)</f>
        <v>0</v>
      </c>
      <c r="BG280" s="77" t="n">
        <v>273</v>
      </c>
      <c r="BH280" s="77" t="str">
        <f aca="false">IF(ISBLANK($C280),"",IF(ISNUMBER(BD280),BD280+ROW($B280)/1000,""))</f>
        <v/>
      </c>
      <c r="BI280" s="77" t="str">
        <f aca="false">IF(ISNUMBER(BH280),RANK(BH280,$BH$8:$BH$507,1),"")</f>
        <v/>
      </c>
      <c r="BJ280" s="77" t="str">
        <f aca="false">IF(ISBLANK($C280),"",$B280)</f>
        <v/>
      </c>
      <c r="BK280" s="77" t="str">
        <f aca="false">IF(ISBLANK($C280),"",$C280)</f>
        <v/>
      </c>
      <c r="BL280" s="77" t="str">
        <f aca="false">IF(ISBLANK($C280),"",$D280)</f>
        <v/>
      </c>
      <c r="BM280" s="78" t="str">
        <f aca="false">BA280</f>
        <v/>
      </c>
      <c r="BN280" s="79" t="str">
        <f aca="false">AZ280</f>
        <v/>
      </c>
      <c r="BO280" s="77" t="str">
        <f aca="false">IF(ISBLANK($C280),"",BC280)</f>
        <v/>
      </c>
      <c r="BP280" s="80" t="str">
        <f aca="false">IF($BG280&gt;$BF$7,"",VLOOKUP($BG280,$BI$8:$BO$507,7,FALSE()))</f>
        <v/>
      </c>
      <c r="BQ280" s="81" t="str">
        <f aca="false">IF($BG280&gt;$BF$7,"",VLOOKUP($BG280,$BI$8:$BO$507,2,FALSE()))</f>
        <v/>
      </c>
      <c r="BR280" s="81" t="str">
        <f aca="false">IF($BG280&gt;$BF$7,"",VLOOKUP($BG280,$BI$8:$BO$507,3,FALSE()))</f>
        <v/>
      </c>
      <c r="BS280" s="81" t="str">
        <f aca="false">IF($BG280&gt;$BF$7,"",VLOOKUP($BG280,$BI$8:$BO$507,4,FALSE()))</f>
        <v/>
      </c>
      <c r="BT280" s="81" t="str">
        <f aca="false">IF($BG280&gt;$BF$7,"",VLOOKUP($BG280,$BI$8:$BO$507,5,FALSE()))</f>
        <v/>
      </c>
      <c r="BU280" s="82" t="str">
        <f aca="false">IF($BG280&gt;$BF$7,"",VLOOKUP($BG280,$BI$8:$BO$507,6,FALSE()))</f>
        <v/>
      </c>
      <c r="BV280" s="54"/>
    </row>
    <row r="281" customFormat="false" ht="15.75" hidden="false" customHeight="false" outlineLevel="0" collapsed="false">
      <c r="A281" s="5"/>
      <c r="B281" s="128"/>
      <c r="C281" s="129"/>
      <c r="D281" s="114"/>
      <c r="E281" s="134"/>
      <c r="F281" s="139"/>
      <c r="G281" s="93"/>
      <c r="H281" s="140"/>
      <c r="I281" s="95"/>
      <c r="J281" s="95"/>
      <c r="K281" s="93"/>
      <c r="L281" s="141"/>
      <c r="M281" s="95"/>
      <c r="N281" s="95"/>
      <c r="O281" s="93"/>
      <c r="P281" s="134"/>
      <c r="Q281" s="98"/>
      <c r="R281" s="99" t="str">
        <f aca="false">IF(ISBLANK($C281),"",IF(E281=Constants!$B$2, TRUE(), IF(E281=Constants!$B$3, FALSE(), TRUE())))</f>
        <v/>
      </c>
      <c r="S281" s="99" t="str">
        <f aca="false">IF(ISBLANK($C281),"",IF(F281=Constants!$B$2, TRUE(), IF(F281=Constants!$B$3, FALSE(), TRUE())))</f>
        <v/>
      </c>
      <c r="T281" s="99" t="str">
        <f aca="false">IF(ISBLANK($C281),"",IF(G281=Constants!$B$16,Constants!$B$9,IF(G281=Constants!$B$17,Constants!$B$10,Constants!$B$8)))</f>
        <v/>
      </c>
      <c r="U281" s="99" t="str">
        <f aca="false">IF(ISBLANK($C281),"",IF(H281=Constants!$B$19,Constants!$B$19,Constants!$B$18))</f>
        <v/>
      </c>
      <c r="V281" s="99" t="str">
        <f aca="false">IF(ISBLANK($C281),"",IF(ISNUMBER(I281),IF(I281&gt;=0,I281,""),""))</f>
        <v/>
      </c>
      <c r="W281" s="99" t="str">
        <f aca="false">IF(ISBLANK($C281),"",IF(J281=Constants!$B$2, TRUE(), IF(J281=Constants!$B$3, FALSE(), TRUE())))</f>
        <v/>
      </c>
      <c r="X281" s="99" t="str">
        <f aca="false">IF(ISBLANK($C281),"",IF(K281=Constants!$B$2, TRUE(), IF(K281=Constants!$B$3, FALSE(), TRUE())))</f>
        <v/>
      </c>
      <c r="Y281" s="99" t="str">
        <f aca="false">IF(ISBLANK($C281),"",IF(L281=Constants!$B$19,Constants!$B$19,Constants!$B$18))</f>
        <v/>
      </c>
      <c r="Z281" s="99" t="str">
        <f aca="false">IF(ISBLANK($C281),"",IF(ISNUMBER(M281),IF(M281&gt;=0,M281,""),""))</f>
        <v/>
      </c>
      <c r="AA281" s="99" t="str">
        <f aca="false">IF(ISBLANK($C281),"",IF(N281=Constants!$B$2, TRUE(), IF(N281=Constants!$B$3, FALSE(), TRUE())))</f>
        <v/>
      </c>
      <c r="AB281" s="99" t="str">
        <f aca="false">IF(ISBLANK($C281),"",IF(O281=Constants!$B$2, TRUE(), IF(O281=Constants!$B$3, FALSE(), TRUE())))</f>
        <v/>
      </c>
      <c r="AC281" s="99" t="str">
        <f aca="false">IF(ISBLANK($C281),"",IF(P281=Constants!$B$2, TRUE(), IF(P281=Constants!$B$3, FALSE(), FALSE())))</f>
        <v/>
      </c>
      <c r="AD281" s="99" t="str">
        <f aca="false">IF(ISBLANK($C281),"",AND(V281&lt;&gt;"",IF(U281=Constants!$B$19,S281,R281)))</f>
        <v/>
      </c>
      <c r="AE281" s="99" t="str">
        <f aca="false">IF(ISBLANK($C281),"",AND(Z281&lt;&gt;"",IF(Y281=Constants!$B$19,S281,R281)))</f>
        <v/>
      </c>
      <c r="AF281" s="99" t="str">
        <f aca="false">IF(ISBLANK($C281),"",IF(AC281,Constants!$B$4,IF(COUNTA(E281:O281)=0,Constants!$B$5,IF(AND(NOT(AD281),NOT(AE281)),Constants!$B$6,Constants!$B$7))))</f>
        <v/>
      </c>
      <c r="AG281" s="99" t="str">
        <f aca="false">IF(ISBLANK($C281),"",IF($AF281&lt;&gt;Constants!$B$7,$AF281,Constants!$B$20))</f>
        <v/>
      </c>
      <c r="AH281" s="99" t="str">
        <f aca="false">IF($AF281=Constants!$B$7,IF(AD281,V281,Constants!$B$13),"")</f>
        <v/>
      </c>
      <c r="AI281" s="99" t="str">
        <f aca="false">IF($AF281=Constants!$B$7,IF(AD281,T281*IF(W281, 1, Constants!$B$11)*IF(X281, 1, Constants!$B$12),Constants!$B$13),"")</f>
        <v/>
      </c>
      <c r="AJ281" s="99" t="str">
        <f aca="false">IF($AF281=Constants!$B$7,AH281*AI281,"")</f>
        <v/>
      </c>
      <c r="AK281" s="99" t="str">
        <f aca="false">IF($AF281=Constants!$B$7,IF(AE281,Z281,Constants!$B$13),"")</f>
        <v/>
      </c>
      <c r="AL281" s="99" t="str">
        <f aca="false">IF($AF281=Constants!$B$7,IF(AE281,T281*IF(AA281, 1, Constants!$B$11)*IF(AB281, 1, Constants!$B$12),Constants!$B$13),"")</f>
        <v/>
      </c>
      <c r="AM281" s="99" t="str">
        <f aca="false">IF($AF281=Constants!$B$7,AK281*AL281,"")</f>
        <v/>
      </c>
      <c r="AN281" s="99" t="str">
        <f aca="false">IF($AF281=Constants!$B$7,IF(AM281&gt;AJ281,2,1),"")</f>
        <v/>
      </c>
      <c r="AO281" s="99" t="str">
        <f aca="false">IF($AF281=Constants!$B$7,IF(AN281=1,2,1),"")</f>
        <v/>
      </c>
      <c r="AP281" s="99" t="str">
        <f aca="false">IF(ISBLANK($C281),"",IF($AF281&lt;&gt;Constants!$B$7,$AF281,IF(AN281=1,AJ281,AM281)))</f>
        <v/>
      </c>
      <c r="AQ281" s="99" t="str">
        <f aca="false">IF(ISBLANK($C281),"",IF($AF281=Constants!$B$7,IF(ISNUMBER(AP281),RANK(AP281,$AP$8:$AP$507),Constants!$B$14),$AF281))</f>
        <v/>
      </c>
      <c r="AR281" s="99" t="str">
        <f aca="false">IF(ISBLANK($C281),"",IF($AF281=Constants!$B$7,IF(AO281=1,AJ281,AM281),""))</f>
        <v/>
      </c>
      <c r="AS281" s="99" t="str">
        <f aca="false">IF(ISBLANK($C281),"",IF($AF281=Constants!$B$7,RANK(AR281,$AR$8:$AR$507),$AF281))</f>
        <v/>
      </c>
      <c r="AT281" s="99" t="str">
        <f aca="false">IF(ISBLANK($C281),"",IF($AF281=Constants!$B$7,IF(ISNUMBER(AQ281),COUNTIFS($AQ$8:$AQ$507,"&lt;"&amp;$AQ281)+COUNTIFS($AQ$8:$AQ$507,$AQ281,$AS$8:$AS$507,"&lt;"&amp;$AS281)+1,Constants!$B$14),$AF281))</f>
        <v/>
      </c>
      <c r="AU281" s="99" t="str">
        <f aca="false">IF(ISBLANK($C281),"",IF($AF281=Constants!$B$7,IF(ISNUMBER(AQ281),AQ281-AT281,Constants!$B$14),$AF281))</f>
        <v/>
      </c>
      <c r="AV281" s="100"/>
      <c r="AW281" s="101" t="str">
        <f aca="false">IF(ISBLANK($C281),"",IF($AF281&lt;&gt;Constants!$B$7,"",AN281))</f>
        <v/>
      </c>
      <c r="AX281" s="102" t="str">
        <f aca="false">IF(ISBLANK($C281),"",IF($AF281&lt;&gt;Constants!$B$7,"",IF(AN281=1,AH281,AK281)))</f>
        <v/>
      </c>
      <c r="AY281" s="103" t="str">
        <f aca="false">IF(ISBLANK($C281),"",IF($AF281&lt;&gt;Constants!$B$7,"",IF(AN281=1,AI281,AL281)))</f>
        <v/>
      </c>
      <c r="AZ281" s="104" t="str">
        <f aca="false">IF(ISBLANK($C281),"",IF($AF281&lt;&gt;Constants!$B$7,$AF281,AP281))</f>
        <v/>
      </c>
      <c r="BA281" s="105" t="str">
        <f aca="false">IF(ISBLANK($C281),"",IF($AF281&lt;&gt;Constants!$B$7,$AF281,AG281))</f>
        <v/>
      </c>
      <c r="BB281" s="106" t="str">
        <f aca="false">IF(ISBLANK($C281),"",AU281)</f>
        <v/>
      </c>
      <c r="BC281" s="106" t="str">
        <f aca="false">IF(ISBLANK($C281),"",AT281)</f>
        <v/>
      </c>
      <c r="BD281" s="107" t="str">
        <f aca="false">IF(ISBLANK($C281),"",IFERROR(_xlfn.SWITCH(BC281,Constants!$B$4,COUNTA($C$8:$C$507)+2,Constants!$B$5,COUNTA($C$8:$C$507)+1,Constants!$B$6,COUNTA($C$8:$C$507)),BC281))</f>
        <v/>
      </c>
      <c r="BE281" s="5"/>
      <c r="BF281" s="108" t="n">
        <f aca="false">IF(OR(ISNUMBER(BC281),BC281=Constants!$B$4,BC281=Constants!$B$6,BC281=Constants!$B$5),1,0)</f>
        <v>0</v>
      </c>
      <c r="BG281" s="108" t="n">
        <v>274</v>
      </c>
      <c r="BH281" s="108" t="str">
        <f aca="false">IF(ISBLANK($C281),"",IF(ISNUMBER(BD281),BD281+ROW($B281)/1000,""))</f>
        <v/>
      </c>
      <c r="BI281" s="108" t="str">
        <f aca="false">IF(ISNUMBER(BH281),RANK(BH281,$BH$8:$BH$507,1),"")</f>
        <v/>
      </c>
      <c r="BJ281" s="108" t="str">
        <f aca="false">IF(ISBLANK($C281),"",$B281)</f>
        <v/>
      </c>
      <c r="BK281" s="108" t="str">
        <f aca="false">IF(ISBLANK($C281),"",$C281)</f>
        <v/>
      </c>
      <c r="BL281" s="108" t="str">
        <f aca="false">IF(ISBLANK($C281),"",$D281)</f>
        <v/>
      </c>
      <c r="BM281" s="109" t="str">
        <f aca="false">BA281</f>
        <v/>
      </c>
      <c r="BN281" s="110" t="str">
        <f aca="false">AZ281</f>
        <v/>
      </c>
      <c r="BO281" s="108" t="str">
        <f aca="false">IF(ISBLANK($C281),"",BC281)</f>
        <v/>
      </c>
      <c r="BP281" s="111" t="str">
        <f aca="false">IF($BG281&gt;$BF$7,"",VLOOKUP($BG281,$BI$8:$BO$507,7,FALSE()))</f>
        <v/>
      </c>
      <c r="BQ281" s="112" t="str">
        <f aca="false">IF($BG281&gt;$BF$7,"",VLOOKUP($BG281,$BI$8:$BO$507,2,FALSE()))</f>
        <v/>
      </c>
      <c r="BR281" s="112" t="str">
        <f aca="false">IF($BG281&gt;$BF$7,"",VLOOKUP($BG281,$BI$8:$BO$507,3,FALSE()))</f>
        <v/>
      </c>
      <c r="BS281" s="112" t="str">
        <f aca="false">IF($BG281&gt;$BF$7,"",VLOOKUP($BG281,$BI$8:$BO$507,4,FALSE()))</f>
        <v/>
      </c>
      <c r="BT281" s="112" t="str">
        <f aca="false">IF($BG281&gt;$BF$7,"",VLOOKUP($BG281,$BI$8:$BO$507,5,FALSE()))</f>
        <v/>
      </c>
      <c r="BU281" s="113" t="str">
        <f aca="false">IF($BG281&gt;$BF$7,"",VLOOKUP($BG281,$BI$8:$BO$507,6,FALSE()))</f>
        <v/>
      </c>
      <c r="BV281" s="54"/>
    </row>
    <row r="282" customFormat="false" ht="15.75" hidden="false" customHeight="false" outlineLevel="0" collapsed="false">
      <c r="A282" s="5"/>
      <c r="B282" s="128"/>
      <c r="C282" s="129"/>
      <c r="D282" s="114"/>
      <c r="E282" s="134"/>
      <c r="F282" s="139"/>
      <c r="G282" s="93"/>
      <c r="H282" s="140"/>
      <c r="I282" s="95"/>
      <c r="J282" s="95"/>
      <c r="K282" s="93"/>
      <c r="L282" s="141"/>
      <c r="M282" s="95"/>
      <c r="N282" s="95"/>
      <c r="O282" s="93"/>
      <c r="P282" s="134"/>
      <c r="Q282" s="98"/>
      <c r="R282" s="99" t="str">
        <f aca="false">IF(ISBLANK($C282),"",IF(E282=Constants!$B$2, TRUE(), IF(E282=Constants!$B$3, FALSE(), TRUE())))</f>
        <v/>
      </c>
      <c r="S282" s="99" t="str">
        <f aca="false">IF(ISBLANK($C282),"",IF(F282=Constants!$B$2, TRUE(), IF(F282=Constants!$B$3, FALSE(), TRUE())))</f>
        <v/>
      </c>
      <c r="T282" s="99" t="str">
        <f aca="false">IF(ISBLANK($C282),"",IF(G282=Constants!$B$16,Constants!$B$9,IF(G282=Constants!$B$17,Constants!$B$10,Constants!$B$8)))</f>
        <v/>
      </c>
      <c r="U282" s="99" t="str">
        <f aca="false">IF(ISBLANK($C282),"",IF(H282=Constants!$B$19,Constants!$B$19,Constants!$B$18))</f>
        <v/>
      </c>
      <c r="V282" s="99" t="str">
        <f aca="false">IF(ISBLANK($C282),"",IF(ISNUMBER(I282),IF(I282&gt;=0,I282,""),""))</f>
        <v/>
      </c>
      <c r="W282" s="99" t="str">
        <f aca="false">IF(ISBLANK($C282),"",IF(J282=Constants!$B$2, TRUE(), IF(J282=Constants!$B$3, FALSE(), TRUE())))</f>
        <v/>
      </c>
      <c r="X282" s="99" t="str">
        <f aca="false">IF(ISBLANK($C282),"",IF(K282=Constants!$B$2, TRUE(), IF(K282=Constants!$B$3, FALSE(), TRUE())))</f>
        <v/>
      </c>
      <c r="Y282" s="99" t="str">
        <f aca="false">IF(ISBLANK($C282),"",IF(L282=Constants!$B$19,Constants!$B$19,Constants!$B$18))</f>
        <v/>
      </c>
      <c r="Z282" s="99" t="str">
        <f aca="false">IF(ISBLANK($C282),"",IF(ISNUMBER(M282),IF(M282&gt;=0,M282,""),""))</f>
        <v/>
      </c>
      <c r="AA282" s="99" t="str">
        <f aca="false">IF(ISBLANK($C282),"",IF(N282=Constants!$B$2, TRUE(), IF(N282=Constants!$B$3, FALSE(), TRUE())))</f>
        <v/>
      </c>
      <c r="AB282" s="99" t="str">
        <f aca="false">IF(ISBLANK($C282),"",IF(O282=Constants!$B$2, TRUE(), IF(O282=Constants!$B$3, FALSE(), TRUE())))</f>
        <v/>
      </c>
      <c r="AC282" s="99" t="str">
        <f aca="false">IF(ISBLANK($C282),"",IF(P282=Constants!$B$2, TRUE(), IF(P282=Constants!$B$3, FALSE(), FALSE())))</f>
        <v/>
      </c>
      <c r="AD282" s="99" t="str">
        <f aca="false">IF(ISBLANK($C282),"",AND(V282&lt;&gt;"",IF(U282=Constants!$B$19,S282,R282)))</f>
        <v/>
      </c>
      <c r="AE282" s="99" t="str">
        <f aca="false">IF(ISBLANK($C282),"",AND(Z282&lt;&gt;"",IF(Y282=Constants!$B$19,S282,R282)))</f>
        <v/>
      </c>
      <c r="AF282" s="99" t="str">
        <f aca="false">IF(ISBLANK($C282),"",IF(AC282,Constants!$B$4,IF(COUNTA(E282:O282)=0,Constants!$B$5,IF(AND(NOT(AD282),NOT(AE282)),Constants!$B$6,Constants!$B$7))))</f>
        <v/>
      </c>
      <c r="AG282" s="99" t="str">
        <f aca="false">IF(ISBLANK($C282),"",IF($AF282&lt;&gt;Constants!$B$7,$AF282,Constants!$B$20))</f>
        <v/>
      </c>
      <c r="AH282" s="99" t="str">
        <f aca="false">IF($AF282=Constants!$B$7,IF(AD282,V282,Constants!$B$13),"")</f>
        <v/>
      </c>
      <c r="AI282" s="99" t="str">
        <f aca="false">IF($AF282=Constants!$B$7,IF(AD282,T282*IF(W282, 1, Constants!$B$11)*IF(X282, 1, Constants!$B$12),Constants!$B$13),"")</f>
        <v/>
      </c>
      <c r="AJ282" s="99" t="str">
        <f aca="false">IF($AF282=Constants!$B$7,AH282*AI282,"")</f>
        <v/>
      </c>
      <c r="AK282" s="99" t="str">
        <f aca="false">IF($AF282=Constants!$B$7,IF(AE282,Z282,Constants!$B$13),"")</f>
        <v/>
      </c>
      <c r="AL282" s="99" t="str">
        <f aca="false">IF($AF282=Constants!$B$7,IF(AE282,T282*IF(AA282, 1, Constants!$B$11)*IF(AB282, 1, Constants!$B$12),Constants!$B$13),"")</f>
        <v/>
      </c>
      <c r="AM282" s="99" t="str">
        <f aca="false">IF($AF282=Constants!$B$7,AK282*AL282,"")</f>
        <v/>
      </c>
      <c r="AN282" s="99" t="str">
        <f aca="false">IF($AF282=Constants!$B$7,IF(AM282&gt;AJ282,2,1),"")</f>
        <v/>
      </c>
      <c r="AO282" s="99" t="str">
        <f aca="false">IF($AF282=Constants!$B$7,IF(AN282=1,2,1),"")</f>
        <v/>
      </c>
      <c r="AP282" s="99" t="str">
        <f aca="false">IF(ISBLANK($C282),"",IF($AF282&lt;&gt;Constants!$B$7,$AF282,IF(AN282=1,AJ282,AM282)))</f>
        <v/>
      </c>
      <c r="AQ282" s="99" t="str">
        <f aca="false">IF(ISBLANK($C282),"",IF($AF282=Constants!$B$7,IF(ISNUMBER(AP282),RANK(AP282,$AP$8:$AP$507),Constants!$B$14),$AF282))</f>
        <v/>
      </c>
      <c r="AR282" s="99" t="str">
        <f aca="false">IF(ISBLANK($C282),"",IF($AF282=Constants!$B$7,IF(AO282=1,AJ282,AM282),""))</f>
        <v/>
      </c>
      <c r="AS282" s="99" t="str">
        <f aca="false">IF(ISBLANK($C282),"",IF($AF282=Constants!$B$7,RANK(AR282,$AR$8:$AR$507),$AF282))</f>
        <v/>
      </c>
      <c r="AT282" s="99" t="str">
        <f aca="false">IF(ISBLANK($C282),"",IF($AF282=Constants!$B$7,IF(ISNUMBER(AQ282),COUNTIFS($AQ$8:$AQ$507,"&lt;"&amp;$AQ282)+COUNTIFS($AQ$8:$AQ$507,$AQ282,$AS$8:$AS$507,"&lt;"&amp;$AS282)+1,Constants!$B$14),$AF282))</f>
        <v/>
      </c>
      <c r="AU282" s="99" t="str">
        <f aca="false">IF(ISBLANK($C282),"",IF($AF282=Constants!$B$7,IF(ISNUMBER(AQ282),AQ282-AT282,Constants!$B$14),$AF282))</f>
        <v/>
      </c>
      <c r="AV282" s="100"/>
      <c r="AW282" s="101" t="str">
        <f aca="false">IF(ISBLANK($C282),"",IF($AF282&lt;&gt;Constants!$B$7,"",AN282))</f>
        <v/>
      </c>
      <c r="AX282" s="102" t="str">
        <f aca="false">IF(ISBLANK($C282),"",IF($AF282&lt;&gt;Constants!$B$7,"",IF(AN282=1,AH282,AK282)))</f>
        <v/>
      </c>
      <c r="AY282" s="103" t="str">
        <f aca="false">IF(ISBLANK($C282),"",IF($AF282&lt;&gt;Constants!$B$7,"",IF(AN282=1,AI282,AL282)))</f>
        <v/>
      </c>
      <c r="AZ282" s="104" t="str">
        <f aca="false">IF(ISBLANK($C282),"",IF($AF282&lt;&gt;Constants!$B$7,$AF282,AP282))</f>
        <v/>
      </c>
      <c r="BA282" s="105" t="str">
        <f aca="false">IF(ISBLANK($C282),"",IF($AF282&lt;&gt;Constants!$B$7,$AF282,AG282))</f>
        <v/>
      </c>
      <c r="BB282" s="106" t="str">
        <f aca="false">IF(ISBLANK($C282),"",AU282)</f>
        <v/>
      </c>
      <c r="BC282" s="106" t="str">
        <f aca="false">IF(ISBLANK($C282),"",AT282)</f>
        <v/>
      </c>
      <c r="BD282" s="107" t="str">
        <f aca="false">IF(ISBLANK($C282),"",IFERROR(_xlfn.SWITCH(BC282,Constants!$B$4,COUNTA($C$8:$C$507)+2,Constants!$B$5,COUNTA($C$8:$C$507)+1,Constants!$B$6,COUNTA($C$8:$C$507)),BC282))</f>
        <v/>
      </c>
      <c r="BE282" s="5"/>
      <c r="BF282" s="108" t="n">
        <f aca="false">IF(OR(ISNUMBER(BC282),BC282=Constants!$B$4,BC282=Constants!$B$6,BC282=Constants!$B$5),1,0)</f>
        <v>0</v>
      </c>
      <c r="BG282" s="108" t="n">
        <v>275</v>
      </c>
      <c r="BH282" s="108" t="str">
        <f aca="false">IF(ISBLANK($C282),"",IF(ISNUMBER(BD282),BD282+ROW($B282)/1000,""))</f>
        <v/>
      </c>
      <c r="BI282" s="108" t="str">
        <f aca="false">IF(ISNUMBER(BH282),RANK(BH282,$BH$8:$BH$507,1),"")</f>
        <v/>
      </c>
      <c r="BJ282" s="108" t="str">
        <f aca="false">IF(ISBLANK($C282),"",$B282)</f>
        <v/>
      </c>
      <c r="BK282" s="108" t="str">
        <f aca="false">IF(ISBLANK($C282),"",$C282)</f>
        <v/>
      </c>
      <c r="BL282" s="108" t="str">
        <f aca="false">IF(ISBLANK($C282),"",$D282)</f>
        <v/>
      </c>
      <c r="BM282" s="109" t="str">
        <f aca="false">BA282</f>
        <v/>
      </c>
      <c r="BN282" s="110" t="str">
        <f aca="false">AZ282</f>
        <v/>
      </c>
      <c r="BO282" s="108" t="str">
        <f aca="false">IF(ISBLANK($C282),"",BC282)</f>
        <v/>
      </c>
      <c r="BP282" s="111" t="str">
        <f aca="false">IF($BG282&gt;$BF$7,"",VLOOKUP($BG282,$BI$8:$BO$507,7,FALSE()))</f>
        <v/>
      </c>
      <c r="BQ282" s="112" t="str">
        <f aca="false">IF($BG282&gt;$BF$7,"",VLOOKUP($BG282,$BI$8:$BO$507,2,FALSE()))</f>
        <v/>
      </c>
      <c r="BR282" s="112" t="str">
        <f aca="false">IF($BG282&gt;$BF$7,"",VLOOKUP($BG282,$BI$8:$BO$507,3,FALSE()))</f>
        <v/>
      </c>
      <c r="BS282" s="112" t="str">
        <f aca="false">IF($BG282&gt;$BF$7,"",VLOOKUP($BG282,$BI$8:$BO$507,4,FALSE()))</f>
        <v/>
      </c>
      <c r="BT282" s="112" t="str">
        <f aca="false">IF($BG282&gt;$BF$7,"",VLOOKUP($BG282,$BI$8:$BO$507,5,FALSE()))</f>
        <v/>
      </c>
      <c r="BU282" s="113" t="str">
        <f aca="false">IF($BG282&gt;$BF$7,"",VLOOKUP($BG282,$BI$8:$BO$507,6,FALSE()))</f>
        <v/>
      </c>
      <c r="BV282" s="54"/>
    </row>
    <row r="283" customFormat="false" ht="15.75" hidden="false" customHeight="false" outlineLevel="0" collapsed="false">
      <c r="A283" s="5"/>
      <c r="B283" s="128"/>
      <c r="C283" s="129"/>
      <c r="D283" s="114"/>
      <c r="E283" s="134"/>
      <c r="F283" s="139"/>
      <c r="G283" s="93"/>
      <c r="H283" s="140"/>
      <c r="I283" s="95"/>
      <c r="J283" s="95"/>
      <c r="K283" s="93"/>
      <c r="L283" s="141"/>
      <c r="M283" s="95"/>
      <c r="N283" s="95"/>
      <c r="O283" s="93"/>
      <c r="P283" s="134"/>
      <c r="Q283" s="98"/>
      <c r="R283" s="99" t="str">
        <f aca="false">IF(ISBLANK($C283),"",IF(E283=Constants!$B$2, TRUE(), IF(E283=Constants!$B$3, FALSE(), TRUE())))</f>
        <v/>
      </c>
      <c r="S283" s="99" t="str">
        <f aca="false">IF(ISBLANK($C283),"",IF(F283=Constants!$B$2, TRUE(), IF(F283=Constants!$B$3, FALSE(), TRUE())))</f>
        <v/>
      </c>
      <c r="T283" s="99" t="str">
        <f aca="false">IF(ISBLANK($C283),"",IF(G283=Constants!$B$16,Constants!$B$9,IF(G283=Constants!$B$17,Constants!$B$10,Constants!$B$8)))</f>
        <v/>
      </c>
      <c r="U283" s="99" t="str">
        <f aca="false">IF(ISBLANK($C283),"",IF(H283=Constants!$B$19,Constants!$B$19,Constants!$B$18))</f>
        <v/>
      </c>
      <c r="V283" s="99" t="str">
        <f aca="false">IF(ISBLANK($C283),"",IF(ISNUMBER(I283),IF(I283&gt;=0,I283,""),""))</f>
        <v/>
      </c>
      <c r="W283" s="99" t="str">
        <f aca="false">IF(ISBLANK($C283),"",IF(J283=Constants!$B$2, TRUE(), IF(J283=Constants!$B$3, FALSE(), TRUE())))</f>
        <v/>
      </c>
      <c r="X283" s="99" t="str">
        <f aca="false">IF(ISBLANK($C283),"",IF(K283=Constants!$B$2, TRUE(), IF(K283=Constants!$B$3, FALSE(), TRUE())))</f>
        <v/>
      </c>
      <c r="Y283" s="99" t="str">
        <f aca="false">IF(ISBLANK($C283),"",IF(L283=Constants!$B$19,Constants!$B$19,Constants!$B$18))</f>
        <v/>
      </c>
      <c r="Z283" s="99" t="str">
        <f aca="false">IF(ISBLANK($C283),"",IF(ISNUMBER(M283),IF(M283&gt;=0,M283,""),""))</f>
        <v/>
      </c>
      <c r="AA283" s="99" t="str">
        <f aca="false">IF(ISBLANK($C283),"",IF(N283=Constants!$B$2, TRUE(), IF(N283=Constants!$B$3, FALSE(), TRUE())))</f>
        <v/>
      </c>
      <c r="AB283" s="99" t="str">
        <f aca="false">IF(ISBLANK($C283),"",IF(O283=Constants!$B$2, TRUE(), IF(O283=Constants!$B$3, FALSE(), TRUE())))</f>
        <v/>
      </c>
      <c r="AC283" s="99" t="str">
        <f aca="false">IF(ISBLANK($C283),"",IF(P283=Constants!$B$2, TRUE(), IF(P283=Constants!$B$3, FALSE(), FALSE())))</f>
        <v/>
      </c>
      <c r="AD283" s="99" t="str">
        <f aca="false">IF(ISBLANK($C283),"",AND(V283&lt;&gt;"",IF(U283=Constants!$B$19,S283,R283)))</f>
        <v/>
      </c>
      <c r="AE283" s="99" t="str">
        <f aca="false">IF(ISBLANK($C283),"",AND(Z283&lt;&gt;"",IF(Y283=Constants!$B$19,S283,R283)))</f>
        <v/>
      </c>
      <c r="AF283" s="99" t="str">
        <f aca="false">IF(ISBLANK($C283),"",IF(AC283,Constants!$B$4,IF(COUNTA(E283:O283)=0,Constants!$B$5,IF(AND(NOT(AD283),NOT(AE283)),Constants!$B$6,Constants!$B$7))))</f>
        <v/>
      </c>
      <c r="AG283" s="99" t="str">
        <f aca="false">IF(ISBLANK($C283),"",IF($AF283&lt;&gt;Constants!$B$7,$AF283,Constants!$B$20))</f>
        <v/>
      </c>
      <c r="AH283" s="99" t="str">
        <f aca="false">IF($AF283=Constants!$B$7,IF(AD283,V283,Constants!$B$13),"")</f>
        <v/>
      </c>
      <c r="AI283" s="99" t="str">
        <f aca="false">IF($AF283=Constants!$B$7,IF(AD283,T283*IF(W283, 1, Constants!$B$11)*IF(X283, 1, Constants!$B$12),Constants!$B$13),"")</f>
        <v/>
      </c>
      <c r="AJ283" s="99" t="str">
        <f aca="false">IF($AF283=Constants!$B$7,AH283*AI283,"")</f>
        <v/>
      </c>
      <c r="AK283" s="99" t="str">
        <f aca="false">IF($AF283=Constants!$B$7,IF(AE283,Z283,Constants!$B$13),"")</f>
        <v/>
      </c>
      <c r="AL283" s="99" t="str">
        <f aca="false">IF($AF283=Constants!$B$7,IF(AE283,T283*IF(AA283, 1, Constants!$B$11)*IF(AB283, 1, Constants!$B$12),Constants!$B$13),"")</f>
        <v/>
      </c>
      <c r="AM283" s="99" t="str">
        <f aca="false">IF($AF283=Constants!$B$7,AK283*AL283,"")</f>
        <v/>
      </c>
      <c r="AN283" s="99" t="str">
        <f aca="false">IF($AF283=Constants!$B$7,IF(AM283&gt;AJ283,2,1),"")</f>
        <v/>
      </c>
      <c r="AO283" s="99" t="str">
        <f aca="false">IF($AF283=Constants!$B$7,IF(AN283=1,2,1),"")</f>
        <v/>
      </c>
      <c r="AP283" s="99" t="str">
        <f aca="false">IF(ISBLANK($C283),"",IF($AF283&lt;&gt;Constants!$B$7,$AF283,IF(AN283=1,AJ283,AM283)))</f>
        <v/>
      </c>
      <c r="AQ283" s="99" t="str">
        <f aca="false">IF(ISBLANK($C283),"",IF($AF283=Constants!$B$7,IF(ISNUMBER(AP283),RANK(AP283,$AP$8:$AP$507),Constants!$B$14),$AF283))</f>
        <v/>
      </c>
      <c r="AR283" s="99" t="str">
        <f aca="false">IF(ISBLANK($C283),"",IF($AF283=Constants!$B$7,IF(AO283=1,AJ283,AM283),""))</f>
        <v/>
      </c>
      <c r="AS283" s="99" t="str">
        <f aca="false">IF(ISBLANK($C283),"",IF($AF283=Constants!$B$7,RANK(AR283,$AR$8:$AR$507),$AF283))</f>
        <v/>
      </c>
      <c r="AT283" s="99" t="str">
        <f aca="false">IF(ISBLANK($C283),"",IF($AF283=Constants!$B$7,IF(ISNUMBER(AQ283),COUNTIFS($AQ$8:$AQ$507,"&lt;"&amp;$AQ283)+COUNTIFS($AQ$8:$AQ$507,$AQ283,$AS$8:$AS$507,"&lt;"&amp;$AS283)+1,Constants!$B$14),$AF283))</f>
        <v/>
      </c>
      <c r="AU283" s="99" t="str">
        <f aca="false">IF(ISBLANK($C283),"",IF($AF283=Constants!$B$7,IF(ISNUMBER(AQ283),AQ283-AT283,Constants!$B$14),$AF283))</f>
        <v/>
      </c>
      <c r="AV283" s="100"/>
      <c r="AW283" s="101" t="str">
        <f aca="false">IF(ISBLANK($C283),"",IF($AF283&lt;&gt;Constants!$B$7,"",AN283))</f>
        <v/>
      </c>
      <c r="AX283" s="102" t="str">
        <f aca="false">IF(ISBLANK($C283),"",IF($AF283&lt;&gt;Constants!$B$7,"",IF(AN283=1,AH283,AK283)))</f>
        <v/>
      </c>
      <c r="AY283" s="103" t="str">
        <f aca="false">IF(ISBLANK($C283),"",IF($AF283&lt;&gt;Constants!$B$7,"",IF(AN283=1,AI283,AL283)))</f>
        <v/>
      </c>
      <c r="AZ283" s="104" t="str">
        <f aca="false">IF(ISBLANK($C283),"",IF($AF283&lt;&gt;Constants!$B$7,$AF283,AP283))</f>
        <v/>
      </c>
      <c r="BA283" s="105" t="str">
        <f aca="false">IF(ISBLANK($C283),"",IF($AF283&lt;&gt;Constants!$B$7,$AF283,AG283))</f>
        <v/>
      </c>
      <c r="BB283" s="106" t="str">
        <f aca="false">IF(ISBLANK($C283),"",AU283)</f>
        <v/>
      </c>
      <c r="BC283" s="106" t="str">
        <f aca="false">IF(ISBLANK($C283),"",AT283)</f>
        <v/>
      </c>
      <c r="BD283" s="107" t="str">
        <f aca="false">IF(ISBLANK($C283),"",IFERROR(_xlfn.SWITCH(BC283,Constants!$B$4,COUNTA($C$8:$C$507)+2,Constants!$B$5,COUNTA($C$8:$C$507)+1,Constants!$B$6,COUNTA($C$8:$C$507)),BC283))</f>
        <v/>
      </c>
      <c r="BE283" s="5"/>
      <c r="BF283" s="108" t="n">
        <f aca="false">IF(OR(ISNUMBER(BC283),BC283=Constants!$B$4,BC283=Constants!$B$6,BC283=Constants!$B$5),1,0)</f>
        <v>0</v>
      </c>
      <c r="BG283" s="108" t="n">
        <v>276</v>
      </c>
      <c r="BH283" s="108" t="str">
        <f aca="false">IF(ISBLANK($C283),"",IF(ISNUMBER(BD283),BD283+ROW($B283)/1000,""))</f>
        <v/>
      </c>
      <c r="BI283" s="108" t="str">
        <f aca="false">IF(ISNUMBER(BH283),RANK(BH283,$BH$8:$BH$507,1),"")</f>
        <v/>
      </c>
      <c r="BJ283" s="108" t="str">
        <f aca="false">IF(ISBLANK($C283),"",$B283)</f>
        <v/>
      </c>
      <c r="BK283" s="108" t="str">
        <f aca="false">IF(ISBLANK($C283),"",$C283)</f>
        <v/>
      </c>
      <c r="BL283" s="108" t="str">
        <f aca="false">IF(ISBLANK($C283),"",$D283)</f>
        <v/>
      </c>
      <c r="BM283" s="109" t="str">
        <f aca="false">BA283</f>
        <v/>
      </c>
      <c r="BN283" s="110" t="str">
        <f aca="false">AZ283</f>
        <v/>
      </c>
      <c r="BO283" s="108" t="str">
        <f aca="false">IF(ISBLANK($C283),"",BC283)</f>
        <v/>
      </c>
      <c r="BP283" s="111" t="str">
        <f aca="false">IF($BG283&gt;$BF$7,"",VLOOKUP($BG283,$BI$8:$BO$507,7,FALSE()))</f>
        <v/>
      </c>
      <c r="BQ283" s="112" t="str">
        <f aca="false">IF($BG283&gt;$BF$7,"",VLOOKUP($BG283,$BI$8:$BO$507,2,FALSE()))</f>
        <v/>
      </c>
      <c r="BR283" s="112" t="str">
        <f aca="false">IF($BG283&gt;$BF$7,"",VLOOKUP($BG283,$BI$8:$BO$507,3,FALSE()))</f>
        <v/>
      </c>
      <c r="BS283" s="112" t="str">
        <f aca="false">IF($BG283&gt;$BF$7,"",VLOOKUP($BG283,$BI$8:$BO$507,4,FALSE()))</f>
        <v/>
      </c>
      <c r="BT283" s="112" t="str">
        <f aca="false">IF($BG283&gt;$BF$7,"",VLOOKUP($BG283,$BI$8:$BO$507,5,FALSE()))</f>
        <v/>
      </c>
      <c r="BU283" s="113" t="str">
        <f aca="false">IF($BG283&gt;$BF$7,"",VLOOKUP($BG283,$BI$8:$BO$507,6,FALSE()))</f>
        <v/>
      </c>
      <c r="BV283" s="54"/>
    </row>
    <row r="284" customFormat="false" ht="15.75" hidden="false" customHeight="false" outlineLevel="0" collapsed="false">
      <c r="A284" s="5"/>
      <c r="B284" s="135"/>
      <c r="C284" s="56"/>
      <c r="D284" s="57"/>
      <c r="E284" s="84"/>
      <c r="F284" s="136"/>
      <c r="G284" s="60"/>
      <c r="H284" s="137"/>
      <c r="I284" s="62"/>
      <c r="J284" s="62"/>
      <c r="K284" s="60"/>
      <c r="L284" s="138"/>
      <c r="M284" s="62"/>
      <c r="N284" s="62"/>
      <c r="O284" s="60"/>
      <c r="P284" s="84"/>
      <c r="Q284" s="65"/>
      <c r="R284" s="67" t="str">
        <f aca="false">IF(ISBLANK($C284),"",IF(E284=Constants!$B$2, TRUE(), IF(E284=Constants!$B$3, FALSE(), TRUE())))</f>
        <v/>
      </c>
      <c r="S284" s="67" t="str">
        <f aca="false">IF(ISBLANK($C284),"",IF(F284=Constants!$B$2, TRUE(), IF(F284=Constants!$B$3, FALSE(), TRUE())))</f>
        <v/>
      </c>
      <c r="T284" s="67" t="str">
        <f aca="false">IF(ISBLANK($C284),"",IF(G284=Constants!$B$16,Constants!$B$9,IF(G284=Constants!$B$17,Constants!$B$10,Constants!$B$8)))</f>
        <v/>
      </c>
      <c r="U284" s="67" t="str">
        <f aca="false">IF(ISBLANK($C284),"",IF(H284=Constants!$B$19,Constants!$B$19,Constants!$B$18))</f>
        <v/>
      </c>
      <c r="V284" s="67" t="str">
        <f aca="false">IF(ISBLANK($C284),"",IF(ISNUMBER(I284),IF(I284&gt;=0,I284,""),""))</f>
        <v/>
      </c>
      <c r="W284" s="67" t="str">
        <f aca="false">IF(ISBLANK($C284),"",IF(J284=Constants!$B$2, TRUE(), IF(J284=Constants!$B$3, FALSE(), TRUE())))</f>
        <v/>
      </c>
      <c r="X284" s="67" t="str">
        <f aca="false">IF(ISBLANK($C284),"",IF(K284=Constants!$B$2, TRUE(), IF(K284=Constants!$B$3, FALSE(), TRUE())))</f>
        <v/>
      </c>
      <c r="Y284" s="67" t="str">
        <f aca="false">IF(ISBLANK($C284),"",IF(L284=Constants!$B$19,Constants!$B$19,Constants!$B$18))</f>
        <v/>
      </c>
      <c r="Z284" s="67" t="str">
        <f aca="false">IF(ISBLANK($C284),"",IF(ISNUMBER(M284),IF(M284&gt;=0,M284,""),""))</f>
        <v/>
      </c>
      <c r="AA284" s="67" t="str">
        <f aca="false">IF(ISBLANK($C284),"",IF(N284=Constants!$B$2, TRUE(), IF(N284=Constants!$B$3, FALSE(), TRUE())))</f>
        <v/>
      </c>
      <c r="AB284" s="67" t="str">
        <f aca="false">IF(ISBLANK($C284),"",IF(O284=Constants!$B$2, TRUE(), IF(O284=Constants!$B$3, FALSE(), TRUE())))</f>
        <v/>
      </c>
      <c r="AC284" s="67" t="str">
        <f aca="false">IF(ISBLANK($C284),"",IF(P284=Constants!$B$2, TRUE(), IF(P284=Constants!$B$3, FALSE(), FALSE())))</f>
        <v/>
      </c>
      <c r="AD284" s="67" t="str">
        <f aca="false">IF(ISBLANK($C284),"",AND(V284&lt;&gt;"",IF(U284=Constants!$B$19,S284,R284)))</f>
        <v/>
      </c>
      <c r="AE284" s="67" t="str">
        <f aca="false">IF(ISBLANK($C284),"",AND(Z284&lt;&gt;"",IF(Y284=Constants!$B$19,S284,R284)))</f>
        <v/>
      </c>
      <c r="AF284" s="67" t="str">
        <f aca="false">IF(ISBLANK($C284),"",IF(AC284,Constants!$B$4,IF(COUNTA(E284:O284)=0,Constants!$B$5,IF(AND(NOT(AD284),NOT(AE284)),Constants!$B$6,Constants!$B$7))))</f>
        <v/>
      </c>
      <c r="AG284" s="67" t="str">
        <f aca="false">IF(ISBLANK($C284),"",IF($AF284&lt;&gt;Constants!$B$7,$AF284,Constants!$B$20))</f>
        <v/>
      </c>
      <c r="AH284" s="67" t="str">
        <f aca="false">IF($AF284=Constants!$B$7,IF(AD284,V284,Constants!$B$13),"")</f>
        <v/>
      </c>
      <c r="AI284" s="67" t="str">
        <f aca="false">IF($AF284=Constants!$B$7,IF(AD284,T284*IF(W284, 1, Constants!$B$11)*IF(X284, 1, Constants!$B$12),Constants!$B$13),"")</f>
        <v/>
      </c>
      <c r="AJ284" s="67" t="str">
        <f aca="false">IF($AF284=Constants!$B$7,AH284*AI284,"")</f>
        <v/>
      </c>
      <c r="AK284" s="67" t="str">
        <f aca="false">IF($AF284=Constants!$B$7,IF(AE284,Z284,Constants!$B$13),"")</f>
        <v/>
      </c>
      <c r="AL284" s="67" t="str">
        <f aca="false">IF($AF284=Constants!$B$7,IF(AE284,T284*IF(AA284, 1, Constants!$B$11)*IF(AB284, 1, Constants!$B$12),Constants!$B$13),"")</f>
        <v/>
      </c>
      <c r="AM284" s="67" t="str">
        <f aca="false">IF($AF284=Constants!$B$7,AK284*AL284,"")</f>
        <v/>
      </c>
      <c r="AN284" s="67" t="str">
        <f aca="false">IF($AF284=Constants!$B$7,IF(AM284&gt;AJ284,2,1),"")</f>
        <v/>
      </c>
      <c r="AO284" s="67" t="str">
        <f aca="false">IF($AF284=Constants!$B$7,IF(AN284=1,2,1),"")</f>
        <v/>
      </c>
      <c r="AP284" s="67" t="str">
        <f aca="false">IF(ISBLANK($C284),"",IF($AF284&lt;&gt;Constants!$B$7,$AF284,IF(AN284=1,AJ284,AM284)))</f>
        <v/>
      </c>
      <c r="AQ284" s="67" t="str">
        <f aca="false">IF(ISBLANK($C284),"",IF($AF284=Constants!$B$7,IF(ISNUMBER(AP284),RANK(AP284,$AP$8:$AP$507),Constants!$B$14),$AF284))</f>
        <v/>
      </c>
      <c r="AR284" s="67" t="str">
        <f aca="false">IF(ISBLANK($C284),"",IF($AF284=Constants!$B$7,IF(AO284=1,AJ284,AM284),""))</f>
        <v/>
      </c>
      <c r="AS284" s="67" t="str">
        <f aca="false">IF(ISBLANK($C284),"",IF($AF284=Constants!$B$7,RANK(AR284,$AR$8:$AR$507),$AF284))</f>
        <v/>
      </c>
      <c r="AT284" s="67" t="str">
        <f aca="false">IF(ISBLANK($C284),"",IF($AF284=Constants!$B$7,IF(ISNUMBER(AQ284),COUNTIFS($AQ$8:$AQ$507,"&lt;"&amp;$AQ284)+COUNTIFS($AQ$8:$AQ$507,$AQ284,$AS$8:$AS$507,"&lt;"&amp;$AS284)+1,Constants!$B$14),$AF284))</f>
        <v/>
      </c>
      <c r="AU284" s="67" t="str">
        <f aca="false">IF(ISBLANK($C284),"",IF($AF284=Constants!$B$7,IF(ISNUMBER(AQ284),AQ284-AT284,Constants!$B$14),$AF284))</f>
        <v/>
      </c>
      <c r="AV284" s="69"/>
      <c r="AW284" s="70" t="str">
        <f aca="false">IF(ISBLANK($C284),"",IF($AF284&lt;&gt;Constants!$B$7,"",AN284))</f>
        <v/>
      </c>
      <c r="AX284" s="85" t="str">
        <f aca="false">IF(ISBLANK($C284),"",IF($AF284&lt;&gt;Constants!$B$7,"",IF(AN284=1,AH284,AK284)))</f>
        <v/>
      </c>
      <c r="AY284" s="72" t="str">
        <f aca="false">IF(ISBLANK($C284),"",IF($AF284&lt;&gt;Constants!$B$7,"",IF(AN284=1,AI284,AL284)))</f>
        <v/>
      </c>
      <c r="AZ284" s="73" t="str">
        <f aca="false">IF(ISBLANK($C284),"",IF($AF284&lt;&gt;Constants!$B$7,$AF284,AP284))</f>
        <v/>
      </c>
      <c r="BA284" s="74" t="str">
        <f aca="false">IF(ISBLANK($C284),"",IF($AF284&lt;&gt;Constants!$B$7,$AF284,AG284))</f>
        <v/>
      </c>
      <c r="BB284" s="75" t="str">
        <f aca="false">IF(ISBLANK($C284),"",AU284)</f>
        <v/>
      </c>
      <c r="BC284" s="75" t="str">
        <f aca="false">IF(ISBLANK($C284),"",AT284)</f>
        <v/>
      </c>
      <c r="BD284" s="76" t="str">
        <f aca="false">IF(ISBLANK($C284),"",IFERROR(_xlfn.SWITCH(BC284,Constants!$B$4,COUNTA($C$8:$C$507)+2,Constants!$B$5,COUNTA($C$8:$C$507)+1,Constants!$B$6,COUNTA($C$8:$C$507)),BC284))</f>
        <v/>
      </c>
      <c r="BE284" s="5"/>
      <c r="BF284" s="77" t="n">
        <f aca="false">IF(OR(ISNUMBER(BC284),BC284=Constants!$B$4,BC284=Constants!$B$6,BC284=Constants!$B$5),1,0)</f>
        <v>0</v>
      </c>
      <c r="BG284" s="77" t="n">
        <v>277</v>
      </c>
      <c r="BH284" s="77" t="str">
        <f aca="false">IF(ISBLANK($C284),"",IF(ISNUMBER(BD284),BD284+ROW($B284)/1000,""))</f>
        <v/>
      </c>
      <c r="BI284" s="77" t="str">
        <f aca="false">IF(ISNUMBER(BH284),RANK(BH284,$BH$8:$BH$507,1),"")</f>
        <v/>
      </c>
      <c r="BJ284" s="77" t="str">
        <f aca="false">IF(ISBLANK($C284),"",$B284)</f>
        <v/>
      </c>
      <c r="BK284" s="77" t="str">
        <f aca="false">IF(ISBLANK($C284),"",$C284)</f>
        <v/>
      </c>
      <c r="BL284" s="77" t="str">
        <f aca="false">IF(ISBLANK($C284),"",$D284)</f>
        <v/>
      </c>
      <c r="BM284" s="78" t="str">
        <f aca="false">BA284</f>
        <v/>
      </c>
      <c r="BN284" s="79" t="str">
        <f aca="false">AZ284</f>
        <v/>
      </c>
      <c r="BO284" s="77" t="str">
        <f aca="false">IF(ISBLANK($C284),"",BC284)</f>
        <v/>
      </c>
      <c r="BP284" s="80" t="str">
        <f aca="false">IF($BG284&gt;$BF$7,"",VLOOKUP($BG284,$BI$8:$BO$507,7,FALSE()))</f>
        <v/>
      </c>
      <c r="BQ284" s="81" t="str">
        <f aca="false">IF($BG284&gt;$BF$7,"",VLOOKUP($BG284,$BI$8:$BO$507,2,FALSE()))</f>
        <v/>
      </c>
      <c r="BR284" s="81" t="str">
        <f aca="false">IF($BG284&gt;$BF$7,"",VLOOKUP($BG284,$BI$8:$BO$507,3,FALSE()))</f>
        <v/>
      </c>
      <c r="BS284" s="81" t="str">
        <f aca="false">IF($BG284&gt;$BF$7,"",VLOOKUP($BG284,$BI$8:$BO$507,4,FALSE()))</f>
        <v/>
      </c>
      <c r="BT284" s="81" t="str">
        <f aca="false">IF($BG284&gt;$BF$7,"",VLOOKUP($BG284,$BI$8:$BO$507,5,FALSE()))</f>
        <v/>
      </c>
      <c r="BU284" s="82" t="str">
        <f aca="false">IF($BG284&gt;$BF$7,"",VLOOKUP($BG284,$BI$8:$BO$507,6,FALSE()))</f>
        <v/>
      </c>
      <c r="BV284" s="54"/>
    </row>
    <row r="285" customFormat="false" ht="15.75" hidden="false" customHeight="false" outlineLevel="0" collapsed="false">
      <c r="A285" s="5"/>
      <c r="B285" s="135"/>
      <c r="C285" s="56"/>
      <c r="D285" s="57"/>
      <c r="E285" s="84"/>
      <c r="F285" s="136"/>
      <c r="G285" s="60"/>
      <c r="H285" s="137"/>
      <c r="I285" s="62"/>
      <c r="J285" s="62"/>
      <c r="K285" s="60"/>
      <c r="L285" s="138"/>
      <c r="M285" s="62"/>
      <c r="N285" s="62"/>
      <c r="O285" s="60"/>
      <c r="P285" s="84"/>
      <c r="Q285" s="65"/>
      <c r="R285" s="67" t="str">
        <f aca="false">IF(ISBLANK($C285),"",IF(E285=Constants!$B$2, TRUE(), IF(E285=Constants!$B$3, FALSE(), TRUE())))</f>
        <v/>
      </c>
      <c r="S285" s="67" t="str">
        <f aca="false">IF(ISBLANK($C285),"",IF(F285=Constants!$B$2, TRUE(), IF(F285=Constants!$B$3, FALSE(), TRUE())))</f>
        <v/>
      </c>
      <c r="T285" s="67" t="str">
        <f aca="false">IF(ISBLANK($C285),"",IF(G285=Constants!$B$16,Constants!$B$9,IF(G285=Constants!$B$17,Constants!$B$10,Constants!$B$8)))</f>
        <v/>
      </c>
      <c r="U285" s="67" t="str">
        <f aca="false">IF(ISBLANK($C285),"",IF(H285=Constants!$B$19,Constants!$B$19,Constants!$B$18))</f>
        <v/>
      </c>
      <c r="V285" s="67" t="str">
        <f aca="false">IF(ISBLANK($C285),"",IF(ISNUMBER(I285),IF(I285&gt;=0,I285,""),""))</f>
        <v/>
      </c>
      <c r="W285" s="67" t="str">
        <f aca="false">IF(ISBLANK($C285),"",IF(J285=Constants!$B$2, TRUE(), IF(J285=Constants!$B$3, FALSE(), TRUE())))</f>
        <v/>
      </c>
      <c r="X285" s="67" t="str">
        <f aca="false">IF(ISBLANK($C285),"",IF(K285=Constants!$B$2, TRUE(), IF(K285=Constants!$B$3, FALSE(), TRUE())))</f>
        <v/>
      </c>
      <c r="Y285" s="67" t="str">
        <f aca="false">IF(ISBLANK($C285),"",IF(L285=Constants!$B$19,Constants!$B$19,Constants!$B$18))</f>
        <v/>
      </c>
      <c r="Z285" s="67" t="str">
        <f aca="false">IF(ISBLANK($C285),"",IF(ISNUMBER(M285),IF(M285&gt;=0,M285,""),""))</f>
        <v/>
      </c>
      <c r="AA285" s="67" t="str">
        <f aca="false">IF(ISBLANK($C285),"",IF(N285=Constants!$B$2, TRUE(), IF(N285=Constants!$B$3, FALSE(), TRUE())))</f>
        <v/>
      </c>
      <c r="AB285" s="67" t="str">
        <f aca="false">IF(ISBLANK($C285),"",IF(O285=Constants!$B$2, TRUE(), IF(O285=Constants!$B$3, FALSE(), TRUE())))</f>
        <v/>
      </c>
      <c r="AC285" s="67" t="str">
        <f aca="false">IF(ISBLANK($C285),"",IF(P285=Constants!$B$2, TRUE(), IF(P285=Constants!$B$3, FALSE(), FALSE())))</f>
        <v/>
      </c>
      <c r="AD285" s="67" t="str">
        <f aca="false">IF(ISBLANK($C285),"",AND(V285&lt;&gt;"",IF(U285=Constants!$B$19,S285,R285)))</f>
        <v/>
      </c>
      <c r="AE285" s="67" t="str">
        <f aca="false">IF(ISBLANK($C285),"",AND(Z285&lt;&gt;"",IF(Y285=Constants!$B$19,S285,R285)))</f>
        <v/>
      </c>
      <c r="AF285" s="67" t="str">
        <f aca="false">IF(ISBLANK($C285),"",IF(AC285,Constants!$B$4,IF(COUNTA(E285:O285)=0,Constants!$B$5,IF(AND(NOT(AD285),NOT(AE285)),Constants!$B$6,Constants!$B$7))))</f>
        <v/>
      </c>
      <c r="AG285" s="67" t="str">
        <f aca="false">IF(ISBLANK($C285),"",IF($AF285&lt;&gt;Constants!$B$7,$AF285,Constants!$B$20))</f>
        <v/>
      </c>
      <c r="AH285" s="67" t="str">
        <f aca="false">IF($AF285=Constants!$B$7,IF(AD285,V285,Constants!$B$13),"")</f>
        <v/>
      </c>
      <c r="AI285" s="67" t="str">
        <f aca="false">IF($AF285=Constants!$B$7,IF(AD285,T285*IF(W285, 1, Constants!$B$11)*IF(X285, 1, Constants!$B$12),Constants!$B$13),"")</f>
        <v/>
      </c>
      <c r="AJ285" s="67" t="str">
        <f aca="false">IF($AF285=Constants!$B$7,AH285*AI285,"")</f>
        <v/>
      </c>
      <c r="AK285" s="67" t="str">
        <f aca="false">IF($AF285=Constants!$B$7,IF(AE285,Z285,Constants!$B$13),"")</f>
        <v/>
      </c>
      <c r="AL285" s="67" t="str">
        <f aca="false">IF($AF285=Constants!$B$7,IF(AE285,T285*IF(AA285, 1, Constants!$B$11)*IF(AB285, 1, Constants!$B$12),Constants!$B$13),"")</f>
        <v/>
      </c>
      <c r="AM285" s="67" t="str">
        <f aca="false">IF($AF285=Constants!$B$7,AK285*AL285,"")</f>
        <v/>
      </c>
      <c r="AN285" s="67" t="str">
        <f aca="false">IF($AF285=Constants!$B$7,IF(AM285&gt;AJ285,2,1),"")</f>
        <v/>
      </c>
      <c r="AO285" s="67" t="str">
        <f aca="false">IF($AF285=Constants!$B$7,IF(AN285=1,2,1),"")</f>
        <v/>
      </c>
      <c r="AP285" s="67" t="str">
        <f aca="false">IF(ISBLANK($C285),"",IF($AF285&lt;&gt;Constants!$B$7,$AF285,IF(AN285=1,AJ285,AM285)))</f>
        <v/>
      </c>
      <c r="AQ285" s="67" t="str">
        <f aca="false">IF(ISBLANK($C285),"",IF($AF285=Constants!$B$7,IF(ISNUMBER(AP285),RANK(AP285,$AP$8:$AP$507),Constants!$B$14),$AF285))</f>
        <v/>
      </c>
      <c r="AR285" s="67" t="str">
        <f aca="false">IF(ISBLANK($C285),"",IF($AF285=Constants!$B$7,IF(AO285=1,AJ285,AM285),""))</f>
        <v/>
      </c>
      <c r="AS285" s="67" t="str">
        <f aca="false">IF(ISBLANK($C285),"",IF($AF285=Constants!$B$7,RANK(AR285,$AR$8:$AR$507),$AF285))</f>
        <v/>
      </c>
      <c r="AT285" s="67" t="str">
        <f aca="false">IF(ISBLANK($C285),"",IF($AF285=Constants!$B$7,IF(ISNUMBER(AQ285),COUNTIFS($AQ$8:$AQ$507,"&lt;"&amp;$AQ285)+COUNTIFS($AQ$8:$AQ$507,$AQ285,$AS$8:$AS$507,"&lt;"&amp;$AS285)+1,Constants!$B$14),$AF285))</f>
        <v/>
      </c>
      <c r="AU285" s="67" t="str">
        <f aca="false">IF(ISBLANK($C285),"",IF($AF285=Constants!$B$7,IF(ISNUMBER(AQ285),AQ285-AT285,Constants!$B$14),$AF285))</f>
        <v/>
      </c>
      <c r="AV285" s="69"/>
      <c r="AW285" s="70" t="str">
        <f aca="false">IF(ISBLANK($C285),"",IF($AF285&lt;&gt;Constants!$B$7,"",AN285))</f>
        <v/>
      </c>
      <c r="AX285" s="85" t="str">
        <f aca="false">IF(ISBLANK($C285),"",IF($AF285&lt;&gt;Constants!$B$7,"",IF(AN285=1,AH285,AK285)))</f>
        <v/>
      </c>
      <c r="AY285" s="72" t="str">
        <f aca="false">IF(ISBLANK($C285),"",IF($AF285&lt;&gt;Constants!$B$7,"",IF(AN285=1,AI285,AL285)))</f>
        <v/>
      </c>
      <c r="AZ285" s="73" t="str">
        <f aca="false">IF(ISBLANK($C285),"",IF($AF285&lt;&gt;Constants!$B$7,$AF285,AP285))</f>
        <v/>
      </c>
      <c r="BA285" s="74" t="str">
        <f aca="false">IF(ISBLANK($C285),"",IF($AF285&lt;&gt;Constants!$B$7,$AF285,AG285))</f>
        <v/>
      </c>
      <c r="BB285" s="75" t="str">
        <f aca="false">IF(ISBLANK($C285),"",AU285)</f>
        <v/>
      </c>
      <c r="BC285" s="75" t="str">
        <f aca="false">IF(ISBLANK($C285),"",AT285)</f>
        <v/>
      </c>
      <c r="BD285" s="76" t="str">
        <f aca="false">IF(ISBLANK($C285),"",IFERROR(_xlfn.SWITCH(BC285,Constants!$B$4,COUNTA($C$8:$C$507)+2,Constants!$B$5,COUNTA($C$8:$C$507)+1,Constants!$B$6,COUNTA($C$8:$C$507)),BC285))</f>
        <v/>
      </c>
      <c r="BE285" s="5"/>
      <c r="BF285" s="77" t="n">
        <f aca="false">IF(OR(ISNUMBER(BC285),BC285=Constants!$B$4,BC285=Constants!$B$6,BC285=Constants!$B$5),1,0)</f>
        <v>0</v>
      </c>
      <c r="BG285" s="77" t="n">
        <v>278</v>
      </c>
      <c r="BH285" s="77" t="str">
        <f aca="false">IF(ISBLANK($C285),"",IF(ISNUMBER(BD285),BD285+ROW($B285)/1000,""))</f>
        <v/>
      </c>
      <c r="BI285" s="77" t="str">
        <f aca="false">IF(ISNUMBER(BH285),RANK(BH285,$BH$8:$BH$507,1),"")</f>
        <v/>
      </c>
      <c r="BJ285" s="77" t="str">
        <f aca="false">IF(ISBLANK($C285),"",$B285)</f>
        <v/>
      </c>
      <c r="BK285" s="77" t="str">
        <f aca="false">IF(ISBLANK($C285),"",$C285)</f>
        <v/>
      </c>
      <c r="BL285" s="77" t="str">
        <f aca="false">IF(ISBLANK($C285),"",$D285)</f>
        <v/>
      </c>
      <c r="BM285" s="78" t="str">
        <f aca="false">BA285</f>
        <v/>
      </c>
      <c r="BN285" s="79" t="str">
        <f aca="false">AZ285</f>
        <v/>
      </c>
      <c r="BO285" s="77" t="str">
        <f aca="false">IF(ISBLANK($C285),"",BC285)</f>
        <v/>
      </c>
      <c r="BP285" s="80" t="str">
        <f aca="false">IF($BG285&gt;$BF$7,"",VLOOKUP($BG285,$BI$8:$BO$507,7,FALSE()))</f>
        <v/>
      </c>
      <c r="BQ285" s="81" t="str">
        <f aca="false">IF($BG285&gt;$BF$7,"",VLOOKUP($BG285,$BI$8:$BO$507,2,FALSE()))</f>
        <v/>
      </c>
      <c r="BR285" s="81" t="str">
        <f aca="false">IF($BG285&gt;$BF$7,"",VLOOKUP($BG285,$BI$8:$BO$507,3,FALSE()))</f>
        <v/>
      </c>
      <c r="BS285" s="81" t="str">
        <f aca="false">IF($BG285&gt;$BF$7,"",VLOOKUP($BG285,$BI$8:$BO$507,4,FALSE()))</f>
        <v/>
      </c>
      <c r="BT285" s="81" t="str">
        <f aca="false">IF($BG285&gt;$BF$7,"",VLOOKUP($BG285,$BI$8:$BO$507,5,FALSE()))</f>
        <v/>
      </c>
      <c r="BU285" s="82" t="str">
        <f aca="false">IF($BG285&gt;$BF$7,"",VLOOKUP($BG285,$BI$8:$BO$507,6,FALSE()))</f>
        <v/>
      </c>
      <c r="BV285" s="54"/>
    </row>
    <row r="286" customFormat="false" ht="15.75" hidden="false" customHeight="false" outlineLevel="0" collapsed="false">
      <c r="A286" s="5"/>
      <c r="B286" s="135"/>
      <c r="C286" s="56"/>
      <c r="D286" s="57"/>
      <c r="E286" s="84"/>
      <c r="F286" s="136"/>
      <c r="G286" s="60"/>
      <c r="H286" s="137"/>
      <c r="I286" s="62"/>
      <c r="J286" s="62"/>
      <c r="K286" s="60"/>
      <c r="L286" s="138"/>
      <c r="M286" s="62"/>
      <c r="N286" s="62"/>
      <c r="O286" s="60"/>
      <c r="P286" s="84"/>
      <c r="Q286" s="65"/>
      <c r="R286" s="67" t="str">
        <f aca="false">IF(ISBLANK($C286),"",IF(E286=Constants!$B$2, TRUE(), IF(E286=Constants!$B$3, FALSE(), TRUE())))</f>
        <v/>
      </c>
      <c r="S286" s="67" t="str">
        <f aca="false">IF(ISBLANK($C286),"",IF(F286=Constants!$B$2, TRUE(), IF(F286=Constants!$B$3, FALSE(), TRUE())))</f>
        <v/>
      </c>
      <c r="T286" s="67" t="str">
        <f aca="false">IF(ISBLANK($C286),"",IF(G286=Constants!$B$16,Constants!$B$9,IF(G286=Constants!$B$17,Constants!$B$10,Constants!$B$8)))</f>
        <v/>
      </c>
      <c r="U286" s="67" t="str">
        <f aca="false">IF(ISBLANK($C286),"",IF(H286=Constants!$B$19,Constants!$B$19,Constants!$B$18))</f>
        <v/>
      </c>
      <c r="V286" s="67" t="str">
        <f aca="false">IF(ISBLANK($C286),"",IF(ISNUMBER(I286),IF(I286&gt;=0,I286,""),""))</f>
        <v/>
      </c>
      <c r="W286" s="67" t="str">
        <f aca="false">IF(ISBLANK($C286),"",IF(J286=Constants!$B$2, TRUE(), IF(J286=Constants!$B$3, FALSE(), TRUE())))</f>
        <v/>
      </c>
      <c r="X286" s="67" t="str">
        <f aca="false">IF(ISBLANK($C286),"",IF(K286=Constants!$B$2, TRUE(), IF(K286=Constants!$B$3, FALSE(), TRUE())))</f>
        <v/>
      </c>
      <c r="Y286" s="67" t="str">
        <f aca="false">IF(ISBLANK($C286),"",IF(L286=Constants!$B$19,Constants!$B$19,Constants!$B$18))</f>
        <v/>
      </c>
      <c r="Z286" s="67" t="str">
        <f aca="false">IF(ISBLANK($C286),"",IF(ISNUMBER(M286),IF(M286&gt;=0,M286,""),""))</f>
        <v/>
      </c>
      <c r="AA286" s="67" t="str">
        <f aca="false">IF(ISBLANK($C286),"",IF(N286=Constants!$B$2, TRUE(), IF(N286=Constants!$B$3, FALSE(), TRUE())))</f>
        <v/>
      </c>
      <c r="AB286" s="67" t="str">
        <f aca="false">IF(ISBLANK($C286),"",IF(O286=Constants!$B$2, TRUE(), IF(O286=Constants!$B$3, FALSE(), TRUE())))</f>
        <v/>
      </c>
      <c r="AC286" s="67" t="str">
        <f aca="false">IF(ISBLANK($C286),"",IF(P286=Constants!$B$2, TRUE(), IF(P286=Constants!$B$3, FALSE(), FALSE())))</f>
        <v/>
      </c>
      <c r="AD286" s="67" t="str">
        <f aca="false">IF(ISBLANK($C286),"",AND(V286&lt;&gt;"",IF(U286=Constants!$B$19,S286,R286)))</f>
        <v/>
      </c>
      <c r="AE286" s="67" t="str">
        <f aca="false">IF(ISBLANK($C286),"",AND(Z286&lt;&gt;"",IF(Y286=Constants!$B$19,S286,R286)))</f>
        <v/>
      </c>
      <c r="AF286" s="67" t="str">
        <f aca="false">IF(ISBLANK($C286),"",IF(AC286,Constants!$B$4,IF(COUNTA(E286:O286)=0,Constants!$B$5,IF(AND(NOT(AD286),NOT(AE286)),Constants!$B$6,Constants!$B$7))))</f>
        <v/>
      </c>
      <c r="AG286" s="67" t="str">
        <f aca="false">IF(ISBLANK($C286),"",IF($AF286&lt;&gt;Constants!$B$7,$AF286,Constants!$B$20))</f>
        <v/>
      </c>
      <c r="AH286" s="67" t="str">
        <f aca="false">IF($AF286=Constants!$B$7,IF(AD286,V286,Constants!$B$13),"")</f>
        <v/>
      </c>
      <c r="AI286" s="67" t="str">
        <f aca="false">IF($AF286=Constants!$B$7,IF(AD286,T286*IF(W286, 1, Constants!$B$11)*IF(X286, 1, Constants!$B$12),Constants!$B$13),"")</f>
        <v/>
      </c>
      <c r="AJ286" s="67" t="str">
        <f aca="false">IF($AF286=Constants!$B$7,AH286*AI286,"")</f>
        <v/>
      </c>
      <c r="AK286" s="67" t="str">
        <f aca="false">IF($AF286=Constants!$B$7,IF(AE286,Z286,Constants!$B$13),"")</f>
        <v/>
      </c>
      <c r="AL286" s="67" t="str">
        <f aca="false">IF($AF286=Constants!$B$7,IF(AE286,T286*IF(AA286, 1, Constants!$B$11)*IF(AB286, 1, Constants!$B$12),Constants!$B$13),"")</f>
        <v/>
      </c>
      <c r="AM286" s="67" t="str">
        <f aca="false">IF($AF286=Constants!$B$7,AK286*AL286,"")</f>
        <v/>
      </c>
      <c r="AN286" s="67" t="str">
        <f aca="false">IF($AF286=Constants!$B$7,IF(AM286&gt;AJ286,2,1),"")</f>
        <v/>
      </c>
      <c r="AO286" s="67" t="str">
        <f aca="false">IF($AF286=Constants!$B$7,IF(AN286=1,2,1),"")</f>
        <v/>
      </c>
      <c r="AP286" s="67" t="str">
        <f aca="false">IF(ISBLANK($C286),"",IF($AF286&lt;&gt;Constants!$B$7,$AF286,IF(AN286=1,AJ286,AM286)))</f>
        <v/>
      </c>
      <c r="AQ286" s="67" t="str">
        <f aca="false">IF(ISBLANK($C286),"",IF($AF286=Constants!$B$7,IF(ISNUMBER(AP286),RANK(AP286,$AP$8:$AP$507),Constants!$B$14),$AF286))</f>
        <v/>
      </c>
      <c r="AR286" s="67" t="str">
        <f aca="false">IF(ISBLANK($C286),"",IF($AF286=Constants!$B$7,IF(AO286=1,AJ286,AM286),""))</f>
        <v/>
      </c>
      <c r="AS286" s="67" t="str">
        <f aca="false">IF(ISBLANK($C286),"",IF($AF286=Constants!$B$7,RANK(AR286,$AR$8:$AR$507),$AF286))</f>
        <v/>
      </c>
      <c r="AT286" s="67" t="str">
        <f aca="false">IF(ISBLANK($C286),"",IF($AF286=Constants!$B$7,IF(ISNUMBER(AQ286),COUNTIFS($AQ$8:$AQ$507,"&lt;"&amp;$AQ286)+COUNTIFS($AQ$8:$AQ$507,$AQ286,$AS$8:$AS$507,"&lt;"&amp;$AS286)+1,Constants!$B$14),$AF286))</f>
        <v/>
      </c>
      <c r="AU286" s="67" t="str">
        <f aca="false">IF(ISBLANK($C286),"",IF($AF286=Constants!$B$7,IF(ISNUMBER(AQ286),AQ286-AT286,Constants!$B$14),$AF286))</f>
        <v/>
      </c>
      <c r="AV286" s="69"/>
      <c r="AW286" s="70" t="str">
        <f aca="false">IF(ISBLANK($C286),"",IF($AF286&lt;&gt;Constants!$B$7,"",AN286))</f>
        <v/>
      </c>
      <c r="AX286" s="85" t="str">
        <f aca="false">IF(ISBLANK($C286),"",IF($AF286&lt;&gt;Constants!$B$7,"",IF(AN286=1,AH286,AK286)))</f>
        <v/>
      </c>
      <c r="AY286" s="72" t="str">
        <f aca="false">IF(ISBLANK($C286),"",IF($AF286&lt;&gt;Constants!$B$7,"",IF(AN286=1,AI286,AL286)))</f>
        <v/>
      </c>
      <c r="AZ286" s="73" t="str">
        <f aca="false">IF(ISBLANK($C286),"",IF($AF286&lt;&gt;Constants!$B$7,$AF286,AP286))</f>
        <v/>
      </c>
      <c r="BA286" s="74" t="str">
        <f aca="false">IF(ISBLANK($C286),"",IF($AF286&lt;&gt;Constants!$B$7,$AF286,AG286))</f>
        <v/>
      </c>
      <c r="BB286" s="75" t="str">
        <f aca="false">IF(ISBLANK($C286),"",AU286)</f>
        <v/>
      </c>
      <c r="BC286" s="75" t="str">
        <f aca="false">IF(ISBLANK($C286),"",AT286)</f>
        <v/>
      </c>
      <c r="BD286" s="76" t="str">
        <f aca="false">IF(ISBLANK($C286),"",IFERROR(_xlfn.SWITCH(BC286,Constants!$B$4,COUNTA($C$8:$C$507)+2,Constants!$B$5,COUNTA($C$8:$C$507)+1,Constants!$B$6,COUNTA($C$8:$C$507)),BC286))</f>
        <v/>
      </c>
      <c r="BE286" s="5"/>
      <c r="BF286" s="77" t="n">
        <f aca="false">IF(OR(ISNUMBER(BC286),BC286=Constants!$B$4,BC286=Constants!$B$6,BC286=Constants!$B$5),1,0)</f>
        <v>0</v>
      </c>
      <c r="BG286" s="77" t="n">
        <v>279</v>
      </c>
      <c r="BH286" s="77" t="str">
        <f aca="false">IF(ISBLANK($C286),"",IF(ISNUMBER(BD286),BD286+ROW($B286)/1000,""))</f>
        <v/>
      </c>
      <c r="BI286" s="77" t="str">
        <f aca="false">IF(ISNUMBER(BH286),RANK(BH286,$BH$8:$BH$507,1),"")</f>
        <v/>
      </c>
      <c r="BJ286" s="77" t="str">
        <f aca="false">IF(ISBLANK($C286),"",$B286)</f>
        <v/>
      </c>
      <c r="BK286" s="77" t="str">
        <f aca="false">IF(ISBLANK($C286),"",$C286)</f>
        <v/>
      </c>
      <c r="BL286" s="77" t="str">
        <f aca="false">IF(ISBLANK($C286),"",$D286)</f>
        <v/>
      </c>
      <c r="BM286" s="78" t="str">
        <f aca="false">BA286</f>
        <v/>
      </c>
      <c r="BN286" s="79" t="str">
        <f aca="false">AZ286</f>
        <v/>
      </c>
      <c r="BO286" s="77" t="str">
        <f aca="false">IF(ISBLANK($C286),"",BC286)</f>
        <v/>
      </c>
      <c r="BP286" s="80" t="str">
        <f aca="false">IF($BG286&gt;$BF$7,"",VLOOKUP($BG286,$BI$8:$BO$507,7,FALSE()))</f>
        <v/>
      </c>
      <c r="BQ286" s="81" t="str">
        <f aca="false">IF($BG286&gt;$BF$7,"",VLOOKUP($BG286,$BI$8:$BO$507,2,FALSE()))</f>
        <v/>
      </c>
      <c r="BR286" s="81" t="str">
        <f aca="false">IF($BG286&gt;$BF$7,"",VLOOKUP($BG286,$BI$8:$BO$507,3,FALSE()))</f>
        <v/>
      </c>
      <c r="BS286" s="81" t="str">
        <f aca="false">IF($BG286&gt;$BF$7,"",VLOOKUP($BG286,$BI$8:$BO$507,4,FALSE()))</f>
        <v/>
      </c>
      <c r="BT286" s="81" t="str">
        <f aca="false">IF($BG286&gt;$BF$7,"",VLOOKUP($BG286,$BI$8:$BO$507,5,FALSE()))</f>
        <v/>
      </c>
      <c r="BU286" s="82" t="str">
        <f aca="false">IF($BG286&gt;$BF$7,"",VLOOKUP($BG286,$BI$8:$BO$507,6,FALSE()))</f>
        <v/>
      </c>
      <c r="BV286" s="54"/>
    </row>
    <row r="287" customFormat="false" ht="15.75" hidden="false" customHeight="false" outlineLevel="0" collapsed="false">
      <c r="A287" s="5"/>
      <c r="B287" s="128"/>
      <c r="C287" s="129"/>
      <c r="D287" s="114"/>
      <c r="E287" s="134"/>
      <c r="F287" s="139"/>
      <c r="G287" s="93"/>
      <c r="H287" s="140"/>
      <c r="I287" s="95"/>
      <c r="J287" s="95"/>
      <c r="K287" s="93"/>
      <c r="L287" s="141"/>
      <c r="M287" s="95"/>
      <c r="N287" s="95"/>
      <c r="O287" s="93"/>
      <c r="P287" s="134"/>
      <c r="Q287" s="98"/>
      <c r="R287" s="99" t="str">
        <f aca="false">IF(ISBLANK($C287),"",IF(E287=Constants!$B$2, TRUE(), IF(E287=Constants!$B$3, FALSE(), TRUE())))</f>
        <v/>
      </c>
      <c r="S287" s="99" t="str">
        <f aca="false">IF(ISBLANK($C287),"",IF(F287=Constants!$B$2, TRUE(), IF(F287=Constants!$B$3, FALSE(), TRUE())))</f>
        <v/>
      </c>
      <c r="T287" s="99" t="str">
        <f aca="false">IF(ISBLANK($C287),"",IF(G287=Constants!$B$16,Constants!$B$9,IF(G287=Constants!$B$17,Constants!$B$10,Constants!$B$8)))</f>
        <v/>
      </c>
      <c r="U287" s="99" t="str">
        <f aca="false">IF(ISBLANK($C287),"",IF(H287=Constants!$B$19,Constants!$B$19,Constants!$B$18))</f>
        <v/>
      </c>
      <c r="V287" s="99" t="str">
        <f aca="false">IF(ISBLANK($C287),"",IF(ISNUMBER(I287),IF(I287&gt;=0,I287,""),""))</f>
        <v/>
      </c>
      <c r="W287" s="99" t="str">
        <f aca="false">IF(ISBLANK($C287),"",IF(J287=Constants!$B$2, TRUE(), IF(J287=Constants!$B$3, FALSE(), TRUE())))</f>
        <v/>
      </c>
      <c r="X287" s="99" t="str">
        <f aca="false">IF(ISBLANK($C287),"",IF(K287=Constants!$B$2, TRUE(), IF(K287=Constants!$B$3, FALSE(), TRUE())))</f>
        <v/>
      </c>
      <c r="Y287" s="99" t="str">
        <f aca="false">IF(ISBLANK($C287),"",IF(L287=Constants!$B$19,Constants!$B$19,Constants!$B$18))</f>
        <v/>
      </c>
      <c r="Z287" s="99" t="str">
        <f aca="false">IF(ISBLANK($C287),"",IF(ISNUMBER(M287),IF(M287&gt;=0,M287,""),""))</f>
        <v/>
      </c>
      <c r="AA287" s="99" t="str">
        <f aca="false">IF(ISBLANK($C287),"",IF(N287=Constants!$B$2, TRUE(), IF(N287=Constants!$B$3, FALSE(), TRUE())))</f>
        <v/>
      </c>
      <c r="AB287" s="99" t="str">
        <f aca="false">IF(ISBLANK($C287),"",IF(O287=Constants!$B$2, TRUE(), IF(O287=Constants!$B$3, FALSE(), TRUE())))</f>
        <v/>
      </c>
      <c r="AC287" s="99" t="str">
        <f aca="false">IF(ISBLANK($C287),"",IF(P287=Constants!$B$2, TRUE(), IF(P287=Constants!$B$3, FALSE(), FALSE())))</f>
        <v/>
      </c>
      <c r="AD287" s="99" t="str">
        <f aca="false">IF(ISBLANK($C287),"",AND(V287&lt;&gt;"",IF(U287=Constants!$B$19,S287,R287)))</f>
        <v/>
      </c>
      <c r="AE287" s="99" t="str">
        <f aca="false">IF(ISBLANK($C287),"",AND(Z287&lt;&gt;"",IF(Y287=Constants!$B$19,S287,R287)))</f>
        <v/>
      </c>
      <c r="AF287" s="99" t="str">
        <f aca="false">IF(ISBLANK($C287),"",IF(AC287,Constants!$B$4,IF(COUNTA(E287:O287)=0,Constants!$B$5,IF(AND(NOT(AD287),NOT(AE287)),Constants!$B$6,Constants!$B$7))))</f>
        <v/>
      </c>
      <c r="AG287" s="99" t="str">
        <f aca="false">IF(ISBLANK($C287),"",IF($AF287&lt;&gt;Constants!$B$7,$AF287,Constants!$B$20))</f>
        <v/>
      </c>
      <c r="AH287" s="99" t="str">
        <f aca="false">IF($AF287=Constants!$B$7,IF(AD287,V287,Constants!$B$13),"")</f>
        <v/>
      </c>
      <c r="AI287" s="99" t="str">
        <f aca="false">IF($AF287=Constants!$B$7,IF(AD287,T287*IF(W287, 1, Constants!$B$11)*IF(X287, 1, Constants!$B$12),Constants!$B$13),"")</f>
        <v/>
      </c>
      <c r="AJ287" s="99" t="str">
        <f aca="false">IF($AF287=Constants!$B$7,AH287*AI287,"")</f>
        <v/>
      </c>
      <c r="AK287" s="99" t="str">
        <f aca="false">IF($AF287=Constants!$B$7,IF(AE287,Z287,Constants!$B$13),"")</f>
        <v/>
      </c>
      <c r="AL287" s="99" t="str">
        <f aca="false">IF($AF287=Constants!$B$7,IF(AE287,T287*IF(AA287, 1, Constants!$B$11)*IF(AB287, 1, Constants!$B$12),Constants!$B$13),"")</f>
        <v/>
      </c>
      <c r="AM287" s="99" t="str">
        <f aca="false">IF($AF287=Constants!$B$7,AK287*AL287,"")</f>
        <v/>
      </c>
      <c r="AN287" s="99" t="str">
        <f aca="false">IF($AF287=Constants!$B$7,IF(AM287&gt;AJ287,2,1),"")</f>
        <v/>
      </c>
      <c r="AO287" s="99" t="str">
        <f aca="false">IF($AF287=Constants!$B$7,IF(AN287=1,2,1),"")</f>
        <v/>
      </c>
      <c r="AP287" s="99" t="str">
        <f aca="false">IF(ISBLANK($C287),"",IF($AF287&lt;&gt;Constants!$B$7,$AF287,IF(AN287=1,AJ287,AM287)))</f>
        <v/>
      </c>
      <c r="AQ287" s="99" t="str">
        <f aca="false">IF(ISBLANK($C287),"",IF($AF287=Constants!$B$7,IF(ISNUMBER(AP287),RANK(AP287,$AP$8:$AP$507),Constants!$B$14),$AF287))</f>
        <v/>
      </c>
      <c r="AR287" s="99" t="str">
        <f aca="false">IF(ISBLANK($C287),"",IF($AF287=Constants!$B$7,IF(AO287=1,AJ287,AM287),""))</f>
        <v/>
      </c>
      <c r="AS287" s="99" t="str">
        <f aca="false">IF(ISBLANK($C287),"",IF($AF287=Constants!$B$7,RANK(AR287,$AR$8:$AR$507),$AF287))</f>
        <v/>
      </c>
      <c r="AT287" s="99" t="str">
        <f aca="false">IF(ISBLANK($C287),"",IF($AF287=Constants!$B$7,IF(ISNUMBER(AQ287),COUNTIFS($AQ$8:$AQ$507,"&lt;"&amp;$AQ287)+COUNTIFS($AQ$8:$AQ$507,$AQ287,$AS$8:$AS$507,"&lt;"&amp;$AS287)+1,Constants!$B$14),$AF287))</f>
        <v/>
      </c>
      <c r="AU287" s="99" t="str">
        <f aca="false">IF(ISBLANK($C287),"",IF($AF287=Constants!$B$7,IF(ISNUMBER(AQ287),AQ287-AT287,Constants!$B$14),$AF287))</f>
        <v/>
      </c>
      <c r="AV287" s="100"/>
      <c r="AW287" s="101" t="str">
        <f aca="false">IF(ISBLANK($C287),"",IF($AF287&lt;&gt;Constants!$B$7,"",AN287))</f>
        <v/>
      </c>
      <c r="AX287" s="102" t="str">
        <f aca="false">IF(ISBLANK($C287),"",IF($AF287&lt;&gt;Constants!$B$7,"",IF(AN287=1,AH287,AK287)))</f>
        <v/>
      </c>
      <c r="AY287" s="103" t="str">
        <f aca="false">IF(ISBLANK($C287),"",IF($AF287&lt;&gt;Constants!$B$7,"",IF(AN287=1,AI287,AL287)))</f>
        <v/>
      </c>
      <c r="AZ287" s="104" t="str">
        <f aca="false">IF(ISBLANK($C287),"",IF($AF287&lt;&gt;Constants!$B$7,$AF287,AP287))</f>
        <v/>
      </c>
      <c r="BA287" s="105" t="str">
        <f aca="false">IF(ISBLANK($C287),"",IF($AF287&lt;&gt;Constants!$B$7,$AF287,AG287))</f>
        <v/>
      </c>
      <c r="BB287" s="106" t="str">
        <f aca="false">IF(ISBLANK($C287),"",AU287)</f>
        <v/>
      </c>
      <c r="BC287" s="106" t="str">
        <f aca="false">IF(ISBLANK($C287),"",AT287)</f>
        <v/>
      </c>
      <c r="BD287" s="107" t="str">
        <f aca="false">IF(ISBLANK($C287),"",IFERROR(_xlfn.SWITCH(BC287,Constants!$B$4,COUNTA($C$8:$C$507)+2,Constants!$B$5,COUNTA($C$8:$C$507)+1,Constants!$B$6,COUNTA($C$8:$C$507)),BC287))</f>
        <v/>
      </c>
      <c r="BE287" s="5"/>
      <c r="BF287" s="108" t="n">
        <f aca="false">IF(OR(ISNUMBER(BC287),BC287=Constants!$B$4,BC287=Constants!$B$6,BC287=Constants!$B$5),1,0)</f>
        <v>0</v>
      </c>
      <c r="BG287" s="108" t="n">
        <v>280</v>
      </c>
      <c r="BH287" s="108" t="str">
        <f aca="false">IF(ISBLANK($C287),"",IF(ISNUMBER(BD287),BD287+ROW($B287)/1000,""))</f>
        <v/>
      </c>
      <c r="BI287" s="108" t="str">
        <f aca="false">IF(ISNUMBER(BH287),RANK(BH287,$BH$8:$BH$507,1),"")</f>
        <v/>
      </c>
      <c r="BJ287" s="108" t="str">
        <f aca="false">IF(ISBLANK($C287),"",$B287)</f>
        <v/>
      </c>
      <c r="BK287" s="108" t="str">
        <f aca="false">IF(ISBLANK($C287),"",$C287)</f>
        <v/>
      </c>
      <c r="BL287" s="108" t="str">
        <f aca="false">IF(ISBLANK($C287),"",$D287)</f>
        <v/>
      </c>
      <c r="BM287" s="109" t="str">
        <f aca="false">BA287</f>
        <v/>
      </c>
      <c r="BN287" s="110" t="str">
        <f aca="false">AZ287</f>
        <v/>
      </c>
      <c r="BO287" s="108" t="str">
        <f aca="false">IF(ISBLANK($C287),"",BC287)</f>
        <v/>
      </c>
      <c r="BP287" s="111" t="str">
        <f aca="false">IF($BG287&gt;$BF$7,"",VLOOKUP($BG287,$BI$8:$BO$507,7,FALSE()))</f>
        <v/>
      </c>
      <c r="BQ287" s="112" t="str">
        <f aca="false">IF($BG287&gt;$BF$7,"",VLOOKUP($BG287,$BI$8:$BO$507,2,FALSE()))</f>
        <v/>
      </c>
      <c r="BR287" s="112" t="str">
        <f aca="false">IF($BG287&gt;$BF$7,"",VLOOKUP($BG287,$BI$8:$BO$507,3,FALSE()))</f>
        <v/>
      </c>
      <c r="BS287" s="112" t="str">
        <f aca="false">IF($BG287&gt;$BF$7,"",VLOOKUP($BG287,$BI$8:$BO$507,4,FALSE()))</f>
        <v/>
      </c>
      <c r="BT287" s="112" t="str">
        <f aca="false">IF($BG287&gt;$BF$7,"",VLOOKUP($BG287,$BI$8:$BO$507,5,FALSE()))</f>
        <v/>
      </c>
      <c r="BU287" s="113" t="str">
        <f aca="false">IF($BG287&gt;$BF$7,"",VLOOKUP($BG287,$BI$8:$BO$507,6,FALSE()))</f>
        <v/>
      </c>
      <c r="BV287" s="54"/>
    </row>
    <row r="288" customFormat="false" ht="15.75" hidden="false" customHeight="false" outlineLevel="0" collapsed="false">
      <c r="A288" s="5"/>
      <c r="B288" s="128"/>
      <c r="C288" s="129"/>
      <c r="D288" s="114"/>
      <c r="E288" s="134"/>
      <c r="F288" s="139"/>
      <c r="G288" s="93"/>
      <c r="H288" s="140"/>
      <c r="I288" s="95"/>
      <c r="J288" s="95"/>
      <c r="K288" s="93"/>
      <c r="L288" s="141"/>
      <c r="M288" s="95"/>
      <c r="N288" s="95"/>
      <c r="O288" s="93"/>
      <c r="P288" s="134"/>
      <c r="Q288" s="98"/>
      <c r="R288" s="99" t="str">
        <f aca="false">IF(ISBLANK($C288),"",IF(E288=Constants!$B$2, TRUE(), IF(E288=Constants!$B$3, FALSE(), TRUE())))</f>
        <v/>
      </c>
      <c r="S288" s="99" t="str">
        <f aca="false">IF(ISBLANK($C288),"",IF(F288=Constants!$B$2, TRUE(), IF(F288=Constants!$B$3, FALSE(), TRUE())))</f>
        <v/>
      </c>
      <c r="T288" s="99" t="str">
        <f aca="false">IF(ISBLANK($C288),"",IF(G288=Constants!$B$16,Constants!$B$9,IF(G288=Constants!$B$17,Constants!$B$10,Constants!$B$8)))</f>
        <v/>
      </c>
      <c r="U288" s="99" t="str">
        <f aca="false">IF(ISBLANK($C288),"",IF(H288=Constants!$B$19,Constants!$B$19,Constants!$B$18))</f>
        <v/>
      </c>
      <c r="V288" s="99" t="str">
        <f aca="false">IF(ISBLANK($C288),"",IF(ISNUMBER(I288),IF(I288&gt;=0,I288,""),""))</f>
        <v/>
      </c>
      <c r="W288" s="99" t="str">
        <f aca="false">IF(ISBLANK($C288),"",IF(J288=Constants!$B$2, TRUE(), IF(J288=Constants!$B$3, FALSE(), TRUE())))</f>
        <v/>
      </c>
      <c r="X288" s="99" t="str">
        <f aca="false">IF(ISBLANK($C288),"",IF(K288=Constants!$B$2, TRUE(), IF(K288=Constants!$B$3, FALSE(), TRUE())))</f>
        <v/>
      </c>
      <c r="Y288" s="99" t="str">
        <f aca="false">IF(ISBLANK($C288),"",IF(L288=Constants!$B$19,Constants!$B$19,Constants!$B$18))</f>
        <v/>
      </c>
      <c r="Z288" s="99" t="str">
        <f aca="false">IF(ISBLANK($C288),"",IF(ISNUMBER(M288),IF(M288&gt;=0,M288,""),""))</f>
        <v/>
      </c>
      <c r="AA288" s="99" t="str">
        <f aca="false">IF(ISBLANK($C288),"",IF(N288=Constants!$B$2, TRUE(), IF(N288=Constants!$B$3, FALSE(), TRUE())))</f>
        <v/>
      </c>
      <c r="AB288" s="99" t="str">
        <f aca="false">IF(ISBLANK($C288),"",IF(O288=Constants!$B$2, TRUE(), IF(O288=Constants!$B$3, FALSE(), TRUE())))</f>
        <v/>
      </c>
      <c r="AC288" s="99" t="str">
        <f aca="false">IF(ISBLANK($C288),"",IF(P288=Constants!$B$2, TRUE(), IF(P288=Constants!$B$3, FALSE(), FALSE())))</f>
        <v/>
      </c>
      <c r="AD288" s="99" t="str">
        <f aca="false">IF(ISBLANK($C288),"",AND(V288&lt;&gt;"",IF(U288=Constants!$B$19,S288,R288)))</f>
        <v/>
      </c>
      <c r="AE288" s="99" t="str">
        <f aca="false">IF(ISBLANK($C288),"",AND(Z288&lt;&gt;"",IF(Y288=Constants!$B$19,S288,R288)))</f>
        <v/>
      </c>
      <c r="AF288" s="99" t="str">
        <f aca="false">IF(ISBLANK($C288),"",IF(AC288,Constants!$B$4,IF(COUNTA(E288:O288)=0,Constants!$B$5,IF(AND(NOT(AD288),NOT(AE288)),Constants!$B$6,Constants!$B$7))))</f>
        <v/>
      </c>
      <c r="AG288" s="99" t="str">
        <f aca="false">IF(ISBLANK($C288),"",IF($AF288&lt;&gt;Constants!$B$7,$AF288,Constants!$B$20))</f>
        <v/>
      </c>
      <c r="AH288" s="99" t="str">
        <f aca="false">IF($AF288=Constants!$B$7,IF(AD288,V288,Constants!$B$13),"")</f>
        <v/>
      </c>
      <c r="AI288" s="99" t="str">
        <f aca="false">IF($AF288=Constants!$B$7,IF(AD288,T288*IF(W288, 1, Constants!$B$11)*IF(X288, 1, Constants!$B$12),Constants!$B$13),"")</f>
        <v/>
      </c>
      <c r="AJ288" s="99" t="str">
        <f aca="false">IF($AF288=Constants!$B$7,AH288*AI288,"")</f>
        <v/>
      </c>
      <c r="AK288" s="99" t="str">
        <f aca="false">IF($AF288=Constants!$B$7,IF(AE288,Z288,Constants!$B$13),"")</f>
        <v/>
      </c>
      <c r="AL288" s="99" t="str">
        <f aca="false">IF($AF288=Constants!$B$7,IF(AE288,T288*IF(AA288, 1, Constants!$B$11)*IF(AB288, 1, Constants!$B$12),Constants!$B$13),"")</f>
        <v/>
      </c>
      <c r="AM288" s="99" t="str">
        <f aca="false">IF($AF288=Constants!$B$7,AK288*AL288,"")</f>
        <v/>
      </c>
      <c r="AN288" s="99" t="str">
        <f aca="false">IF($AF288=Constants!$B$7,IF(AM288&gt;AJ288,2,1),"")</f>
        <v/>
      </c>
      <c r="AO288" s="99" t="str">
        <f aca="false">IF($AF288=Constants!$B$7,IF(AN288=1,2,1),"")</f>
        <v/>
      </c>
      <c r="AP288" s="99" t="str">
        <f aca="false">IF(ISBLANK($C288),"",IF($AF288&lt;&gt;Constants!$B$7,$AF288,IF(AN288=1,AJ288,AM288)))</f>
        <v/>
      </c>
      <c r="AQ288" s="99" t="str">
        <f aca="false">IF(ISBLANK($C288),"",IF($AF288=Constants!$B$7,IF(ISNUMBER(AP288),RANK(AP288,$AP$8:$AP$507),Constants!$B$14),$AF288))</f>
        <v/>
      </c>
      <c r="AR288" s="99" t="str">
        <f aca="false">IF(ISBLANK($C288),"",IF($AF288=Constants!$B$7,IF(AO288=1,AJ288,AM288),""))</f>
        <v/>
      </c>
      <c r="AS288" s="99" t="str">
        <f aca="false">IF(ISBLANK($C288),"",IF($AF288=Constants!$B$7,RANK(AR288,$AR$8:$AR$507),$AF288))</f>
        <v/>
      </c>
      <c r="AT288" s="99" t="str">
        <f aca="false">IF(ISBLANK($C288),"",IF($AF288=Constants!$B$7,IF(ISNUMBER(AQ288),COUNTIFS($AQ$8:$AQ$507,"&lt;"&amp;$AQ288)+COUNTIFS($AQ$8:$AQ$507,$AQ288,$AS$8:$AS$507,"&lt;"&amp;$AS288)+1,Constants!$B$14),$AF288))</f>
        <v/>
      </c>
      <c r="AU288" s="99" t="str">
        <f aca="false">IF(ISBLANK($C288),"",IF($AF288=Constants!$B$7,IF(ISNUMBER(AQ288),AQ288-AT288,Constants!$B$14),$AF288))</f>
        <v/>
      </c>
      <c r="AV288" s="100"/>
      <c r="AW288" s="101" t="str">
        <f aca="false">IF(ISBLANK($C288),"",IF($AF288&lt;&gt;Constants!$B$7,"",AN288))</f>
        <v/>
      </c>
      <c r="AX288" s="102" t="str">
        <f aca="false">IF(ISBLANK($C288),"",IF($AF288&lt;&gt;Constants!$B$7,"",IF(AN288=1,AH288,AK288)))</f>
        <v/>
      </c>
      <c r="AY288" s="103" t="str">
        <f aca="false">IF(ISBLANK($C288),"",IF($AF288&lt;&gt;Constants!$B$7,"",IF(AN288=1,AI288,AL288)))</f>
        <v/>
      </c>
      <c r="AZ288" s="104" t="str">
        <f aca="false">IF(ISBLANK($C288),"",IF($AF288&lt;&gt;Constants!$B$7,$AF288,AP288))</f>
        <v/>
      </c>
      <c r="BA288" s="105" t="str">
        <f aca="false">IF(ISBLANK($C288),"",IF($AF288&lt;&gt;Constants!$B$7,$AF288,AG288))</f>
        <v/>
      </c>
      <c r="BB288" s="106" t="str">
        <f aca="false">IF(ISBLANK($C288),"",AU288)</f>
        <v/>
      </c>
      <c r="BC288" s="106" t="str">
        <f aca="false">IF(ISBLANK($C288),"",AT288)</f>
        <v/>
      </c>
      <c r="BD288" s="107" t="str">
        <f aca="false">IF(ISBLANK($C288),"",IFERROR(_xlfn.SWITCH(BC288,Constants!$B$4,COUNTA($C$8:$C$507)+2,Constants!$B$5,COUNTA($C$8:$C$507)+1,Constants!$B$6,COUNTA($C$8:$C$507)),BC288))</f>
        <v/>
      </c>
      <c r="BE288" s="5"/>
      <c r="BF288" s="108" t="n">
        <f aca="false">IF(OR(ISNUMBER(BC288),BC288=Constants!$B$4,BC288=Constants!$B$6,BC288=Constants!$B$5),1,0)</f>
        <v>0</v>
      </c>
      <c r="BG288" s="108" t="n">
        <v>281</v>
      </c>
      <c r="BH288" s="108" t="str">
        <f aca="false">IF(ISBLANK($C288),"",IF(ISNUMBER(BD288),BD288+ROW($B288)/1000,""))</f>
        <v/>
      </c>
      <c r="BI288" s="108" t="str">
        <f aca="false">IF(ISNUMBER(BH288),RANK(BH288,$BH$8:$BH$507,1),"")</f>
        <v/>
      </c>
      <c r="BJ288" s="108" t="str">
        <f aca="false">IF(ISBLANK($C288),"",$B288)</f>
        <v/>
      </c>
      <c r="BK288" s="108" t="str">
        <f aca="false">IF(ISBLANK($C288),"",$C288)</f>
        <v/>
      </c>
      <c r="BL288" s="108" t="str">
        <f aca="false">IF(ISBLANK($C288),"",$D288)</f>
        <v/>
      </c>
      <c r="BM288" s="109" t="str">
        <f aca="false">BA288</f>
        <v/>
      </c>
      <c r="BN288" s="110" t="str">
        <f aca="false">AZ288</f>
        <v/>
      </c>
      <c r="BO288" s="108" t="str">
        <f aca="false">IF(ISBLANK($C288),"",BC288)</f>
        <v/>
      </c>
      <c r="BP288" s="111" t="str">
        <f aca="false">IF($BG288&gt;$BF$7,"",VLOOKUP($BG288,$BI$8:$BO$507,7,FALSE()))</f>
        <v/>
      </c>
      <c r="BQ288" s="112" t="str">
        <f aca="false">IF($BG288&gt;$BF$7,"",VLOOKUP($BG288,$BI$8:$BO$507,2,FALSE()))</f>
        <v/>
      </c>
      <c r="BR288" s="112" t="str">
        <f aca="false">IF($BG288&gt;$BF$7,"",VLOOKUP($BG288,$BI$8:$BO$507,3,FALSE()))</f>
        <v/>
      </c>
      <c r="BS288" s="112" t="str">
        <f aca="false">IF($BG288&gt;$BF$7,"",VLOOKUP($BG288,$BI$8:$BO$507,4,FALSE()))</f>
        <v/>
      </c>
      <c r="BT288" s="112" t="str">
        <f aca="false">IF($BG288&gt;$BF$7,"",VLOOKUP($BG288,$BI$8:$BO$507,5,FALSE()))</f>
        <v/>
      </c>
      <c r="BU288" s="113" t="str">
        <f aca="false">IF($BG288&gt;$BF$7,"",VLOOKUP($BG288,$BI$8:$BO$507,6,FALSE()))</f>
        <v/>
      </c>
      <c r="BV288" s="54"/>
    </row>
    <row r="289" customFormat="false" ht="15.75" hidden="false" customHeight="false" outlineLevel="0" collapsed="false">
      <c r="A289" s="5"/>
      <c r="B289" s="128"/>
      <c r="C289" s="129"/>
      <c r="D289" s="114"/>
      <c r="E289" s="134"/>
      <c r="F289" s="139"/>
      <c r="G289" s="93"/>
      <c r="H289" s="140"/>
      <c r="I289" s="95"/>
      <c r="J289" s="95"/>
      <c r="K289" s="93"/>
      <c r="L289" s="141"/>
      <c r="M289" s="95"/>
      <c r="N289" s="95"/>
      <c r="O289" s="93"/>
      <c r="P289" s="134"/>
      <c r="Q289" s="98"/>
      <c r="R289" s="99" t="str">
        <f aca="false">IF(ISBLANK($C289),"",IF(E289=Constants!$B$2, TRUE(), IF(E289=Constants!$B$3, FALSE(), TRUE())))</f>
        <v/>
      </c>
      <c r="S289" s="99" t="str">
        <f aca="false">IF(ISBLANK($C289),"",IF(F289=Constants!$B$2, TRUE(), IF(F289=Constants!$B$3, FALSE(), TRUE())))</f>
        <v/>
      </c>
      <c r="T289" s="99" t="str">
        <f aca="false">IF(ISBLANK($C289),"",IF(G289=Constants!$B$16,Constants!$B$9,IF(G289=Constants!$B$17,Constants!$B$10,Constants!$B$8)))</f>
        <v/>
      </c>
      <c r="U289" s="99" t="str">
        <f aca="false">IF(ISBLANK($C289),"",IF(H289=Constants!$B$19,Constants!$B$19,Constants!$B$18))</f>
        <v/>
      </c>
      <c r="V289" s="99" t="str">
        <f aca="false">IF(ISBLANK($C289),"",IF(ISNUMBER(I289),IF(I289&gt;=0,I289,""),""))</f>
        <v/>
      </c>
      <c r="W289" s="99" t="str">
        <f aca="false">IF(ISBLANK($C289),"",IF(J289=Constants!$B$2, TRUE(), IF(J289=Constants!$B$3, FALSE(), TRUE())))</f>
        <v/>
      </c>
      <c r="X289" s="99" t="str">
        <f aca="false">IF(ISBLANK($C289),"",IF(K289=Constants!$B$2, TRUE(), IF(K289=Constants!$B$3, FALSE(), TRUE())))</f>
        <v/>
      </c>
      <c r="Y289" s="99" t="str">
        <f aca="false">IF(ISBLANK($C289),"",IF(L289=Constants!$B$19,Constants!$B$19,Constants!$B$18))</f>
        <v/>
      </c>
      <c r="Z289" s="99" t="str">
        <f aca="false">IF(ISBLANK($C289),"",IF(ISNUMBER(M289),IF(M289&gt;=0,M289,""),""))</f>
        <v/>
      </c>
      <c r="AA289" s="99" t="str">
        <f aca="false">IF(ISBLANK($C289),"",IF(N289=Constants!$B$2, TRUE(), IF(N289=Constants!$B$3, FALSE(), TRUE())))</f>
        <v/>
      </c>
      <c r="AB289" s="99" t="str">
        <f aca="false">IF(ISBLANK($C289),"",IF(O289=Constants!$B$2, TRUE(), IF(O289=Constants!$B$3, FALSE(), TRUE())))</f>
        <v/>
      </c>
      <c r="AC289" s="99" t="str">
        <f aca="false">IF(ISBLANK($C289),"",IF(P289=Constants!$B$2, TRUE(), IF(P289=Constants!$B$3, FALSE(), FALSE())))</f>
        <v/>
      </c>
      <c r="AD289" s="99" t="str">
        <f aca="false">IF(ISBLANK($C289),"",AND(V289&lt;&gt;"",IF(U289=Constants!$B$19,S289,R289)))</f>
        <v/>
      </c>
      <c r="AE289" s="99" t="str">
        <f aca="false">IF(ISBLANK($C289),"",AND(Z289&lt;&gt;"",IF(Y289=Constants!$B$19,S289,R289)))</f>
        <v/>
      </c>
      <c r="AF289" s="99" t="str">
        <f aca="false">IF(ISBLANK($C289),"",IF(AC289,Constants!$B$4,IF(COUNTA(E289:O289)=0,Constants!$B$5,IF(AND(NOT(AD289),NOT(AE289)),Constants!$B$6,Constants!$B$7))))</f>
        <v/>
      </c>
      <c r="AG289" s="99" t="str">
        <f aca="false">IF(ISBLANK($C289),"",IF($AF289&lt;&gt;Constants!$B$7,$AF289,Constants!$B$20))</f>
        <v/>
      </c>
      <c r="AH289" s="99" t="str">
        <f aca="false">IF($AF289=Constants!$B$7,IF(AD289,V289,Constants!$B$13),"")</f>
        <v/>
      </c>
      <c r="AI289" s="99" t="str">
        <f aca="false">IF($AF289=Constants!$B$7,IF(AD289,T289*IF(W289, 1, Constants!$B$11)*IF(X289, 1, Constants!$B$12),Constants!$B$13),"")</f>
        <v/>
      </c>
      <c r="AJ289" s="99" t="str">
        <f aca="false">IF($AF289=Constants!$B$7,AH289*AI289,"")</f>
        <v/>
      </c>
      <c r="AK289" s="99" t="str">
        <f aca="false">IF($AF289=Constants!$B$7,IF(AE289,Z289,Constants!$B$13),"")</f>
        <v/>
      </c>
      <c r="AL289" s="99" t="str">
        <f aca="false">IF($AF289=Constants!$B$7,IF(AE289,T289*IF(AA289, 1, Constants!$B$11)*IF(AB289, 1, Constants!$B$12),Constants!$B$13),"")</f>
        <v/>
      </c>
      <c r="AM289" s="99" t="str">
        <f aca="false">IF($AF289=Constants!$B$7,AK289*AL289,"")</f>
        <v/>
      </c>
      <c r="AN289" s="99" t="str">
        <f aca="false">IF($AF289=Constants!$B$7,IF(AM289&gt;AJ289,2,1),"")</f>
        <v/>
      </c>
      <c r="AO289" s="99" t="str">
        <f aca="false">IF($AF289=Constants!$B$7,IF(AN289=1,2,1),"")</f>
        <v/>
      </c>
      <c r="AP289" s="99" t="str">
        <f aca="false">IF(ISBLANK($C289),"",IF($AF289&lt;&gt;Constants!$B$7,$AF289,IF(AN289=1,AJ289,AM289)))</f>
        <v/>
      </c>
      <c r="AQ289" s="99" t="str">
        <f aca="false">IF(ISBLANK($C289),"",IF($AF289=Constants!$B$7,IF(ISNUMBER(AP289),RANK(AP289,$AP$8:$AP$507),Constants!$B$14),$AF289))</f>
        <v/>
      </c>
      <c r="AR289" s="99" t="str">
        <f aca="false">IF(ISBLANK($C289),"",IF($AF289=Constants!$B$7,IF(AO289=1,AJ289,AM289),""))</f>
        <v/>
      </c>
      <c r="AS289" s="99" t="str">
        <f aca="false">IF(ISBLANK($C289),"",IF($AF289=Constants!$B$7,RANK(AR289,$AR$8:$AR$507),$AF289))</f>
        <v/>
      </c>
      <c r="AT289" s="99" t="str">
        <f aca="false">IF(ISBLANK($C289),"",IF($AF289=Constants!$B$7,IF(ISNUMBER(AQ289),COUNTIFS($AQ$8:$AQ$507,"&lt;"&amp;$AQ289)+COUNTIFS($AQ$8:$AQ$507,$AQ289,$AS$8:$AS$507,"&lt;"&amp;$AS289)+1,Constants!$B$14),$AF289))</f>
        <v/>
      </c>
      <c r="AU289" s="99" t="str">
        <f aca="false">IF(ISBLANK($C289),"",IF($AF289=Constants!$B$7,IF(ISNUMBER(AQ289),AQ289-AT289,Constants!$B$14),$AF289))</f>
        <v/>
      </c>
      <c r="AV289" s="100"/>
      <c r="AW289" s="101" t="str">
        <f aca="false">IF(ISBLANK($C289),"",IF($AF289&lt;&gt;Constants!$B$7,"",AN289))</f>
        <v/>
      </c>
      <c r="AX289" s="102" t="str">
        <f aca="false">IF(ISBLANK($C289),"",IF($AF289&lt;&gt;Constants!$B$7,"",IF(AN289=1,AH289,AK289)))</f>
        <v/>
      </c>
      <c r="AY289" s="103" t="str">
        <f aca="false">IF(ISBLANK($C289),"",IF($AF289&lt;&gt;Constants!$B$7,"",IF(AN289=1,AI289,AL289)))</f>
        <v/>
      </c>
      <c r="AZ289" s="104" t="str">
        <f aca="false">IF(ISBLANK($C289),"",IF($AF289&lt;&gt;Constants!$B$7,$AF289,AP289))</f>
        <v/>
      </c>
      <c r="BA289" s="105" t="str">
        <f aca="false">IF(ISBLANK($C289),"",IF($AF289&lt;&gt;Constants!$B$7,$AF289,AG289))</f>
        <v/>
      </c>
      <c r="BB289" s="106" t="str">
        <f aca="false">IF(ISBLANK($C289),"",AU289)</f>
        <v/>
      </c>
      <c r="BC289" s="106" t="str">
        <f aca="false">IF(ISBLANK($C289),"",AT289)</f>
        <v/>
      </c>
      <c r="BD289" s="107" t="str">
        <f aca="false">IF(ISBLANK($C289),"",IFERROR(_xlfn.SWITCH(BC289,Constants!$B$4,COUNTA($C$8:$C$507)+2,Constants!$B$5,COUNTA($C$8:$C$507)+1,Constants!$B$6,COUNTA($C$8:$C$507)),BC289))</f>
        <v/>
      </c>
      <c r="BE289" s="5"/>
      <c r="BF289" s="108" t="n">
        <f aca="false">IF(OR(ISNUMBER(BC289),BC289=Constants!$B$4,BC289=Constants!$B$6,BC289=Constants!$B$5),1,0)</f>
        <v>0</v>
      </c>
      <c r="BG289" s="108" t="n">
        <v>282</v>
      </c>
      <c r="BH289" s="108" t="str">
        <f aca="false">IF(ISBLANK($C289),"",IF(ISNUMBER(BD289),BD289+ROW($B289)/1000,""))</f>
        <v/>
      </c>
      <c r="BI289" s="108" t="str">
        <f aca="false">IF(ISNUMBER(BH289),RANK(BH289,$BH$8:$BH$507,1),"")</f>
        <v/>
      </c>
      <c r="BJ289" s="108" t="str">
        <f aca="false">IF(ISBLANK($C289),"",$B289)</f>
        <v/>
      </c>
      <c r="BK289" s="108" t="str">
        <f aca="false">IF(ISBLANK($C289),"",$C289)</f>
        <v/>
      </c>
      <c r="BL289" s="108" t="str">
        <f aca="false">IF(ISBLANK($C289),"",$D289)</f>
        <v/>
      </c>
      <c r="BM289" s="109" t="str">
        <f aca="false">BA289</f>
        <v/>
      </c>
      <c r="BN289" s="110" t="str">
        <f aca="false">AZ289</f>
        <v/>
      </c>
      <c r="BO289" s="108" t="str">
        <f aca="false">IF(ISBLANK($C289),"",BC289)</f>
        <v/>
      </c>
      <c r="BP289" s="111" t="str">
        <f aca="false">IF($BG289&gt;$BF$7,"",VLOOKUP($BG289,$BI$8:$BO$507,7,FALSE()))</f>
        <v/>
      </c>
      <c r="BQ289" s="112" t="str">
        <f aca="false">IF($BG289&gt;$BF$7,"",VLOOKUP($BG289,$BI$8:$BO$507,2,FALSE()))</f>
        <v/>
      </c>
      <c r="BR289" s="112" t="str">
        <f aca="false">IF($BG289&gt;$BF$7,"",VLOOKUP($BG289,$BI$8:$BO$507,3,FALSE()))</f>
        <v/>
      </c>
      <c r="BS289" s="112" t="str">
        <f aca="false">IF($BG289&gt;$BF$7,"",VLOOKUP($BG289,$BI$8:$BO$507,4,FALSE()))</f>
        <v/>
      </c>
      <c r="BT289" s="112" t="str">
        <f aca="false">IF($BG289&gt;$BF$7,"",VLOOKUP($BG289,$BI$8:$BO$507,5,FALSE()))</f>
        <v/>
      </c>
      <c r="BU289" s="113" t="str">
        <f aca="false">IF($BG289&gt;$BF$7,"",VLOOKUP($BG289,$BI$8:$BO$507,6,FALSE()))</f>
        <v/>
      </c>
      <c r="BV289" s="54"/>
    </row>
    <row r="290" customFormat="false" ht="15.75" hidden="false" customHeight="false" outlineLevel="0" collapsed="false">
      <c r="A290" s="5"/>
      <c r="B290" s="135"/>
      <c r="C290" s="56"/>
      <c r="D290" s="57"/>
      <c r="E290" s="84"/>
      <c r="F290" s="136"/>
      <c r="G290" s="60"/>
      <c r="H290" s="137"/>
      <c r="I290" s="62"/>
      <c r="J290" s="62"/>
      <c r="K290" s="60"/>
      <c r="L290" s="138"/>
      <c r="M290" s="62"/>
      <c r="N290" s="62"/>
      <c r="O290" s="60"/>
      <c r="P290" s="84"/>
      <c r="Q290" s="65"/>
      <c r="R290" s="67" t="str">
        <f aca="false">IF(ISBLANK($C290),"",IF(E290=Constants!$B$2, TRUE(), IF(E290=Constants!$B$3, FALSE(), TRUE())))</f>
        <v/>
      </c>
      <c r="S290" s="67" t="str">
        <f aca="false">IF(ISBLANK($C290),"",IF(F290=Constants!$B$2, TRUE(), IF(F290=Constants!$B$3, FALSE(), TRUE())))</f>
        <v/>
      </c>
      <c r="T290" s="67" t="str">
        <f aca="false">IF(ISBLANK($C290),"",IF(G290=Constants!$B$16,Constants!$B$9,IF(G290=Constants!$B$17,Constants!$B$10,Constants!$B$8)))</f>
        <v/>
      </c>
      <c r="U290" s="67" t="str">
        <f aca="false">IF(ISBLANK($C290),"",IF(H290=Constants!$B$19,Constants!$B$19,Constants!$B$18))</f>
        <v/>
      </c>
      <c r="V290" s="67" t="str">
        <f aca="false">IF(ISBLANK($C290),"",IF(ISNUMBER(I290),IF(I290&gt;=0,I290,""),""))</f>
        <v/>
      </c>
      <c r="W290" s="67" t="str">
        <f aca="false">IF(ISBLANK($C290),"",IF(J290=Constants!$B$2, TRUE(), IF(J290=Constants!$B$3, FALSE(), TRUE())))</f>
        <v/>
      </c>
      <c r="X290" s="67" t="str">
        <f aca="false">IF(ISBLANK($C290),"",IF(K290=Constants!$B$2, TRUE(), IF(K290=Constants!$B$3, FALSE(), TRUE())))</f>
        <v/>
      </c>
      <c r="Y290" s="67" t="str">
        <f aca="false">IF(ISBLANK($C290),"",IF(L290=Constants!$B$19,Constants!$B$19,Constants!$B$18))</f>
        <v/>
      </c>
      <c r="Z290" s="67" t="str">
        <f aca="false">IF(ISBLANK($C290),"",IF(ISNUMBER(M290),IF(M290&gt;=0,M290,""),""))</f>
        <v/>
      </c>
      <c r="AA290" s="67" t="str">
        <f aca="false">IF(ISBLANK($C290),"",IF(N290=Constants!$B$2, TRUE(), IF(N290=Constants!$B$3, FALSE(), TRUE())))</f>
        <v/>
      </c>
      <c r="AB290" s="67" t="str">
        <f aca="false">IF(ISBLANK($C290),"",IF(O290=Constants!$B$2, TRUE(), IF(O290=Constants!$B$3, FALSE(), TRUE())))</f>
        <v/>
      </c>
      <c r="AC290" s="67" t="str">
        <f aca="false">IF(ISBLANK($C290),"",IF(P290=Constants!$B$2, TRUE(), IF(P290=Constants!$B$3, FALSE(), FALSE())))</f>
        <v/>
      </c>
      <c r="AD290" s="67" t="str">
        <f aca="false">IF(ISBLANK($C290),"",AND(V290&lt;&gt;"",IF(U290=Constants!$B$19,S290,R290)))</f>
        <v/>
      </c>
      <c r="AE290" s="67" t="str">
        <f aca="false">IF(ISBLANK($C290),"",AND(Z290&lt;&gt;"",IF(Y290=Constants!$B$19,S290,R290)))</f>
        <v/>
      </c>
      <c r="AF290" s="67" t="str">
        <f aca="false">IF(ISBLANK($C290),"",IF(AC290,Constants!$B$4,IF(COUNTA(E290:O290)=0,Constants!$B$5,IF(AND(NOT(AD290),NOT(AE290)),Constants!$B$6,Constants!$B$7))))</f>
        <v/>
      </c>
      <c r="AG290" s="67" t="str">
        <f aca="false">IF(ISBLANK($C290),"",IF($AF290&lt;&gt;Constants!$B$7,$AF290,Constants!$B$20))</f>
        <v/>
      </c>
      <c r="AH290" s="67" t="str">
        <f aca="false">IF($AF290=Constants!$B$7,IF(AD290,V290,Constants!$B$13),"")</f>
        <v/>
      </c>
      <c r="AI290" s="67" t="str">
        <f aca="false">IF($AF290=Constants!$B$7,IF(AD290,T290*IF(W290, 1, Constants!$B$11)*IF(X290, 1, Constants!$B$12),Constants!$B$13),"")</f>
        <v/>
      </c>
      <c r="AJ290" s="67" t="str">
        <f aca="false">IF($AF290=Constants!$B$7,AH290*AI290,"")</f>
        <v/>
      </c>
      <c r="AK290" s="67" t="str">
        <f aca="false">IF($AF290=Constants!$B$7,IF(AE290,Z290,Constants!$B$13),"")</f>
        <v/>
      </c>
      <c r="AL290" s="67" t="str">
        <f aca="false">IF($AF290=Constants!$B$7,IF(AE290,T290*IF(AA290, 1, Constants!$B$11)*IF(AB290, 1, Constants!$B$12),Constants!$B$13),"")</f>
        <v/>
      </c>
      <c r="AM290" s="67" t="str">
        <f aca="false">IF($AF290=Constants!$B$7,AK290*AL290,"")</f>
        <v/>
      </c>
      <c r="AN290" s="67" t="str">
        <f aca="false">IF($AF290=Constants!$B$7,IF(AM290&gt;AJ290,2,1),"")</f>
        <v/>
      </c>
      <c r="AO290" s="67" t="str">
        <f aca="false">IF($AF290=Constants!$B$7,IF(AN290=1,2,1),"")</f>
        <v/>
      </c>
      <c r="AP290" s="67" t="str">
        <f aca="false">IF(ISBLANK($C290),"",IF($AF290&lt;&gt;Constants!$B$7,$AF290,IF(AN290=1,AJ290,AM290)))</f>
        <v/>
      </c>
      <c r="AQ290" s="67" t="str">
        <f aca="false">IF(ISBLANK($C290),"",IF($AF290=Constants!$B$7,IF(ISNUMBER(AP290),RANK(AP290,$AP$8:$AP$507),Constants!$B$14),$AF290))</f>
        <v/>
      </c>
      <c r="AR290" s="67" t="str">
        <f aca="false">IF(ISBLANK($C290),"",IF($AF290=Constants!$B$7,IF(AO290=1,AJ290,AM290),""))</f>
        <v/>
      </c>
      <c r="AS290" s="67" t="str">
        <f aca="false">IF(ISBLANK($C290),"",IF($AF290=Constants!$B$7,RANK(AR290,$AR$8:$AR$507),$AF290))</f>
        <v/>
      </c>
      <c r="AT290" s="67" t="str">
        <f aca="false">IF(ISBLANK($C290),"",IF($AF290=Constants!$B$7,IF(ISNUMBER(AQ290),COUNTIFS($AQ$8:$AQ$507,"&lt;"&amp;$AQ290)+COUNTIFS($AQ$8:$AQ$507,$AQ290,$AS$8:$AS$507,"&lt;"&amp;$AS290)+1,Constants!$B$14),$AF290))</f>
        <v/>
      </c>
      <c r="AU290" s="67" t="str">
        <f aca="false">IF(ISBLANK($C290),"",IF($AF290=Constants!$B$7,IF(ISNUMBER(AQ290),AQ290-AT290,Constants!$B$14),$AF290))</f>
        <v/>
      </c>
      <c r="AV290" s="69"/>
      <c r="AW290" s="70" t="str">
        <f aca="false">IF(ISBLANK($C290),"",IF($AF290&lt;&gt;Constants!$B$7,"",AN290))</f>
        <v/>
      </c>
      <c r="AX290" s="85" t="str">
        <f aca="false">IF(ISBLANK($C290),"",IF($AF290&lt;&gt;Constants!$B$7,"",IF(AN290=1,AH290,AK290)))</f>
        <v/>
      </c>
      <c r="AY290" s="72" t="str">
        <f aca="false">IF(ISBLANK($C290),"",IF($AF290&lt;&gt;Constants!$B$7,"",IF(AN290=1,AI290,AL290)))</f>
        <v/>
      </c>
      <c r="AZ290" s="73" t="str">
        <f aca="false">IF(ISBLANK($C290),"",IF($AF290&lt;&gt;Constants!$B$7,$AF290,AP290))</f>
        <v/>
      </c>
      <c r="BA290" s="74" t="str">
        <f aca="false">IF(ISBLANK($C290),"",IF($AF290&lt;&gt;Constants!$B$7,$AF290,AG290))</f>
        <v/>
      </c>
      <c r="BB290" s="75" t="str">
        <f aca="false">IF(ISBLANK($C290),"",AU290)</f>
        <v/>
      </c>
      <c r="BC290" s="75" t="str">
        <f aca="false">IF(ISBLANK($C290),"",AT290)</f>
        <v/>
      </c>
      <c r="BD290" s="76" t="str">
        <f aca="false">IF(ISBLANK($C290),"",IFERROR(_xlfn.SWITCH(BC290,Constants!$B$4,COUNTA($C$8:$C$507)+2,Constants!$B$5,COUNTA($C$8:$C$507)+1,Constants!$B$6,COUNTA($C$8:$C$507)),BC290))</f>
        <v/>
      </c>
      <c r="BE290" s="5"/>
      <c r="BF290" s="77" t="n">
        <f aca="false">IF(OR(ISNUMBER(BC290),BC290=Constants!$B$4,BC290=Constants!$B$6,BC290=Constants!$B$5),1,0)</f>
        <v>0</v>
      </c>
      <c r="BG290" s="77" t="n">
        <v>283</v>
      </c>
      <c r="BH290" s="77" t="str">
        <f aca="false">IF(ISBLANK($C290),"",IF(ISNUMBER(BD290),BD290+ROW($B290)/1000,""))</f>
        <v/>
      </c>
      <c r="BI290" s="77" t="str">
        <f aca="false">IF(ISNUMBER(BH290),RANK(BH290,$BH$8:$BH$507,1),"")</f>
        <v/>
      </c>
      <c r="BJ290" s="77" t="str">
        <f aca="false">IF(ISBLANK($C290),"",$B290)</f>
        <v/>
      </c>
      <c r="BK290" s="77" t="str">
        <f aca="false">IF(ISBLANK($C290),"",$C290)</f>
        <v/>
      </c>
      <c r="BL290" s="77" t="str">
        <f aca="false">IF(ISBLANK($C290),"",$D290)</f>
        <v/>
      </c>
      <c r="BM290" s="78" t="str">
        <f aca="false">BA290</f>
        <v/>
      </c>
      <c r="BN290" s="79" t="str">
        <f aca="false">AZ290</f>
        <v/>
      </c>
      <c r="BO290" s="77" t="str">
        <f aca="false">IF(ISBLANK($C290),"",BC290)</f>
        <v/>
      </c>
      <c r="BP290" s="80" t="str">
        <f aca="false">IF($BG290&gt;$BF$7,"",VLOOKUP($BG290,$BI$8:$BO$507,7,FALSE()))</f>
        <v/>
      </c>
      <c r="BQ290" s="81" t="str">
        <f aca="false">IF($BG290&gt;$BF$7,"",VLOOKUP($BG290,$BI$8:$BO$507,2,FALSE()))</f>
        <v/>
      </c>
      <c r="BR290" s="81" t="str">
        <f aca="false">IF($BG290&gt;$BF$7,"",VLOOKUP($BG290,$BI$8:$BO$507,3,FALSE()))</f>
        <v/>
      </c>
      <c r="BS290" s="81" t="str">
        <f aca="false">IF($BG290&gt;$BF$7,"",VLOOKUP($BG290,$BI$8:$BO$507,4,FALSE()))</f>
        <v/>
      </c>
      <c r="BT290" s="81" t="str">
        <f aca="false">IF($BG290&gt;$BF$7,"",VLOOKUP($BG290,$BI$8:$BO$507,5,FALSE()))</f>
        <v/>
      </c>
      <c r="BU290" s="82" t="str">
        <f aca="false">IF($BG290&gt;$BF$7,"",VLOOKUP($BG290,$BI$8:$BO$507,6,FALSE()))</f>
        <v/>
      </c>
      <c r="BV290" s="54"/>
    </row>
    <row r="291" customFormat="false" ht="15.75" hidden="false" customHeight="false" outlineLevel="0" collapsed="false">
      <c r="A291" s="5"/>
      <c r="B291" s="135"/>
      <c r="C291" s="56"/>
      <c r="D291" s="57"/>
      <c r="E291" s="84"/>
      <c r="F291" s="136"/>
      <c r="G291" s="60"/>
      <c r="H291" s="137"/>
      <c r="I291" s="62"/>
      <c r="J291" s="62"/>
      <c r="K291" s="60"/>
      <c r="L291" s="138"/>
      <c r="M291" s="62"/>
      <c r="N291" s="62"/>
      <c r="O291" s="60"/>
      <c r="P291" s="84"/>
      <c r="Q291" s="65"/>
      <c r="R291" s="67" t="str">
        <f aca="false">IF(ISBLANK($C291),"",IF(E291=Constants!$B$2, TRUE(), IF(E291=Constants!$B$3, FALSE(), TRUE())))</f>
        <v/>
      </c>
      <c r="S291" s="67" t="str">
        <f aca="false">IF(ISBLANK($C291),"",IF(F291=Constants!$B$2, TRUE(), IF(F291=Constants!$B$3, FALSE(), TRUE())))</f>
        <v/>
      </c>
      <c r="T291" s="67" t="str">
        <f aca="false">IF(ISBLANK($C291),"",IF(G291=Constants!$B$16,Constants!$B$9,IF(G291=Constants!$B$17,Constants!$B$10,Constants!$B$8)))</f>
        <v/>
      </c>
      <c r="U291" s="67" t="str">
        <f aca="false">IF(ISBLANK($C291),"",IF(H291=Constants!$B$19,Constants!$B$19,Constants!$B$18))</f>
        <v/>
      </c>
      <c r="V291" s="67" t="str">
        <f aca="false">IF(ISBLANK($C291),"",IF(ISNUMBER(I291),IF(I291&gt;=0,I291,""),""))</f>
        <v/>
      </c>
      <c r="W291" s="67" t="str">
        <f aca="false">IF(ISBLANK($C291),"",IF(J291=Constants!$B$2, TRUE(), IF(J291=Constants!$B$3, FALSE(), TRUE())))</f>
        <v/>
      </c>
      <c r="X291" s="67" t="str">
        <f aca="false">IF(ISBLANK($C291),"",IF(K291=Constants!$B$2, TRUE(), IF(K291=Constants!$B$3, FALSE(), TRUE())))</f>
        <v/>
      </c>
      <c r="Y291" s="67" t="str">
        <f aca="false">IF(ISBLANK($C291),"",IF(L291=Constants!$B$19,Constants!$B$19,Constants!$B$18))</f>
        <v/>
      </c>
      <c r="Z291" s="67" t="str">
        <f aca="false">IF(ISBLANK($C291),"",IF(ISNUMBER(M291),IF(M291&gt;=0,M291,""),""))</f>
        <v/>
      </c>
      <c r="AA291" s="67" t="str">
        <f aca="false">IF(ISBLANK($C291),"",IF(N291=Constants!$B$2, TRUE(), IF(N291=Constants!$B$3, FALSE(), TRUE())))</f>
        <v/>
      </c>
      <c r="AB291" s="67" t="str">
        <f aca="false">IF(ISBLANK($C291),"",IF(O291=Constants!$B$2, TRUE(), IF(O291=Constants!$B$3, FALSE(), TRUE())))</f>
        <v/>
      </c>
      <c r="AC291" s="67" t="str">
        <f aca="false">IF(ISBLANK($C291),"",IF(P291=Constants!$B$2, TRUE(), IF(P291=Constants!$B$3, FALSE(), FALSE())))</f>
        <v/>
      </c>
      <c r="AD291" s="67" t="str">
        <f aca="false">IF(ISBLANK($C291),"",AND(V291&lt;&gt;"",IF(U291=Constants!$B$19,S291,R291)))</f>
        <v/>
      </c>
      <c r="AE291" s="67" t="str">
        <f aca="false">IF(ISBLANK($C291),"",AND(Z291&lt;&gt;"",IF(Y291=Constants!$B$19,S291,R291)))</f>
        <v/>
      </c>
      <c r="AF291" s="67" t="str">
        <f aca="false">IF(ISBLANK($C291),"",IF(AC291,Constants!$B$4,IF(COUNTA(E291:O291)=0,Constants!$B$5,IF(AND(NOT(AD291),NOT(AE291)),Constants!$B$6,Constants!$B$7))))</f>
        <v/>
      </c>
      <c r="AG291" s="67" t="str">
        <f aca="false">IF(ISBLANK($C291),"",IF($AF291&lt;&gt;Constants!$B$7,$AF291,Constants!$B$20))</f>
        <v/>
      </c>
      <c r="AH291" s="67" t="str">
        <f aca="false">IF($AF291=Constants!$B$7,IF(AD291,V291,Constants!$B$13),"")</f>
        <v/>
      </c>
      <c r="AI291" s="67" t="str">
        <f aca="false">IF($AF291=Constants!$B$7,IF(AD291,T291*IF(W291, 1, Constants!$B$11)*IF(X291, 1, Constants!$B$12),Constants!$B$13),"")</f>
        <v/>
      </c>
      <c r="AJ291" s="67" t="str">
        <f aca="false">IF($AF291=Constants!$B$7,AH291*AI291,"")</f>
        <v/>
      </c>
      <c r="AK291" s="67" t="str">
        <f aca="false">IF($AF291=Constants!$B$7,IF(AE291,Z291,Constants!$B$13),"")</f>
        <v/>
      </c>
      <c r="AL291" s="67" t="str">
        <f aca="false">IF($AF291=Constants!$B$7,IF(AE291,T291*IF(AA291, 1, Constants!$B$11)*IF(AB291, 1, Constants!$B$12),Constants!$B$13),"")</f>
        <v/>
      </c>
      <c r="AM291" s="67" t="str">
        <f aca="false">IF($AF291=Constants!$B$7,AK291*AL291,"")</f>
        <v/>
      </c>
      <c r="AN291" s="67" t="str">
        <f aca="false">IF($AF291=Constants!$B$7,IF(AM291&gt;AJ291,2,1),"")</f>
        <v/>
      </c>
      <c r="AO291" s="67" t="str">
        <f aca="false">IF($AF291=Constants!$B$7,IF(AN291=1,2,1),"")</f>
        <v/>
      </c>
      <c r="AP291" s="67" t="str">
        <f aca="false">IF(ISBLANK($C291),"",IF($AF291&lt;&gt;Constants!$B$7,$AF291,IF(AN291=1,AJ291,AM291)))</f>
        <v/>
      </c>
      <c r="AQ291" s="67" t="str">
        <f aca="false">IF(ISBLANK($C291),"",IF($AF291=Constants!$B$7,IF(ISNUMBER(AP291),RANK(AP291,$AP$8:$AP$507),Constants!$B$14),$AF291))</f>
        <v/>
      </c>
      <c r="AR291" s="67" t="str">
        <f aca="false">IF(ISBLANK($C291),"",IF($AF291=Constants!$B$7,IF(AO291=1,AJ291,AM291),""))</f>
        <v/>
      </c>
      <c r="AS291" s="67" t="str">
        <f aca="false">IF(ISBLANK($C291),"",IF($AF291=Constants!$B$7,RANK(AR291,$AR$8:$AR$507),$AF291))</f>
        <v/>
      </c>
      <c r="AT291" s="67" t="str">
        <f aca="false">IF(ISBLANK($C291),"",IF($AF291=Constants!$B$7,IF(ISNUMBER(AQ291),COUNTIFS($AQ$8:$AQ$507,"&lt;"&amp;$AQ291)+COUNTIFS($AQ$8:$AQ$507,$AQ291,$AS$8:$AS$507,"&lt;"&amp;$AS291)+1,Constants!$B$14),$AF291))</f>
        <v/>
      </c>
      <c r="AU291" s="67" t="str">
        <f aca="false">IF(ISBLANK($C291),"",IF($AF291=Constants!$B$7,IF(ISNUMBER(AQ291),AQ291-AT291,Constants!$B$14),$AF291))</f>
        <v/>
      </c>
      <c r="AV291" s="69"/>
      <c r="AW291" s="70" t="str">
        <f aca="false">IF(ISBLANK($C291),"",IF($AF291&lt;&gt;Constants!$B$7,"",AN291))</f>
        <v/>
      </c>
      <c r="AX291" s="85" t="str">
        <f aca="false">IF(ISBLANK($C291),"",IF($AF291&lt;&gt;Constants!$B$7,"",IF(AN291=1,AH291,AK291)))</f>
        <v/>
      </c>
      <c r="AY291" s="72" t="str">
        <f aca="false">IF(ISBLANK($C291),"",IF($AF291&lt;&gt;Constants!$B$7,"",IF(AN291=1,AI291,AL291)))</f>
        <v/>
      </c>
      <c r="AZ291" s="73" t="str">
        <f aca="false">IF(ISBLANK($C291),"",IF($AF291&lt;&gt;Constants!$B$7,$AF291,AP291))</f>
        <v/>
      </c>
      <c r="BA291" s="74" t="str">
        <f aca="false">IF(ISBLANK($C291),"",IF($AF291&lt;&gt;Constants!$B$7,$AF291,AG291))</f>
        <v/>
      </c>
      <c r="BB291" s="75" t="str">
        <f aca="false">IF(ISBLANK($C291),"",AU291)</f>
        <v/>
      </c>
      <c r="BC291" s="75" t="str">
        <f aca="false">IF(ISBLANK($C291),"",AT291)</f>
        <v/>
      </c>
      <c r="BD291" s="76" t="str">
        <f aca="false">IF(ISBLANK($C291),"",IFERROR(_xlfn.SWITCH(BC291,Constants!$B$4,COUNTA($C$8:$C$507)+2,Constants!$B$5,COUNTA($C$8:$C$507)+1,Constants!$B$6,COUNTA($C$8:$C$507)),BC291))</f>
        <v/>
      </c>
      <c r="BE291" s="5"/>
      <c r="BF291" s="77" t="n">
        <f aca="false">IF(OR(ISNUMBER(BC291),BC291=Constants!$B$4,BC291=Constants!$B$6,BC291=Constants!$B$5),1,0)</f>
        <v>0</v>
      </c>
      <c r="BG291" s="77" t="n">
        <v>284</v>
      </c>
      <c r="BH291" s="77" t="str">
        <f aca="false">IF(ISBLANK($C291),"",IF(ISNUMBER(BD291),BD291+ROW($B291)/1000,""))</f>
        <v/>
      </c>
      <c r="BI291" s="77" t="str">
        <f aca="false">IF(ISNUMBER(BH291),RANK(BH291,$BH$8:$BH$507,1),"")</f>
        <v/>
      </c>
      <c r="BJ291" s="77" t="str">
        <f aca="false">IF(ISBLANK($C291),"",$B291)</f>
        <v/>
      </c>
      <c r="BK291" s="77" t="str">
        <f aca="false">IF(ISBLANK($C291),"",$C291)</f>
        <v/>
      </c>
      <c r="BL291" s="77" t="str">
        <f aca="false">IF(ISBLANK($C291),"",$D291)</f>
        <v/>
      </c>
      <c r="BM291" s="78" t="str">
        <f aca="false">BA291</f>
        <v/>
      </c>
      <c r="BN291" s="79" t="str">
        <f aca="false">AZ291</f>
        <v/>
      </c>
      <c r="BO291" s="77" t="str">
        <f aca="false">IF(ISBLANK($C291),"",BC291)</f>
        <v/>
      </c>
      <c r="BP291" s="80" t="str">
        <f aca="false">IF($BG291&gt;$BF$7,"",VLOOKUP($BG291,$BI$8:$BO$507,7,FALSE()))</f>
        <v/>
      </c>
      <c r="BQ291" s="81" t="str">
        <f aca="false">IF($BG291&gt;$BF$7,"",VLOOKUP($BG291,$BI$8:$BO$507,2,FALSE()))</f>
        <v/>
      </c>
      <c r="BR291" s="81" t="str">
        <f aca="false">IF($BG291&gt;$BF$7,"",VLOOKUP($BG291,$BI$8:$BO$507,3,FALSE()))</f>
        <v/>
      </c>
      <c r="BS291" s="81" t="str">
        <f aca="false">IF($BG291&gt;$BF$7,"",VLOOKUP($BG291,$BI$8:$BO$507,4,FALSE()))</f>
        <v/>
      </c>
      <c r="BT291" s="81" t="str">
        <f aca="false">IF($BG291&gt;$BF$7,"",VLOOKUP($BG291,$BI$8:$BO$507,5,FALSE()))</f>
        <v/>
      </c>
      <c r="BU291" s="82" t="str">
        <f aca="false">IF($BG291&gt;$BF$7,"",VLOOKUP($BG291,$BI$8:$BO$507,6,FALSE()))</f>
        <v/>
      </c>
      <c r="BV291" s="54"/>
    </row>
    <row r="292" customFormat="false" ht="15.75" hidden="false" customHeight="false" outlineLevel="0" collapsed="false">
      <c r="A292" s="5"/>
      <c r="B292" s="135"/>
      <c r="C292" s="56"/>
      <c r="D292" s="57"/>
      <c r="E292" s="84"/>
      <c r="F292" s="136"/>
      <c r="G292" s="60"/>
      <c r="H292" s="137"/>
      <c r="I292" s="62"/>
      <c r="J292" s="62"/>
      <c r="K292" s="60"/>
      <c r="L292" s="138"/>
      <c r="M292" s="62"/>
      <c r="N292" s="62"/>
      <c r="O292" s="60"/>
      <c r="P292" s="84"/>
      <c r="Q292" s="65"/>
      <c r="R292" s="67" t="str">
        <f aca="false">IF(ISBLANK($C292),"",IF(E292=Constants!$B$2, TRUE(), IF(E292=Constants!$B$3, FALSE(), TRUE())))</f>
        <v/>
      </c>
      <c r="S292" s="67" t="str">
        <f aca="false">IF(ISBLANK($C292),"",IF(F292=Constants!$B$2, TRUE(), IF(F292=Constants!$B$3, FALSE(), TRUE())))</f>
        <v/>
      </c>
      <c r="T292" s="67" t="str">
        <f aca="false">IF(ISBLANK($C292),"",IF(G292=Constants!$B$16,Constants!$B$9,IF(G292=Constants!$B$17,Constants!$B$10,Constants!$B$8)))</f>
        <v/>
      </c>
      <c r="U292" s="67" t="str">
        <f aca="false">IF(ISBLANK($C292),"",IF(H292=Constants!$B$19,Constants!$B$19,Constants!$B$18))</f>
        <v/>
      </c>
      <c r="V292" s="67" t="str">
        <f aca="false">IF(ISBLANK($C292),"",IF(ISNUMBER(I292),IF(I292&gt;=0,I292,""),""))</f>
        <v/>
      </c>
      <c r="W292" s="67" t="str">
        <f aca="false">IF(ISBLANK($C292),"",IF(J292=Constants!$B$2, TRUE(), IF(J292=Constants!$B$3, FALSE(), TRUE())))</f>
        <v/>
      </c>
      <c r="X292" s="67" t="str">
        <f aca="false">IF(ISBLANK($C292),"",IF(K292=Constants!$B$2, TRUE(), IF(K292=Constants!$B$3, FALSE(), TRUE())))</f>
        <v/>
      </c>
      <c r="Y292" s="67" t="str">
        <f aca="false">IF(ISBLANK($C292),"",IF(L292=Constants!$B$19,Constants!$B$19,Constants!$B$18))</f>
        <v/>
      </c>
      <c r="Z292" s="67" t="str">
        <f aca="false">IF(ISBLANK($C292),"",IF(ISNUMBER(M292),IF(M292&gt;=0,M292,""),""))</f>
        <v/>
      </c>
      <c r="AA292" s="67" t="str">
        <f aca="false">IF(ISBLANK($C292),"",IF(N292=Constants!$B$2, TRUE(), IF(N292=Constants!$B$3, FALSE(), TRUE())))</f>
        <v/>
      </c>
      <c r="AB292" s="67" t="str">
        <f aca="false">IF(ISBLANK($C292),"",IF(O292=Constants!$B$2, TRUE(), IF(O292=Constants!$B$3, FALSE(), TRUE())))</f>
        <v/>
      </c>
      <c r="AC292" s="67" t="str">
        <f aca="false">IF(ISBLANK($C292),"",IF(P292=Constants!$B$2, TRUE(), IF(P292=Constants!$B$3, FALSE(), FALSE())))</f>
        <v/>
      </c>
      <c r="AD292" s="67" t="str">
        <f aca="false">IF(ISBLANK($C292),"",AND(V292&lt;&gt;"",IF(U292=Constants!$B$19,S292,R292)))</f>
        <v/>
      </c>
      <c r="AE292" s="67" t="str">
        <f aca="false">IF(ISBLANK($C292),"",AND(Z292&lt;&gt;"",IF(Y292=Constants!$B$19,S292,R292)))</f>
        <v/>
      </c>
      <c r="AF292" s="67" t="str">
        <f aca="false">IF(ISBLANK($C292),"",IF(AC292,Constants!$B$4,IF(COUNTA(E292:O292)=0,Constants!$B$5,IF(AND(NOT(AD292),NOT(AE292)),Constants!$B$6,Constants!$B$7))))</f>
        <v/>
      </c>
      <c r="AG292" s="67" t="str">
        <f aca="false">IF(ISBLANK($C292),"",IF($AF292&lt;&gt;Constants!$B$7,$AF292,Constants!$B$20))</f>
        <v/>
      </c>
      <c r="AH292" s="67" t="str">
        <f aca="false">IF($AF292=Constants!$B$7,IF(AD292,V292,Constants!$B$13),"")</f>
        <v/>
      </c>
      <c r="AI292" s="67" t="str">
        <f aca="false">IF($AF292=Constants!$B$7,IF(AD292,T292*IF(W292, 1, Constants!$B$11)*IF(X292, 1, Constants!$B$12),Constants!$B$13),"")</f>
        <v/>
      </c>
      <c r="AJ292" s="67" t="str">
        <f aca="false">IF($AF292=Constants!$B$7,AH292*AI292,"")</f>
        <v/>
      </c>
      <c r="AK292" s="67" t="str">
        <f aca="false">IF($AF292=Constants!$B$7,IF(AE292,Z292,Constants!$B$13),"")</f>
        <v/>
      </c>
      <c r="AL292" s="67" t="str">
        <f aca="false">IF($AF292=Constants!$B$7,IF(AE292,T292*IF(AA292, 1, Constants!$B$11)*IF(AB292, 1, Constants!$B$12),Constants!$B$13),"")</f>
        <v/>
      </c>
      <c r="AM292" s="67" t="str">
        <f aca="false">IF($AF292=Constants!$B$7,AK292*AL292,"")</f>
        <v/>
      </c>
      <c r="AN292" s="67" t="str">
        <f aca="false">IF($AF292=Constants!$B$7,IF(AM292&gt;AJ292,2,1),"")</f>
        <v/>
      </c>
      <c r="AO292" s="67" t="str">
        <f aca="false">IF($AF292=Constants!$B$7,IF(AN292=1,2,1),"")</f>
        <v/>
      </c>
      <c r="AP292" s="67" t="str">
        <f aca="false">IF(ISBLANK($C292),"",IF($AF292&lt;&gt;Constants!$B$7,$AF292,IF(AN292=1,AJ292,AM292)))</f>
        <v/>
      </c>
      <c r="AQ292" s="67" t="str">
        <f aca="false">IF(ISBLANK($C292),"",IF($AF292=Constants!$B$7,IF(ISNUMBER(AP292),RANK(AP292,$AP$8:$AP$507),Constants!$B$14),$AF292))</f>
        <v/>
      </c>
      <c r="AR292" s="67" t="str">
        <f aca="false">IF(ISBLANK($C292),"",IF($AF292=Constants!$B$7,IF(AO292=1,AJ292,AM292),""))</f>
        <v/>
      </c>
      <c r="AS292" s="67" t="str">
        <f aca="false">IF(ISBLANK($C292),"",IF($AF292=Constants!$B$7,RANK(AR292,$AR$8:$AR$507),$AF292))</f>
        <v/>
      </c>
      <c r="AT292" s="67" t="str">
        <f aca="false">IF(ISBLANK($C292),"",IF($AF292=Constants!$B$7,IF(ISNUMBER(AQ292),COUNTIFS($AQ$8:$AQ$507,"&lt;"&amp;$AQ292)+COUNTIFS($AQ$8:$AQ$507,$AQ292,$AS$8:$AS$507,"&lt;"&amp;$AS292)+1,Constants!$B$14),$AF292))</f>
        <v/>
      </c>
      <c r="AU292" s="67" t="str">
        <f aca="false">IF(ISBLANK($C292),"",IF($AF292=Constants!$B$7,IF(ISNUMBER(AQ292),AQ292-AT292,Constants!$B$14),$AF292))</f>
        <v/>
      </c>
      <c r="AV292" s="69"/>
      <c r="AW292" s="70" t="str">
        <f aca="false">IF(ISBLANK($C292),"",IF($AF292&lt;&gt;Constants!$B$7,"",AN292))</f>
        <v/>
      </c>
      <c r="AX292" s="85" t="str">
        <f aca="false">IF(ISBLANK($C292),"",IF($AF292&lt;&gt;Constants!$B$7,"",IF(AN292=1,AH292,AK292)))</f>
        <v/>
      </c>
      <c r="AY292" s="72" t="str">
        <f aca="false">IF(ISBLANK($C292),"",IF($AF292&lt;&gt;Constants!$B$7,"",IF(AN292=1,AI292,AL292)))</f>
        <v/>
      </c>
      <c r="AZ292" s="73" t="str">
        <f aca="false">IF(ISBLANK($C292),"",IF($AF292&lt;&gt;Constants!$B$7,$AF292,AP292))</f>
        <v/>
      </c>
      <c r="BA292" s="74" t="str">
        <f aca="false">IF(ISBLANK($C292),"",IF($AF292&lt;&gt;Constants!$B$7,$AF292,AG292))</f>
        <v/>
      </c>
      <c r="BB292" s="75" t="str">
        <f aca="false">IF(ISBLANK($C292),"",AU292)</f>
        <v/>
      </c>
      <c r="BC292" s="75" t="str">
        <f aca="false">IF(ISBLANK($C292),"",AT292)</f>
        <v/>
      </c>
      <c r="BD292" s="76" t="str">
        <f aca="false">IF(ISBLANK($C292),"",IFERROR(_xlfn.SWITCH(BC292,Constants!$B$4,COUNTA($C$8:$C$507)+2,Constants!$B$5,COUNTA($C$8:$C$507)+1,Constants!$B$6,COUNTA($C$8:$C$507)),BC292))</f>
        <v/>
      </c>
      <c r="BE292" s="5"/>
      <c r="BF292" s="77" t="n">
        <f aca="false">IF(OR(ISNUMBER(BC292),BC292=Constants!$B$4,BC292=Constants!$B$6,BC292=Constants!$B$5),1,0)</f>
        <v>0</v>
      </c>
      <c r="BG292" s="77" t="n">
        <v>285</v>
      </c>
      <c r="BH292" s="77" t="str">
        <f aca="false">IF(ISBLANK($C292),"",IF(ISNUMBER(BD292),BD292+ROW($B292)/1000,""))</f>
        <v/>
      </c>
      <c r="BI292" s="77" t="str">
        <f aca="false">IF(ISNUMBER(BH292),RANK(BH292,$BH$8:$BH$507,1),"")</f>
        <v/>
      </c>
      <c r="BJ292" s="77" t="str">
        <f aca="false">IF(ISBLANK($C292),"",$B292)</f>
        <v/>
      </c>
      <c r="BK292" s="77" t="str">
        <f aca="false">IF(ISBLANK($C292),"",$C292)</f>
        <v/>
      </c>
      <c r="BL292" s="77" t="str">
        <f aca="false">IF(ISBLANK($C292),"",$D292)</f>
        <v/>
      </c>
      <c r="BM292" s="78" t="str">
        <f aca="false">BA292</f>
        <v/>
      </c>
      <c r="BN292" s="79" t="str">
        <f aca="false">AZ292</f>
        <v/>
      </c>
      <c r="BO292" s="77" t="str">
        <f aca="false">IF(ISBLANK($C292),"",BC292)</f>
        <v/>
      </c>
      <c r="BP292" s="80" t="str">
        <f aca="false">IF($BG292&gt;$BF$7,"",VLOOKUP($BG292,$BI$8:$BO$507,7,FALSE()))</f>
        <v/>
      </c>
      <c r="BQ292" s="81" t="str">
        <f aca="false">IF($BG292&gt;$BF$7,"",VLOOKUP($BG292,$BI$8:$BO$507,2,FALSE()))</f>
        <v/>
      </c>
      <c r="BR292" s="81" t="str">
        <f aca="false">IF($BG292&gt;$BF$7,"",VLOOKUP($BG292,$BI$8:$BO$507,3,FALSE()))</f>
        <v/>
      </c>
      <c r="BS292" s="81" t="str">
        <f aca="false">IF($BG292&gt;$BF$7,"",VLOOKUP($BG292,$BI$8:$BO$507,4,FALSE()))</f>
        <v/>
      </c>
      <c r="BT292" s="81" t="str">
        <f aca="false">IF($BG292&gt;$BF$7,"",VLOOKUP($BG292,$BI$8:$BO$507,5,FALSE()))</f>
        <v/>
      </c>
      <c r="BU292" s="82" t="str">
        <f aca="false">IF($BG292&gt;$BF$7,"",VLOOKUP($BG292,$BI$8:$BO$507,6,FALSE()))</f>
        <v/>
      </c>
      <c r="BV292" s="54"/>
    </row>
    <row r="293" customFormat="false" ht="15.75" hidden="false" customHeight="false" outlineLevel="0" collapsed="false">
      <c r="A293" s="5"/>
      <c r="B293" s="128"/>
      <c r="C293" s="129"/>
      <c r="D293" s="114"/>
      <c r="E293" s="134"/>
      <c r="F293" s="139"/>
      <c r="G293" s="93"/>
      <c r="H293" s="140"/>
      <c r="I293" s="95"/>
      <c r="J293" s="95"/>
      <c r="K293" s="93"/>
      <c r="L293" s="141"/>
      <c r="M293" s="95"/>
      <c r="N293" s="95"/>
      <c r="O293" s="93"/>
      <c r="P293" s="134"/>
      <c r="Q293" s="98"/>
      <c r="R293" s="99" t="str">
        <f aca="false">IF(ISBLANK($C293),"",IF(E293=Constants!$B$2, TRUE(), IF(E293=Constants!$B$3, FALSE(), TRUE())))</f>
        <v/>
      </c>
      <c r="S293" s="99" t="str">
        <f aca="false">IF(ISBLANK($C293),"",IF(F293=Constants!$B$2, TRUE(), IF(F293=Constants!$B$3, FALSE(), TRUE())))</f>
        <v/>
      </c>
      <c r="T293" s="99" t="str">
        <f aca="false">IF(ISBLANK($C293),"",IF(G293=Constants!$B$16,Constants!$B$9,IF(G293=Constants!$B$17,Constants!$B$10,Constants!$B$8)))</f>
        <v/>
      </c>
      <c r="U293" s="99" t="str">
        <f aca="false">IF(ISBLANK($C293),"",IF(H293=Constants!$B$19,Constants!$B$19,Constants!$B$18))</f>
        <v/>
      </c>
      <c r="V293" s="99" t="str">
        <f aca="false">IF(ISBLANK($C293),"",IF(ISNUMBER(I293),IF(I293&gt;=0,I293,""),""))</f>
        <v/>
      </c>
      <c r="W293" s="99" t="str">
        <f aca="false">IF(ISBLANK($C293),"",IF(J293=Constants!$B$2, TRUE(), IF(J293=Constants!$B$3, FALSE(), TRUE())))</f>
        <v/>
      </c>
      <c r="X293" s="99" t="str">
        <f aca="false">IF(ISBLANK($C293),"",IF(K293=Constants!$B$2, TRUE(), IF(K293=Constants!$B$3, FALSE(), TRUE())))</f>
        <v/>
      </c>
      <c r="Y293" s="99" t="str">
        <f aca="false">IF(ISBLANK($C293),"",IF(L293=Constants!$B$19,Constants!$B$19,Constants!$B$18))</f>
        <v/>
      </c>
      <c r="Z293" s="99" t="str">
        <f aca="false">IF(ISBLANK($C293),"",IF(ISNUMBER(M293),IF(M293&gt;=0,M293,""),""))</f>
        <v/>
      </c>
      <c r="AA293" s="99" t="str">
        <f aca="false">IF(ISBLANK($C293),"",IF(N293=Constants!$B$2, TRUE(), IF(N293=Constants!$B$3, FALSE(), TRUE())))</f>
        <v/>
      </c>
      <c r="AB293" s="99" t="str">
        <f aca="false">IF(ISBLANK($C293),"",IF(O293=Constants!$B$2, TRUE(), IF(O293=Constants!$B$3, FALSE(), TRUE())))</f>
        <v/>
      </c>
      <c r="AC293" s="99" t="str">
        <f aca="false">IF(ISBLANK($C293),"",IF(P293=Constants!$B$2, TRUE(), IF(P293=Constants!$B$3, FALSE(), FALSE())))</f>
        <v/>
      </c>
      <c r="AD293" s="99" t="str">
        <f aca="false">IF(ISBLANK($C293),"",AND(V293&lt;&gt;"",IF(U293=Constants!$B$19,S293,R293)))</f>
        <v/>
      </c>
      <c r="AE293" s="99" t="str">
        <f aca="false">IF(ISBLANK($C293),"",AND(Z293&lt;&gt;"",IF(Y293=Constants!$B$19,S293,R293)))</f>
        <v/>
      </c>
      <c r="AF293" s="99" t="str">
        <f aca="false">IF(ISBLANK($C293),"",IF(AC293,Constants!$B$4,IF(COUNTA(E293:O293)=0,Constants!$B$5,IF(AND(NOT(AD293),NOT(AE293)),Constants!$B$6,Constants!$B$7))))</f>
        <v/>
      </c>
      <c r="AG293" s="99" t="str">
        <f aca="false">IF(ISBLANK($C293),"",IF($AF293&lt;&gt;Constants!$B$7,$AF293,Constants!$B$20))</f>
        <v/>
      </c>
      <c r="AH293" s="99" t="str">
        <f aca="false">IF($AF293=Constants!$B$7,IF(AD293,V293,Constants!$B$13),"")</f>
        <v/>
      </c>
      <c r="AI293" s="99" t="str">
        <f aca="false">IF($AF293=Constants!$B$7,IF(AD293,T293*IF(W293, 1, Constants!$B$11)*IF(X293, 1, Constants!$B$12),Constants!$B$13),"")</f>
        <v/>
      </c>
      <c r="AJ293" s="99" t="str">
        <f aca="false">IF($AF293=Constants!$B$7,AH293*AI293,"")</f>
        <v/>
      </c>
      <c r="AK293" s="99" t="str">
        <f aca="false">IF($AF293=Constants!$B$7,IF(AE293,Z293,Constants!$B$13),"")</f>
        <v/>
      </c>
      <c r="AL293" s="99" t="str">
        <f aca="false">IF($AF293=Constants!$B$7,IF(AE293,T293*IF(AA293, 1, Constants!$B$11)*IF(AB293, 1, Constants!$B$12),Constants!$B$13),"")</f>
        <v/>
      </c>
      <c r="AM293" s="99" t="str">
        <f aca="false">IF($AF293=Constants!$B$7,AK293*AL293,"")</f>
        <v/>
      </c>
      <c r="AN293" s="99" t="str">
        <f aca="false">IF($AF293=Constants!$B$7,IF(AM293&gt;AJ293,2,1),"")</f>
        <v/>
      </c>
      <c r="AO293" s="99" t="str">
        <f aca="false">IF($AF293=Constants!$B$7,IF(AN293=1,2,1),"")</f>
        <v/>
      </c>
      <c r="AP293" s="99" t="str">
        <f aca="false">IF(ISBLANK($C293),"",IF($AF293&lt;&gt;Constants!$B$7,$AF293,IF(AN293=1,AJ293,AM293)))</f>
        <v/>
      </c>
      <c r="AQ293" s="99" t="str">
        <f aca="false">IF(ISBLANK($C293),"",IF($AF293=Constants!$B$7,IF(ISNUMBER(AP293),RANK(AP293,$AP$8:$AP$507),Constants!$B$14),$AF293))</f>
        <v/>
      </c>
      <c r="AR293" s="99" t="str">
        <f aca="false">IF(ISBLANK($C293),"",IF($AF293=Constants!$B$7,IF(AO293=1,AJ293,AM293),""))</f>
        <v/>
      </c>
      <c r="AS293" s="99" t="str">
        <f aca="false">IF(ISBLANK($C293),"",IF($AF293=Constants!$B$7,RANK(AR293,$AR$8:$AR$507),$AF293))</f>
        <v/>
      </c>
      <c r="AT293" s="99" t="str">
        <f aca="false">IF(ISBLANK($C293),"",IF($AF293=Constants!$B$7,IF(ISNUMBER(AQ293),COUNTIFS($AQ$8:$AQ$507,"&lt;"&amp;$AQ293)+COUNTIFS($AQ$8:$AQ$507,$AQ293,$AS$8:$AS$507,"&lt;"&amp;$AS293)+1,Constants!$B$14),$AF293))</f>
        <v/>
      </c>
      <c r="AU293" s="99" t="str">
        <f aca="false">IF(ISBLANK($C293),"",IF($AF293=Constants!$B$7,IF(ISNUMBER(AQ293),AQ293-AT293,Constants!$B$14),$AF293))</f>
        <v/>
      </c>
      <c r="AV293" s="100"/>
      <c r="AW293" s="101" t="str">
        <f aca="false">IF(ISBLANK($C293),"",IF($AF293&lt;&gt;Constants!$B$7,"",AN293))</f>
        <v/>
      </c>
      <c r="AX293" s="102" t="str">
        <f aca="false">IF(ISBLANK($C293),"",IF($AF293&lt;&gt;Constants!$B$7,"",IF(AN293=1,AH293,AK293)))</f>
        <v/>
      </c>
      <c r="AY293" s="103" t="str">
        <f aca="false">IF(ISBLANK($C293),"",IF($AF293&lt;&gt;Constants!$B$7,"",IF(AN293=1,AI293,AL293)))</f>
        <v/>
      </c>
      <c r="AZ293" s="104" t="str">
        <f aca="false">IF(ISBLANK($C293),"",IF($AF293&lt;&gt;Constants!$B$7,$AF293,AP293))</f>
        <v/>
      </c>
      <c r="BA293" s="105" t="str">
        <f aca="false">IF(ISBLANK($C293),"",IF($AF293&lt;&gt;Constants!$B$7,$AF293,AG293))</f>
        <v/>
      </c>
      <c r="BB293" s="106" t="str">
        <f aca="false">IF(ISBLANK($C293),"",AU293)</f>
        <v/>
      </c>
      <c r="BC293" s="106" t="str">
        <f aca="false">IF(ISBLANK($C293),"",AT293)</f>
        <v/>
      </c>
      <c r="BD293" s="107" t="str">
        <f aca="false">IF(ISBLANK($C293),"",IFERROR(_xlfn.SWITCH(BC293,Constants!$B$4,COUNTA($C$8:$C$507)+2,Constants!$B$5,COUNTA($C$8:$C$507)+1,Constants!$B$6,COUNTA($C$8:$C$507)),BC293))</f>
        <v/>
      </c>
      <c r="BE293" s="5"/>
      <c r="BF293" s="108" t="n">
        <f aca="false">IF(OR(ISNUMBER(BC293),BC293=Constants!$B$4,BC293=Constants!$B$6,BC293=Constants!$B$5),1,0)</f>
        <v>0</v>
      </c>
      <c r="BG293" s="108" t="n">
        <v>286</v>
      </c>
      <c r="BH293" s="108" t="str">
        <f aca="false">IF(ISBLANK($C293),"",IF(ISNUMBER(BD293),BD293+ROW($B293)/1000,""))</f>
        <v/>
      </c>
      <c r="BI293" s="108" t="str">
        <f aca="false">IF(ISNUMBER(BH293),RANK(BH293,$BH$8:$BH$507,1),"")</f>
        <v/>
      </c>
      <c r="BJ293" s="108" t="str">
        <f aca="false">IF(ISBLANK($C293),"",$B293)</f>
        <v/>
      </c>
      <c r="BK293" s="108" t="str">
        <f aca="false">IF(ISBLANK($C293),"",$C293)</f>
        <v/>
      </c>
      <c r="BL293" s="108" t="str">
        <f aca="false">IF(ISBLANK($C293),"",$D293)</f>
        <v/>
      </c>
      <c r="BM293" s="109" t="str">
        <f aca="false">BA293</f>
        <v/>
      </c>
      <c r="BN293" s="110" t="str">
        <f aca="false">AZ293</f>
        <v/>
      </c>
      <c r="BO293" s="108" t="str">
        <f aca="false">IF(ISBLANK($C293),"",BC293)</f>
        <v/>
      </c>
      <c r="BP293" s="111" t="str">
        <f aca="false">IF($BG293&gt;$BF$7,"",VLOOKUP($BG293,$BI$8:$BO$507,7,FALSE()))</f>
        <v/>
      </c>
      <c r="BQ293" s="112" t="str">
        <f aca="false">IF($BG293&gt;$BF$7,"",VLOOKUP($BG293,$BI$8:$BO$507,2,FALSE()))</f>
        <v/>
      </c>
      <c r="BR293" s="112" t="str">
        <f aca="false">IF($BG293&gt;$BF$7,"",VLOOKUP($BG293,$BI$8:$BO$507,3,FALSE()))</f>
        <v/>
      </c>
      <c r="BS293" s="112" t="str">
        <f aca="false">IF($BG293&gt;$BF$7,"",VLOOKUP($BG293,$BI$8:$BO$507,4,FALSE()))</f>
        <v/>
      </c>
      <c r="BT293" s="112" t="str">
        <f aca="false">IF($BG293&gt;$BF$7,"",VLOOKUP($BG293,$BI$8:$BO$507,5,FALSE()))</f>
        <v/>
      </c>
      <c r="BU293" s="113" t="str">
        <f aca="false">IF($BG293&gt;$BF$7,"",VLOOKUP($BG293,$BI$8:$BO$507,6,FALSE()))</f>
        <v/>
      </c>
      <c r="BV293" s="54"/>
    </row>
    <row r="294" customFormat="false" ht="15.75" hidden="false" customHeight="false" outlineLevel="0" collapsed="false">
      <c r="A294" s="5"/>
      <c r="B294" s="128"/>
      <c r="C294" s="129"/>
      <c r="D294" s="114"/>
      <c r="E294" s="134"/>
      <c r="F294" s="139"/>
      <c r="G294" s="93"/>
      <c r="H294" s="140"/>
      <c r="I294" s="95"/>
      <c r="J294" s="95"/>
      <c r="K294" s="93"/>
      <c r="L294" s="141"/>
      <c r="M294" s="95"/>
      <c r="N294" s="95"/>
      <c r="O294" s="93"/>
      <c r="P294" s="134"/>
      <c r="Q294" s="98"/>
      <c r="R294" s="99" t="str">
        <f aca="false">IF(ISBLANK($C294),"",IF(E294=Constants!$B$2, TRUE(), IF(E294=Constants!$B$3, FALSE(), TRUE())))</f>
        <v/>
      </c>
      <c r="S294" s="99" t="str">
        <f aca="false">IF(ISBLANK($C294),"",IF(F294=Constants!$B$2, TRUE(), IF(F294=Constants!$B$3, FALSE(), TRUE())))</f>
        <v/>
      </c>
      <c r="T294" s="99" t="str">
        <f aca="false">IF(ISBLANK($C294),"",IF(G294=Constants!$B$16,Constants!$B$9,IF(G294=Constants!$B$17,Constants!$B$10,Constants!$B$8)))</f>
        <v/>
      </c>
      <c r="U294" s="99" t="str">
        <f aca="false">IF(ISBLANK($C294),"",IF(H294=Constants!$B$19,Constants!$B$19,Constants!$B$18))</f>
        <v/>
      </c>
      <c r="V294" s="99" t="str">
        <f aca="false">IF(ISBLANK($C294),"",IF(ISNUMBER(I294),IF(I294&gt;=0,I294,""),""))</f>
        <v/>
      </c>
      <c r="W294" s="99" t="str">
        <f aca="false">IF(ISBLANK($C294),"",IF(J294=Constants!$B$2, TRUE(), IF(J294=Constants!$B$3, FALSE(), TRUE())))</f>
        <v/>
      </c>
      <c r="X294" s="99" t="str">
        <f aca="false">IF(ISBLANK($C294),"",IF(K294=Constants!$B$2, TRUE(), IF(K294=Constants!$B$3, FALSE(), TRUE())))</f>
        <v/>
      </c>
      <c r="Y294" s="99" t="str">
        <f aca="false">IF(ISBLANK($C294),"",IF(L294=Constants!$B$19,Constants!$B$19,Constants!$B$18))</f>
        <v/>
      </c>
      <c r="Z294" s="99" t="str">
        <f aca="false">IF(ISBLANK($C294),"",IF(ISNUMBER(M294),IF(M294&gt;=0,M294,""),""))</f>
        <v/>
      </c>
      <c r="AA294" s="99" t="str">
        <f aca="false">IF(ISBLANK($C294),"",IF(N294=Constants!$B$2, TRUE(), IF(N294=Constants!$B$3, FALSE(), TRUE())))</f>
        <v/>
      </c>
      <c r="AB294" s="99" t="str">
        <f aca="false">IF(ISBLANK($C294),"",IF(O294=Constants!$B$2, TRUE(), IF(O294=Constants!$B$3, FALSE(), TRUE())))</f>
        <v/>
      </c>
      <c r="AC294" s="99" t="str">
        <f aca="false">IF(ISBLANK($C294),"",IF(P294=Constants!$B$2, TRUE(), IF(P294=Constants!$B$3, FALSE(), FALSE())))</f>
        <v/>
      </c>
      <c r="AD294" s="99" t="str">
        <f aca="false">IF(ISBLANK($C294),"",AND(V294&lt;&gt;"",IF(U294=Constants!$B$19,S294,R294)))</f>
        <v/>
      </c>
      <c r="AE294" s="99" t="str">
        <f aca="false">IF(ISBLANK($C294),"",AND(Z294&lt;&gt;"",IF(Y294=Constants!$B$19,S294,R294)))</f>
        <v/>
      </c>
      <c r="AF294" s="99" t="str">
        <f aca="false">IF(ISBLANK($C294),"",IF(AC294,Constants!$B$4,IF(COUNTA(E294:O294)=0,Constants!$B$5,IF(AND(NOT(AD294),NOT(AE294)),Constants!$B$6,Constants!$B$7))))</f>
        <v/>
      </c>
      <c r="AG294" s="99" t="str">
        <f aca="false">IF(ISBLANK($C294),"",IF($AF294&lt;&gt;Constants!$B$7,$AF294,Constants!$B$20))</f>
        <v/>
      </c>
      <c r="AH294" s="99" t="str">
        <f aca="false">IF($AF294=Constants!$B$7,IF(AD294,V294,Constants!$B$13),"")</f>
        <v/>
      </c>
      <c r="AI294" s="99" t="str">
        <f aca="false">IF($AF294=Constants!$B$7,IF(AD294,T294*IF(W294, 1, Constants!$B$11)*IF(X294, 1, Constants!$B$12),Constants!$B$13),"")</f>
        <v/>
      </c>
      <c r="AJ294" s="99" t="str">
        <f aca="false">IF($AF294=Constants!$B$7,AH294*AI294,"")</f>
        <v/>
      </c>
      <c r="AK294" s="99" t="str">
        <f aca="false">IF($AF294=Constants!$B$7,IF(AE294,Z294,Constants!$B$13),"")</f>
        <v/>
      </c>
      <c r="AL294" s="99" t="str">
        <f aca="false">IF($AF294=Constants!$B$7,IF(AE294,T294*IF(AA294, 1, Constants!$B$11)*IF(AB294, 1, Constants!$B$12),Constants!$B$13),"")</f>
        <v/>
      </c>
      <c r="AM294" s="99" t="str">
        <f aca="false">IF($AF294=Constants!$B$7,AK294*AL294,"")</f>
        <v/>
      </c>
      <c r="AN294" s="99" t="str">
        <f aca="false">IF($AF294=Constants!$B$7,IF(AM294&gt;AJ294,2,1),"")</f>
        <v/>
      </c>
      <c r="AO294" s="99" t="str">
        <f aca="false">IF($AF294=Constants!$B$7,IF(AN294=1,2,1),"")</f>
        <v/>
      </c>
      <c r="AP294" s="99" t="str">
        <f aca="false">IF(ISBLANK($C294),"",IF($AF294&lt;&gt;Constants!$B$7,$AF294,IF(AN294=1,AJ294,AM294)))</f>
        <v/>
      </c>
      <c r="AQ294" s="99" t="str">
        <f aca="false">IF(ISBLANK($C294),"",IF($AF294=Constants!$B$7,IF(ISNUMBER(AP294),RANK(AP294,$AP$8:$AP$507),Constants!$B$14),$AF294))</f>
        <v/>
      </c>
      <c r="AR294" s="99" t="str">
        <f aca="false">IF(ISBLANK($C294),"",IF($AF294=Constants!$B$7,IF(AO294=1,AJ294,AM294),""))</f>
        <v/>
      </c>
      <c r="AS294" s="99" t="str">
        <f aca="false">IF(ISBLANK($C294),"",IF($AF294=Constants!$B$7,RANK(AR294,$AR$8:$AR$507),$AF294))</f>
        <v/>
      </c>
      <c r="AT294" s="99" t="str">
        <f aca="false">IF(ISBLANK($C294),"",IF($AF294=Constants!$B$7,IF(ISNUMBER(AQ294),COUNTIFS($AQ$8:$AQ$507,"&lt;"&amp;$AQ294)+COUNTIFS($AQ$8:$AQ$507,$AQ294,$AS$8:$AS$507,"&lt;"&amp;$AS294)+1,Constants!$B$14),$AF294))</f>
        <v/>
      </c>
      <c r="AU294" s="99" t="str">
        <f aca="false">IF(ISBLANK($C294),"",IF($AF294=Constants!$B$7,IF(ISNUMBER(AQ294),AQ294-AT294,Constants!$B$14),$AF294))</f>
        <v/>
      </c>
      <c r="AV294" s="100"/>
      <c r="AW294" s="101" t="str">
        <f aca="false">IF(ISBLANK($C294),"",IF($AF294&lt;&gt;Constants!$B$7,"",AN294))</f>
        <v/>
      </c>
      <c r="AX294" s="102" t="str">
        <f aca="false">IF(ISBLANK($C294),"",IF($AF294&lt;&gt;Constants!$B$7,"",IF(AN294=1,AH294,AK294)))</f>
        <v/>
      </c>
      <c r="AY294" s="103" t="str">
        <f aca="false">IF(ISBLANK($C294),"",IF($AF294&lt;&gt;Constants!$B$7,"",IF(AN294=1,AI294,AL294)))</f>
        <v/>
      </c>
      <c r="AZ294" s="104" t="str">
        <f aca="false">IF(ISBLANK($C294),"",IF($AF294&lt;&gt;Constants!$B$7,$AF294,AP294))</f>
        <v/>
      </c>
      <c r="BA294" s="105" t="str">
        <f aca="false">IF(ISBLANK($C294),"",IF($AF294&lt;&gt;Constants!$B$7,$AF294,AG294))</f>
        <v/>
      </c>
      <c r="BB294" s="106" t="str">
        <f aca="false">IF(ISBLANK($C294),"",AU294)</f>
        <v/>
      </c>
      <c r="BC294" s="106" t="str">
        <f aca="false">IF(ISBLANK($C294),"",AT294)</f>
        <v/>
      </c>
      <c r="BD294" s="107" t="str">
        <f aca="false">IF(ISBLANK($C294),"",IFERROR(_xlfn.SWITCH(BC294,Constants!$B$4,COUNTA($C$8:$C$507)+2,Constants!$B$5,COUNTA($C$8:$C$507)+1,Constants!$B$6,COUNTA($C$8:$C$507)),BC294))</f>
        <v/>
      </c>
      <c r="BE294" s="5"/>
      <c r="BF294" s="108" t="n">
        <f aca="false">IF(OR(ISNUMBER(BC294),BC294=Constants!$B$4,BC294=Constants!$B$6,BC294=Constants!$B$5),1,0)</f>
        <v>0</v>
      </c>
      <c r="BG294" s="108" t="n">
        <v>287</v>
      </c>
      <c r="BH294" s="108" t="str">
        <f aca="false">IF(ISBLANK($C294),"",IF(ISNUMBER(BD294),BD294+ROW($B294)/1000,""))</f>
        <v/>
      </c>
      <c r="BI294" s="108" t="str">
        <f aca="false">IF(ISNUMBER(BH294),RANK(BH294,$BH$8:$BH$507,1),"")</f>
        <v/>
      </c>
      <c r="BJ294" s="108" t="str">
        <f aca="false">IF(ISBLANK($C294),"",$B294)</f>
        <v/>
      </c>
      <c r="BK294" s="108" t="str">
        <f aca="false">IF(ISBLANK($C294),"",$C294)</f>
        <v/>
      </c>
      <c r="BL294" s="108" t="str">
        <f aca="false">IF(ISBLANK($C294),"",$D294)</f>
        <v/>
      </c>
      <c r="BM294" s="109" t="str">
        <f aca="false">BA294</f>
        <v/>
      </c>
      <c r="BN294" s="110" t="str">
        <f aca="false">AZ294</f>
        <v/>
      </c>
      <c r="BO294" s="108" t="str">
        <f aca="false">IF(ISBLANK($C294),"",BC294)</f>
        <v/>
      </c>
      <c r="BP294" s="111" t="str">
        <f aca="false">IF($BG294&gt;$BF$7,"",VLOOKUP($BG294,$BI$8:$BO$507,7,FALSE()))</f>
        <v/>
      </c>
      <c r="BQ294" s="112" t="str">
        <f aca="false">IF($BG294&gt;$BF$7,"",VLOOKUP($BG294,$BI$8:$BO$507,2,FALSE()))</f>
        <v/>
      </c>
      <c r="BR294" s="112" t="str">
        <f aca="false">IF($BG294&gt;$BF$7,"",VLOOKUP($BG294,$BI$8:$BO$507,3,FALSE()))</f>
        <v/>
      </c>
      <c r="BS294" s="112" t="str">
        <f aca="false">IF($BG294&gt;$BF$7,"",VLOOKUP($BG294,$BI$8:$BO$507,4,FALSE()))</f>
        <v/>
      </c>
      <c r="BT294" s="112" t="str">
        <f aca="false">IF($BG294&gt;$BF$7,"",VLOOKUP($BG294,$BI$8:$BO$507,5,FALSE()))</f>
        <v/>
      </c>
      <c r="BU294" s="113" t="str">
        <f aca="false">IF($BG294&gt;$BF$7,"",VLOOKUP($BG294,$BI$8:$BO$507,6,FALSE()))</f>
        <v/>
      </c>
      <c r="BV294" s="54"/>
    </row>
    <row r="295" customFormat="false" ht="15.75" hidden="false" customHeight="false" outlineLevel="0" collapsed="false">
      <c r="A295" s="5"/>
      <c r="B295" s="128"/>
      <c r="C295" s="129"/>
      <c r="D295" s="114"/>
      <c r="E295" s="134"/>
      <c r="F295" s="139"/>
      <c r="G295" s="93"/>
      <c r="H295" s="140"/>
      <c r="I295" s="95"/>
      <c r="J295" s="95"/>
      <c r="K295" s="93"/>
      <c r="L295" s="141"/>
      <c r="M295" s="95"/>
      <c r="N295" s="95"/>
      <c r="O295" s="93"/>
      <c r="P295" s="134"/>
      <c r="Q295" s="98"/>
      <c r="R295" s="99" t="str">
        <f aca="false">IF(ISBLANK($C295),"",IF(E295=Constants!$B$2, TRUE(), IF(E295=Constants!$B$3, FALSE(), TRUE())))</f>
        <v/>
      </c>
      <c r="S295" s="99" t="str">
        <f aca="false">IF(ISBLANK($C295),"",IF(F295=Constants!$B$2, TRUE(), IF(F295=Constants!$B$3, FALSE(), TRUE())))</f>
        <v/>
      </c>
      <c r="T295" s="99" t="str">
        <f aca="false">IF(ISBLANK($C295),"",IF(G295=Constants!$B$16,Constants!$B$9,IF(G295=Constants!$B$17,Constants!$B$10,Constants!$B$8)))</f>
        <v/>
      </c>
      <c r="U295" s="99" t="str">
        <f aca="false">IF(ISBLANK($C295),"",IF(H295=Constants!$B$19,Constants!$B$19,Constants!$B$18))</f>
        <v/>
      </c>
      <c r="V295" s="99" t="str">
        <f aca="false">IF(ISBLANK($C295),"",IF(ISNUMBER(I295),IF(I295&gt;=0,I295,""),""))</f>
        <v/>
      </c>
      <c r="W295" s="99" t="str">
        <f aca="false">IF(ISBLANK($C295),"",IF(J295=Constants!$B$2, TRUE(), IF(J295=Constants!$B$3, FALSE(), TRUE())))</f>
        <v/>
      </c>
      <c r="X295" s="99" t="str">
        <f aca="false">IF(ISBLANK($C295),"",IF(K295=Constants!$B$2, TRUE(), IF(K295=Constants!$B$3, FALSE(), TRUE())))</f>
        <v/>
      </c>
      <c r="Y295" s="99" t="str">
        <f aca="false">IF(ISBLANK($C295),"",IF(L295=Constants!$B$19,Constants!$B$19,Constants!$B$18))</f>
        <v/>
      </c>
      <c r="Z295" s="99" t="str">
        <f aca="false">IF(ISBLANK($C295),"",IF(ISNUMBER(M295),IF(M295&gt;=0,M295,""),""))</f>
        <v/>
      </c>
      <c r="AA295" s="99" t="str">
        <f aca="false">IF(ISBLANK($C295),"",IF(N295=Constants!$B$2, TRUE(), IF(N295=Constants!$B$3, FALSE(), TRUE())))</f>
        <v/>
      </c>
      <c r="AB295" s="99" t="str">
        <f aca="false">IF(ISBLANK($C295),"",IF(O295=Constants!$B$2, TRUE(), IF(O295=Constants!$B$3, FALSE(), TRUE())))</f>
        <v/>
      </c>
      <c r="AC295" s="99" t="str">
        <f aca="false">IF(ISBLANK($C295),"",IF(P295=Constants!$B$2, TRUE(), IF(P295=Constants!$B$3, FALSE(), FALSE())))</f>
        <v/>
      </c>
      <c r="AD295" s="99" t="str">
        <f aca="false">IF(ISBLANK($C295),"",AND(V295&lt;&gt;"",IF(U295=Constants!$B$19,S295,R295)))</f>
        <v/>
      </c>
      <c r="AE295" s="99" t="str">
        <f aca="false">IF(ISBLANK($C295),"",AND(Z295&lt;&gt;"",IF(Y295=Constants!$B$19,S295,R295)))</f>
        <v/>
      </c>
      <c r="AF295" s="99" t="str">
        <f aca="false">IF(ISBLANK($C295),"",IF(AC295,Constants!$B$4,IF(COUNTA(E295:O295)=0,Constants!$B$5,IF(AND(NOT(AD295),NOT(AE295)),Constants!$B$6,Constants!$B$7))))</f>
        <v/>
      </c>
      <c r="AG295" s="99" t="str">
        <f aca="false">IF(ISBLANK($C295),"",IF($AF295&lt;&gt;Constants!$B$7,$AF295,Constants!$B$20))</f>
        <v/>
      </c>
      <c r="AH295" s="99" t="str">
        <f aca="false">IF($AF295=Constants!$B$7,IF(AD295,V295,Constants!$B$13),"")</f>
        <v/>
      </c>
      <c r="AI295" s="99" t="str">
        <f aca="false">IF($AF295=Constants!$B$7,IF(AD295,T295*IF(W295, 1, Constants!$B$11)*IF(X295, 1, Constants!$B$12),Constants!$B$13),"")</f>
        <v/>
      </c>
      <c r="AJ295" s="99" t="str">
        <f aca="false">IF($AF295=Constants!$B$7,AH295*AI295,"")</f>
        <v/>
      </c>
      <c r="AK295" s="99" t="str">
        <f aca="false">IF($AF295=Constants!$B$7,IF(AE295,Z295,Constants!$B$13),"")</f>
        <v/>
      </c>
      <c r="AL295" s="99" t="str">
        <f aca="false">IF($AF295=Constants!$B$7,IF(AE295,T295*IF(AA295, 1, Constants!$B$11)*IF(AB295, 1, Constants!$B$12),Constants!$B$13),"")</f>
        <v/>
      </c>
      <c r="AM295" s="99" t="str">
        <f aca="false">IF($AF295=Constants!$B$7,AK295*AL295,"")</f>
        <v/>
      </c>
      <c r="AN295" s="99" t="str">
        <f aca="false">IF($AF295=Constants!$B$7,IF(AM295&gt;AJ295,2,1),"")</f>
        <v/>
      </c>
      <c r="AO295" s="99" t="str">
        <f aca="false">IF($AF295=Constants!$B$7,IF(AN295=1,2,1),"")</f>
        <v/>
      </c>
      <c r="AP295" s="99" t="str">
        <f aca="false">IF(ISBLANK($C295),"",IF($AF295&lt;&gt;Constants!$B$7,$AF295,IF(AN295=1,AJ295,AM295)))</f>
        <v/>
      </c>
      <c r="AQ295" s="99" t="str">
        <f aca="false">IF(ISBLANK($C295),"",IF($AF295=Constants!$B$7,IF(ISNUMBER(AP295),RANK(AP295,$AP$8:$AP$507),Constants!$B$14),$AF295))</f>
        <v/>
      </c>
      <c r="AR295" s="99" t="str">
        <f aca="false">IF(ISBLANK($C295),"",IF($AF295=Constants!$B$7,IF(AO295=1,AJ295,AM295),""))</f>
        <v/>
      </c>
      <c r="AS295" s="99" t="str">
        <f aca="false">IF(ISBLANK($C295),"",IF($AF295=Constants!$B$7,RANK(AR295,$AR$8:$AR$507),$AF295))</f>
        <v/>
      </c>
      <c r="AT295" s="99" t="str">
        <f aca="false">IF(ISBLANK($C295),"",IF($AF295=Constants!$B$7,IF(ISNUMBER(AQ295),COUNTIFS($AQ$8:$AQ$507,"&lt;"&amp;$AQ295)+COUNTIFS($AQ$8:$AQ$507,$AQ295,$AS$8:$AS$507,"&lt;"&amp;$AS295)+1,Constants!$B$14),$AF295))</f>
        <v/>
      </c>
      <c r="AU295" s="99" t="str">
        <f aca="false">IF(ISBLANK($C295),"",IF($AF295=Constants!$B$7,IF(ISNUMBER(AQ295),AQ295-AT295,Constants!$B$14),$AF295))</f>
        <v/>
      </c>
      <c r="AV295" s="100"/>
      <c r="AW295" s="101" t="str">
        <f aca="false">IF(ISBLANK($C295),"",IF($AF295&lt;&gt;Constants!$B$7,"",AN295))</f>
        <v/>
      </c>
      <c r="AX295" s="102" t="str">
        <f aca="false">IF(ISBLANK($C295),"",IF($AF295&lt;&gt;Constants!$B$7,"",IF(AN295=1,AH295,AK295)))</f>
        <v/>
      </c>
      <c r="AY295" s="103" t="str">
        <f aca="false">IF(ISBLANK($C295),"",IF($AF295&lt;&gt;Constants!$B$7,"",IF(AN295=1,AI295,AL295)))</f>
        <v/>
      </c>
      <c r="AZ295" s="104" t="str">
        <f aca="false">IF(ISBLANK($C295),"",IF($AF295&lt;&gt;Constants!$B$7,$AF295,AP295))</f>
        <v/>
      </c>
      <c r="BA295" s="105" t="str">
        <f aca="false">IF(ISBLANK($C295),"",IF($AF295&lt;&gt;Constants!$B$7,$AF295,AG295))</f>
        <v/>
      </c>
      <c r="BB295" s="106" t="str">
        <f aca="false">IF(ISBLANK($C295),"",AU295)</f>
        <v/>
      </c>
      <c r="BC295" s="106" t="str">
        <f aca="false">IF(ISBLANK($C295),"",AT295)</f>
        <v/>
      </c>
      <c r="BD295" s="107" t="str">
        <f aca="false">IF(ISBLANK($C295),"",IFERROR(_xlfn.SWITCH(BC295,Constants!$B$4,COUNTA($C$8:$C$507)+2,Constants!$B$5,COUNTA($C$8:$C$507)+1,Constants!$B$6,COUNTA($C$8:$C$507)),BC295))</f>
        <v/>
      </c>
      <c r="BE295" s="5"/>
      <c r="BF295" s="108" t="n">
        <f aca="false">IF(OR(ISNUMBER(BC295),BC295=Constants!$B$4,BC295=Constants!$B$6,BC295=Constants!$B$5),1,0)</f>
        <v>0</v>
      </c>
      <c r="BG295" s="108" t="n">
        <v>288</v>
      </c>
      <c r="BH295" s="108" t="str">
        <f aca="false">IF(ISBLANK($C295),"",IF(ISNUMBER(BD295),BD295+ROW($B295)/1000,""))</f>
        <v/>
      </c>
      <c r="BI295" s="108" t="str">
        <f aca="false">IF(ISNUMBER(BH295),RANK(BH295,$BH$8:$BH$507,1),"")</f>
        <v/>
      </c>
      <c r="BJ295" s="108" t="str">
        <f aca="false">IF(ISBLANK($C295),"",$B295)</f>
        <v/>
      </c>
      <c r="BK295" s="108" t="str">
        <f aca="false">IF(ISBLANK($C295),"",$C295)</f>
        <v/>
      </c>
      <c r="BL295" s="108" t="str">
        <f aca="false">IF(ISBLANK($C295),"",$D295)</f>
        <v/>
      </c>
      <c r="BM295" s="109" t="str">
        <f aca="false">BA295</f>
        <v/>
      </c>
      <c r="BN295" s="110" t="str">
        <f aca="false">AZ295</f>
        <v/>
      </c>
      <c r="BO295" s="108" t="str">
        <f aca="false">IF(ISBLANK($C295),"",BC295)</f>
        <v/>
      </c>
      <c r="BP295" s="111" t="str">
        <f aca="false">IF($BG295&gt;$BF$7,"",VLOOKUP($BG295,$BI$8:$BO$507,7,FALSE()))</f>
        <v/>
      </c>
      <c r="BQ295" s="112" t="str">
        <f aca="false">IF($BG295&gt;$BF$7,"",VLOOKUP($BG295,$BI$8:$BO$507,2,FALSE()))</f>
        <v/>
      </c>
      <c r="BR295" s="112" t="str">
        <f aca="false">IF($BG295&gt;$BF$7,"",VLOOKUP($BG295,$BI$8:$BO$507,3,FALSE()))</f>
        <v/>
      </c>
      <c r="BS295" s="112" t="str">
        <f aca="false">IF($BG295&gt;$BF$7,"",VLOOKUP($BG295,$BI$8:$BO$507,4,FALSE()))</f>
        <v/>
      </c>
      <c r="BT295" s="112" t="str">
        <f aca="false">IF($BG295&gt;$BF$7,"",VLOOKUP($BG295,$BI$8:$BO$507,5,FALSE()))</f>
        <v/>
      </c>
      <c r="BU295" s="113" t="str">
        <f aca="false">IF($BG295&gt;$BF$7,"",VLOOKUP($BG295,$BI$8:$BO$507,6,FALSE()))</f>
        <v/>
      </c>
      <c r="BV295" s="54"/>
    </row>
    <row r="296" customFormat="false" ht="15.75" hidden="false" customHeight="false" outlineLevel="0" collapsed="false">
      <c r="A296" s="5"/>
      <c r="B296" s="135"/>
      <c r="C296" s="56"/>
      <c r="D296" s="57"/>
      <c r="E296" s="84"/>
      <c r="F296" s="136"/>
      <c r="G296" s="60"/>
      <c r="H296" s="137"/>
      <c r="I296" s="62"/>
      <c r="J296" s="62"/>
      <c r="K296" s="60"/>
      <c r="L296" s="138"/>
      <c r="M296" s="62"/>
      <c r="N296" s="62"/>
      <c r="O296" s="60"/>
      <c r="P296" s="84"/>
      <c r="Q296" s="65"/>
      <c r="R296" s="67" t="str">
        <f aca="false">IF(ISBLANK($C296),"",IF(E296=Constants!$B$2, TRUE(), IF(E296=Constants!$B$3, FALSE(), TRUE())))</f>
        <v/>
      </c>
      <c r="S296" s="67" t="str">
        <f aca="false">IF(ISBLANK($C296),"",IF(F296=Constants!$B$2, TRUE(), IF(F296=Constants!$B$3, FALSE(), TRUE())))</f>
        <v/>
      </c>
      <c r="T296" s="67" t="str">
        <f aca="false">IF(ISBLANK($C296),"",IF(G296=Constants!$B$16,Constants!$B$9,IF(G296=Constants!$B$17,Constants!$B$10,Constants!$B$8)))</f>
        <v/>
      </c>
      <c r="U296" s="67" t="str">
        <f aca="false">IF(ISBLANK($C296),"",IF(H296=Constants!$B$19,Constants!$B$19,Constants!$B$18))</f>
        <v/>
      </c>
      <c r="V296" s="67" t="str">
        <f aca="false">IF(ISBLANK($C296),"",IF(ISNUMBER(I296),IF(I296&gt;=0,I296,""),""))</f>
        <v/>
      </c>
      <c r="W296" s="67" t="str">
        <f aca="false">IF(ISBLANK($C296),"",IF(J296=Constants!$B$2, TRUE(), IF(J296=Constants!$B$3, FALSE(), TRUE())))</f>
        <v/>
      </c>
      <c r="X296" s="67" t="str">
        <f aca="false">IF(ISBLANK($C296),"",IF(K296=Constants!$B$2, TRUE(), IF(K296=Constants!$B$3, FALSE(), TRUE())))</f>
        <v/>
      </c>
      <c r="Y296" s="67" t="str">
        <f aca="false">IF(ISBLANK($C296),"",IF(L296=Constants!$B$19,Constants!$B$19,Constants!$B$18))</f>
        <v/>
      </c>
      <c r="Z296" s="67" t="str">
        <f aca="false">IF(ISBLANK($C296),"",IF(ISNUMBER(M296),IF(M296&gt;=0,M296,""),""))</f>
        <v/>
      </c>
      <c r="AA296" s="67" t="str">
        <f aca="false">IF(ISBLANK($C296),"",IF(N296=Constants!$B$2, TRUE(), IF(N296=Constants!$B$3, FALSE(), TRUE())))</f>
        <v/>
      </c>
      <c r="AB296" s="67" t="str">
        <f aca="false">IF(ISBLANK($C296),"",IF(O296=Constants!$B$2, TRUE(), IF(O296=Constants!$B$3, FALSE(), TRUE())))</f>
        <v/>
      </c>
      <c r="AC296" s="67" t="str">
        <f aca="false">IF(ISBLANK($C296),"",IF(P296=Constants!$B$2, TRUE(), IF(P296=Constants!$B$3, FALSE(), FALSE())))</f>
        <v/>
      </c>
      <c r="AD296" s="67" t="str">
        <f aca="false">IF(ISBLANK($C296),"",AND(V296&lt;&gt;"",IF(U296=Constants!$B$19,S296,R296)))</f>
        <v/>
      </c>
      <c r="AE296" s="67" t="str">
        <f aca="false">IF(ISBLANK($C296),"",AND(Z296&lt;&gt;"",IF(Y296=Constants!$B$19,S296,R296)))</f>
        <v/>
      </c>
      <c r="AF296" s="67" t="str">
        <f aca="false">IF(ISBLANK($C296),"",IF(AC296,Constants!$B$4,IF(COUNTA(E296:O296)=0,Constants!$B$5,IF(AND(NOT(AD296),NOT(AE296)),Constants!$B$6,Constants!$B$7))))</f>
        <v/>
      </c>
      <c r="AG296" s="67" t="str">
        <f aca="false">IF(ISBLANK($C296),"",IF($AF296&lt;&gt;Constants!$B$7,$AF296,Constants!$B$20))</f>
        <v/>
      </c>
      <c r="AH296" s="67" t="str">
        <f aca="false">IF($AF296=Constants!$B$7,IF(AD296,V296,Constants!$B$13),"")</f>
        <v/>
      </c>
      <c r="AI296" s="67" t="str">
        <f aca="false">IF($AF296=Constants!$B$7,IF(AD296,T296*IF(W296, 1, Constants!$B$11)*IF(X296, 1, Constants!$B$12),Constants!$B$13),"")</f>
        <v/>
      </c>
      <c r="AJ296" s="67" t="str">
        <f aca="false">IF($AF296=Constants!$B$7,AH296*AI296,"")</f>
        <v/>
      </c>
      <c r="AK296" s="67" t="str">
        <f aca="false">IF($AF296=Constants!$B$7,IF(AE296,Z296,Constants!$B$13),"")</f>
        <v/>
      </c>
      <c r="AL296" s="67" t="str">
        <f aca="false">IF($AF296=Constants!$B$7,IF(AE296,T296*IF(AA296, 1, Constants!$B$11)*IF(AB296, 1, Constants!$B$12),Constants!$B$13),"")</f>
        <v/>
      </c>
      <c r="AM296" s="67" t="str">
        <f aca="false">IF($AF296=Constants!$B$7,AK296*AL296,"")</f>
        <v/>
      </c>
      <c r="AN296" s="67" t="str">
        <f aca="false">IF($AF296=Constants!$B$7,IF(AM296&gt;AJ296,2,1),"")</f>
        <v/>
      </c>
      <c r="AO296" s="67" t="str">
        <f aca="false">IF($AF296=Constants!$B$7,IF(AN296=1,2,1),"")</f>
        <v/>
      </c>
      <c r="AP296" s="67" t="str">
        <f aca="false">IF(ISBLANK($C296),"",IF($AF296&lt;&gt;Constants!$B$7,$AF296,IF(AN296=1,AJ296,AM296)))</f>
        <v/>
      </c>
      <c r="AQ296" s="67" t="str">
        <f aca="false">IF(ISBLANK($C296),"",IF($AF296=Constants!$B$7,IF(ISNUMBER(AP296),RANK(AP296,$AP$8:$AP$507),Constants!$B$14),$AF296))</f>
        <v/>
      </c>
      <c r="AR296" s="67" t="str">
        <f aca="false">IF(ISBLANK($C296),"",IF($AF296=Constants!$B$7,IF(AO296=1,AJ296,AM296),""))</f>
        <v/>
      </c>
      <c r="AS296" s="67" t="str">
        <f aca="false">IF(ISBLANK($C296),"",IF($AF296=Constants!$B$7,RANK(AR296,$AR$8:$AR$507),$AF296))</f>
        <v/>
      </c>
      <c r="AT296" s="67" t="str">
        <f aca="false">IF(ISBLANK($C296),"",IF($AF296=Constants!$B$7,IF(ISNUMBER(AQ296),COUNTIFS($AQ$8:$AQ$507,"&lt;"&amp;$AQ296)+COUNTIFS($AQ$8:$AQ$507,$AQ296,$AS$8:$AS$507,"&lt;"&amp;$AS296)+1,Constants!$B$14),$AF296))</f>
        <v/>
      </c>
      <c r="AU296" s="67" t="str">
        <f aca="false">IF(ISBLANK($C296),"",IF($AF296=Constants!$B$7,IF(ISNUMBER(AQ296),AQ296-AT296,Constants!$B$14),$AF296))</f>
        <v/>
      </c>
      <c r="AV296" s="69"/>
      <c r="AW296" s="70" t="str">
        <f aca="false">IF(ISBLANK($C296),"",IF($AF296&lt;&gt;Constants!$B$7,"",AN296))</f>
        <v/>
      </c>
      <c r="AX296" s="85" t="str">
        <f aca="false">IF(ISBLANK($C296),"",IF($AF296&lt;&gt;Constants!$B$7,"",IF(AN296=1,AH296,AK296)))</f>
        <v/>
      </c>
      <c r="AY296" s="72" t="str">
        <f aca="false">IF(ISBLANK($C296),"",IF($AF296&lt;&gt;Constants!$B$7,"",IF(AN296=1,AI296,AL296)))</f>
        <v/>
      </c>
      <c r="AZ296" s="73" t="str">
        <f aca="false">IF(ISBLANK($C296),"",IF($AF296&lt;&gt;Constants!$B$7,$AF296,AP296))</f>
        <v/>
      </c>
      <c r="BA296" s="74" t="str">
        <f aca="false">IF(ISBLANK($C296),"",IF($AF296&lt;&gt;Constants!$B$7,$AF296,AG296))</f>
        <v/>
      </c>
      <c r="BB296" s="75" t="str">
        <f aca="false">IF(ISBLANK($C296),"",AU296)</f>
        <v/>
      </c>
      <c r="BC296" s="75" t="str">
        <f aca="false">IF(ISBLANK($C296),"",AT296)</f>
        <v/>
      </c>
      <c r="BD296" s="76" t="str">
        <f aca="false">IF(ISBLANK($C296),"",IFERROR(_xlfn.SWITCH(BC296,Constants!$B$4,COUNTA($C$8:$C$507)+2,Constants!$B$5,COUNTA($C$8:$C$507)+1,Constants!$B$6,COUNTA($C$8:$C$507)),BC296))</f>
        <v/>
      </c>
      <c r="BE296" s="5"/>
      <c r="BF296" s="77" t="n">
        <f aca="false">IF(OR(ISNUMBER(BC296),BC296=Constants!$B$4,BC296=Constants!$B$6,BC296=Constants!$B$5),1,0)</f>
        <v>0</v>
      </c>
      <c r="BG296" s="77" t="n">
        <v>289</v>
      </c>
      <c r="BH296" s="77" t="str">
        <f aca="false">IF(ISBLANK($C296),"",IF(ISNUMBER(BD296),BD296+ROW($B296)/1000,""))</f>
        <v/>
      </c>
      <c r="BI296" s="77" t="str">
        <f aca="false">IF(ISNUMBER(BH296),RANK(BH296,$BH$8:$BH$507,1),"")</f>
        <v/>
      </c>
      <c r="BJ296" s="77" t="str">
        <f aca="false">IF(ISBLANK($C296),"",$B296)</f>
        <v/>
      </c>
      <c r="BK296" s="77" t="str">
        <f aca="false">IF(ISBLANK($C296),"",$C296)</f>
        <v/>
      </c>
      <c r="BL296" s="77" t="str">
        <f aca="false">IF(ISBLANK($C296),"",$D296)</f>
        <v/>
      </c>
      <c r="BM296" s="78" t="str">
        <f aca="false">BA296</f>
        <v/>
      </c>
      <c r="BN296" s="79" t="str">
        <f aca="false">AZ296</f>
        <v/>
      </c>
      <c r="BO296" s="77" t="str">
        <f aca="false">IF(ISBLANK($C296),"",BC296)</f>
        <v/>
      </c>
      <c r="BP296" s="80" t="str">
        <f aca="false">IF($BG296&gt;$BF$7,"",VLOOKUP($BG296,$BI$8:$BO$507,7,FALSE()))</f>
        <v/>
      </c>
      <c r="BQ296" s="81" t="str">
        <f aca="false">IF($BG296&gt;$BF$7,"",VLOOKUP($BG296,$BI$8:$BO$507,2,FALSE()))</f>
        <v/>
      </c>
      <c r="BR296" s="81" t="str">
        <f aca="false">IF($BG296&gt;$BF$7,"",VLOOKUP($BG296,$BI$8:$BO$507,3,FALSE()))</f>
        <v/>
      </c>
      <c r="BS296" s="81" t="str">
        <f aca="false">IF($BG296&gt;$BF$7,"",VLOOKUP($BG296,$BI$8:$BO$507,4,FALSE()))</f>
        <v/>
      </c>
      <c r="BT296" s="81" t="str">
        <f aca="false">IF($BG296&gt;$BF$7,"",VLOOKUP($BG296,$BI$8:$BO$507,5,FALSE()))</f>
        <v/>
      </c>
      <c r="BU296" s="82" t="str">
        <f aca="false">IF($BG296&gt;$BF$7,"",VLOOKUP($BG296,$BI$8:$BO$507,6,FALSE()))</f>
        <v/>
      </c>
      <c r="BV296" s="54"/>
    </row>
    <row r="297" customFormat="false" ht="15.75" hidden="false" customHeight="false" outlineLevel="0" collapsed="false">
      <c r="A297" s="5"/>
      <c r="B297" s="135"/>
      <c r="C297" s="56"/>
      <c r="D297" s="57"/>
      <c r="E297" s="84"/>
      <c r="F297" s="136"/>
      <c r="G297" s="60"/>
      <c r="H297" s="137"/>
      <c r="I297" s="62"/>
      <c r="J297" s="62"/>
      <c r="K297" s="60"/>
      <c r="L297" s="138"/>
      <c r="M297" s="62"/>
      <c r="N297" s="62"/>
      <c r="O297" s="60"/>
      <c r="P297" s="84"/>
      <c r="Q297" s="65"/>
      <c r="R297" s="67" t="str">
        <f aca="false">IF(ISBLANK($C297),"",IF(E297=Constants!$B$2, TRUE(), IF(E297=Constants!$B$3, FALSE(), TRUE())))</f>
        <v/>
      </c>
      <c r="S297" s="67" t="str">
        <f aca="false">IF(ISBLANK($C297),"",IF(F297=Constants!$B$2, TRUE(), IF(F297=Constants!$B$3, FALSE(), TRUE())))</f>
        <v/>
      </c>
      <c r="T297" s="67" t="str">
        <f aca="false">IF(ISBLANK($C297),"",IF(G297=Constants!$B$16,Constants!$B$9,IF(G297=Constants!$B$17,Constants!$B$10,Constants!$B$8)))</f>
        <v/>
      </c>
      <c r="U297" s="67" t="str">
        <f aca="false">IF(ISBLANK($C297),"",IF(H297=Constants!$B$19,Constants!$B$19,Constants!$B$18))</f>
        <v/>
      </c>
      <c r="V297" s="67" t="str">
        <f aca="false">IF(ISBLANK($C297),"",IF(ISNUMBER(I297),IF(I297&gt;=0,I297,""),""))</f>
        <v/>
      </c>
      <c r="W297" s="67" t="str">
        <f aca="false">IF(ISBLANK($C297),"",IF(J297=Constants!$B$2, TRUE(), IF(J297=Constants!$B$3, FALSE(), TRUE())))</f>
        <v/>
      </c>
      <c r="X297" s="67" t="str">
        <f aca="false">IF(ISBLANK($C297),"",IF(K297=Constants!$B$2, TRUE(), IF(K297=Constants!$B$3, FALSE(), TRUE())))</f>
        <v/>
      </c>
      <c r="Y297" s="67" t="str">
        <f aca="false">IF(ISBLANK($C297),"",IF(L297=Constants!$B$19,Constants!$B$19,Constants!$B$18))</f>
        <v/>
      </c>
      <c r="Z297" s="67" t="str">
        <f aca="false">IF(ISBLANK($C297),"",IF(ISNUMBER(M297),IF(M297&gt;=0,M297,""),""))</f>
        <v/>
      </c>
      <c r="AA297" s="67" t="str">
        <f aca="false">IF(ISBLANK($C297),"",IF(N297=Constants!$B$2, TRUE(), IF(N297=Constants!$B$3, FALSE(), TRUE())))</f>
        <v/>
      </c>
      <c r="AB297" s="67" t="str">
        <f aca="false">IF(ISBLANK($C297),"",IF(O297=Constants!$B$2, TRUE(), IF(O297=Constants!$B$3, FALSE(), TRUE())))</f>
        <v/>
      </c>
      <c r="AC297" s="67" t="str">
        <f aca="false">IF(ISBLANK($C297),"",IF(P297=Constants!$B$2, TRUE(), IF(P297=Constants!$B$3, FALSE(), FALSE())))</f>
        <v/>
      </c>
      <c r="AD297" s="67" t="str">
        <f aca="false">IF(ISBLANK($C297),"",AND(V297&lt;&gt;"",IF(U297=Constants!$B$19,S297,R297)))</f>
        <v/>
      </c>
      <c r="AE297" s="67" t="str">
        <f aca="false">IF(ISBLANK($C297),"",AND(Z297&lt;&gt;"",IF(Y297=Constants!$B$19,S297,R297)))</f>
        <v/>
      </c>
      <c r="AF297" s="67" t="str">
        <f aca="false">IF(ISBLANK($C297),"",IF(AC297,Constants!$B$4,IF(COUNTA(E297:O297)=0,Constants!$B$5,IF(AND(NOT(AD297),NOT(AE297)),Constants!$B$6,Constants!$B$7))))</f>
        <v/>
      </c>
      <c r="AG297" s="67" t="str">
        <f aca="false">IF(ISBLANK($C297),"",IF($AF297&lt;&gt;Constants!$B$7,$AF297,Constants!$B$20))</f>
        <v/>
      </c>
      <c r="AH297" s="67" t="str">
        <f aca="false">IF($AF297=Constants!$B$7,IF(AD297,V297,Constants!$B$13),"")</f>
        <v/>
      </c>
      <c r="AI297" s="67" t="str">
        <f aca="false">IF($AF297=Constants!$B$7,IF(AD297,T297*IF(W297, 1, Constants!$B$11)*IF(X297, 1, Constants!$B$12),Constants!$B$13),"")</f>
        <v/>
      </c>
      <c r="AJ297" s="67" t="str">
        <f aca="false">IF($AF297=Constants!$B$7,AH297*AI297,"")</f>
        <v/>
      </c>
      <c r="AK297" s="67" t="str">
        <f aca="false">IF($AF297=Constants!$B$7,IF(AE297,Z297,Constants!$B$13),"")</f>
        <v/>
      </c>
      <c r="AL297" s="67" t="str">
        <f aca="false">IF($AF297=Constants!$B$7,IF(AE297,T297*IF(AA297, 1, Constants!$B$11)*IF(AB297, 1, Constants!$B$12),Constants!$B$13),"")</f>
        <v/>
      </c>
      <c r="AM297" s="67" t="str">
        <f aca="false">IF($AF297=Constants!$B$7,AK297*AL297,"")</f>
        <v/>
      </c>
      <c r="AN297" s="67" t="str">
        <f aca="false">IF($AF297=Constants!$B$7,IF(AM297&gt;AJ297,2,1),"")</f>
        <v/>
      </c>
      <c r="AO297" s="67" t="str">
        <f aca="false">IF($AF297=Constants!$B$7,IF(AN297=1,2,1),"")</f>
        <v/>
      </c>
      <c r="AP297" s="67" t="str">
        <f aca="false">IF(ISBLANK($C297),"",IF($AF297&lt;&gt;Constants!$B$7,$AF297,IF(AN297=1,AJ297,AM297)))</f>
        <v/>
      </c>
      <c r="AQ297" s="67" t="str">
        <f aca="false">IF(ISBLANK($C297),"",IF($AF297=Constants!$B$7,IF(ISNUMBER(AP297),RANK(AP297,$AP$8:$AP$507),Constants!$B$14),$AF297))</f>
        <v/>
      </c>
      <c r="AR297" s="67" t="str">
        <f aca="false">IF(ISBLANK($C297),"",IF($AF297=Constants!$B$7,IF(AO297=1,AJ297,AM297),""))</f>
        <v/>
      </c>
      <c r="AS297" s="67" t="str">
        <f aca="false">IF(ISBLANK($C297),"",IF($AF297=Constants!$B$7,RANK(AR297,$AR$8:$AR$507),$AF297))</f>
        <v/>
      </c>
      <c r="AT297" s="67" t="str">
        <f aca="false">IF(ISBLANK($C297),"",IF($AF297=Constants!$B$7,IF(ISNUMBER(AQ297),COUNTIFS($AQ$8:$AQ$507,"&lt;"&amp;$AQ297)+COUNTIFS($AQ$8:$AQ$507,$AQ297,$AS$8:$AS$507,"&lt;"&amp;$AS297)+1,Constants!$B$14),$AF297))</f>
        <v/>
      </c>
      <c r="AU297" s="67" t="str">
        <f aca="false">IF(ISBLANK($C297),"",IF($AF297=Constants!$B$7,IF(ISNUMBER(AQ297),AQ297-AT297,Constants!$B$14),$AF297))</f>
        <v/>
      </c>
      <c r="AV297" s="69"/>
      <c r="AW297" s="70" t="str">
        <f aca="false">IF(ISBLANK($C297),"",IF($AF297&lt;&gt;Constants!$B$7,"",AN297))</f>
        <v/>
      </c>
      <c r="AX297" s="85" t="str">
        <f aca="false">IF(ISBLANK($C297),"",IF($AF297&lt;&gt;Constants!$B$7,"",IF(AN297=1,AH297,AK297)))</f>
        <v/>
      </c>
      <c r="AY297" s="72" t="str">
        <f aca="false">IF(ISBLANK($C297),"",IF($AF297&lt;&gt;Constants!$B$7,"",IF(AN297=1,AI297,AL297)))</f>
        <v/>
      </c>
      <c r="AZ297" s="73" t="str">
        <f aca="false">IF(ISBLANK($C297),"",IF($AF297&lt;&gt;Constants!$B$7,$AF297,AP297))</f>
        <v/>
      </c>
      <c r="BA297" s="74" t="str">
        <f aca="false">IF(ISBLANK($C297),"",IF($AF297&lt;&gt;Constants!$B$7,$AF297,AG297))</f>
        <v/>
      </c>
      <c r="BB297" s="75" t="str">
        <f aca="false">IF(ISBLANK($C297),"",AU297)</f>
        <v/>
      </c>
      <c r="BC297" s="75" t="str">
        <f aca="false">IF(ISBLANK($C297),"",AT297)</f>
        <v/>
      </c>
      <c r="BD297" s="76" t="str">
        <f aca="false">IF(ISBLANK($C297),"",IFERROR(_xlfn.SWITCH(BC297,Constants!$B$4,COUNTA($C$8:$C$507)+2,Constants!$B$5,COUNTA($C$8:$C$507)+1,Constants!$B$6,COUNTA($C$8:$C$507)),BC297))</f>
        <v/>
      </c>
      <c r="BE297" s="5"/>
      <c r="BF297" s="77" t="n">
        <f aca="false">IF(OR(ISNUMBER(BC297),BC297=Constants!$B$4,BC297=Constants!$B$6,BC297=Constants!$B$5),1,0)</f>
        <v>0</v>
      </c>
      <c r="BG297" s="77" t="n">
        <v>290</v>
      </c>
      <c r="BH297" s="77" t="str">
        <f aca="false">IF(ISBLANK($C297),"",IF(ISNUMBER(BD297),BD297+ROW($B297)/1000,""))</f>
        <v/>
      </c>
      <c r="BI297" s="77" t="str">
        <f aca="false">IF(ISNUMBER(BH297),RANK(BH297,$BH$8:$BH$507,1),"")</f>
        <v/>
      </c>
      <c r="BJ297" s="77" t="str">
        <f aca="false">IF(ISBLANK($C297),"",$B297)</f>
        <v/>
      </c>
      <c r="BK297" s="77" t="str">
        <f aca="false">IF(ISBLANK($C297),"",$C297)</f>
        <v/>
      </c>
      <c r="BL297" s="77" t="str">
        <f aca="false">IF(ISBLANK($C297),"",$D297)</f>
        <v/>
      </c>
      <c r="BM297" s="78" t="str">
        <f aca="false">BA297</f>
        <v/>
      </c>
      <c r="BN297" s="79" t="str">
        <f aca="false">AZ297</f>
        <v/>
      </c>
      <c r="BO297" s="77" t="str">
        <f aca="false">IF(ISBLANK($C297),"",BC297)</f>
        <v/>
      </c>
      <c r="BP297" s="80" t="str">
        <f aca="false">IF($BG297&gt;$BF$7,"",VLOOKUP($BG297,$BI$8:$BO$507,7,FALSE()))</f>
        <v/>
      </c>
      <c r="BQ297" s="81" t="str">
        <f aca="false">IF($BG297&gt;$BF$7,"",VLOOKUP($BG297,$BI$8:$BO$507,2,FALSE()))</f>
        <v/>
      </c>
      <c r="BR297" s="81" t="str">
        <f aca="false">IF($BG297&gt;$BF$7,"",VLOOKUP($BG297,$BI$8:$BO$507,3,FALSE()))</f>
        <v/>
      </c>
      <c r="BS297" s="81" t="str">
        <f aca="false">IF($BG297&gt;$BF$7,"",VLOOKUP($BG297,$BI$8:$BO$507,4,FALSE()))</f>
        <v/>
      </c>
      <c r="BT297" s="81" t="str">
        <f aca="false">IF($BG297&gt;$BF$7,"",VLOOKUP($BG297,$BI$8:$BO$507,5,FALSE()))</f>
        <v/>
      </c>
      <c r="BU297" s="82" t="str">
        <f aca="false">IF($BG297&gt;$BF$7,"",VLOOKUP($BG297,$BI$8:$BO$507,6,FALSE()))</f>
        <v/>
      </c>
      <c r="BV297" s="54"/>
    </row>
    <row r="298" customFormat="false" ht="15.75" hidden="false" customHeight="false" outlineLevel="0" collapsed="false">
      <c r="A298" s="5"/>
      <c r="B298" s="135"/>
      <c r="C298" s="56"/>
      <c r="D298" s="57"/>
      <c r="E298" s="84"/>
      <c r="F298" s="136"/>
      <c r="G298" s="60"/>
      <c r="H298" s="137"/>
      <c r="I298" s="62"/>
      <c r="J298" s="62"/>
      <c r="K298" s="60"/>
      <c r="L298" s="138"/>
      <c r="M298" s="62"/>
      <c r="N298" s="62"/>
      <c r="O298" s="60"/>
      <c r="P298" s="84"/>
      <c r="Q298" s="65"/>
      <c r="R298" s="67" t="str">
        <f aca="false">IF(ISBLANK($C298),"",IF(E298=Constants!$B$2, TRUE(), IF(E298=Constants!$B$3, FALSE(), TRUE())))</f>
        <v/>
      </c>
      <c r="S298" s="67" t="str">
        <f aca="false">IF(ISBLANK($C298),"",IF(F298=Constants!$B$2, TRUE(), IF(F298=Constants!$B$3, FALSE(), TRUE())))</f>
        <v/>
      </c>
      <c r="T298" s="67" t="str">
        <f aca="false">IF(ISBLANK($C298),"",IF(G298=Constants!$B$16,Constants!$B$9,IF(G298=Constants!$B$17,Constants!$B$10,Constants!$B$8)))</f>
        <v/>
      </c>
      <c r="U298" s="67" t="str">
        <f aca="false">IF(ISBLANK($C298),"",IF(H298=Constants!$B$19,Constants!$B$19,Constants!$B$18))</f>
        <v/>
      </c>
      <c r="V298" s="67" t="str">
        <f aca="false">IF(ISBLANK($C298),"",IF(ISNUMBER(I298),IF(I298&gt;=0,I298,""),""))</f>
        <v/>
      </c>
      <c r="W298" s="67" t="str">
        <f aca="false">IF(ISBLANK($C298),"",IF(J298=Constants!$B$2, TRUE(), IF(J298=Constants!$B$3, FALSE(), TRUE())))</f>
        <v/>
      </c>
      <c r="X298" s="67" t="str">
        <f aca="false">IF(ISBLANK($C298),"",IF(K298=Constants!$B$2, TRUE(), IF(K298=Constants!$B$3, FALSE(), TRUE())))</f>
        <v/>
      </c>
      <c r="Y298" s="67" t="str">
        <f aca="false">IF(ISBLANK($C298),"",IF(L298=Constants!$B$19,Constants!$B$19,Constants!$B$18))</f>
        <v/>
      </c>
      <c r="Z298" s="67" t="str">
        <f aca="false">IF(ISBLANK($C298),"",IF(ISNUMBER(M298),IF(M298&gt;=0,M298,""),""))</f>
        <v/>
      </c>
      <c r="AA298" s="67" t="str">
        <f aca="false">IF(ISBLANK($C298),"",IF(N298=Constants!$B$2, TRUE(), IF(N298=Constants!$B$3, FALSE(), TRUE())))</f>
        <v/>
      </c>
      <c r="AB298" s="67" t="str">
        <f aca="false">IF(ISBLANK($C298),"",IF(O298=Constants!$B$2, TRUE(), IF(O298=Constants!$B$3, FALSE(), TRUE())))</f>
        <v/>
      </c>
      <c r="AC298" s="67" t="str">
        <f aca="false">IF(ISBLANK($C298),"",IF(P298=Constants!$B$2, TRUE(), IF(P298=Constants!$B$3, FALSE(), FALSE())))</f>
        <v/>
      </c>
      <c r="AD298" s="67" t="str">
        <f aca="false">IF(ISBLANK($C298),"",AND(V298&lt;&gt;"",IF(U298=Constants!$B$19,S298,R298)))</f>
        <v/>
      </c>
      <c r="AE298" s="67" t="str">
        <f aca="false">IF(ISBLANK($C298),"",AND(Z298&lt;&gt;"",IF(Y298=Constants!$B$19,S298,R298)))</f>
        <v/>
      </c>
      <c r="AF298" s="67" t="str">
        <f aca="false">IF(ISBLANK($C298),"",IF(AC298,Constants!$B$4,IF(COUNTA(E298:O298)=0,Constants!$B$5,IF(AND(NOT(AD298),NOT(AE298)),Constants!$B$6,Constants!$B$7))))</f>
        <v/>
      </c>
      <c r="AG298" s="67" t="str">
        <f aca="false">IF(ISBLANK($C298),"",IF($AF298&lt;&gt;Constants!$B$7,$AF298,Constants!$B$20))</f>
        <v/>
      </c>
      <c r="AH298" s="67" t="str">
        <f aca="false">IF($AF298=Constants!$B$7,IF(AD298,V298,Constants!$B$13),"")</f>
        <v/>
      </c>
      <c r="AI298" s="67" t="str">
        <f aca="false">IF($AF298=Constants!$B$7,IF(AD298,T298*IF(W298, 1, Constants!$B$11)*IF(X298, 1, Constants!$B$12),Constants!$B$13),"")</f>
        <v/>
      </c>
      <c r="AJ298" s="67" t="str">
        <f aca="false">IF($AF298=Constants!$B$7,AH298*AI298,"")</f>
        <v/>
      </c>
      <c r="AK298" s="67" t="str">
        <f aca="false">IF($AF298=Constants!$B$7,IF(AE298,Z298,Constants!$B$13),"")</f>
        <v/>
      </c>
      <c r="AL298" s="67" t="str">
        <f aca="false">IF($AF298=Constants!$B$7,IF(AE298,T298*IF(AA298, 1, Constants!$B$11)*IF(AB298, 1, Constants!$B$12),Constants!$B$13),"")</f>
        <v/>
      </c>
      <c r="AM298" s="67" t="str">
        <f aca="false">IF($AF298=Constants!$B$7,AK298*AL298,"")</f>
        <v/>
      </c>
      <c r="AN298" s="67" t="str">
        <f aca="false">IF($AF298=Constants!$B$7,IF(AM298&gt;AJ298,2,1),"")</f>
        <v/>
      </c>
      <c r="AO298" s="67" t="str">
        <f aca="false">IF($AF298=Constants!$B$7,IF(AN298=1,2,1),"")</f>
        <v/>
      </c>
      <c r="AP298" s="67" t="str">
        <f aca="false">IF(ISBLANK($C298),"",IF($AF298&lt;&gt;Constants!$B$7,$AF298,IF(AN298=1,AJ298,AM298)))</f>
        <v/>
      </c>
      <c r="AQ298" s="67" t="str">
        <f aca="false">IF(ISBLANK($C298),"",IF($AF298=Constants!$B$7,IF(ISNUMBER(AP298),RANK(AP298,$AP$8:$AP$507),Constants!$B$14),$AF298))</f>
        <v/>
      </c>
      <c r="AR298" s="67" t="str">
        <f aca="false">IF(ISBLANK($C298),"",IF($AF298=Constants!$B$7,IF(AO298=1,AJ298,AM298),""))</f>
        <v/>
      </c>
      <c r="AS298" s="67" t="str">
        <f aca="false">IF(ISBLANK($C298),"",IF($AF298=Constants!$B$7,RANK(AR298,$AR$8:$AR$507),$AF298))</f>
        <v/>
      </c>
      <c r="AT298" s="67" t="str">
        <f aca="false">IF(ISBLANK($C298),"",IF($AF298=Constants!$B$7,IF(ISNUMBER(AQ298),COUNTIFS($AQ$8:$AQ$507,"&lt;"&amp;$AQ298)+COUNTIFS($AQ$8:$AQ$507,$AQ298,$AS$8:$AS$507,"&lt;"&amp;$AS298)+1,Constants!$B$14),$AF298))</f>
        <v/>
      </c>
      <c r="AU298" s="67" t="str">
        <f aca="false">IF(ISBLANK($C298),"",IF($AF298=Constants!$B$7,IF(ISNUMBER(AQ298),AQ298-AT298,Constants!$B$14),$AF298))</f>
        <v/>
      </c>
      <c r="AV298" s="69"/>
      <c r="AW298" s="70" t="str">
        <f aca="false">IF(ISBLANK($C298),"",IF($AF298&lt;&gt;Constants!$B$7,"",AN298))</f>
        <v/>
      </c>
      <c r="AX298" s="85" t="str">
        <f aca="false">IF(ISBLANK($C298),"",IF($AF298&lt;&gt;Constants!$B$7,"",IF(AN298=1,AH298,AK298)))</f>
        <v/>
      </c>
      <c r="AY298" s="72" t="str">
        <f aca="false">IF(ISBLANK($C298),"",IF($AF298&lt;&gt;Constants!$B$7,"",IF(AN298=1,AI298,AL298)))</f>
        <v/>
      </c>
      <c r="AZ298" s="73" t="str">
        <f aca="false">IF(ISBLANK($C298),"",IF($AF298&lt;&gt;Constants!$B$7,$AF298,AP298))</f>
        <v/>
      </c>
      <c r="BA298" s="74" t="str">
        <f aca="false">IF(ISBLANK($C298),"",IF($AF298&lt;&gt;Constants!$B$7,$AF298,AG298))</f>
        <v/>
      </c>
      <c r="BB298" s="75" t="str">
        <f aca="false">IF(ISBLANK($C298),"",AU298)</f>
        <v/>
      </c>
      <c r="BC298" s="75" t="str">
        <f aca="false">IF(ISBLANK($C298),"",AT298)</f>
        <v/>
      </c>
      <c r="BD298" s="76" t="str">
        <f aca="false">IF(ISBLANK($C298),"",IFERROR(_xlfn.SWITCH(BC298,Constants!$B$4,COUNTA($C$8:$C$507)+2,Constants!$B$5,COUNTA($C$8:$C$507)+1,Constants!$B$6,COUNTA($C$8:$C$507)),BC298))</f>
        <v/>
      </c>
      <c r="BE298" s="5"/>
      <c r="BF298" s="77" t="n">
        <f aca="false">IF(OR(ISNUMBER(BC298),BC298=Constants!$B$4,BC298=Constants!$B$6,BC298=Constants!$B$5),1,0)</f>
        <v>0</v>
      </c>
      <c r="BG298" s="77" t="n">
        <v>291</v>
      </c>
      <c r="BH298" s="77" t="str">
        <f aca="false">IF(ISBLANK($C298),"",IF(ISNUMBER(BD298),BD298+ROW($B298)/1000,""))</f>
        <v/>
      </c>
      <c r="BI298" s="77" t="str">
        <f aca="false">IF(ISNUMBER(BH298),RANK(BH298,$BH$8:$BH$507,1),"")</f>
        <v/>
      </c>
      <c r="BJ298" s="77" t="str">
        <f aca="false">IF(ISBLANK($C298),"",$B298)</f>
        <v/>
      </c>
      <c r="BK298" s="77" t="str">
        <f aca="false">IF(ISBLANK($C298),"",$C298)</f>
        <v/>
      </c>
      <c r="BL298" s="77" t="str">
        <f aca="false">IF(ISBLANK($C298),"",$D298)</f>
        <v/>
      </c>
      <c r="BM298" s="78" t="str">
        <f aca="false">BA298</f>
        <v/>
      </c>
      <c r="BN298" s="79" t="str">
        <f aca="false">AZ298</f>
        <v/>
      </c>
      <c r="BO298" s="77" t="str">
        <f aca="false">IF(ISBLANK($C298),"",BC298)</f>
        <v/>
      </c>
      <c r="BP298" s="80" t="str">
        <f aca="false">IF($BG298&gt;$BF$7,"",VLOOKUP($BG298,$BI$8:$BO$507,7,FALSE()))</f>
        <v/>
      </c>
      <c r="BQ298" s="81" t="str">
        <f aca="false">IF($BG298&gt;$BF$7,"",VLOOKUP($BG298,$BI$8:$BO$507,2,FALSE()))</f>
        <v/>
      </c>
      <c r="BR298" s="81" t="str">
        <f aca="false">IF($BG298&gt;$BF$7,"",VLOOKUP($BG298,$BI$8:$BO$507,3,FALSE()))</f>
        <v/>
      </c>
      <c r="BS298" s="81" t="str">
        <f aca="false">IF($BG298&gt;$BF$7,"",VLOOKUP($BG298,$BI$8:$BO$507,4,FALSE()))</f>
        <v/>
      </c>
      <c r="BT298" s="81" t="str">
        <f aca="false">IF($BG298&gt;$BF$7,"",VLOOKUP($BG298,$BI$8:$BO$507,5,FALSE()))</f>
        <v/>
      </c>
      <c r="BU298" s="82" t="str">
        <f aca="false">IF($BG298&gt;$BF$7,"",VLOOKUP($BG298,$BI$8:$BO$507,6,FALSE()))</f>
        <v/>
      </c>
      <c r="BV298" s="54"/>
    </row>
    <row r="299" customFormat="false" ht="15.75" hidden="false" customHeight="false" outlineLevel="0" collapsed="false">
      <c r="A299" s="5"/>
      <c r="B299" s="128"/>
      <c r="C299" s="129"/>
      <c r="D299" s="114"/>
      <c r="E299" s="134"/>
      <c r="F299" s="139"/>
      <c r="G299" s="93"/>
      <c r="H299" s="140"/>
      <c r="I299" s="95"/>
      <c r="J299" s="95"/>
      <c r="K299" s="93"/>
      <c r="L299" s="141"/>
      <c r="M299" s="95"/>
      <c r="N299" s="95"/>
      <c r="O299" s="93"/>
      <c r="P299" s="134"/>
      <c r="Q299" s="98"/>
      <c r="R299" s="99" t="str">
        <f aca="false">IF(ISBLANK($C299),"",IF(E299=Constants!$B$2, TRUE(), IF(E299=Constants!$B$3, FALSE(), TRUE())))</f>
        <v/>
      </c>
      <c r="S299" s="99" t="str">
        <f aca="false">IF(ISBLANK($C299),"",IF(F299=Constants!$B$2, TRUE(), IF(F299=Constants!$B$3, FALSE(), TRUE())))</f>
        <v/>
      </c>
      <c r="T299" s="99" t="str">
        <f aca="false">IF(ISBLANK($C299),"",IF(G299=Constants!$B$16,Constants!$B$9,IF(G299=Constants!$B$17,Constants!$B$10,Constants!$B$8)))</f>
        <v/>
      </c>
      <c r="U299" s="99" t="str">
        <f aca="false">IF(ISBLANK($C299),"",IF(H299=Constants!$B$19,Constants!$B$19,Constants!$B$18))</f>
        <v/>
      </c>
      <c r="V299" s="99" t="str">
        <f aca="false">IF(ISBLANK($C299),"",IF(ISNUMBER(I299),IF(I299&gt;=0,I299,""),""))</f>
        <v/>
      </c>
      <c r="W299" s="99" t="str">
        <f aca="false">IF(ISBLANK($C299),"",IF(J299=Constants!$B$2, TRUE(), IF(J299=Constants!$B$3, FALSE(), TRUE())))</f>
        <v/>
      </c>
      <c r="X299" s="99" t="str">
        <f aca="false">IF(ISBLANK($C299),"",IF(K299=Constants!$B$2, TRUE(), IF(K299=Constants!$B$3, FALSE(), TRUE())))</f>
        <v/>
      </c>
      <c r="Y299" s="99" t="str">
        <f aca="false">IF(ISBLANK($C299),"",IF(L299=Constants!$B$19,Constants!$B$19,Constants!$B$18))</f>
        <v/>
      </c>
      <c r="Z299" s="99" t="str">
        <f aca="false">IF(ISBLANK($C299),"",IF(ISNUMBER(M299),IF(M299&gt;=0,M299,""),""))</f>
        <v/>
      </c>
      <c r="AA299" s="99" t="str">
        <f aca="false">IF(ISBLANK($C299),"",IF(N299=Constants!$B$2, TRUE(), IF(N299=Constants!$B$3, FALSE(), TRUE())))</f>
        <v/>
      </c>
      <c r="AB299" s="99" t="str">
        <f aca="false">IF(ISBLANK($C299),"",IF(O299=Constants!$B$2, TRUE(), IF(O299=Constants!$B$3, FALSE(), TRUE())))</f>
        <v/>
      </c>
      <c r="AC299" s="99" t="str">
        <f aca="false">IF(ISBLANK($C299),"",IF(P299=Constants!$B$2, TRUE(), IF(P299=Constants!$B$3, FALSE(), FALSE())))</f>
        <v/>
      </c>
      <c r="AD299" s="99" t="str">
        <f aca="false">IF(ISBLANK($C299),"",AND(V299&lt;&gt;"",IF(U299=Constants!$B$19,S299,R299)))</f>
        <v/>
      </c>
      <c r="AE299" s="99" t="str">
        <f aca="false">IF(ISBLANK($C299),"",AND(Z299&lt;&gt;"",IF(Y299=Constants!$B$19,S299,R299)))</f>
        <v/>
      </c>
      <c r="AF299" s="99" t="str">
        <f aca="false">IF(ISBLANK($C299),"",IF(AC299,Constants!$B$4,IF(COUNTA(E299:O299)=0,Constants!$B$5,IF(AND(NOT(AD299),NOT(AE299)),Constants!$B$6,Constants!$B$7))))</f>
        <v/>
      </c>
      <c r="AG299" s="99" t="str">
        <f aca="false">IF(ISBLANK($C299),"",IF($AF299&lt;&gt;Constants!$B$7,$AF299,Constants!$B$20))</f>
        <v/>
      </c>
      <c r="AH299" s="99" t="str">
        <f aca="false">IF($AF299=Constants!$B$7,IF(AD299,V299,Constants!$B$13),"")</f>
        <v/>
      </c>
      <c r="AI299" s="99" t="str">
        <f aca="false">IF($AF299=Constants!$B$7,IF(AD299,T299*IF(W299, 1, Constants!$B$11)*IF(X299, 1, Constants!$B$12),Constants!$B$13),"")</f>
        <v/>
      </c>
      <c r="AJ299" s="99" t="str">
        <f aca="false">IF($AF299=Constants!$B$7,AH299*AI299,"")</f>
        <v/>
      </c>
      <c r="AK299" s="99" t="str">
        <f aca="false">IF($AF299=Constants!$B$7,IF(AE299,Z299,Constants!$B$13),"")</f>
        <v/>
      </c>
      <c r="AL299" s="99" t="str">
        <f aca="false">IF($AF299=Constants!$B$7,IF(AE299,T299*IF(AA299, 1, Constants!$B$11)*IF(AB299, 1, Constants!$B$12),Constants!$B$13),"")</f>
        <v/>
      </c>
      <c r="AM299" s="99" t="str">
        <f aca="false">IF($AF299=Constants!$B$7,AK299*AL299,"")</f>
        <v/>
      </c>
      <c r="AN299" s="99" t="str">
        <f aca="false">IF($AF299=Constants!$B$7,IF(AM299&gt;AJ299,2,1),"")</f>
        <v/>
      </c>
      <c r="AO299" s="99" t="str">
        <f aca="false">IF($AF299=Constants!$B$7,IF(AN299=1,2,1),"")</f>
        <v/>
      </c>
      <c r="AP299" s="99" t="str">
        <f aca="false">IF(ISBLANK($C299),"",IF($AF299&lt;&gt;Constants!$B$7,$AF299,IF(AN299=1,AJ299,AM299)))</f>
        <v/>
      </c>
      <c r="AQ299" s="99" t="str">
        <f aca="false">IF(ISBLANK($C299),"",IF($AF299=Constants!$B$7,IF(ISNUMBER(AP299),RANK(AP299,$AP$8:$AP$507),Constants!$B$14),$AF299))</f>
        <v/>
      </c>
      <c r="AR299" s="99" t="str">
        <f aca="false">IF(ISBLANK($C299),"",IF($AF299=Constants!$B$7,IF(AO299=1,AJ299,AM299),""))</f>
        <v/>
      </c>
      <c r="AS299" s="99" t="str">
        <f aca="false">IF(ISBLANK($C299),"",IF($AF299=Constants!$B$7,RANK(AR299,$AR$8:$AR$507),$AF299))</f>
        <v/>
      </c>
      <c r="AT299" s="99" t="str">
        <f aca="false">IF(ISBLANK($C299),"",IF($AF299=Constants!$B$7,IF(ISNUMBER(AQ299),COUNTIFS($AQ$8:$AQ$507,"&lt;"&amp;$AQ299)+COUNTIFS($AQ$8:$AQ$507,$AQ299,$AS$8:$AS$507,"&lt;"&amp;$AS299)+1,Constants!$B$14),$AF299))</f>
        <v/>
      </c>
      <c r="AU299" s="99" t="str">
        <f aca="false">IF(ISBLANK($C299),"",IF($AF299=Constants!$B$7,IF(ISNUMBER(AQ299),AQ299-AT299,Constants!$B$14),$AF299))</f>
        <v/>
      </c>
      <c r="AV299" s="100"/>
      <c r="AW299" s="101" t="str">
        <f aca="false">IF(ISBLANK($C299),"",IF($AF299&lt;&gt;Constants!$B$7,"",AN299))</f>
        <v/>
      </c>
      <c r="AX299" s="102" t="str">
        <f aca="false">IF(ISBLANK($C299),"",IF($AF299&lt;&gt;Constants!$B$7,"",IF(AN299=1,AH299,AK299)))</f>
        <v/>
      </c>
      <c r="AY299" s="103" t="str">
        <f aca="false">IF(ISBLANK($C299),"",IF($AF299&lt;&gt;Constants!$B$7,"",IF(AN299=1,AI299,AL299)))</f>
        <v/>
      </c>
      <c r="AZ299" s="104" t="str">
        <f aca="false">IF(ISBLANK($C299),"",IF($AF299&lt;&gt;Constants!$B$7,$AF299,AP299))</f>
        <v/>
      </c>
      <c r="BA299" s="105" t="str">
        <f aca="false">IF(ISBLANK($C299),"",IF($AF299&lt;&gt;Constants!$B$7,$AF299,AG299))</f>
        <v/>
      </c>
      <c r="BB299" s="106" t="str">
        <f aca="false">IF(ISBLANK($C299),"",AU299)</f>
        <v/>
      </c>
      <c r="BC299" s="106" t="str">
        <f aca="false">IF(ISBLANK($C299),"",AT299)</f>
        <v/>
      </c>
      <c r="BD299" s="107" t="str">
        <f aca="false">IF(ISBLANK($C299),"",IFERROR(_xlfn.SWITCH(BC299,Constants!$B$4,COUNTA($C$8:$C$507)+2,Constants!$B$5,COUNTA($C$8:$C$507)+1,Constants!$B$6,COUNTA($C$8:$C$507)),BC299))</f>
        <v/>
      </c>
      <c r="BE299" s="5"/>
      <c r="BF299" s="108" t="n">
        <f aca="false">IF(OR(ISNUMBER(BC299),BC299=Constants!$B$4,BC299=Constants!$B$6,BC299=Constants!$B$5),1,0)</f>
        <v>0</v>
      </c>
      <c r="BG299" s="108" t="n">
        <v>292</v>
      </c>
      <c r="BH299" s="108" t="str">
        <f aca="false">IF(ISBLANK($C299),"",IF(ISNUMBER(BD299),BD299+ROW($B299)/1000,""))</f>
        <v/>
      </c>
      <c r="BI299" s="108" t="str">
        <f aca="false">IF(ISNUMBER(BH299),RANK(BH299,$BH$8:$BH$507,1),"")</f>
        <v/>
      </c>
      <c r="BJ299" s="108" t="str">
        <f aca="false">IF(ISBLANK($C299),"",$B299)</f>
        <v/>
      </c>
      <c r="BK299" s="108" t="str">
        <f aca="false">IF(ISBLANK($C299),"",$C299)</f>
        <v/>
      </c>
      <c r="BL299" s="108" t="str">
        <f aca="false">IF(ISBLANK($C299),"",$D299)</f>
        <v/>
      </c>
      <c r="BM299" s="109" t="str">
        <f aca="false">BA299</f>
        <v/>
      </c>
      <c r="BN299" s="110" t="str">
        <f aca="false">AZ299</f>
        <v/>
      </c>
      <c r="BO299" s="108" t="str">
        <f aca="false">IF(ISBLANK($C299),"",BC299)</f>
        <v/>
      </c>
      <c r="BP299" s="111" t="str">
        <f aca="false">IF($BG299&gt;$BF$7,"",VLOOKUP($BG299,$BI$8:$BO$507,7,FALSE()))</f>
        <v/>
      </c>
      <c r="BQ299" s="112" t="str">
        <f aca="false">IF($BG299&gt;$BF$7,"",VLOOKUP($BG299,$BI$8:$BO$507,2,FALSE()))</f>
        <v/>
      </c>
      <c r="BR299" s="112" t="str">
        <f aca="false">IF($BG299&gt;$BF$7,"",VLOOKUP($BG299,$BI$8:$BO$507,3,FALSE()))</f>
        <v/>
      </c>
      <c r="BS299" s="112" t="str">
        <f aca="false">IF($BG299&gt;$BF$7,"",VLOOKUP($BG299,$BI$8:$BO$507,4,FALSE()))</f>
        <v/>
      </c>
      <c r="BT299" s="112" t="str">
        <f aca="false">IF($BG299&gt;$BF$7,"",VLOOKUP($BG299,$BI$8:$BO$507,5,FALSE()))</f>
        <v/>
      </c>
      <c r="BU299" s="113" t="str">
        <f aca="false">IF($BG299&gt;$BF$7,"",VLOOKUP($BG299,$BI$8:$BO$507,6,FALSE()))</f>
        <v/>
      </c>
      <c r="BV299" s="54"/>
    </row>
    <row r="300" customFormat="false" ht="15.75" hidden="false" customHeight="false" outlineLevel="0" collapsed="false">
      <c r="A300" s="5"/>
      <c r="B300" s="128"/>
      <c r="C300" s="129"/>
      <c r="D300" s="114"/>
      <c r="E300" s="134"/>
      <c r="F300" s="139"/>
      <c r="G300" s="93"/>
      <c r="H300" s="140"/>
      <c r="I300" s="95"/>
      <c r="J300" s="95"/>
      <c r="K300" s="93"/>
      <c r="L300" s="141"/>
      <c r="M300" s="95"/>
      <c r="N300" s="95"/>
      <c r="O300" s="93"/>
      <c r="P300" s="134"/>
      <c r="Q300" s="98"/>
      <c r="R300" s="99" t="str">
        <f aca="false">IF(ISBLANK($C300),"",IF(E300=Constants!$B$2, TRUE(), IF(E300=Constants!$B$3, FALSE(), TRUE())))</f>
        <v/>
      </c>
      <c r="S300" s="99" t="str">
        <f aca="false">IF(ISBLANK($C300),"",IF(F300=Constants!$B$2, TRUE(), IF(F300=Constants!$B$3, FALSE(), TRUE())))</f>
        <v/>
      </c>
      <c r="T300" s="99" t="str">
        <f aca="false">IF(ISBLANK($C300),"",IF(G300=Constants!$B$16,Constants!$B$9,IF(G300=Constants!$B$17,Constants!$B$10,Constants!$B$8)))</f>
        <v/>
      </c>
      <c r="U300" s="99" t="str">
        <f aca="false">IF(ISBLANK($C300),"",IF(H300=Constants!$B$19,Constants!$B$19,Constants!$B$18))</f>
        <v/>
      </c>
      <c r="V300" s="99" t="str">
        <f aca="false">IF(ISBLANK($C300),"",IF(ISNUMBER(I300),IF(I300&gt;=0,I300,""),""))</f>
        <v/>
      </c>
      <c r="W300" s="99" t="str">
        <f aca="false">IF(ISBLANK($C300),"",IF(J300=Constants!$B$2, TRUE(), IF(J300=Constants!$B$3, FALSE(), TRUE())))</f>
        <v/>
      </c>
      <c r="X300" s="99" t="str">
        <f aca="false">IF(ISBLANK($C300),"",IF(K300=Constants!$B$2, TRUE(), IF(K300=Constants!$B$3, FALSE(), TRUE())))</f>
        <v/>
      </c>
      <c r="Y300" s="99" t="str">
        <f aca="false">IF(ISBLANK($C300),"",IF(L300=Constants!$B$19,Constants!$B$19,Constants!$B$18))</f>
        <v/>
      </c>
      <c r="Z300" s="99" t="str">
        <f aca="false">IF(ISBLANK($C300),"",IF(ISNUMBER(M300),IF(M300&gt;=0,M300,""),""))</f>
        <v/>
      </c>
      <c r="AA300" s="99" t="str">
        <f aca="false">IF(ISBLANK($C300),"",IF(N300=Constants!$B$2, TRUE(), IF(N300=Constants!$B$3, FALSE(), TRUE())))</f>
        <v/>
      </c>
      <c r="AB300" s="99" t="str">
        <f aca="false">IF(ISBLANK($C300),"",IF(O300=Constants!$B$2, TRUE(), IF(O300=Constants!$B$3, FALSE(), TRUE())))</f>
        <v/>
      </c>
      <c r="AC300" s="99" t="str">
        <f aca="false">IF(ISBLANK($C300),"",IF(P300=Constants!$B$2, TRUE(), IF(P300=Constants!$B$3, FALSE(), FALSE())))</f>
        <v/>
      </c>
      <c r="AD300" s="99" t="str">
        <f aca="false">IF(ISBLANK($C300),"",AND(V300&lt;&gt;"",IF(U300=Constants!$B$19,S300,R300)))</f>
        <v/>
      </c>
      <c r="AE300" s="99" t="str">
        <f aca="false">IF(ISBLANK($C300),"",AND(Z300&lt;&gt;"",IF(Y300=Constants!$B$19,S300,R300)))</f>
        <v/>
      </c>
      <c r="AF300" s="99" t="str">
        <f aca="false">IF(ISBLANK($C300),"",IF(AC300,Constants!$B$4,IF(COUNTA(E300:O300)=0,Constants!$B$5,IF(AND(NOT(AD300),NOT(AE300)),Constants!$B$6,Constants!$B$7))))</f>
        <v/>
      </c>
      <c r="AG300" s="99" t="str">
        <f aca="false">IF(ISBLANK($C300),"",IF($AF300&lt;&gt;Constants!$B$7,$AF300,Constants!$B$20))</f>
        <v/>
      </c>
      <c r="AH300" s="99" t="str">
        <f aca="false">IF($AF300=Constants!$B$7,IF(AD300,V300,Constants!$B$13),"")</f>
        <v/>
      </c>
      <c r="AI300" s="99" t="str">
        <f aca="false">IF($AF300=Constants!$B$7,IF(AD300,T300*IF(W300, 1, Constants!$B$11)*IF(X300, 1, Constants!$B$12),Constants!$B$13),"")</f>
        <v/>
      </c>
      <c r="AJ300" s="99" t="str">
        <f aca="false">IF($AF300=Constants!$B$7,AH300*AI300,"")</f>
        <v/>
      </c>
      <c r="AK300" s="99" t="str">
        <f aca="false">IF($AF300=Constants!$B$7,IF(AE300,Z300,Constants!$B$13),"")</f>
        <v/>
      </c>
      <c r="AL300" s="99" t="str">
        <f aca="false">IF($AF300=Constants!$B$7,IF(AE300,T300*IF(AA300, 1, Constants!$B$11)*IF(AB300, 1, Constants!$B$12),Constants!$B$13),"")</f>
        <v/>
      </c>
      <c r="AM300" s="99" t="str">
        <f aca="false">IF($AF300=Constants!$B$7,AK300*AL300,"")</f>
        <v/>
      </c>
      <c r="AN300" s="99" t="str">
        <f aca="false">IF($AF300=Constants!$B$7,IF(AM300&gt;AJ300,2,1),"")</f>
        <v/>
      </c>
      <c r="AO300" s="99" t="str">
        <f aca="false">IF($AF300=Constants!$B$7,IF(AN300=1,2,1),"")</f>
        <v/>
      </c>
      <c r="AP300" s="99" t="str">
        <f aca="false">IF(ISBLANK($C300),"",IF($AF300&lt;&gt;Constants!$B$7,$AF300,IF(AN300=1,AJ300,AM300)))</f>
        <v/>
      </c>
      <c r="AQ300" s="99" t="str">
        <f aca="false">IF(ISBLANK($C300),"",IF($AF300=Constants!$B$7,IF(ISNUMBER(AP300),RANK(AP300,$AP$8:$AP$507),Constants!$B$14),$AF300))</f>
        <v/>
      </c>
      <c r="AR300" s="99" t="str">
        <f aca="false">IF(ISBLANK($C300),"",IF($AF300=Constants!$B$7,IF(AO300=1,AJ300,AM300),""))</f>
        <v/>
      </c>
      <c r="AS300" s="99" t="str">
        <f aca="false">IF(ISBLANK($C300),"",IF($AF300=Constants!$B$7,RANK(AR300,$AR$8:$AR$507),$AF300))</f>
        <v/>
      </c>
      <c r="AT300" s="99" t="str">
        <f aca="false">IF(ISBLANK($C300),"",IF($AF300=Constants!$B$7,IF(ISNUMBER(AQ300),COUNTIFS($AQ$8:$AQ$507,"&lt;"&amp;$AQ300)+COUNTIFS($AQ$8:$AQ$507,$AQ300,$AS$8:$AS$507,"&lt;"&amp;$AS300)+1,Constants!$B$14),$AF300))</f>
        <v/>
      </c>
      <c r="AU300" s="99" t="str">
        <f aca="false">IF(ISBLANK($C300),"",IF($AF300=Constants!$B$7,IF(ISNUMBER(AQ300),AQ300-AT300,Constants!$B$14),$AF300))</f>
        <v/>
      </c>
      <c r="AV300" s="100"/>
      <c r="AW300" s="101" t="str">
        <f aca="false">IF(ISBLANK($C300),"",IF($AF300&lt;&gt;Constants!$B$7,"",AN300))</f>
        <v/>
      </c>
      <c r="AX300" s="102" t="str">
        <f aca="false">IF(ISBLANK($C300),"",IF($AF300&lt;&gt;Constants!$B$7,"",IF(AN300=1,AH300,AK300)))</f>
        <v/>
      </c>
      <c r="AY300" s="103" t="str">
        <f aca="false">IF(ISBLANK($C300),"",IF($AF300&lt;&gt;Constants!$B$7,"",IF(AN300=1,AI300,AL300)))</f>
        <v/>
      </c>
      <c r="AZ300" s="104" t="str">
        <f aca="false">IF(ISBLANK($C300),"",IF($AF300&lt;&gt;Constants!$B$7,$AF300,AP300))</f>
        <v/>
      </c>
      <c r="BA300" s="105" t="str">
        <f aca="false">IF(ISBLANK($C300),"",IF($AF300&lt;&gt;Constants!$B$7,$AF300,AG300))</f>
        <v/>
      </c>
      <c r="BB300" s="106" t="str">
        <f aca="false">IF(ISBLANK($C300),"",AU300)</f>
        <v/>
      </c>
      <c r="BC300" s="106" t="str">
        <f aca="false">IF(ISBLANK($C300),"",AT300)</f>
        <v/>
      </c>
      <c r="BD300" s="107" t="str">
        <f aca="false">IF(ISBLANK($C300),"",IFERROR(_xlfn.SWITCH(BC300,Constants!$B$4,COUNTA($C$8:$C$507)+2,Constants!$B$5,COUNTA($C$8:$C$507)+1,Constants!$B$6,COUNTA($C$8:$C$507)),BC300))</f>
        <v/>
      </c>
      <c r="BE300" s="5"/>
      <c r="BF300" s="108" t="n">
        <f aca="false">IF(OR(ISNUMBER(BC300),BC300=Constants!$B$4,BC300=Constants!$B$6,BC300=Constants!$B$5),1,0)</f>
        <v>0</v>
      </c>
      <c r="BG300" s="108" t="n">
        <v>293</v>
      </c>
      <c r="BH300" s="108" t="str">
        <f aca="false">IF(ISBLANK($C300),"",IF(ISNUMBER(BD300),BD300+ROW($B300)/1000,""))</f>
        <v/>
      </c>
      <c r="BI300" s="108" t="str">
        <f aca="false">IF(ISNUMBER(BH300),RANK(BH300,$BH$8:$BH$507,1),"")</f>
        <v/>
      </c>
      <c r="BJ300" s="108" t="str">
        <f aca="false">IF(ISBLANK($C300),"",$B300)</f>
        <v/>
      </c>
      <c r="BK300" s="108" t="str">
        <f aca="false">IF(ISBLANK($C300),"",$C300)</f>
        <v/>
      </c>
      <c r="BL300" s="108" t="str">
        <f aca="false">IF(ISBLANK($C300),"",$D300)</f>
        <v/>
      </c>
      <c r="BM300" s="109" t="str">
        <f aca="false">BA300</f>
        <v/>
      </c>
      <c r="BN300" s="110" t="str">
        <f aca="false">AZ300</f>
        <v/>
      </c>
      <c r="BO300" s="108" t="str">
        <f aca="false">IF(ISBLANK($C300),"",BC300)</f>
        <v/>
      </c>
      <c r="BP300" s="111" t="str">
        <f aca="false">IF($BG300&gt;$BF$7,"",VLOOKUP($BG300,$BI$8:$BO$507,7,FALSE()))</f>
        <v/>
      </c>
      <c r="BQ300" s="112" t="str">
        <f aca="false">IF($BG300&gt;$BF$7,"",VLOOKUP($BG300,$BI$8:$BO$507,2,FALSE()))</f>
        <v/>
      </c>
      <c r="BR300" s="112" t="str">
        <f aca="false">IF($BG300&gt;$BF$7,"",VLOOKUP($BG300,$BI$8:$BO$507,3,FALSE()))</f>
        <v/>
      </c>
      <c r="BS300" s="112" t="str">
        <f aca="false">IF($BG300&gt;$BF$7,"",VLOOKUP($BG300,$BI$8:$BO$507,4,FALSE()))</f>
        <v/>
      </c>
      <c r="BT300" s="112" t="str">
        <f aca="false">IF($BG300&gt;$BF$7,"",VLOOKUP($BG300,$BI$8:$BO$507,5,FALSE()))</f>
        <v/>
      </c>
      <c r="BU300" s="113" t="str">
        <f aca="false">IF($BG300&gt;$BF$7,"",VLOOKUP($BG300,$BI$8:$BO$507,6,FALSE()))</f>
        <v/>
      </c>
      <c r="BV300" s="54"/>
    </row>
    <row r="301" customFormat="false" ht="15.75" hidden="false" customHeight="false" outlineLevel="0" collapsed="false">
      <c r="A301" s="5"/>
      <c r="B301" s="128"/>
      <c r="C301" s="129"/>
      <c r="D301" s="114"/>
      <c r="E301" s="134"/>
      <c r="F301" s="139"/>
      <c r="G301" s="93"/>
      <c r="H301" s="140"/>
      <c r="I301" s="95"/>
      <c r="J301" s="95"/>
      <c r="K301" s="93"/>
      <c r="L301" s="141"/>
      <c r="M301" s="95"/>
      <c r="N301" s="95"/>
      <c r="O301" s="93"/>
      <c r="P301" s="134"/>
      <c r="Q301" s="98"/>
      <c r="R301" s="99" t="str">
        <f aca="false">IF(ISBLANK($C301),"",IF(E301=Constants!$B$2, TRUE(), IF(E301=Constants!$B$3, FALSE(), TRUE())))</f>
        <v/>
      </c>
      <c r="S301" s="99" t="str">
        <f aca="false">IF(ISBLANK($C301),"",IF(F301=Constants!$B$2, TRUE(), IF(F301=Constants!$B$3, FALSE(), TRUE())))</f>
        <v/>
      </c>
      <c r="T301" s="99" t="str">
        <f aca="false">IF(ISBLANK($C301),"",IF(G301=Constants!$B$16,Constants!$B$9,IF(G301=Constants!$B$17,Constants!$B$10,Constants!$B$8)))</f>
        <v/>
      </c>
      <c r="U301" s="99" t="str">
        <f aca="false">IF(ISBLANK($C301),"",IF(H301=Constants!$B$19,Constants!$B$19,Constants!$B$18))</f>
        <v/>
      </c>
      <c r="V301" s="99" t="str">
        <f aca="false">IF(ISBLANK($C301),"",IF(ISNUMBER(I301),IF(I301&gt;=0,I301,""),""))</f>
        <v/>
      </c>
      <c r="W301" s="99" t="str">
        <f aca="false">IF(ISBLANK($C301),"",IF(J301=Constants!$B$2, TRUE(), IF(J301=Constants!$B$3, FALSE(), TRUE())))</f>
        <v/>
      </c>
      <c r="X301" s="99" t="str">
        <f aca="false">IF(ISBLANK($C301),"",IF(K301=Constants!$B$2, TRUE(), IF(K301=Constants!$B$3, FALSE(), TRUE())))</f>
        <v/>
      </c>
      <c r="Y301" s="99" t="str">
        <f aca="false">IF(ISBLANK($C301),"",IF(L301=Constants!$B$19,Constants!$B$19,Constants!$B$18))</f>
        <v/>
      </c>
      <c r="Z301" s="99" t="str">
        <f aca="false">IF(ISBLANK($C301),"",IF(ISNUMBER(M301),IF(M301&gt;=0,M301,""),""))</f>
        <v/>
      </c>
      <c r="AA301" s="99" t="str">
        <f aca="false">IF(ISBLANK($C301),"",IF(N301=Constants!$B$2, TRUE(), IF(N301=Constants!$B$3, FALSE(), TRUE())))</f>
        <v/>
      </c>
      <c r="AB301" s="99" t="str">
        <f aca="false">IF(ISBLANK($C301),"",IF(O301=Constants!$B$2, TRUE(), IF(O301=Constants!$B$3, FALSE(), TRUE())))</f>
        <v/>
      </c>
      <c r="AC301" s="99" t="str">
        <f aca="false">IF(ISBLANK($C301),"",IF(P301=Constants!$B$2, TRUE(), IF(P301=Constants!$B$3, FALSE(), FALSE())))</f>
        <v/>
      </c>
      <c r="AD301" s="99" t="str">
        <f aca="false">IF(ISBLANK($C301),"",AND(V301&lt;&gt;"",IF(U301=Constants!$B$19,S301,R301)))</f>
        <v/>
      </c>
      <c r="AE301" s="99" t="str">
        <f aca="false">IF(ISBLANK($C301),"",AND(Z301&lt;&gt;"",IF(Y301=Constants!$B$19,S301,R301)))</f>
        <v/>
      </c>
      <c r="AF301" s="99" t="str">
        <f aca="false">IF(ISBLANK($C301),"",IF(AC301,Constants!$B$4,IF(COUNTA(E301:O301)=0,Constants!$B$5,IF(AND(NOT(AD301),NOT(AE301)),Constants!$B$6,Constants!$B$7))))</f>
        <v/>
      </c>
      <c r="AG301" s="99" t="str">
        <f aca="false">IF(ISBLANK($C301),"",IF($AF301&lt;&gt;Constants!$B$7,$AF301,Constants!$B$20))</f>
        <v/>
      </c>
      <c r="AH301" s="99" t="str">
        <f aca="false">IF($AF301=Constants!$B$7,IF(AD301,V301,Constants!$B$13),"")</f>
        <v/>
      </c>
      <c r="AI301" s="99" t="str">
        <f aca="false">IF($AF301=Constants!$B$7,IF(AD301,T301*IF(W301, 1, Constants!$B$11)*IF(X301, 1, Constants!$B$12),Constants!$B$13),"")</f>
        <v/>
      </c>
      <c r="AJ301" s="99" t="str">
        <f aca="false">IF($AF301=Constants!$B$7,AH301*AI301,"")</f>
        <v/>
      </c>
      <c r="AK301" s="99" t="str">
        <f aca="false">IF($AF301=Constants!$B$7,IF(AE301,Z301,Constants!$B$13),"")</f>
        <v/>
      </c>
      <c r="AL301" s="99" t="str">
        <f aca="false">IF($AF301=Constants!$B$7,IF(AE301,T301*IF(AA301, 1, Constants!$B$11)*IF(AB301, 1, Constants!$B$12),Constants!$B$13),"")</f>
        <v/>
      </c>
      <c r="AM301" s="99" t="str">
        <f aca="false">IF($AF301=Constants!$B$7,AK301*AL301,"")</f>
        <v/>
      </c>
      <c r="AN301" s="99" t="str">
        <f aca="false">IF($AF301=Constants!$B$7,IF(AM301&gt;AJ301,2,1),"")</f>
        <v/>
      </c>
      <c r="AO301" s="99" t="str">
        <f aca="false">IF($AF301=Constants!$B$7,IF(AN301=1,2,1),"")</f>
        <v/>
      </c>
      <c r="AP301" s="99" t="str">
        <f aca="false">IF(ISBLANK($C301),"",IF($AF301&lt;&gt;Constants!$B$7,$AF301,IF(AN301=1,AJ301,AM301)))</f>
        <v/>
      </c>
      <c r="AQ301" s="99" t="str">
        <f aca="false">IF(ISBLANK($C301),"",IF($AF301=Constants!$B$7,IF(ISNUMBER(AP301),RANK(AP301,$AP$8:$AP$507),Constants!$B$14),$AF301))</f>
        <v/>
      </c>
      <c r="AR301" s="99" t="str">
        <f aca="false">IF(ISBLANK($C301),"",IF($AF301=Constants!$B$7,IF(AO301=1,AJ301,AM301),""))</f>
        <v/>
      </c>
      <c r="AS301" s="99" t="str">
        <f aca="false">IF(ISBLANK($C301),"",IF($AF301=Constants!$B$7,RANK(AR301,$AR$8:$AR$507),$AF301))</f>
        <v/>
      </c>
      <c r="AT301" s="99" t="str">
        <f aca="false">IF(ISBLANK($C301),"",IF($AF301=Constants!$B$7,IF(ISNUMBER(AQ301),COUNTIFS($AQ$8:$AQ$507,"&lt;"&amp;$AQ301)+COUNTIFS($AQ$8:$AQ$507,$AQ301,$AS$8:$AS$507,"&lt;"&amp;$AS301)+1,Constants!$B$14),$AF301))</f>
        <v/>
      </c>
      <c r="AU301" s="99" t="str">
        <f aca="false">IF(ISBLANK($C301),"",IF($AF301=Constants!$B$7,IF(ISNUMBER(AQ301),AQ301-AT301,Constants!$B$14),$AF301))</f>
        <v/>
      </c>
      <c r="AV301" s="100"/>
      <c r="AW301" s="101" t="str">
        <f aca="false">IF(ISBLANK($C301),"",IF($AF301&lt;&gt;Constants!$B$7,"",AN301))</f>
        <v/>
      </c>
      <c r="AX301" s="102" t="str">
        <f aca="false">IF(ISBLANK($C301),"",IF($AF301&lt;&gt;Constants!$B$7,"",IF(AN301=1,AH301,AK301)))</f>
        <v/>
      </c>
      <c r="AY301" s="103" t="str">
        <f aca="false">IF(ISBLANK($C301),"",IF($AF301&lt;&gt;Constants!$B$7,"",IF(AN301=1,AI301,AL301)))</f>
        <v/>
      </c>
      <c r="AZ301" s="104" t="str">
        <f aca="false">IF(ISBLANK($C301),"",IF($AF301&lt;&gt;Constants!$B$7,$AF301,AP301))</f>
        <v/>
      </c>
      <c r="BA301" s="105" t="str">
        <f aca="false">IF(ISBLANK($C301),"",IF($AF301&lt;&gt;Constants!$B$7,$AF301,AG301))</f>
        <v/>
      </c>
      <c r="BB301" s="106" t="str">
        <f aca="false">IF(ISBLANK($C301),"",AU301)</f>
        <v/>
      </c>
      <c r="BC301" s="106" t="str">
        <f aca="false">IF(ISBLANK($C301),"",AT301)</f>
        <v/>
      </c>
      <c r="BD301" s="107" t="str">
        <f aca="false">IF(ISBLANK($C301),"",IFERROR(_xlfn.SWITCH(BC301,Constants!$B$4,COUNTA($C$8:$C$507)+2,Constants!$B$5,COUNTA($C$8:$C$507)+1,Constants!$B$6,COUNTA($C$8:$C$507)),BC301))</f>
        <v/>
      </c>
      <c r="BE301" s="5"/>
      <c r="BF301" s="108" t="n">
        <f aca="false">IF(OR(ISNUMBER(BC301),BC301=Constants!$B$4,BC301=Constants!$B$6,BC301=Constants!$B$5),1,0)</f>
        <v>0</v>
      </c>
      <c r="BG301" s="108" t="n">
        <v>294</v>
      </c>
      <c r="BH301" s="108" t="str">
        <f aca="false">IF(ISBLANK($C301),"",IF(ISNUMBER(BD301),BD301+ROW($B301)/1000,""))</f>
        <v/>
      </c>
      <c r="BI301" s="108" t="str">
        <f aca="false">IF(ISNUMBER(BH301),RANK(BH301,$BH$8:$BH$507,1),"")</f>
        <v/>
      </c>
      <c r="BJ301" s="108" t="str">
        <f aca="false">IF(ISBLANK($C301),"",$B301)</f>
        <v/>
      </c>
      <c r="BK301" s="108" t="str">
        <f aca="false">IF(ISBLANK($C301),"",$C301)</f>
        <v/>
      </c>
      <c r="BL301" s="108" t="str">
        <f aca="false">IF(ISBLANK($C301),"",$D301)</f>
        <v/>
      </c>
      <c r="BM301" s="109" t="str">
        <f aca="false">BA301</f>
        <v/>
      </c>
      <c r="BN301" s="110" t="str">
        <f aca="false">AZ301</f>
        <v/>
      </c>
      <c r="BO301" s="108" t="str">
        <f aca="false">IF(ISBLANK($C301),"",BC301)</f>
        <v/>
      </c>
      <c r="BP301" s="111" t="str">
        <f aca="false">IF($BG301&gt;$BF$7,"",VLOOKUP($BG301,$BI$8:$BO$507,7,FALSE()))</f>
        <v/>
      </c>
      <c r="BQ301" s="112" t="str">
        <f aca="false">IF($BG301&gt;$BF$7,"",VLOOKUP($BG301,$BI$8:$BO$507,2,FALSE()))</f>
        <v/>
      </c>
      <c r="BR301" s="112" t="str">
        <f aca="false">IF($BG301&gt;$BF$7,"",VLOOKUP($BG301,$BI$8:$BO$507,3,FALSE()))</f>
        <v/>
      </c>
      <c r="BS301" s="112" t="str">
        <f aca="false">IF($BG301&gt;$BF$7,"",VLOOKUP($BG301,$BI$8:$BO$507,4,FALSE()))</f>
        <v/>
      </c>
      <c r="BT301" s="112" t="str">
        <f aca="false">IF($BG301&gt;$BF$7,"",VLOOKUP($BG301,$BI$8:$BO$507,5,FALSE()))</f>
        <v/>
      </c>
      <c r="BU301" s="113" t="str">
        <f aca="false">IF($BG301&gt;$BF$7,"",VLOOKUP($BG301,$BI$8:$BO$507,6,FALSE()))</f>
        <v/>
      </c>
      <c r="BV301" s="54"/>
    </row>
    <row r="302" customFormat="false" ht="15.75" hidden="false" customHeight="false" outlineLevel="0" collapsed="false">
      <c r="A302" s="5"/>
      <c r="B302" s="135"/>
      <c r="C302" s="56"/>
      <c r="D302" s="57"/>
      <c r="E302" s="84"/>
      <c r="F302" s="136"/>
      <c r="G302" s="60"/>
      <c r="H302" s="137"/>
      <c r="I302" s="62"/>
      <c r="J302" s="62"/>
      <c r="K302" s="60"/>
      <c r="L302" s="138"/>
      <c r="M302" s="62"/>
      <c r="N302" s="62"/>
      <c r="O302" s="60"/>
      <c r="P302" s="84"/>
      <c r="Q302" s="65"/>
      <c r="R302" s="67" t="str">
        <f aca="false">IF(ISBLANK($C302),"",IF(E302=Constants!$B$2, TRUE(), IF(E302=Constants!$B$3, FALSE(), TRUE())))</f>
        <v/>
      </c>
      <c r="S302" s="67" t="str">
        <f aca="false">IF(ISBLANK($C302),"",IF(F302=Constants!$B$2, TRUE(), IF(F302=Constants!$B$3, FALSE(), TRUE())))</f>
        <v/>
      </c>
      <c r="T302" s="67" t="str">
        <f aca="false">IF(ISBLANK($C302),"",IF(G302=Constants!$B$16,Constants!$B$9,IF(G302=Constants!$B$17,Constants!$B$10,Constants!$B$8)))</f>
        <v/>
      </c>
      <c r="U302" s="67" t="str">
        <f aca="false">IF(ISBLANK($C302),"",IF(H302=Constants!$B$19,Constants!$B$19,Constants!$B$18))</f>
        <v/>
      </c>
      <c r="V302" s="67" t="str">
        <f aca="false">IF(ISBLANK($C302),"",IF(ISNUMBER(I302),IF(I302&gt;=0,I302,""),""))</f>
        <v/>
      </c>
      <c r="W302" s="67" t="str">
        <f aca="false">IF(ISBLANK($C302),"",IF(J302=Constants!$B$2, TRUE(), IF(J302=Constants!$B$3, FALSE(), TRUE())))</f>
        <v/>
      </c>
      <c r="X302" s="67" t="str">
        <f aca="false">IF(ISBLANK($C302),"",IF(K302=Constants!$B$2, TRUE(), IF(K302=Constants!$B$3, FALSE(), TRUE())))</f>
        <v/>
      </c>
      <c r="Y302" s="67" t="str">
        <f aca="false">IF(ISBLANK($C302),"",IF(L302=Constants!$B$19,Constants!$B$19,Constants!$B$18))</f>
        <v/>
      </c>
      <c r="Z302" s="67" t="str">
        <f aca="false">IF(ISBLANK($C302),"",IF(ISNUMBER(M302),IF(M302&gt;=0,M302,""),""))</f>
        <v/>
      </c>
      <c r="AA302" s="67" t="str">
        <f aca="false">IF(ISBLANK($C302),"",IF(N302=Constants!$B$2, TRUE(), IF(N302=Constants!$B$3, FALSE(), TRUE())))</f>
        <v/>
      </c>
      <c r="AB302" s="67" t="str">
        <f aca="false">IF(ISBLANK($C302),"",IF(O302=Constants!$B$2, TRUE(), IF(O302=Constants!$B$3, FALSE(), TRUE())))</f>
        <v/>
      </c>
      <c r="AC302" s="67" t="str">
        <f aca="false">IF(ISBLANK($C302),"",IF(P302=Constants!$B$2, TRUE(), IF(P302=Constants!$B$3, FALSE(), FALSE())))</f>
        <v/>
      </c>
      <c r="AD302" s="67" t="str">
        <f aca="false">IF(ISBLANK($C302),"",AND(V302&lt;&gt;"",IF(U302=Constants!$B$19,S302,R302)))</f>
        <v/>
      </c>
      <c r="AE302" s="67" t="str">
        <f aca="false">IF(ISBLANK($C302),"",AND(Z302&lt;&gt;"",IF(Y302=Constants!$B$19,S302,R302)))</f>
        <v/>
      </c>
      <c r="AF302" s="67" t="str">
        <f aca="false">IF(ISBLANK($C302),"",IF(AC302,Constants!$B$4,IF(COUNTA(E302:O302)=0,Constants!$B$5,IF(AND(NOT(AD302),NOT(AE302)),Constants!$B$6,Constants!$B$7))))</f>
        <v/>
      </c>
      <c r="AG302" s="67" t="str">
        <f aca="false">IF(ISBLANK($C302),"",IF($AF302&lt;&gt;Constants!$B$7,$AF302,Constants!$B$20))</f>
        <v/>
      </c>
      <c r="AH302" s="67" t="str">
        <f aca="false">IF($AF302=Constants!$B$7,IF(AD302,V302,Constants!$B$13),"")</f>
        <v/>
      </c>
      <c r="AI302" s="67" t="str">
        <f aca="false">IF($AF302=Constants!$B$7,IF(AD302,T302*IF(W302, 1, Constants!$B$11)*IF(X302, 1, Constants!$B$12),Constants!$B$13),"")</f>
        <v/>
      </c>
      <c r="AJ302" s="67" t="str">
        <f aca="false">IF($AF302=Constants!$B$7,AH302*AI302,"")</f>
        <v/>
      </c>
      <c r="AK302" s="67" t="str">
        <f aca="false">IF($AF302=Constants!$B$7,IF(AE302,Z302,Constants!$B$13),"")</f>
        <v/>
      </c>
      <c r="AL302" s="67" t="str">
        <f aca="false">IF($AF302=Constants!$B$7,IF(AE302,T302*IF(AA302, 1, Constants!$B$11)*IF(AB302, 1, Constants!$B$12),Constants!$B$13),"")</f>
        <v/>
      </c>
      <c r="AM302" s="67" t="str">
        <f aca="false">IF($AF302=Constants!$B$7,AK302*AL302,"")</f>
        <v/>
      </c>
      <c r="AN302" s="67" t="str">
        <f aca="false">IF($AF302=Constants!$B$7,IF(AM302&gt;AJ302,2,1),"")</f>
        <v/>
      </c>
      <c r="AO302" s="67" t="str">
        <f aca="false">IF($AF302=Constants!$B$7,IF(AN302=1,2,1),"")</f>
        <v/>
      </c>
      <c r="AP302" s="67" t="str">
        <f aca="false">IF(ISBLANK($C302),"",IF($AF302&lt;&gt;Constants!$B$7,$AF302,IF(AN302=1,AJ302,AM302)))</f>
        <v/>
      </c>
      <c r="AQ302" s="67" t="str">
        <f aca="false">IF(ISBLANK($C302),"",IF($AF302=Constants!$B$7,IF(ISNUMBER(AP302),RANK(AP302,$AP$8:$AP$507),Constants!$B$14),$AF302))</f>
        <v/>
      </c>
      <c r="AR302" s="67" t="str">
        <f aca="false">IF(ISBLANK($C302),"",IF($AF302=Constants!$B$7,IF(AO302=1,AJ302,AM302),""))</f>
        <v/>
      </c>
      <c r="AS302" s="67" t="str">
        <f aca="false">IF(ISBLANK($C302),"",IF($AF302=Constants!$B$7,RANK(AR302,$AR$8:$AR$507),$AF302))</f>
        <v/>
      </c>
      <c r="AT302" s="67" t="str">
        <f aca="false">IF(ISBLANK($C302),"",IF($AF302=Constants!$B$7,IF(ISNUMBER(AQ302),COUNTIFS($AQ$8:$AQ$507,"&lt;"&amp;$AQ302)+COUNTIFS($AQ$8:$AQ$507,$AQ302,$AS$8:$AS$507,"&lt;"&amp;$AS302)+1,Constants!$B$14),$AF302))</f>
        <v/>
      </c>
      <c r="AU302" s="67" t="str">
        <f aca="false">IF(ISBLANK($C302),"",IF($AF302=Constants!$B$7,IF(ISNUMBER(AQ302),AQ302-AT302,Constants!$B$14),$AF302))</f>
        <v/>
      </c>
      <c r="AV302" s="69"/>
      <c r="AW302" s="70" t="str">
        <f aca="false">IF(ISBLANK($C302),"",IF($AF302&lt;&gt;Constants!$B$7,"",AN302))</f>
        <v/>
      </c>
      <c r="AX302" s="85" t="str">
        <f aca="false">IF(ISBLANK($C302),"",IF($AF302&lt;&gt;Constants!$B$7,"",IF(AN302=1,AH302,AK302)))</f>
        <v/>
      </c>
      <c r="AY302" s="72" t="str">
        <f aca="false">IF(ISBLANK($C302),"",IF($AF302&lt;&gt;Constants!$B$7,"",IF(AN302=1,AI302,AL302)))</f>
        <v/>
      </c>
      <c r="AZ302" s="73" t="str">
        <f aca="false">IF(ISBLANK($C302),"",IF($AF302&lt;&gt;Constants!$B$7,$AF302,AP302))</f>
        <v/>
      </c>
      <c r="BA302" s="74" t="str">
        <f aca="false">IF(ISBLANK($C302),"",IF($AF302&lt;&gt;Constants!$B$7,$AF302,AG302))</f>
        <v/>
      </c>
      <c r="BB302" s="75" t="str">
        <f aca="false">IF(ISBLANK($C302),"",AU302)</f>
        <v/>
      </c>
      <c r="BC302" s="75" t="str">
        <f aca="false">IF(ISBLANK($C302),"",AT302)</f>
        <v/>
      </c>
      <c r="BD302" s="76" t="str">
        <f aca="false">IF(ISBLANK($C302),"",IFERROR(_xlfn.SWITCH(BC302,Constants!$B$4,COUNTA($C$8:$C$507)+2,Constants!$B$5,COUNTA($C$8:$C$507)+1,Constants!$B$6,COUNTA($C$8:$C$507)),BC302))</f>
        <v/>
      </c>
      <c r="BE302" s="5"/>
      <c r="BF302" s="77" t="n">
        <f aca="false">IF(OR(ISNUMBER(BC302),BC302=Constants!$B$4,BC302=Constants!$B$6,BC302=Constants!$B$5),1,0)</f>
        <v>0</v>
      </c>
      <c r="BG302" s="77" t="n">
        <v>295</v>
      </c>
      <c r="BH302" s="77" t="str">
        <f aca="false">IF(ISBLANK($C302),"",IF(ISNUMBER(BD302),BD302+ROW($B302)/1000,""))</f>
        <v/>
      </c>
      <c r="BI302" s="77" t="str">
        <f aca="false">IF(ISNUMBER(BH302),RANK(BH302,$BH$8:$BH$507,1),"")</f>
        <v/>
      </c>
      <c r="BJ302" s="77" t="str">
        <f aca="false">IF(ISBLANK($C302),"",$B302)</f>
        <v/>
      </c>
      <c r="BK302" s="77" t="str">
        <f aca="false">IF(ISBLANK($C302),"",$C302)</f>
        <v/>
      </c>
      <c r="BL302" s="77" t="str">
        <f aca="false">IF(ISBLANK($C302),"",$D302)</f>
        <v/>
      </c>
      <c r="BM302" s="78" t="str">
        <f aca="false">BA302</f>
        <v/>
      </c>
      <c r="BN302" s="79" t="str">
        <f aca="false">AZ302</f>
        <v/>
      </c>
      <c r="BO302" s="77" t="str">
        <f aca="false">IF(ISBLANK($C302),"",BC302)</f>
        <v/>
      </c>
      <c r="BP302" s="80" t="str">
        <f aca="false">IF($BG302&gt;$BF$7,"",VLOOKUP($BG302,$BI$8:$BO$507,7,FALSE()))</f>
        <v/>
      </c>
      <c r="BQ302" s="81" t="str">
        <f aca="false">IF($BG302&gt;$BF$7,"",VLOOKUP($BG302,$BI$8:$BO$507,2,FALSE()))</f>
        <v/>
      </c>
      <c r="BR302" s="81" t="str">
        <f aca="false">IF($BG302&gt;$BF$7,"",VLOOKUP($BG302,$BI$8:$BO$507,3,FALSE()))</f>
        <v/>
      </c>
      <c r="BS302" s="81" t="str">
        <f aca="false">IF($BG302&gt;$BF$7,"",VLOOKUP($BG302,$BI$8:$BO$507,4,FALSE()))</f>
        <v/>
      </c>
      <c r="BT302" s="81" t="str">
        <f aca="false">IF($BG302&gt;$BF$7,"",VLOOKUP($BG302,$BI$8:$BO$507,5,FALSE()))</f>
        <v/>
      </c>
      <c r="BU302" s="82" t="str">
        <f aca="false">IF($BG302&gt;$BF$7,"",VLOOKUP($BG302,$BI$8:$BO$507,6,FALSE()))</f>
        <v/>
      </c>
      <c r="BV302" s="54"/>
    </row>
    <row r="303" customFormat="false" ht="15.75" hidden="false" customHeight="false" outlineLevel="0" collapsed="false">
      <c r="A303" s="5"/>
      <c r="B303" s="135"/>
      <c r="C303" s="56"/>
      <c r="D303" s="57"/>
      <c r="E303" s="84"/>
      <c r="F303" s="136"/>
      <c r="G303" s="60"/>
      <c r="H303" s="137"/>
      <c r="I303" s="62"/>
      <c r="J303" s="62"/>
      <c r="K303" s="60"/>
      <c r="L303" s="138"/>
      <c r="M303" s="62"/>
      <c r="N303" s="62"/>
      <c r="O303" s="60"/>
      <c r="P303" s="84"/>
      <c r="Q303" s="65"/>
      <c r="R303" s="67" t="str">
        <f aca="false">IF(ISBLANK($C303),"",IF(E303=Constants!$B$2, TRUE(), IF(E303=Constants!$B$3, FALSE(), TRUE())))</f>
        <v/>
      </c>
      <c r="S303" s="67" t="str">
        <f aca="false">IF(ISBLANK($C303),"",IF(F303=Constants!$B$2, TRUE(), IF(F303=Constants!$B$3, FALSE(), TRUE())))</f>
        <v/>
      </c>
      <c r="T303" s="67" t="str">
        <f aca="false">IF(ISBLANK($C303),"",IF(G303=Constants!$B$16,Constants!$B$9,IF(G303=Constants!$B$17,Constants!$B$10,Constants!$B$8)))</f>
        <v/>
      </c>
      <c r="U303" s="67" t="str">
        <f aca="false">IF(ISBLANK($C303),"",IF(H303=Constants!$B$19,Constants!$B$19,Constants!$B$18))</f>
        <v/>
      </c>
      <c r="V303" s="67" t="str">
        <f aca="false">IF(ISBLANK($C303),"",IF(ISNUMBER(I303),IF(I303&gt;=0,I303,""),""))</f>
        <v/>
      </c>
      <c r="W303" s="67" t="str">
        <f aca="false">IF(ISBLANK($C303),"",IF(J303=Constants!$B$2, TRUE(), IF(J303=Constants!$B$3, FALSE(), TRUE())))</f>
        <v/>
      </c>
      <c r="X303" s="67" t="str">
        <f aca="false">IF(ISBLANK($C303),"",IF(K303=Constants!$B$2, TRUE(), IF(K303=Constants!$B$3, FALSE(), TRUE())))</f>
        <v/>
      </c>
      <c r="Y303" s="67" t="str">
        <f aca="false">IF(ISBLANK($C303),"",IF(L303=Constants!$B$19,Constants!$B$19,Constants!$B$18))</f>
        <v/>
      </c>
      <c r="Z303" s="67" t="str">
        <f aca="false">IF(ISBLANK($C303),"",IF(ISNUMBER(M303),IF(M303&gt;=0,M303,""),""))</f>
        <v/>
      </c>
      <c r="AA303" s="67" t="str">
        <f aca="false">IF(ISBLANK($C303),"",IF(N303=Constants!$B$2, TRUE(), IF(N303=Constants!$B$3, FALSE(), TRUE())))</f>
        <v/>
      </c>
      <c r="AB303" s="67" t="str">
        <f aca="false">IF(ISBLANK($C303),"",IF(O303=Constants!$B$2, TRUE(), IF(O303=Constants!$B$3, FALSE(), TRUE())))</f>
        <v/>
      </c>
      <c r="AC303" s="67" t="str">
        <f aca="false">IF(ISBLANK($C303),"",IF(P303=Constants!$B$2, TRUE(), IF(P303=Constants!$B$3, FALSE(), FALSE())))</f>
        <v/>
      </c>
      <c r="AD303" s="67" t="str">
        <f aca="false">IF(ISBLANK($C303),"",AND(V303&lt;&gt;"",IF(U303=Constants!$B$19,S303,R303)))</f>
        <v/>
      </c>
      <c r="AE303" s="67" t="str">
        <f aca="false">IF(ISBLANK($C303),"",AND(Z303&lt;&gt;"",IF(Y303=Constants!$B$19,S303,R303)))</f>
        <v/>
      </c>
      <c r="AF303" s="67" t="str">
        <f aca="false">IF(ISBLANK($C303),"",IF(AC303,Constants!$B$4,IF(COUNTA(E303:O303)=0,Constants!$B$5,IF(AND(NOT(AD303),NOT(AE303)),Constants!$B$6,Constants!$B$7))))</f>
        <v/>
      </c>
      <c r="AG303" s="67" t="str">
        <f aca="false">IF(ISBLANK($C303),"",IF($AF303&lt;&gt;Constants!$B$7,$AF303,Constants!$B$20))</f>
        <v/>
      </c>
      <c r="AH303" s="67" t="str">
        <f aca="false">IF($AF303=Constants!$B$7,IF(AD303,V303,Constants!$B$13),"")</f>
        <v/>
      </c>
      <c r="AI303" s="67" t="str">
        <f aca="false">IF($AF303=Constants!$B$7,IF(AD303,T303*IF(W303, 1, Constants!$B$11)*IF(X303, 1, Constants!$B$12),Constants!$B$13),"")</f>
        <v/>
      </c>
      <c r="AJ303" s="67" t="str">
        <f aca="false">IF($AF303=Constants!$B$7,AH303*AI303,"")</f>
        <v/>
      </c>
      <c r="AK303" s="67" t="str">
        <f aca="false">IF($AF303=Constants!$B$7,IF(AE303,Z303,Constants!$B$13),"")</f>
        <v/>
      </c>
      <c r="AL303" s="67" t="str">
        <f aca="false">IF($AF303=Constants!$B$7,IF(AE303,T303*IF(AA303, 1, Constants!$B$11)*IF(AB303, 1, Constants!$B$12),Constants!$B$13),"")</f>
        <v/>
      </c>
      <c r="AM303" s="67" t="str">
        <f aca="false">IF($AF303=Constants!$B$7,AK303*AL303,"")</f>
        <v/>
      </c>
      <c r="AN303" s="67" t="str">
        <f aca="false">IF($AF303=Constants!$B$7,IF(AM303&gt;AJ303,2,1),"")</f>
        <v/>
      </c>
      <c r="AO303" s="67" t="str">
        <f aca="false">IF($AF303=Constants!$B$7,IF(AN303=1,2,1),"")</f>
        <v/>
      </c>
      <c r="AP303" s="67" t="str">
        <f aca="false">IF(ISBLANK($C303),"",IF($AF303&lt;&gt;Constants!$B$7,$AF303,IF(AN303=1,AJ303,AM303)))</f>
        <v/>
      </c>
      <c r="AQ303" s="67" t="str">
        <f aca="false">IF(ISBLANK($C303),"",IF($AF303=Constants!$B$7,IF(ISNUMBER(AP303),RANK(AP303,$AP$8:$AP$507),Constants!$B$14),$AF303))</f>
        <v/>
      </c>
      <c r="AR303" s="67" t="str">
        <f aca="false">IF(ISBLANK($C303),"",IF($AF303=Constants!$B$7,IF(AO303=1,AJ303,AM303),""))</f>
        <v/>
      </c>
      <c r="AS303" s="67" t="str">
        <f aca="false">IF(ISBLANK($C303),"",IF($AF303=Constants!$B$7,RANK(AR303,$AR$8:$AR$507),$AF303))</f>
        <v/>
      </c>
      <c r="AT303" s="67" t="str">
        <f aca="false">IF(ISBLANK($C303),"",IF($AF303=Constants!$B$7,IF(ISNUMBER(AQ303),COUNTIFS($AQ$8:$AQ$507,"&lt;"&amp;$AQ303)+COUNTIFS($AQ$8:$AQ$507,$AQ303,$AS$8:$AS$507,"&lt;"&amp;$AS303)+1,Constants!$B$14),$AF303))</f>
        <v/>
      </c>
      <c r="AU303" s="67" t="str">
        <f aca="false">IF(ISBLANK($C303),"",IF($AF303=Constants!$B$7,IF(ISNUMBER(AQ303),AQ303-AT303,Constants!$B$14),$AF303))</f>
        <v/>
      </c>
      <c r="AV303" s="69"/>
      <c r="AW303" s="70" t="str">
        <f aca="false">IF(ISBLANK($C303),"",IF($AF303&lt;&gt;Constants!$B$7,"",AN303))</f>
        <v/>
      </c>
      <c r="AX303" s="85" t="str">
        <f aca="false">IF(ISBLANK($C303),"",IF($AF303&lt;&gt;Constants!$B$7,"",IF(AN303=1,AH303,AK303)))</f>
        <v/>
      </c>
      <c r="AY303" s="72" t="str">
        <f aca="false">IF(ISBLANK($C303),"",IF($AF303&lt;&gt;Constants!$B$7,"",IF(AN303=1,AI303,AL303)))</f>
        <v/>
      </c>
      <c r="AZ303" s="73" t="str">
        <f aca="false">IF(ISBLANK($C303),"",IF($AF303&lt;&gt;Constants!$B$7,$AF303,AP303))</f>
        <v/>
      </c>
      <c r="BA303" s="74" t="str">
        <f aca="false">IF(ISBLANK($C303),"",IF($AF303&lt;&gt;Constants!$B$7,$AF303,AG303))</f>
        <v/>
      </c>
      <c r="BB303" s="75" t="str">
        <f aca="false">IF(ISBLANK($C303),"",AU303)</f>
        <v/>
      </c>
      <c r="BC303" s="75" t="str">
        <f aca="false">IF(ISBLANK($C303),"",AT303)</f>
        <v/>
      </c>
      <c r="BD303" s="76" t="str">
        <f aca="false">IF(ISBLANK($C303),"",IFERROR(_xlfn.SWITCH(BC303,Constants!$B$4,COUNTA($C$8:$C$507)+2,Constants!$B$5,COUNTA($C$8:$C$507)+1,Constants!$B$6,COUNTA($C$8:$C$507)),BC303))</f>
        <v/>
      </c>
      <c r="BE303" s="5"/>
      <c r="BF303" s="77" t="n">
        <f aca="false">IF(OR(ISNUMBER(BC303),BC303=Constants!$B$4,BC303=Constants!$B$6,BC303=Constants!$B$5),1,0)</f>
        <v>0</v>
      </c>
      <c r="BG303" s="77" t="n">
        <v>296</v>
      </c>
      <c r="BH303" s="77" t="str">
        <f aca="false">IF(ISBLANK($C303),"",IF(ISNUMBER(BD303),BD303+ROW($B303)/1000,""))</f>
        <v/>
      </c>
      <c r="BI303" s="77" t="str">
        <f aca="false">IF(ISNUMBER(BH303),RANK(BH303,$BH$8:$BH$507,1),"")</f>
        <v/>
      </c>
      <c r="BJ303" s="77" t="str">
        <f aca="false">IF(ISBLANK($C303),"",$B303)</f>
        <v/>
      </c>
      <c r="BK303" s="77" t="str">
        <f aca="false">IF(ISBLANK($C303),"",$C303)</f>
        <v/>
      </c>
      <c r="BL303" s="77" t="str">
        <f aca="false">IF(ISBLANK($C303),"",$D303)</f>
        <v/>
      </c>
      <c r="BM303" s="78" t="str">
        <f aca="false">BA303</f>
        <v/>
      </c>
      <c r="BN303" s="79" t="str">
        <f aca="false">AZ303</f>
        <v/>
      </c>
      <c r="BO303" s="77" t="str">
        <f aca="false">IF(ISBLANK($C303),"",BC303)</f>
        <v/>
      </c>
      <c r="BP303" s="80" t="str">
        <f aca="false">IF($BG303&gt;$BF$7,"",VLOOKUP($BG303,$BI$8:$BO$507,7,FALSE()))</f>
        <v/>
      </c>
      <c r="BQ303" s="81" t="str">
        <f aca="false">IF($BG303&gt;$BF$7,"",VLOOKUP($BG303,$BI$8:$BO$507,2,FALSE()))</f>
        <v/>
      </c>
      <c r="BR303" s="81" t="str">
        <f aca="false">IF($BG303&gt;$BF$7,"",VLOOKUP($BG303,$BI$8:$BO$507,3,FALSE()))</f>
        <v/>
      </c>
      <c r="BS303" s="81" t="str">
        <f aca="false">IF($BG303&gt;$BF$7,"",VLOOKUP($BG303,$BI$8:$BO$507,4,FALSE()))</f>
        <v/>
      </c>
      <c r="BT303" s="81" t="str">
        <f aca="false">IF($BG303&gt;$BF$7,"",VLOOKUP($BG303,$BI$8:$BO$507,5,FALSE()))</f>
        <v/>
      </c>
      <c r="BU303" s="82" t="str">
        <f aca="false">IF($BG303&gt;$BF$7,"",VLOOKUP($BG303,$BI$8:$BO$507,6,FALSE()))</f>
        <v/>
      </c>
      <c r="BV303" s="54"/>
    </row>
    <row r="304" customFormat="false" ht="15.75" hidden="false" customHeight="false" outlineLevel="0" collapsed="false">
      <c r="A304" s="5"/>
      <c r="B304" s="135"/>
      <c r="C304" s="56"/>
      <c r="D304" s="57"/>
      <c r="E304" s="84"/>
      <c r="F304" s="136"/>
      <c r="G304" s="60"/>
      <c r="H304" s="137"/>
      <c r="I304" s="62"/>
      <c r="J304" s="62"/>
      <c r="K304" s="60"/>
      <c r="L304" s="138"/>
      <c r="M304" s="62"/>
      <c r="N304" s="62"/>
      <c r="O304" s="60"/>
      <c r="P304" s="84"/>
      <c r="Q304" s="65"/>
      <c r="R304" s="67" t="str">
        <f aca="false">IF(ISBLANK($C304),"",IF(E304=Constants!$B$2, TRUE(), IF(E304=Constants!$B$3, FALSE(), TRUE())))</f>
        <v/>
      </c>
      <c r="S304" s="67" t="str">
        <f aca="false">IF(ISBLANK($C304),"",IF(F304=Constants!$B$2, TRUE(), IF(F304=Constants!$B$3, FALSE(), TRUE())))</f>
        <v/>
      </c>
      <c r="T304" s="67" t="str">
        <f aca="false">IF(ISBLANK($C304),"",IF(G304=Constants!$B$16,Constants!$B$9,IF(G304=Constants!$B$17,Constants!$B$10,Constants!$B$8)))</f>
        <v/>
      </c>
      <c r="U304" s="67" t="str">
        <f aca="false">IF(ISBLANK($C304),"",IF(H304=Constants!$B$19,Constants!$B$19,Constants!$B$18))</f>
        <v/>
      </c>
      <c r="V304" s="67" t="str">
        <f aca="false">IF(ISBLANK($C304),"",IF(ISNUMBER(I304),IF(I304&gt;=0,I304,""),""))</f>
        <v/>
      </c>
      <c r="W304" s="67" t="str">
        <f aca="false">IF(ISBLANK($C304),"",IF(J304=Constants!$B$2, TRUE(), IF(J304=Constants!$B$3, FALSE(), TRUE())))</f>
        <v/>
      </c>
      <c r="X304" s="67" t="str">
        <f aca="false">IF(ISBLANK($C304),"",IF(K304=Constants!$B$2, TRUE(), IF(K304=Constants!$B$3, FALSE(), TRUE())))</f>
        <v/>
      </c>
      <c r="Y304" s="67" t="str">
        <f aca="false">IF(ISBLANK($C304),"",IF(L304=Constants!$B$19,Constants!$B$19,Constants!$B$18))</f>
        <v/>
      </c>
      <c r="Z304" s="67" t="str">
        <f aca="false">IF(ISBLANK($C304),"",IF(ISNUMBER(M304),IF(M304&gt;=0,M304,""),""))</f>
        <v/>
      </c>
      <c r="AA304" s="67" t="str">
        <f aca="false">IF(ISBLANK($C304),"",IF(N304=Constants!$B$2, TRUE(), IF(N304=Constants!$B$3, FALSE(), TRUE())))</f>
        <v/>
      </c>
      <c r="AB304" s="67" t="str">
        <f aca="false">IF(ISBLANK($C304),"",IF(O304=Constants!$B$2, TRUE(), IF(O304=Constants!$B$3, FALSE(), TRUE())))</f>
        <v/>
      </c>
      <c r="AC304" s="67" t="str">
        <f aca="false">IF(ISBLANK($C304),"",IF(P304=Constants!$B$2, TRUE(), IF(P304=Constants!$B$3, FALSE(), FALSE())))</f>
        <v/>
      </c>
      <c r="AD304" s="67" t="str">
        <f aca="false">IF(ISBLANK($C304),"",AND(V304&lt;&gt;"",IF(U304=Constants!$B$19,S304,R304)))</f>
        <v/>
      </c>
      <c r="AE304" s="67" t="str">
        <f aca="false">IF(ISBLANK($C304),"",AND(Z304&lt;&gt;"",IF(Y304=Constants!$B$19,S304,R304)))</f>
        <v/>
      </c>
      <c r="AF304" s="67" t="str">
        <f aca="false">IF(ISBLANK($C304),"",IF(AC304,Constants!$B$4,IF(COUNTA(E304:O304)=0,Constants!$B$5,IF(AND(NOT(AD304),NOT(AE304)),Constants!$B$6,Constants!$B$7))))</f>
        <v/>
      </c>
      <c r="AG304" s="67" t="str">
        <f aca="false">IF(ISBLANK($C304),"",IF($AF304&lt;&gt;Constants!$B$7,$AF304,Constants!$B$20))</f>
        <v/>
      </c>
      <c r="AH304" s="67" t="str">
        <f aca="false">IF($AF304=Constants!$B$7,IF(AD304,V304,Constants!$B$13),"")</f>
        <v/>
      </c>
      <c r="AI304" s="67" t="str">
        <f aca="false">IF($AF304=Constants!$B$7,IF(AD304,T304*IF(W304, 1, Constants!$B$11)*IF(X304, 1, Constants!$B$12),Constants!$B$13),"")</f>
        <v/>
      </c>
      <c r="AJ304" s="67" t="str">
        <f aca="false">IF($AF304=Constants!$B$7,AH304*AI304,"")</f>
        <v/>
      </c>
      <c r="AK304" s="67" t="str">
        <f aca="false">IF($AF304=Constants!$B$7,IF(AE304,Z304,Constants!$B$13),"")</f>
        <v/>
      </c>
      <c r="AL304" s="67" t="str">
        <f aca="false">IF($AF304=Constants!$B$7,IF(AE304,T304*IF(AA304, 1, Constants!$B$11)*IF(AB304, 1, Constants!$B$12),Constants!$B$13),"")</f>
        <v/>
      </c>
      <c r="AM304" s="67" t="str">
        <f aca="false">IF($AF304=Constants!$B$7,AK304*AL304,"")</f>
        <v/>
      </c>
      <c r="AN304" s="67" t="str">
        <f aca="false">IF($AF304=Constants!$B$7,IF(AM304&gt;AJ304,2,1),"")</f>
        <v/>
      </c>
      <c r="AO304" s="67" t="str">
        <f aca="false">IF($AF304=Constants!$B$7,IF(AN304=1,2,1),"")</f>
        <v/>
      </c>
      <c r="AP304" s="67" t="str">
        <f aca="false">IF(ISBLANK($C304),"",IF($AF304&lt;&gt;Constants!$B$7,$AF304,IF(AN304=1,AJ304,AM304)))</f>
        <v/>
      </c>
      <c r="AQ304" s="67" t="str">
        <f aca="false">IF(ISBLANK($C304),"",IF($AF304=Constants!$B$7,IF(ISNUMBER(AP304),RANK(AP304,$AP$8:$AP$507),Constants!$B$14),$AF304))</f>
        <v/>
      </c>
      <c r="AR304" s="67" t="str">
        <f aca="false">IF(ISBLANK($C304),"",IF($AF304=Constants!$B$7,IF(AO304=1,AJ304,AM304),""))</f>
        <v/>
      </c>
      <c r="AS304" s="67" t="str">
        <f aca="false">IF(ISBLANK($C304),"",IF($AF304=Constants!$B$7,RANK(AR304,$AR$8:$AR$507),$AF304))</f>
        <v/>
      </c>
      <c r="AT304" s="67" t="str">
        <f aca="false">IF(ISBLANK($C304),"",IF($AF304=Constants!$B$7,IF(ISNUMBER(AQ304),COUNTIFS($AQ$8:$AQ$507,"&lt;"&amp;$AQ304)+COUNTIFS($AQ$8:$AQ$507,$AQ304,$AS$8:$AS$507,"&lt;"&amp;$AS304)+1,Constants!$B$14),$AF304))</f>
        <v/>
      </c>
      <c r="AU304" s="67" t="str">
        <f aca="false">IF(ISBLANK($C304),"",IF($AF304=Constants!$B$7,IF(ISNUMBER(AQ304),AQ304-AT304,Constants!$B$14),$AF304))</f>
        <v/>
      </c>
      <c r="AV304" s="69"/>
      <c r="AW304" s="70" t="str">
        <f aca="false">IF(ISBLANK($C304),"",IF($AF304&lt;&gt;Constants!$B$7,"",AN304))</f>
        <v/>
      </c>
      <c r="AX304" s="85" t="str">
        <f aca="false">IF(ISBLANK($C304),"",IF($AF304&lt;&gt;Constants!$B$7,"",IF(AN304=1,AH304,AK304)))</f>
        <v/>
      </c>
      <c r="AY304" s="72" t="str">
        <f aca="false">IF(ISBLANK($C304),"",IF($AF304&lt;&gt;Constants!$B$7,"",IF(AN304=1,AI304,AL304)))</f>
        <v/>
      </c>
      <c r="AZ304" s="73" t="str">
        <f aca="false">IF(ISBLANK($C304),"",IF($AF304&lt;&gt;Constants!$B$7,$AF304,AP304))</f>
        <v/>
      </c>
      <c r="BA304" s="74" t="str">
        <f aca="false">IF(ISBLANK($C304),"",IF($AF304&lt;&gt;Constants!$B$7,$AF304,AG304))</f>
        <v/>
      </c>
      <c r="BB304" s="75" t="str">
        <f aca="false">IF(ISBLANK($C304),"",AU304)</f>
        <v/>
      </c>
      <c r="BC304" s="75" t="str">
        <f aca="false">IF(ISBLANK($C304),"",AT304)</f>
        <v/>
      </c>
      <c r="BD304" s="76" t="str">
        <f aca="false">IF(ISBLANK($C304),"",IFERROR(_xlfn.SWITCH(BC304,Constants!$B$4,COUNTA($C$8:$C$507)+2,Constants!$B$5,COUNTA($C$8:$C$507)+1,Constants!$B$6,COUNTA($C$8:$C$507)),BC304))</f>
        <v/>
      </c>
      <c r="BE304" s="5"/>
      <c r="BF304" s="77" t="n">
        <f aca="false">IF(OR(ISNUMBER(BC304),BC304=Constants!$B$4,BC304=Constants!$B$6,BC304=Constants!$B$5),1,0)</f>
        <v>0</v>
      </c>
      <c r="BG304" s="77" t="n">
        <v>297</v>
      </c>
      <c r="BH304" s="77" t="str">
        <f aca="false">IF(ISBLANK($C304),"",IF(ISNUMBER(BD304),BD304+ROW($B304)/1000,""))</f>
        <v/>
      </c>
      <c r="BI304" s="77" t="str">
        <f aca="false">IF(ISNUMBER(BH304),RANK(BH304,$BH$8:$BH$507,1),"")</f>
        <v/>
      </c>
      <c r="BJ304" s="77" t="str">
        <f aca="false">IF(ISBLANK($C304),"",$B304)</f>
        <v/>
      </c>
      <c r="BK304" s="77" t="str">
        <f aca="false">IF(ISBLANK($C304),"",$C304)</f>
        <v/>
      </c>
      <c r="BL304" s="77" t="str">
        <f aca="false">IF(ISBLANK($C304),"",$D304)</f>
        <v/>
      </c>
      <c r="BM304" s="78" t="str">
        <f aca="false">BA304</f>
        <v/>
      </c>
      <c r="BN304" s="79" t="str">
        <f aca="false">AZ304</f>
        <v/>
      </c>
      <c r="BO304" s="77" t="str">
        <f aca="false">IF(ISBLANK($C304),"",BC304)</f>
        <v/>
      </c>
      <c r="BP304" s="80" t="str">
        <f aca="false">IF($BG304&gt;$BF$7,"",VLOOKUP($BG304,$BI$8:$BO$507,7,FALSE()))</f>
        <v/>
      </c>
      <c r="BQ304" s="81" t="str">
        <f aca="false">IF($BG304&gt;$BF$7,"",VLOOKUP($BG304,$BI$8:$BO$507,2,FALSE()))</f>
        <v/>
      </c>
      <c r="BR304" s="81" t="str">
        <f aca="false">IF($BG304&gt;$BF$7,"",VLOOKUP($BG304,$BI$8:$BO$507,3,FALSE()))</f>
        <v/>
      </c>
      <c r="BS304" s="81" t="str">
        <f aca="false">IF($BG304&gt;$BF$7,"",VLOOKUP($BG304,$BI$8:$BO$507,4,FALSE()))</f>
        <v/>
      </c>
      <c r="BT304" s="81" t="str">
        <f aca="false">IF($BG304&gt;$BF$7,"",VLOOKUP($BG304,$BI$8:$BO$507,5,FALSE()))</f>
        <v/>
      </c>
      <c r="BU304" s="82" t="str">
        <f aca="false">IF($BG304&gt;$BF$7,"",VLOOKUP($BG304,$BI$8:$BO$507,6,FALSE()))</f>
        <v/>
      </c>
      <c r="BV304" s="54"/>
    </row>
    <row r="305" customFormat="false" ht="15.75" hidden="false" customHeight="false" outlineLevel="0" collapsed="false">
      <c r="A305" s="5"/>
      <c r="B305" s="128"/>
      <c r="C305" s="129"/>
      <c r="D305" s="114"/>
      <c r="E305" s="134"/>
      <c r="F305" s="139"/>
      <c r="G305" s="93"/>
      <c r="H305" s="140"/>
      <c r="I305" s="95"/>
      <c r="J305" s="95"/>
      <c r="K305" s="93"/>
      <c r="L305" s="141"/>
      <c r="M305" s="95"/>
      <c r="N305" s="95"/>
      <c r="O305" s="93"/>
      <c r="P305" s="134"/>
      <c r="Q305" s="98"/>
      <c r="R305" s="99" t="str">
        <f aca="false">IF(ISBLANK($C305),"",IF(E305=Constants!$B$2, TRUE(), IF(E305=Constants!$B$3, FALSE(), TRUE())))</f>
        <v/>
      </c>
      <c r="S305" s="99" t="str">
        <f aca="false">IF(ISBLANK($C305),"",IF(F305=Constants!$B$2, TRUE(), IF(F305=Constants!$B$3, FALSE(), TRUE())))</f>
        <v/>
      </c>
      <c r="T305" s="99" t="str">
        <f aca="false">IF(ISBLANK($C305),"",IF(G305=Constants!$B$16,Constants!$B$9,IF(G305=Constants!$B$17,Constants!$B$10,Constants!$B$8)))</f>
        <v/>
      </c>
      <c r="U305" s="99" t="str">
        <f aca="false">IF(ISBLANK($C305),"",IF(H305=Constants!$B$19,Constants!$B$19,Constants!$B$18))</f>
        <v/>
      </c>
      <c r="V305" s="99" t="str">
        <f aca="false">IF(ISBLANK($C305),"",IF(ISNUMBER(I305),IF(I305&gt;=0,I305,""),""))</f>
        <v/>
      </c>
      <c r="W305" s="99" t="str">
        <f aca="false">IF(ISBLANK($C305),"",IF(J305=Constants!$B$2, TRUE(), IF(J305=Constants!$B$3, FALSE(), TRUE())))</f>
        <v/>
      </c>
      <c r="X305" s="99" t="str">
        <f aca="false">IF(ISBLANK($C305),"",IF(K305=Constants!$B$2, TRUE(), IF(K305=Constants!$B$3, FALSE(), TRUE())))</f>
        <v/>
      </c>
      <c r="Y305" s="99" t="str">
        <f aca="false">IF(ISBLANK($C305),"",IF(L305=Constants!$B$19,Constants!$B$19,Constants!$B$18))</f>
        <v/>
      </c>
      <c r="Z305" s="99" t="str">
        <f aca="false">IF(ISBLANK($C305),"",IF(ISNUMBER(M305),IF(M305&gt;=0,M305,""),""))</f>
        <v/>
      </c>
      <c r="AA305" s="99" t="str">
        <f aca="false">IF(ISBLANK($C305),"",IF(N305=Constants!$B$2, TRUE(), IF(N305=Constants!$B$3, FALSE(), TRUE())))</f>
        <v/>
      </c>
      <c r="AB305" s="99" t="str">
        <f aca="false">IF(ISBLANK($C305),"",IF(O305=Constants!$B$2, TRUE(), IF(O305=Constants!$B$3, FALSE(), TRUE())))</f>
        <v/>
      </c>
      <c r="AC305" s="99" t="str">
        <f aca="false">IF(ISBLANK($C305),"",IF(P305=Constants!$B$2, TRUE(), IF(P305=Constants!$B$3, FALSE(), FALSE())))</f>
        <v/>
      </c>
      <c r="AD305" s="99" t="str">
        <f aca="false">IF(ISBLANK($C305),"",AND(V305&lt;&gt;"",IF(U305=Constants!$B$19,S305,R305)))</f>
        <v/>
      </c>
      <c r="AE305" s="99" t="str">
        <f aca="false">IF(ISBLANK($C305),"",AND(Z305&lt;&gt;"",IF(Y305=Constants!$B$19,S305,R305)))</f>
        <v/>
      </c>
      <c r="AF305" s="99" t="str">
        <f aca="false">IF(ISBLANK($C305),"",IF(AC305,Constants!$B$4,IF(COUNTA(E305:O305)=0,Constants!$B$5,IF(AND(NOT(AD305),NOT(AE305)),Constants!$B$6,Constants!$B$7))))</f>
        <v/>
      </c>
      <c r="AG305" s="99" t="str">
        <f aca="false">IF(ISBLANK($C305),"",IF($AF305&lt;&gt;Constants!$B$7,$AF305,Constants!$B$20))</f>
        <v/>
      </c>
      <c r="AH305" s="99" t="str">
        <f aca="false">IF($AF305=Constants!$B$7,IF(AD305,V305,Constants!$B$13),"")</f>
        <v/>
      </c>
      <c r="AI305" s="99" t="str">
        <f aca="false">IF($AF305=Constants!$B$7,IF(AD305,T305*IF(W305, 1, Constants!$B$11)*IF(X305, 1, Constants!$B$12),Constants!$B$13),"")</f>
        <v/>
      </c>
      <c r="AJ305" s="99" t="str">
        <f aca="false">IF($AF305=Constants!$B$7,AH305*AI305,"")</f>
        <v/>
      </c>
      <c r="AK305" s="99" t="str">
        <f aca="false">IF($AF305=Constants!$B$7,IF(AE305,Z305,Constants!$B$13),"")</f>
        <v/>
      </c>
      <c r="AL305" s="99" t="str">
        <f aca="false">IF($AF305=Constants!$B$7,IF(AE305,T305*IF(AA305, 1, Constants!$B$11)*IF(AB305, 1, Constants!$B$12),Constants!$B$13),"")</f>
        <v/>
      </c>
      <c r="AM305" s="99" t="str">
        <f aca="false">IF($AF305=Constants!$B$7,AK305*AL305,"")</f>
        <v/>
      </c>
      <c r="AN305" s="99" t="str">
        <f aca="false">IF($AF305=Constants!$B$7,IF(AM305&gt;AJ305,2,1),"")</f>
        <v/>
      </c>
      <c r="AO305" s="99" t="str">
        <f aca="false">IF($AF305=Constants!$B$7,IF(AN305=1,2,1),"")</f>
        <v/>
      </c>
      <c r="AP305" s="99" t="str">
        <f aca="false">IF(ISBLANK($C305),"",IF($AF305&lt;&gt;Constants!$B$7,$AF305,IF(AN305=1,AJ305,AM305)))</f>
        <v/>
      </c>
      <c r="AQ305" s="99" t="str">
        <f aca="false">IF(ISBLANK($C305),"",IF($AF305=Constants!$B$7,IF(ISNUMBER(AP305),RANK(AP305,$AP$8:$AP$507),Constants!$B$14),$AF305))</f>
        <v/>
      </c>
      <c r="AR305" s="99" t="str">
        <f aca="false">IF(ISBLANK($C305),"",IF($AF305=Constants!$B$7,IF(AO305=1,AJ305,AM305),""))</f>
        <v/>
      </c>
      <c r="AS305" s="99" t="str">
        <f aca="false">IF(ISBLANK($C305),"",IF($AF305=Constants!$B$7,RANK(AR305,$AR$8:$AR$507),$AF305))</f>
        <v/>
      </c>
      <c r="AT305" s="99" t="str">
        <f aca="false">IF(ISBLANK($C305),"",IF($AF305=Constants!$B$7,IF(ISNUMBER(AQ305),COUNTIFS($AQ$8:$AQ$507,"&lt;"&amp;$AQ305)+COUNTIFS($AQ$8:$AQ$507,$AQ305,$AS$8:$AS$507,"&lt;"&amp;$AS305)+1,Constants!$B$14),$AF305))</f>
        <v/>
      </c>
      <c r="AU305" s="99" t="str">
        <f aca="false">IF(ISBLANK($C305),"",IF($AF305=Constants!$B$7,IF(ISNUMBER(AQ305),AQ305-AT305,Constants!$B$14),$AF305))</f>
        <v/>
      </c>
      <c r="AV305" s="100"/>
      <c r="AW305" s="101" t="str">
        <f aca="false">IF(ISBLANK($C305),"",IF($AF305&lt;&gt;Constants!$B$7,"",AN305))</f>
        <v/>
      </c>
      <c r="AX305" s="102" t="str">
        <f aca="false">IF(ISBLANK($C305),"",IF($AF305&lt;&gt;Constants!$B$7,"",IF(AN305=1,AH305,AK305)))</f>
        <v/>
      </c>
      <c r="AY305" s="103" t="str">
        <f aca="false">IF(ISBLANK($C305),"",IF($AF305&lt;&gt;Constants!$B$7,"",IF(AN305=1,AI305,AL305)))</f>
        <v/>
      </c>
      <c r="AZ305" s="104" t="str">
        <f aca="false">IF(ISBLANK($C305),"",IF($AF305&lt;&gt;Constants!$B$7,$AF305,AP305))</f>
        <v/>
      </c>
      <c r="BA305" s="105" t="str">
        <f aca="false">IF(ISBLANK($C305),"",IF($AF305&lt;&gt;Constants!$B$7,$AF305,AG305))</f>
        <v/>
      </c>
      <c r="BB305" s="106" t="str">
        <f aca="false">IF(ISBLANK($C305),"",AU305)</f>
        <v/>
      </c>
      <c r="BC305" s="106" t="str">
        <f aca="false">IF(ISBLANK($C305),"",AT305)</f>
        <v/>
      </c>
      <c r="BD305" s="107" t="str">
        <f aca="false">IF(ISBLANK($C305),"",IFERROR(_xlfn.SWITCH(BC305,Constants!$B$4,COUNTA($C$8:$C$507)+2,Constants!$B$5,COUNTA($C$8:$C$507)+1,Constants!$B$6,COUNTA($C$8:$C$507)),BC305))</f>
        <v/>
      </c>
      <c r="BE305" s="5"/>
      <c r="BF305" s="108" t="n">
        <f aca="false">IF(OR(ISNUMBER(BC305),BC305=Constants!$B$4,BC305=Constants!$B$6,BC305=Constants!$B$5),1,0)</f>
        <v>0</v>
      </c>
      <c r="BG305" s="108" t="n">
        <v>298</v>
      </c>
      <c r="BH305" s="108" t="str">
        <f aca="false">IF(ISBLANK($C305),"",IF(ISNUMBER(BD305),BD305+ROW($B305)/1000,""))</f>
        <v/>
      </c>
      <c r="BI305" s="108" t="str">
        <f aca="false">IF(ISNUMBER(BH305),RANK(BH305,$BH$8:$BH$507,1),"")</f>
        <v/>
      </c>
      <c r="BJ305" s="108" t="str">
        <f aca="false">IF(ISBLANK($C305),"",$B305)</f>
        <v/>
      </c>
      <c r="BK305" s="108" t="str">
        <f aca="false">IF(ISBLANK($C305),"",$C305)</f>
        <v/>
      </c>
      <c r="BL305" s="108" t="str">
        <f aca="false">IF(ISBLANK($C305),"",$D305)</f>
        <v/>
      </c>
      <c r="BM305" s="109" t="str">
        <f aca="false">BA305</f>
        <v/>
      </c>
      <c r="BN305" s="110" t="str">
        <f aca="false">AZ305</f>
        <v/>
      </c>
      <c r="BO305" s="108" t="str">
        <f aca="false">IF(ISBLANK($C305),"",BC305)</f>
        <v/>
      </c>
      <c r="BP305" s="111" t="str">
        <f aca="false">IF($BG305&gt;$BF$7,"",VLOOKUP($BG305,$BI$8:$BO$507,7,FALSE()))</f>
        <v/>
      </c>
      <c r="BQ305" s="112" t="str">
        <f aca="false">IF($BG305&gt;$BF$7,"",VLOOKUP($BG305,$BI$8:$BO$507,2,FALSE()))</f>
        <v/>
      </c>
      <c r="BR305" s="112" t="str">
        <f aca="false">IF($BG305&gt;$BF$7,"",VLOOKUP($BG305,$BI$8:$BO$507,3,FALSE()))</f>
        <v/>
      </c>
      <c r="BS305" s="112" t="str">
        <f aca="false">IF($BG305&gt;$BF$7,"",VLOOKUP($BG305,$BI$8:$BO$507,4,FALSE()))</f>
        <v/>
      </c>
      <c r="BT305" s="112" t="str">
        <f aca="false">IF($BG305&gt;$BF$7,"",VLOOKUP($BG305,$BI$8:$BO$507,5,FALSE()))</f>
        <v/>
      </c>
      <c r="BU305" s="113" t="str">
        <f aca="false">IF($BG305&gt;$BF$7,"",VLOOKUP($BG305,$BI$8:$BO$507,6,FALSE()))</f>
        <v/>
      </c>
      <c r="BV305" s="54"/>
    </row>
    <row r="306" customFormat="false" ht="15.75" hidden="false" customHeight="false" outlineLevel="0" collapsed="false">
      <c r="A306" s="5"/>
      <c r="B306" s="128"/>
      <c r="C306" s="129"/>
      <c r="D306" s="114"/>
      <c r="E306" s="134"/>
      <c r="F306" s="139"/>
      <c r="G306" s="93"/>
      <c r="H306" s="140"/>
      <c r="I306" s="95"/>
      <c r="J306" s="95"/>
      <c r="K306" s="93"/>
      <c r="L306" s="141"/>
      <c r="M306" s="95"/>
      <c r="N306" s="95"/>
      <c r="O306" s="93"/>
      <c r="P306" s="134"/>
      <c r="Q306" s="98"/>
      <c r="R306" s="99" t="str">
        <f aca="false">IF(ISBLANK($C306),"",IF(E306=Constants!$B$2, TRUE(), IF(E306=Constants!$B$3, FALSE(), TRUE())))</f>
        <v/>
      </c>
      <c r="S306" s="99" t="str">
        <f aca="false">IF(ISBLANK($C306),"",IF(F306=Constants!$B$2, TRUE(), IF(F306=Constants!$B$3, FALSE(), TRUE())))</f>
        <v/>
      </c>
      <c r="T306" s="99" t="str">
        <f aca="false">IF(ISBLANK($C306),"",IF(G306=Constants!$B$16,Constants!$B$9,IF(G306=Constants!$B$17,Constants!$B$10,Constants!$B$8)))</f>
        <v/>
      </c>
      <c r="U306" s="99" t="str">
        <f aca="false">IF(ISBLANK($C306),"",IF(H306=Constants!$B$19,Constants!$B$19,Constants!$B$18))</f>
        <v/>
      </c>
      <c r="V306" s="99" t="str">
        <f aca="false">IF(ISBLANK($C306),"",IF(ISNUMBER(I306),IF(I306&gt;=0,I306,""),""))</f>
        <v/>
      </c>
      <c r="W306" s="99" t="str">
        <f aca="false">IF(ISBLANK($C306),"",IF(J306=Constants!$B$2, TRUE(), IF(J306=Constants!$B$3, FALSE(), TRUE())))</f>
        <v/>
      </c>
      <c r="X306" s="99" t="str">
        <f aca="false">IF(ISBLANK($C306),"",IF(K306=Constants!$B$2, TRUE(), IF(K306=Constants!$B$3, FALSE(), TRUE())))</f>
        <v/>
      </c>
      <c r="Y306" s="99" t="str">
        <f aca="false">IF(ISBLANK($C306),"",IF(L306=Constants!$B$19,Constants!$B$19,Constants!$B$18))</f>
        <v/>
      </c>
      <c r="Z306" s="99" t="str">
        <f aca="false">IF(ISBLANK($C306),"",IF(ISNUMBER(M306),IF(M306&gt;=0,M306,""),""))</f>
        <v/>
      </c>
      <c r="AA306" s="99" t="str">
        <f aca="false">IF(ISBLANK($C306),"",IF(N306=Constants!$B$2, TRUE(), IF(N306=Constants!$B$3, FALSE(), TRUE())))</f>
        <v/>
      </c>
      <c r="AB306" s="99" t="str">
        <f aca="false">IF(ISBLANK($C306),"",IF(O306=Constants!$B$2, TRUE(), IF(O306=Constants!$B$3, FALSE(), TRUE())))</f>
        <v/>
      </c>
      <c r="AC306" s="99" t="str">
        <f aca="false">IF(ISBLANK($C306),"",IF(P306=Constants!$B$2, TRUE(), IF(P306=Constants!$B$3, FALSE(), FALSE())))</f>
        <v/>
      </c>
      <c r="AD306" s="99" t="str">
        <f aca="false">IF(ISBLANK($C306),"",AND(V306&lt;&gt;"",IF(U306=Constants!$B$19,S306,R306)))</f>
        <v/>
      </c>
      <c r="AE306" s="99" t="str">
        <f aca="false">IF(ISBLANK($C306),"",AND(Z306&lt;&gt;"",IF(Y306=Constants!$B$19,S306,R306)))</f>
        <v/>
      </c>
      <c r="AF306" s="99" t="str">
        <f aca="false">IF(ISBLANK($C306),"",IF(AC306,Constants!$B$4,IF(COUNTA(E306:O306)=0,Constants!$B$5,IF(AND(NOT(AD306),NOT(AE306)),Constants!$B$6,Constants!$B$7))))</f>
        <v/>
      </c>
      <c r="AG306" s="99" t="str">
        <f aca="false">IF(ISBLANK($C306),"",IF($AF306&lt;&gt;Constants!$B$7,$AF306,Constants!$B$20))</f>
        <v/>
      </c>
      <c r="AH306" s="99" t="str">
        <f aca="false">IF($AF306=Constants!$B$7,IF(AD306,V306,Constants!$B$13),"")</f>
        <v/>
      </c>
      <c r="AI306" s="99" t="str">
        <f aca="false">IF($AF306=Constants!$B$7,IF(AD306,T306*IF(W306, 1, Constants!$B$11)*IF(X306, 1, Constants!$B$12),Constants!$B$13),"")</f>
        <v/>
      </c>
      <c r="AJ306" s="99" t="str">
        <f aca="false">IF($AF306=Constants!$B$7,AH306*AI306,"")</f>
        <v/>
      </c>
      <c r="AK306" s="99" t="str">
        <f aca="false">IF($AF306=Constants!$B$7,IF(AE306,Z306,Constants!$B$13),"")</f>
        <v/>
      </c>
      <c r="AL306" s="99" t="str">
        <f aca="false">IF($AF306=Constants!$B$7,IF(AE306,T306*IF(AA306, 1, Constants!$B$11)*IF(AB306, 1, Constants!$B$12),Constants!$B$13),"")</f>
        <v/>
      </c>
      <c r="AM306" s="99" t="str">
        <f aca="false">IF($AF306=Constants!$B$7,AK306*AL306,"")</f>
        <v/>
      </c>
      <c r="AN306" s="99" t="str">
        <f aca="false">IF($AF306=Constants!$B$7,IF(AM306&gt;AJ306,2,1),"")</f>
        <v/>
      </c>
      <c r="AO306" s="99" t="str">
        <f aca="false">IF($AF306=Constants!$B$7,IF(AN306=1,2,1),"")</f>
        <v/>
      </c>
      <c r="AP306" s="99" t="str">
        <f aca="false">IF(ISBLANK($C306),"",IF($AF306&lt;&gt;Constants!$B$7,$AF306,IF(AN306=1,AJ306,AM306)))</f>
        <v/>
      </c>
      <c r="AQ306" s="99" t="str">
        <f aca="false">IF(ISBLANK($C306),"",IF($AF306=Constants!$B$7,IF(ISNUMBER(AP306),RANK(AP306,$AP$8:$AP$507),Constants!$B$14),$AF306))</f>
        <v/>
      </c>
      <c r="AR306" s="99" t="str">
        <f aca="false">IF(ISBLANK($C306),"",IF($AF306=Constants!$B$7,IF(AO306=1,AJ306,AM306),""))</f>
        <v/>
      </c>
      <c r="AS306" s="99" t="str">
        <f aca="false">IF(ISBLANK($C306),"",IF($AF306=Constants!$B$7,RANK(AR306,$AR$8:$AR$507),$AF306))</f>
        <v/>
      </c>
      <c r="AT306" s="99" t="str">
        <f aca="false">IF(ISBLANK($C306),"",IF($AF306=Constants!$B$7,IF(ISNUMBER(AQ306),COUNTIFS($AQ$8:$AQ$507,"&lt;"&amp;$AQ306)+COUNTIFS($AQ$8:$AQ$507,$AQ306,$AS$8:$AS$507,"&lt;"&amp;$AS306)+1,Constants!$B$14),$AF306))</f>
        <v/>
      </c>
      <c r="AU306" s="99" t="str">
        <f aca="false">IF(ISBLANK($C306),"",IF($AF306=Constants!$B$7,IF(ISNUMBER(AQ306),AQ306-AT306,Constants!$B$14),$AF306))</f>
        <v/>
      </c>
      <c r="AV306" s="100"/>
      <c r="AW306" s="101" t="str">
        <f aca="false">IF(ISBLANK($C306),"",IF($AF306&lt;&gt;Constants!$B$7,"",AN306))</f>
        <v/>
      </c>
      <c r="AX306" s="102" t="str">
        <f aca="false">IF(ISBLANK($C306),"",IF($AF306&lt;&gt;Constants!$B$7,"",IF(AN306=1,AH306,AK306)))</f>
        <v/>
      </c>
      <c r="AY306" s="103" t="str">
        <f aca="false">IF(ISBLANK($C306),"",IF($AF306&lt;&gt;Constants!$B$7,"",IF(AN306=1,AI306,AL306)))</f>
        <v/>
      </c>
      <c r="AZ306" s="104" t="str">
        <f aca="false">IF(ISBLANK($C306),"",IF($AF306&lt;&gt;Constants!$B$7,$AF306,AP306))</f>
        <v/>
      </c>
      <c r="BA306" s="105" t="str">
        <f aca="false">IF(ISBLANK($C306),"",IF($AF306&lt;&gt;Constants!$B$7,$AF306,AG306))</f>
        <v/>
      </c>
      <c r="BB306" s="106" t="str">
        <f aca="false">IF(ISBLANK($C306),"",AU306)</f>
        <v/>
      </c>
      <c r="BC306" s="106" t="str">
        <f aca="false">IF(ISBLANK($C306),"",AT306)</f>
        <v/>
      </c>
      <c r="BD306" s="107" t="str">
        <f aca="false">IF(ISBLANK($C306),"",IFERROR(_xlfn.SWITCH(BC306,Constants!$B$4,COUNTA($C$8:$C$507)+2,Constants!$B$5,COUNTA($C$8:$C$507)+1,Constants!$B$6,COUNTA($C$8:$C$507)),BC306))</f>
        <v/>
      </c>
      <c r="BE306" s="5"/>
      <c r="BF306" s="108" t="n">
        <f aca="false">IF(OR(ISNUMBER(BC306),BC306=Constants!$B$4,BC306=Constants!$B$6,BC306=Constants!$B$5),1,0)</f>
        <v>0</v>
      </c>
      <c r="BG306" s="108" t="n">
        <v>299</v>
      </c>
      <c r="BH306" s="108" t="str">
        <f aca="false">IF(ISBLANK($C306),"",IF(ISNUMBER(BD306),BD306+ROW($B306)/1000,""))</f>
        <v/>
      </c>
      <c r="BI306" s="108" t="str">
        <f aca="false">IF(ISNUMBER(BH306),RANK(BH306,$BH$8:$BH$507,1),"")</f>
        <v/>
      </c>
      <c r="BJ306" s="108" t="str">
        <f aca="false">IF(ISBLANK($C306),"",$B306)</f>
        <v/>
      </c>
      <c r="BK306" s="108" t="str">
        <f aca="false">IF(ISBLANK($C306),"",$C306)</f>
        <v/>
      </c>
      <c r="BL306" s="108" t="str">
        <f aca="false">IF(ISBLANK($C306),"",$D306)</f>
        <v/>
      </c>
      <c r="BM306" s="109" t="str">
        <f aca="false">BA306</f>
        <v/>
      </c>
      <c r="BN306" s="110" t="str">
        <f aca="false">AZ306</f>
        <v/>
      </c>
      <c r="BO306" s="108" t="str">
        <f aca="false">IF(ISBLANK($C306),"",BC306)</f>
        <v/>
      </c>
      <c r="BP306" s="111" t="str">
        <f aca="false">IF($BG306&gt;$BF$7,"",VLOOKUP($BG306,$BI$8:$BO$507,7,FALSE()))</f>
        <v/>
      </c>
      <c r="BQ306" s="112" t="str">
        <f aca="false">IF($BG306&gt;$BF$7,"",VLOOKUP($BG306,$BI$8:$BO$507,2,FALSE()))</f>
        <v/>
      </c>
      <c r="BR306" s="112" t="str">
        <f aca="false">IF($BG306&gt;$BF$7,"",VLOOKUP($BG306,$BI$8:$BO$507,3,FALSE()))</f>
        <v/>
      </c>
      <c r="BS306" s="112" t="str">
        <f aca="false">IF($BG306&gt;$BF$7,"",VLOOKUP($BG306,$BI$8:$BO$507,4,FALSE()))</f>
        <v/>
      </c>
      <c r="BT306" s="112" t="str">
        <f aca="false">IF($BG306&gt;$BF$7,"",VLOOKUP($BG306,$BI$8:$BO$507,5,FALSE()))</f>
        <v/>
      </c>
      <c r="BU306" s="113" t="str">
        <f aca="false">IF($BG306&gt;$BF$7,"",VLOOKUP($BG306,$BI$8:$BO$507,6,FALSE()))</f>
        <v/>
      </c>
      <c r="BV306" s="54"/>
    </row>
    <row r="307" customFormat="false" ht="15.75" hidden="false" customHeight="false" outlineLevel="0" collapsed="false">
      <c r="A307" s="5"/>
      <c r="B307" s="128"/>
      <c r="C307" s="129"/>
      <c r="D307" s="114"/>
      <c r="E307" s="134"/>
      <c r="F307" s="139"/>
      <c r="G307" s="93"/>
      <c r="H307" s="140"/>
      <c r="I307" s="95"/>
      <c r="J307" s="95"/>
      <c r="K307" s="93"/>
      <c r="L307" s="141"/>
      <c r="M307" s="95"/>
      <c r="N307" s="95"/>
      <c r="O307" s="93"/>
      <c r="P307" s="134"/>
      <c r="Q307" s="98"/>
      <c r="R307" s="99" t="str">
        <f aca="false">IF(ISBLANK($C307),"",IF(E307=Constants!$B$2, TRUE(), IF(E307=Constants!$B$3, FALSE(), TRUE())))</f>
        <v/>
      </c>
      <c r="S307" s="99" t="str">
        <f aca="false">IF(ISBLANK($C307),"",IF(F307=Constants!$B$2, TRUE(), IF(F307=Constants!$B$3, FALSE(), TRUE())))</f>
        <v/>
      </c>
      <c r="T307" s="99" t="str">
        <f aca="false">IF(ISBLANK($C307),"",IF(G307=Constants!$B$16,Constants!$B$9,IF(G307=Constants!$B$17,Constants!$B$10,Constants!$B$8)))</f>
        <v/>
      </c>
      <c r="U307" s="99" t="str">
        <f aca="false">IF(ISBLANK($C307),"",IF(H307=Constants!$B$19,Constants!$B$19,Constants!$B$18))</f>
        <v/>
      </c>
      <c r="V307" s="99" t="str">
        <f aca="false">IF(ISBLANK($C307),"",IF(ISNUMBER(I307),IF(I307&gt;=0,I307,""),""))</f>
        <v/>
      </c>
      <c r="W307" s="99" t="str">
        <f aca="false">IF(ISBLANK($C307),"",IF(J307=Constants!$B$2, TRUE(), IF(J307=Constants!$B$3, FALSE(), TRUE())))</f>
        <v/>
      </c>
      <c r="X307" s="99" t="str">
        <f aca="false">IF(ISBLANK($C307),"",IF(K307=Constants!$B$2, TRUE(), IF(K307=Constants!$B$3, FALSE(), TRUE())))</f>
        <v/>
      </c>
      <c r="Y307" s="99" t="str">
        <f aca="false">IF(ISBLANK($C307),"",IF(L307=Constants!$B$19,Constants!$B$19,Constants!$B$18))</f>
        <v/>
      </c>
      <c r="Z307" s="99" t="str">
        <f aca="false">IF(ISBLANK($C307),"",IF(ISNUMBER(M307),IF(M307&gt;=0,M307,""),""))</f>
        <v/>
      </c>
      <c r="AA307" s="99" t="str">
        <f aca="false">IF(ISBLANK($C307),"",IF(N307=Constants!$B$2, TRUE(), IF(N307=Constants!$B$3, FALSE(), TRUE())))</f>
        <v/>
      </c>
      <c r="AB307" s="99" t="str">
        <f aca="false">IF(ISBLANK($C307),"",IF(O307=Constants!$B$2, TRUE(), IF(O307=Constants!$B$3, FALSE(), TRUE())))</f>
        <v/>
      </c>
      <c r="AC307" s="99" t="str">
        <f aca="false">IF(ISBLANK($C307),"",IF(P307=Constants!$B$2, TRUE(), IF(P307=Constants!$B$3, FALSE(), FALSE())))</f>
        <v/>
      </c>
      <c r="AD307" s="99" t="str">
        <f aca="false">IF(ISBLANK($C307),"",AND(V307&lt;&gt;"",IF(U307=Constants!$B$19,S307,R307)))</f>
        <v/>
      </c>
      <c r="AE307" s="99" t="str">
        <f aca="false">IF(ISBLANK($C307),"",AND(Z307&lt;&gt;"",IF(Y307=Constants!$B$19,S307,R307)))</f>
        <v/>
      </c>
      <c r="AF307" s="99" t="str">
        <f aca="false">IF(ISBLANK($C307),"",IF(AC307,Constants!$B$4,IF(COUNTA(E307:O307)=0,Constants!$B$5,IF(AND(NOT(AD307),NOT(AE307)),Constants!$B$6,Constants!$B$7))))</f>
        <v/>
      </c>
      <c r="AG307" s="99" t="str">
        <f aca="false">IF(ISBLANK($C307),"",IF($AF307&lt;&gt;Constants!$B$7,$AF307,Constants!$B$20))</f>
        <v/>
      </c>
      <c r="AH307" s="99" t="str">
        <f aca="false">IF($AF307=Constants!$B$7,IF(AD307,V307,Constants!$B$13),"")</f>
        <v/>
      </c>
      <c r="AI307" s="99" t="str">
        <f aca="false">IF($AF307=Constants!$B$7,IF(AD307,T307*IF(W307, 1, Constants!$B$11)*IF(X307, 1, Constants!$B$12),Constants!$B$13),"")</f>
        <v/>
      </c>
      <c r="AJ307" s="99" t="str">
        <f aca="false">IF($AF307=Constants!$B$7,AH307*AI307,"")</f>
        <v/>
      </c>
      <c r="AK307" s="99" t="str">
        <f aca="false">IF($AF307=Constants!$B$7,IF(AE307,Z307,Constants!$B$13),"")</f>
        <v/>
      </c>
      <c r="AL307" s="99" t="str">
        <f aca="false">IF($AF307=Constants!$B$7,IF(AE307,T307*IF(AA307, 1, Constants!$B$11)*IF(AB307, 1, Constants!$B$12),Constants!$B$13),"")</f>
        <v/>
      </c>
      <c r="AM307" s="99" t="str">
        <f aca="false">IF($AF307=Constants!$B$7,AK307*AL307,"")</f>
        <v/>
      </c>
      <c r="AN307" s="99" t="str">
        <f aca="false">IF($AF307=Constants!$B$7,IF(AM307&gt;AJ307,2,1),"")</f>
        <v/>
      </c>
      <c r="AO307" s="99" t="str">
        <f aca="false">IF($AF307=Constants!$B$7,IF(AN307=1,2,1),"")</f>
        <v/>
      </c>
      <c r="AP307" s="99" t="str">
        <f aca="false">IF(ISBLANK($C307),"",IF($AF307&lt;&gt;Constants!$B$7,$AF307,IF(AN307=1,AJ307,AM307)))</f>
        <v/>
      </c>
      <c r="AQ307" s="99" t="str">
        <f aca="false">IF(ISBLANK($C307),"",IF($AF307=Constants!$B$7,IF(ISNUMBER(AP307),RANK(AP307,$AP$8:$AP$507),Constants!$B$14),$AF307))</f>
        <v/>
      </c>
      <c r="AR307" s="99" t="str">
        <f aca="false">IF(ISBLANK($C307),"",IF($AF307=Constants!$B$7,IF(AO307=1,AJ307,AM307),""))</f>
        <v/>
      </c>
      <c r="AS307" s="99" t="str">
        <f aca="false">IF(ISBLANK($C307),"",IF($AF307=Constants!$B$7,RANK(AR307,$AR$8:$AR$507),$AF307))</f>
        <v/>
      </c>
      <c r="AT307" s="99" t="str">
        <f aca="false">IF(ISBLANK($C307),"",IF($AF307=Constants!$B$7,IF(ISNUMBER(AQ307),COUNTIFS($AQ$8:$AQ$507,"&lt;"&amp;$AQ307)+COUNTIFS($AQ$8:$AQ$507,$AQ307,$AS$8:$AS$507,"&lt;"&amp;$AS307)+1,Constants!$B$14),$AF307))</f>
        <v/>
      </c>
      <c r="AU307" s="99" t="str">
        <f aca="false">IF(ISBLANK($C307),"",IF($AF307=Constants!$B$7,IF(ISNUMBER(AQ307),AQ307-AT307,Constants!$B$14),$AF307))</f>
        <v/>
      </c>
      <c r="AV307" s="100"/>
      <c r="AW307" s="101" t="str">
        <f aca="false">IF(ISBLANK($C307),"",IF($AF307&lt;&gt;Constants!$B$7,"",AN307))</f>
        <v/>
      </c>
      <c r="AX307" s="102" t="str">
        <f aca="false">IF(ISBLANK($C307),"",IF($AF307&lt;&gt;Constants!$B$7,"",IF(AN307=1,AH307,AK307)))</f>
        <v/>
      </c>
      <c r="AY307" s="103" t="str">
        <f aca="false">IF(ISBLANK($C307),"",IF($AF307&lt;&gt;Constants!$B$7,"",IF(AN307=1,AI307,AL307)))</f>
        <v/>
      </c>
      <c r="AZ307" s="104" t="str">
        <f aca="false">IF(ISBLANK($C307),"",IF($AF307&lt;&gt;Constants!$B$7,$AF307,AP307))</f>
        <v/>
      </c>
      <c r="BA307" s="105" t="str">
        <f aca="false">IF(ISBLANK($C307),"",IF($AF307&lt;&gt;Constants!$B$7,$AF307,AG307))</f>
        <v/>
      </c>
      <c r="BB307" s="106" t="str">
        <f aca="false">IF(ISBLANK($C307),"",AU307)</f>
        <v/>
      </c>
      <c r="BC307" s="106" t="str">
        <f aca="false">IF(ISBLANK($C307),"",AT307)</f>
        <v/>
      </c>
      <c r="BD307" s="107" t="str">
        <f aca="false">IF(ISBLANK($C307),"",IFERROR(_xlfn.SWITCH(BC307,Constants!$B$4,COUNTA($C$8:$C$507)+2,Constants!$B$5,COUNTA($C$8:$C$507)+1,Constants!$B$6,COUNTA($C$8:$C$507)),BC307))</f>
        <v/>
      </c>
      <c r="BE307" s="5"/>
      <c r="BF307" s="108" t="n">
        <f aca="false">IF(OR(ISNUMBER(BC307),BC307=Constants!$B$4,BC307=Constants!$B$6,BC307=Constants!$B$5),1,0)</f>
        <v>0</v>
      </c>
      <c r="BG307" s="108" t="n">
        <v>300</v>
      </c>
      <c r="BH307" s="108" t="str">
        <f aca="false">IF(ISBLANK($C307),"",IF(ISNUMBER(BD307),BD307+ROW($B307)/1000,""))</f>
        <v/>
      </c>
      <c r="BI307" s="108" t="str">
        <f aca="false">IF(ISNUMBER(BH307),RANK(BH307,$BH$8:$BH$507,1),"")</f>
        <v/>
      </c>
      <c r="BJ307" s="108" t="str">
        <f aca="false">IF(ISBLANK($C307),"",$B307)</f>
        <v/>
      </c>
      <c r="BK307" s="108" t="str">
        <f aca="false">IF(ISBLANK($C307),"",$C307)</f>
        <v/>
      </c>
      <c r="BL307" s="108" t="str">
        <f aca="false">IF(ISBLANK($C307),"",$D307)</f>
        <v/>
      </c>
      <c r="BM307" s="109" t="str">
        <f aca="false">BA307</f>
        <v/>
      </c>
      <c r="BN307" s="110" t="str">
        <f aca="false">AZ307</f>
        <v/>
      </c>
      <c r="BO307" s="108" t="str">
        <f aca="false">IF(ISBLANK($C307),"",BC307)</f>
        <v/>
      </c>
      <c r="BP307" s="111" t="str">
        <f aca="false">IF($BG307&gt;$BF$7,"",VLOOKUP($BG307,$BI$8:$BO$507,7,FALSE()))</f>
        <v/>
      </c>
      <c r="BQ307" s="112" t="str">
        <f aca="false">IF($BG307&gt;$BF$7,"",VLOOKUP($BG307,$BI$8:$BO$507,2,FALSE()))</f>
        <v/>
      </c>
      <c r="BR307" s="112" t="str">
        <f aca="false">IF($BG307&gt;$BF$7,"",VLOOKUP($BG307,$BI$8:$BO$507,3,FALSE()))</f>
        <v/>
      </c>
      <c r="BS307" s="112" t="str">
        <f aca="false">IF($BG307&gt;$BF$7,"",VLOOKUP($BG307,$BI$8:$BO$507,4,FALSE()))</f>
        <v/>
      </c>
      <c r="BT307" s="112" t="str">
        <f aca="false">IF($BG307&gt;$BF$7,"",VLOOKUP($BG307,$BI$8:$BO$507,5,FALSE()))</f>
        <v/>
      </c>
      <c r="BU307" s="113" t="str">
        <f aca="false">IF($BG307&gt;$BF$7,"",VLOOKUP($BG307,$BI$8:$BO$507,6,FALSE()))</f>
        <v/>
      </c>
      <c r="BV307" s="54"/>
    </row>
    <row r="308" customFormat="false" ht="15.75" hidden="false" customHeight="false" outlineLevel="0" collapsed="false">
      <c r="A308" s="5"/>
      <c r="B308" s="135"/>
      <c r="C308" s="56"/>
      <c r="D308" s="57"/>
      <c r="E308" s="84"/>
      <c r="F308" s="136"/>
      <c r="G308" s="60"/>
      <c r="H308" s="137"/>
      <c r="I308" s="62"/>
      <c r="J308" s="62"/>
      <c r="K308" s="60"/>
      <c r="L308" s="138"/>
      <c r="M308" s="62"/>
      <c r="N308" s="62"/>
      <c r="O308" s="60"/>
      <c r="P308" s="84"/>
      <c r="Q308" s="65"/>
      <c r="R308" s="67" t="str">
        <f aca="false">IF(ISBLANK($C308),"",IF(E308=Constants!$B$2, TRUE(), IF(E308=Constants!$B$3, FALSE(), TRUE())))</f>
        <v/>
      </c>
      <c r="S308" s="67" t="str">
        <f aca="false">IF(ISBLANK($C308),"",IF(F308=Constants!$B$2, TRUE(), IF(F308=Constants!$B$3, FALSE(), TRUE())))</f>
        <v/>
      </c>
      <c r="T308" s="67" t="str">
        <f aca="false">IF(ISBLANK($C308),"",IF(G308=Constants!$B$16,Constants!$B$9,IF(G308=Constants!$B$17,Constants!$B$10,Constants!$B$8)))</f>
        <v/>
      </c>
      <c r="U308" s="67" t="str">
        <f aca="false">IF(ISBLANK($C308),"",IF(H308=Constants!$B$19,Constants!$B$19,Constants!$B$18))</f>
        <v/>
      </c>
      <c r="V308" s="67" t="str">
        <f aca="false">IF(ISBLANK($C308),"",IF(ISNUMBER(I308),IF(I308&gt;=0,I308,""),""))</f>
        <v/>
      </c>
      <c r="W308" s="67" t="str">
        <f aca="false">IF(ISBLANK($C308),"",IF(J308=Constants!$B$2, TRUE(), IF(J308=Constants!$B$3, FALSE(), TRUE())))</f>
        <v/>
      </c>
      <c r="X308" s="67" t="str">
        <f aca="false">IF(ISBLANK($C308),"",IF(K308=Constants!$B$2, TRUE(), IF(K308=Constants!$B$3, FALSE(), TRUE())))</f>
        <v/>
      </c>
      <c r="Y308" s="67" t="str">
        <f aca="false">IF(ISBLANK($C308),"",IF(L308=Constants!$B$19,Constants!$B$19,Constants!$B$18))</f>
        <v/>
      </c>
      <c r="Z308" s="67" t="str">
        <f aca="false">IF(ISBLANK($C308),"",IF(ISNUMBER(M308),IF(M308&gt;=0,M308,""),""))</f>
        <v/>
      </c>
      <c r="AA308" s="67" t="str">
        <f aca="false">IF(ISBLANK($C308),"",IF(N308=Constants!$B$2, TRUE(), IF(N308=Constants!$B$3, FALSE(), TRUE())))</f>
        <v/>
      </c>
      <c r="AB308" s="67" t="str">
        <f aca="false">IF(ISBLANK($C308),"",IF(O308=Constants!$B$2, TRUE(), IF(O308=Constants!$B$3, FALSE(), TRUE())))</f>
        <v/>
      </c>
      <c r="AC308" s="67" t="str">
        <f aca="false">IF(ISBLANK($C308),"",IF(P308=Constants!$B$2, TRUE(), IF(P308=Constants!$B$3, FALSE(), FALSE())))</f>
        <v/>
      </c>
      <c r="AD308" s="67" t="str">
        <f aca="false">IF(ISBLANK($C308),"",AND(V308&lt;&gt;"",IF(U308=Constants!$B$19,S308,R308)))</f>
        <v/>
      </c>
      <c r="AE308" s="67" t="str">
        <f aca="false">IF(ISBLANK($C308),"",AND(Z308&lt;&gt;"",IF(Y308=Constants!$B$19,S308,R308)))</f>
        <v/>
      </c>
      <c r="AF308" s="67" t="str">
        <f aca="false">IF(ISBLANK($C308),"",IF(AC308,Constants!$B$4,IF(COUNTA(E308:O308)=0,Constants!$B$5,IF(AND(NOT(AD308),NOT(AE308)),Constants!$B$6,Constants!$B$7))))</f>
        <v/>
      </c>
      <c r="AG308" s="67" t="str">
        <f aca="false">IF(ISBLANK($C308),"",IF($AF308&lt;&gt;Constants!$B$7,$AF308,Constants!$B$20))</f>
        <v/>
      </c>
      <c r="AH308" s="67" t="str">
        <f aca="false">IF($AF308=Constants!$B$7,IF(AD308,V308,Constants!$B$13),"")</f>
        <v/>
      </c>
      <c r="AI308" s="67" t="str">
        <f aca="false">IF($AF308=Constants!$B$7,IF(AD308,T308*IF(W308, 1, Constants!$B$11)*IF(X308, 1, Constants!$B$12),Constants!$B$13),"")</f>
        <v/>
      </c>
      <c r="AJ308" s="67" t="str">
        <f aca="false">IF($AF308=Constants!$B$7,AH308*AI308,"")</f>
        <v/>
      </c>
      <c r="AK308" s="67" t="str">
        <f aca="false">IF($AF308=Constants!$B$7,IF(AE308,Z308,Constants!$B$13),"")</f>
        <v/>
      </c>
      <c r="AL308" s="67" t="str">
        <f aca="false">IF($AF308=Constants!$B$7,IF(AE308,T308*IF(AA308, 1, Constants!$B$11)*IF(AB308, 1, Constants!$B$12),Constants!$B$13),"")</f>
        <v/>
      </c>
      <c r="AM308" s="67" t="str">
        <f aca="false">IF($AF308=Constants!$B$7,AK308*AL308,"")</f>
        <v/>
      </c>
      <c r="AN308" s="67" t="str">
        <f aca="false">IF($AF308=Constants!$B$7,IF(AM308&gt;AJ308,2,1),"")</f>
        <v/>
      </c>
      <c r="AO308" s="67" t="str">
        <f aca="false">IF($AF308=Constants!$B$7,IF(AN308=1,2,1),"")</f>
        <v/>
      </c>
      <c r="AP308" s="67" t="str">
        <f aca="false">IF(ISBLANK($C308),"",IF($AF308&lt;&gt;Constants!$B$7,$AF308,IF(AN308=1,AJ308,AM308)))</f>
        <v/>
      </c>
      <c r="AQ308" s="67" t="str">
        <f aca="false">IF(ISBLANK($C308),"",IF($AF308=Constants!$B$7,IF(ISNUMBER(AP308),RANK(AP308,$AP$8:$AP$507),Constants!$B$14),$AF308))</f>
        <v/>
      </c>
      <c r="AR308" s="67" t="str">
        <f aca="false">IF(ISBLANK($C308),"",IF($AF308=Constants!$B$7,IF(AO308=1,AJ308,AM308),""))</f>
        <v/>
      </c>
      <c r="AS308" s="67" t="str">
        <f aca="false">IF(ISBLANK($C308),"",IF($AF308=Constants!$B$7,RANK(AR308,$AR$8:$AR$507),$AF308))</f>
        <v/>
      </c>
      <c r="AT308" s="67" t="str">
        <f aca="false">IF(ISBLANK($C308),"",IF($AF308=Constants!$B$7,IF(ISNUMBER(AQ308),COUNTIFS($AQ$8:$AQ$507,"&lt;"&amp;$AQ308)+COUNTIFS($AQ$8:$AQ$507,$AQ308,$AS$8:$AS$507,"&lt;"&amp;$AS308)+1,Constants!$B$14),$AF308))</f>
        <v/>
      </c>
      <c r="AU308" s="67" t="str">
        <f aca="false">IF(ISBLANK($C308),"",IF($AF308=Constants!$B$7,IF(ISNUMBER(AQ308),AQ308-AT308,Constants!$B$14),$AF308))</f>
        <v/>
      </c>
      <c r="AV308" s="69"/>
      <c r="AW308" s="70" t="str">
        <f aca="false">IF(ISBLANK($C308),"",IF($AF308&lt;&gt;Constants!$B$7,"",AN308))</f>
        <v/>
      </c>
      <c r="AX308" s="85" t="str">
        <f aca="false">IF(ISBLANK($C308),"",IF($AF308&lt;&gt;Constants!$B$7,"",IF(AN308=1,AH308,AK308)))</f>
        <v/>
      </c>
      <c r="AY308" s="72" t="str">
        <f aca="false">IF(ISBLANK($C308),"",IF($AF308&lt;&gt;Constants!$B$7,"",IF(AN308=1,AI308,AL308)))</f>
        <v/>
      </c>
      <c r="AZ308" s="73" t="str">
        <f aca="false">IF(ISBLANK($C308),"",IF($AF308&lt;&gt;Constants!$B$7,$AF308,AP308))</f>
        <v/>
      </c>
      <c r="BA308" s="74" t="str">
        <f aca="false">IF(ISBLANK($C308),"",IF($AF308&lt;&gt;Constants!$B$7,$AF308,AG308))</f>
        <v/>
      </c>
      <c r="BB308" s="75" t="str">
        <f aca="false">IF(ISBLANK($C308),"",AU308)</f>
        <v/>
      </c>
      <c r="BC308" s="75" t="str">
        <f aca="false">IF(ISBLANK($C308),"",AT308)</f>
        <v/>
      </c>
      <c r="BD308" s="76" t="str">
        <f aca="false">IF(ISBLANK($C308),"",IFERROR(_xlfn.SWITCH(BC308,Constants!$B$4,COUNTA($C$8:$C$507)+2,Constants!$B$5,COUNTA($C$8:$C$507)+1,Constants!$B$6,COUNTA($C$8:$C$507)),BC308))</f>
        <v/>
      </c>
      <c r="BE308" s="5"/>
      <c r="BF308" s="77" t="n">
        <f aca="false">IF(OR(ISNUMBER(BC308),BC308=Constants!$B$4,BC308=Constants!$B$6,BC308=Constants!$B$5),1,0)</f>
        <v>0</v>
      </c>
      <c r="BG308" s="77" t="n">
        <v>301</v>
      </c>
      <c r="BH308" s="77" t="str">
        <f aca="false">IF(ISBLANK($C308),"",IF(ISNUMBER(BD308),BD308+ROW($B308)/1000,""))</f>
        <v/>
      </c>
      <c r="BI308" s="77" t="str">
        <f aca="false">IF(ISNUMBER(BH308),RANK(BH308,$BH$8:$BH$507,1),"")</f>
        <v/>
      </c>
      <c r="BJ308" s="77" t="str">
        <f aca="false">IF(ISBLANK($C308),"",$B308)</f>
        <v/>
      </c>
      <c r="BK308" s="77" t="str">
        <f aca="false">IF(ISBLANK($C308),"",$C308)</f>
        <v/>
      </c>
      <c r="BL308" s="77" t="str">
        <f aca="false">IF(ISBLANK($C308),"",$D308)</f>
        <v/>
      </c>
      <c r="BM308" s="78" t="str">
        <f aca="false">BA308</f>
        <v/>
      </c>
      <c r="BN308" s="79" t="str">
        <f aca="false">AZ308</f>
        <v/>
      </c>
      <c r="BO308" s="77" t="str">
        <f aca="false">IF(ISBLANK($C308),"",BC308)</f>
        <v/>
      </c>
      <c r="BP308" s="80" t="str">
        <f aca="false">IF($BG308&gt;$BF$7,"",VLOOKUP($BG308,$BI$8:$BO$507,7,FALSE()))</f>
        <v/>
      </c>
      <c r="BQ308" s="81" t="str">
        <f aca="false">IF($BG308&gt;$BF$7,"",VLOOKUP($BG308,$BI$8:$BO$507,2,FALSE()))</f>
        <v/>
      </c>
      <c r="BR308" s="81" t="str">
        <f aca="false">IF($BG308&gt;$BF$7,"",VLOOKUP($BG308,$BI$8:$BO$507,3,FALSE()))</f>
        <v/>
      </c>
      <c r="BS308" s="81" t="str">
        <f aca="false">IF($BG308&gt;$BF$7,"",VLOOKUP($BG308,$BI$8:$BO$507,4,FALSE()))</f>
        <v/>
      </c>
      <c r="BT308" s="81" t="str">
        <f aca="false">IF($BG308&gt;$BF$7,"",VLOOKUP($BG308,$BI$8:$BO$507,5,FALSE()))</f>
        <v/>
      </c>
      <c r="BU308" s="82" t="str">
        <f aca="false">IF($BG308&gt;$BF$7,"",VLOOKUP($BG308,$BI$8:$BO$507,6,FALSE()))</f>
        <v/>
      </c>
      <c r="BV308" s="54"/>
    </row>
    <row r="309" customFormat="false" ht="15.75" hidden="false" customHeight="false" outlineLevel="0" collapsed="false">
      <c r="A309" s="5"/>
      <c r="B309" s="135"/>
      <c r="C309" s="56"/>
      <c r="D309" s="57"/>
      <c r="E309" s="84"/>
      <c r="F309" s="136"/>
      <c r="G309" s="60"/>
      <c r="H309" s="137"/>
      <c r="I309" s="62"/>
      <c r="J309" s="62"/>
      <c r="K309" s="60"/>
      <c r="L309" s="138"/>
      <c r="M309" s="62"/>
      <c r="N309" s="62"/>
      <c r="O309" s="60"/>
      <c r="P309" s="84"/>
      <c r="Q309" s="65"/>
      <c r="R309" s="67" t="str">
        <f aca="false">IF(ISBLANK($C309),"",IF(E309=Constants!$B$2, TRUE(), IF(E309=Constants!$B$3, FALSE(), TRUE())))</f>
        <v/>
      </c>
      <c r="S309" s="67" t="str">
        <f aca="false">IF(ISBLANK($C309),"",IF(F309=Constants!$B$2, TRUE(), IF(F309=Constants!$B$3, FALSE(), TRUE())))</f>
        <v/>
      </c>
      <c r="T309" s="67" t="str">
        <f aca="false">IF(ISBLANK($C309),"",IF(G309=Constants!$B$16,Constants!$B$9,IF(G309=Constants!$B$17,Constants!$B$10,Constants!$B$8)))</f>
        <v/>
      </c>
      <c r="U309" s="67" t="str">
        <f aca="false">IF(ISBLANK($C309),"",IF(H309=Constants!$B$19,Constants!$B$19,Constants!$B$18))</f>
        <v/>
      </c>
      <c r="V309" s="67" t="str">
        <f aca="false">IF(ISBLANK($C309),"",IF(ISNUMBER(I309),IF(I309&gt;=0,I309,""),""))</f>
        <v/>
      </c>
      <c r="W309" s="67" t="str">
        <f aca="false">IF(ISBLANK($C309),"",IF(J309=Constants!$B$2, TRUE(), IF(J309=Constants!$B$3, FALSE(), TRUE())))</f>
        <v/>
      </c>
      <c r="X309" s="67" t="str">
        <f aca="false">IF(ISBLANK($C309),"",IF(K309=Constants!$B$2, TRUE(), IF(K309=Constants!$B$3, FALSE(), TRUE())))</f>
        <v/>
      </c>
      <c r="Y309" s="67" t="str">
        <f aca="false">IF(ISBLANK($C309),"",IF(L309=Constants!$B$19,Constants!$B$19,Constants!$B$18))</f>
        <v/>
      </c>
      <c r="Z309" s="67" t="str">
        <f aca="false">IF(ISBLANK($C309),"",IF(ISNUMBER(M309),IF(M309&gt;=0,M309,""),""))</f>
        <v/>
      </c>
      <c r="AA309" s="67" t="str">
        <f aca="false">IF(ISBLANK($C309),"",IF(N309=Constants!$B$2, TRUE(), IF(N309=Constants!$B$3, FALSE(), TRUE())))</f>
        <v/>
      </c>
      <c r="AB309" s="67" t="str">
        <f aca="false">IF(ISBLANK($C309),"",IF(O309=Constants!$B$2, TRUE(), IF(O309=Constants!$B$3, FALSE(), TRUE())))</f>
        <v/>
      </c>
      <c r="AC309" s="67" t="str">
        <f aca="false">IF(ISBLANK($C309),"",IF(P309=Constants!$B$2, TRUE(), IF(P309=Constants!$B$3, FALSE(), FALSE())))</f>
        <v/>
      </c>
      <c r="AD309" s="67" t="str">
        <f aca="false">IF(ISBLANK($C309),"",AND(V309&lt;&gt;"",IF(U309=Constants!$B$19,S309,R309)))</f>
        <v/>
      </c>
      <c r="AE309" s="67" t="str">
        <f aca="false">IF(ISBLANK($C309),"",AND(Z309&lt;&gt;"",IF(Y309=Constants!$B$19,S309,R309)))</f>
        <v/>
      </c>
      <c r="AF309" s="67" t="str">
        <f aca="false">IF(ISBLANK($C309),"",IF(AC309,Constants!$B$4,IF(COUNTA(E309:O309)=0,Constants!$B$5,IF(AND(NOT(AD309),NOT(AE309)),Constants!$B$6,Constants!$B$7))))</f>
        <v/>
      </c>
      <c r="AG309" s="67" t="str">
        <f aca="false">IF(ISBLANK($C309),"",IF($AF309&lt;&gt;Constants!$B$7,$AF309,Constants!$B$20))</f>
        <v/>
      </c>
      <c r="AH309" s="67" t="str">
        <f aca="false">IF($AF309=Constants!$B$7,IF(AD309,V309,Constants!$B$13),"")</f>
        <v/>
      </c>
      <c r="AI309" s="67" t="str">
        <f aca="false">IF($AF309=Constants!$B$7,IF(AD309,T309*IF(W309, 1, Constants!$B$11)*IF(X309, 1, Constants!$B$12),Constants!$B$13),"")</f>
        <v/>
      </c>
      <c r="AJ309" s="67" t="str">
        <f aca="false">IF($AF309=Constants!$B$7,AH309*AI309,"")</f>
        <v/>
      </c>
      <c r="AK309" s="67" t="str">
        <f aca="false">IF($AF309=Constants!$B$7,IF(AE309,Z309,Constants!$B$13),"")</f>
        <v/>
      </c>
      <c r="AL309" s="67" t="str">
        <f aca="false">IF($AF309=Constants!$B$7,IF(AE309,T309*IF(AA309, 1, Constants!$B$11)*IF(AB309, 1, Constants!$B$12),Constants!$B$13),"")</f>
        <v/>
      </c>
      <c r="AM309" s="67" t="str">
        <f aca="false">IF($AF309=Constants!$B$7,AK309*AL309,"")</f>
        <v/>
      </c>
      <c r="AN309" s="67" t="str">
        <f aca="false">IF($AF309=Constants!$B$7,IF(AM309&gt;AJ309,2,1),"")</f>
        <v/>
      </c>
      <c r="AO309" s="67" t="str">
        <f aca="false">IF($AF309=Constants!$B$7,IF(AN309=1,2,1),"")</f>
        <v/>
      </c>
      <c r="AP309" s="67" t="str">
        <f aca="false">IF(ISBLANK($C309),"",IF($AF309&lt;&gt;Constants!$B$7,$AF309,IF(AN309=1,AJ309,AM309)))</f>
        <v/>
      </c>
      <c r="AQ309" s="67" t="str">
        <f aca="false">IF(ISBLANK($C309),"",IF($AF309=Constants!$B$7,IF(ISNUMBER(AP309),RANK(AP309,$AP$8:$AP$507),Constants!$B$14),$AF309))</f>
        <v/>
      </c>
      <c r="AR309" s="67" t="str">
        <f aca="false">IF(ISBLANK($C309),"",IF($AF309=Constants!$B$7,IF(AO309=1,AJ309,AM309),""))</f>
        <v/>
      </c>
      <c r="AS309" s="67" t="str">
        <f aca="false">IF(ISBLANK($C309),"",IF($AF309=Constants!$B$7,RANK(AR309,$AR$8:$AR$507),$AF309))</f>
        <v/>
      </c>
      <c r="AT309" s="67" t="str">
        <f aca="false">IF(ISBLANK($C309),"",IF($AF309=Constants!$B$7,IF(ISNUMBER(AQ309),COUNTIFS($AQ$8:$AQ$507,"&lt;"&amp;$AQ309)+COUNTIFS($AQ$8:$AQ$507,$AQ309,$AS$8:$AS$507,"&lt;"&amp;$AS309)+1,Constants!$B$14),$AF309))</f>
        <v/>
      </c>
      <c r="AU309" s="67" t="str">
        <f aca="false">IF(ISBLANK($C309),"",IF($AF309=Constants!$B$7,IF(ISNUMBER(AQ309),AQ309-AT309,Constants!$B$14),$AF309))</f>
        <v/>
      </c>
      <c r="AV309" s="69"/>
      <c r="AW309" s="70" t="str">
        <f aca="false">IF(ISBLANK($C309),"",IF($AF309&lt;&gt;Constants!$B$7,"",AN309))</f>
        <v/>
      </c>
      <c r="AX309" s="85" t="str">
        <f aca="false">IF(ISBLANK($C309),"",IF($AF309&lt;&gt;Constants!$B$7,"",IF(AN309=1,AH309,AK309)))</f>
        <v/>
      </c>
      <c r="AY309" s="72" t="str">
        <f aca="false">IF(ISBLANK($C309),"",IF($AF309&lt;&gt;Constants!$B$7,"",IF(AN309=1,AI309,AL309)))</f>
        <v/>
      </c>
      <c r="AZ309" s="73" t="str">
        <f aca="false">IF(ISBLANK($C309),"",IF($AF309&lt;&gt;Constants!$B$7,$AF309,AP309))</f>
        <v/>
      </c>
      <c r="BA309" s="74" t="str">
        <f aca="false">IF(ISBLANK($C309),"",IF($AF309&lt;&gt;Constants!$B$7,$AF309,AG309))</f>
        <v/>
      </c>
      <c r="BB309" s="75" t="str">
        <f aca="false">IF(ISBLANK($C309),"",AU309)</f>
        <v/>
      </c>
      <c r="BC309" s="75" t="str">
        <f aca="false">IF(ISBLANK($C309),"",AT309)</f>
        <v/>
      </c>
      <c r="BD309" s="76" t="str">
        <f aca="false">IF(ISBLANK($C309),"",IFERROR(_xlfn.SWITCH(BC309,Constants!$B$4,COUNTA($C$8:$C$507)+2,Constants!$B$5,COUNTA($C$8:$C$507)+1,Constants!$B$6,COUNTA($C$8:$C$507)),BC309))</f>
        <v/>
      </c>
      <c r="BE309" s="5"/>
      <c r="BF309" s="77" t="n">
        <f aca="false">IF(OR(ISNUMBER(BC309),BC309=Constants!$B$4,BC309=Constants!$B$6,BC309=Constants!$B$5),1,0)</f>
        <v>0</v>
      </c>
      <c r="BG309" s="77" t="n">
        <v>302</v>
      </c>
      <c r="BH309" s="77" t="str">
        <f aca="false">IF(ISBLANK($C309),"",IF(ISNUMBER(BD309),BD309+ROW($B309)/1000,""))</f>
        <v/>
      </c>
      <c r="BI309" s="77" t="str">
        <f aca="false">IF(ISNUMBER(BH309),RANK(BH309,$BH$8:$BH$507,1),"")</f>
        <v/>
      </c>
      <c r="BJ309" s="77" t="str">
        <f aca="false">IF(ISBLANK($C309),"",$B309)</f>
        <v/>
      </c>
      <c r="BK309" s="77" t="str">
        <f aca="false">IF(ISBLANK($C309),"",$C309)</f>
        <v/>
      </c>
      <c r="BL309" s="77" t="str">
        <f aca="false">IF(ISBLANK($C309),"",$D309)</f>
        <v/>
      </c>
      <c r="BM309" s="78" t="str">
        <f aca="false">BA309</f>
        <v/>
      </c>
      <c r="BN309" s="79" t="str">
        <f aca="false">AZ309</f>
        <v/>
      </c>
      <c r="BO309" s="77" t="str">
        <f aca="false">IF(ISBLANK($C309),"",BC309)</f>
        <v/>
      </c>
      <c r="BP309" s="80" t="str">
        <f aca="false">IF($BG309&gt;$BF$7,"",VLOOKUP($BG309,$BI$8:$BO$507,7,FALSE()))</f>
        <v/>
      </c>
      <c r="BQ309" s="81" t="str">
        <f aca="false">IF($BG309&gt;$BF$7,"",VLOOKUP($BG309,$BI$8:$BO$507,2,FALSE()))</f>
        <v/>
      </c>
      <c r="BR309" s="81" t="str">
        <f aca="false">IF($BG309&gt;$BF$7,"",VLOOKUP($BG309,$BI$8:$BO$507,3,FALSE()))</f>
        <v/>
      </c>
      <c r="BS309" s="81" t="str">
        <f aca="false">IF($BG309&gt;$BF$7,"",VLOOKUP($BG309,$BI$8:$BO$507,4,FALSE()))</f>
        <v/>
      </c>
      <c r="BT309" s="81" t="str">
        <f aca="false">IF($BG309&gt;$BF$7,"",VLOOKUP($BG309,$BI$8:$BO$507,5,FALSE()))</f>
        <v/>
      </c>
      <c r="BU309" s="82" t="str">
        <f aca="false">IF($BG309&gt;$BF$7,"",VLOOKUP($BG309,$BI$8:$BO$507,6,FALSE()))</f>
        <v/>
      </c>
      <c r="BV309" s="54"/>
    </row>
    <row r="310" customFormat="false" ht="15.75" hidden="false" customHeight="false" outlineLevel="0" collapsed="false">
      <c r="A310" s="5"/>
      <c r="B310" s="135"/>
      <c r="C310" s="56"/>
      <c r="D310" s="57"/>
      <c r="E310" s="84"/>
      <c r="F310" s="136"/>
      <c r="G310" s="60"/>
      <c r="H310" s="137"/>
      <c r="I310" s="62"/>
      <c r="J310" s="62"/>
      <c r="K310" s="60"/>
      <c r="L310" s="138"/>
      <c r="M310" s="62"/>
      <c r="N310" s="62"/>
      <c r="O310" s="60"/>
      <c r="P310" s="84"/>
      <c r="Q310" s="65"/>
      <c r="R310" s="67" t="str">
        <f aca="false">IF(ISBLANK($C310),"",IF(E310=Constants!$B$2, TRUE(), IF(E310=Constants!$B$3, FALSE(), TRUE())))</f>
        <v/>
      </c>
      <c r="S310" s="67" t="str">
        <f aca="false">IF(ISBLANK($C310),"",IF(F310=Constants!$B$2, TRUE(), IF(F310=Constants!$B$3, FALSE(), TRUE())))</f>
        <v/>
      </c>
      <c r="T310" s="67" t="str">
        <f aca="false">IF(ISBLANK($C310),"",IF(G310=Constants!$B$16,Constants!$B$9,IF(G310=Constants!$B$17,Constants!$B$10,Constants!$B$8)))</f>
        <v/>
      </c>
      <c r="U310" s="67" t="str">
        <f aca="false">IF(ISBLANK($C310),"",IF(H310=Constants!$B$19,Constants!$B$19,Constants!$B$18))</f>
        <v/>
      </c>
      <c r="V310" s="67" t="str">
        <f aca="false">IF(ISBLANK($C310),"",IF(ISNUMBER(I310),IF(I310&gt;=0,I310,""),""))</f>
        <v/>
      </c>
      <c r="W310" s="67" t="str">
        <f aca="false">IF(ISBLANK($C310),"",IF(J310=Constants!$B$2, TRUE(), IF(J310=Constants!$B$3, FALSE(), TRUE())))</f>
        <v/>
      </c>
      <c r="X310" s="67" t="str">
        <f aca="false">IF(ISBLANK($C310),"",IF(K310=Constants!$B$2, TRUE(), IF(K310=Constants!$B$3, FALSE(), TRUE())))</f>
        <v/>
      </c>
      <c r="Y310" s="67" t="str">
        <f aca="false">IF(ISBLANK($C310),"",IF(L310=Constants!$B$19,Constants!$B$19,Constants!$B$18))</f>
        <v/>
      </c>
      <c r="Z310" s="67" t="str">
        <f aca="false">IF(ISBLANK($C310),"",IF(ISNUMBER(M310),IF(M310&gt;=0,M310,""),""))</f>
        <v/>
      </c>
      <c r="AA310" s="67" t="str">
        <f aca="false">IF(ISBLANK($C310),"",IF(N310=Constants!$B$2, TRUE(), IF(N310=Constants!$B$3, FALSE(), TRUE())))</f>
        <v/>
      </c>
      <c r="AB310" s="67" t="str">
        <f aca="false">IF(ISBLANK($C310),"",IF(O310=Constants!$B$2, TRUE(), IF(O310=Constants!$B$3, FALSE(), TRUE())))</f>
        <v/>
      </c>
      <c r="AC310" s="67" t="str">
        <f aca="false">IF(ISBLANK($C310),"",IF(P310=Constants!$B$2, TRUE(), IF(P310=Constants!$B$3, FALSE(), FALSE())))</f>
        <v/>
      </c>
      <c r="AD310" s="67" t="str">
        <f aca="false">IF(ISBLANK($C310),"",AND(V310&lt;&gt;"",IF(U310=Constants!$B$19,S310,R310)))</f>
        <v/>
      </c>
      <c r="AE310" s="67" t="str">
        <f aca="false">IF(ISBLANK($C310),"",AND(Z310&lt;&gt;"",IF(Y310=Constants!$B$19,S310,R310)))</f>
        <v/>
      </c>
      <c r="AF310" s="67" t="str">
        <f aca="false">IF(ISBLANK($C310),"",IF(AC310,Constants!$B$4,IF(COUNTA(E310:O310)=0,Constants!$B$5,IF(AND(NOT(AD310),NOT(AE310)),Constants!$B$6,Constants!$B$7))))</f>
        <v/>
      </c>
      <c r="AG310" s="67" t="str">
        <f aca="false">IF(ISBLANK($C310),"",IF($AF310&lt;&gt;Constants!$B$7,$AF310,Constants!$B$20))</f>
        <v/>
      </c>
      <c r="AH310" s="67" t="str">
        <f aca="false">IF($AF310=Constants!$B$7,IF(AD310,V310,Constants!$B$13),"")</f>
        <v/>
      </c>
      <c r="AI310" s="67" t="str">
        <f aca="false">IF($AF310=Constants!$B$7,IF(AD310,T310*IF(W310, 1, Constants!$B$11)*IF(X310, 1, Constants!$B$12),Constants!$B$13),"")</f>
        <v/>
      </c>
      <c r="AJ310" s="67" t="str">
        <f aca="false">IF($AF310=Constants!$B$7,AH310*AI310,"")</f>
        <v/>
      </c>
      <c r="AK310" s="67" t="str">
        <f aca="false">IF($AF310=Constants!$B$7,IF(AE310,Z310,Constants!$B$13),"")</f>
        <v/>
      </c>
      <c r="AL310" s="67" t="str">
        <f aca="false">IF($AF310=Constants!$B$7,IF(AE310,T310*IF(AA310, 1, Constants!$B$11)*IF(AB310, 1, Constants!$B$12),Constants!$B$13),"")</f>
        <v/>
      </c>
      <c r="AM310" s="67" t="str">
        <f aca="false">IF($AF310=Constants!$B$7,AK310*AL310,"")</f>
        <v/>
      </c>
      <c r="AN310" s="67" t="str">
        <f aca="false">IF($AF310=Constants!$B$7,IF(AM310&gt;AJ310,2,1),"")</f>
        <v/>
      </c>
      <c r="AO310" s="67" t="str">
        <f aca="false">IF($AF310=Constants!$B$7,IF(AN310=1,2,1),"")</f>
        <v/>
      </c>
      <c r="AP310" s="67" t="str">
        <f aca="false">IF(ISBLANK($C310),"",IF($AF310&lt;&gt;Constants!$B$7,$AF310,IF(AN310=1,AJ310,AM310)))</f>
        <v/>
      </c>
      <c r="AQ310" s="67" t="str">
        <f aca="false">IF(ISBLANK($C310),"",IF($AF310=Constants!$B$7,IF(ISNUMBER(AP310),RANK(AP310,$AP$8:$AP$507),Constants!$B$14),$AF310))</f>
        <v/>
      </c>
      <c r="AR310" s="67" t="str">
        <f aca="false">IF(ISBLANK($C310),"",IF($AF310=Constants!$B$7,IF(AO310=1,AJ310,AM310),""))</f>
        <v/>
      </c>
      <c r="AS310" s="67" t="str">
        <f aca="false">IF(ISBLANK($C310),"",IF($AF310=Constants!$B$7,RANK(AR310,$AR$8:$AR$507),$AF310))</f>
        <v/>
      </c>
      <c r="AT310" s="67" t="str">
        <f aca="false">IF(ISBLANK($C310),"",IF($AF310=Constants!$B$7,IF(ISNUMBER(AQ310),COUNTIFS($AQ$8:$AQ$507,"&lt;"&amp;$AQ310)+COUNTIFS($AQ$8:$AQ$507,$AQ310,$AS$8:$AS$507,"&lt;"&amp;$AS310)+1,Constants!$B$14),$AF310))</f>
        <v/>
      </c>
      <c r="AU310" s="67" t="str">
        <f aca="false">IF(ISBLANK($C310),"",IF($AF310=Constants!$B$7,IF(ISNUMBER(AQ310),AQ310-AT310,Constants!$B$14),$AF310))</f>
        <v/>
      </c>
      <c r="AV310" s="69"/>
      <c r="AW310" s="70" t="str">
        <f aca="false">IF(ISBLANK($C310),"",IF($AF310&lt;&gt;Constants!$B$7,"",AN310))</f>
        <v/>
      </c>
      <c r="AX310" s="85" t="str">
        <f aca="false">IF(ISBLANK($C310),"",IF($AF310&lt;&gt;Constants!$B$7,"",IF(AN310=1,AH310,AK310)))</f>
        <v/>
      </c>
      <c r="AY310" s="72" t="str">
        <f aca="false">IF(ISBLANK($C310),"",IF($AF310&lt;&gt;Constants!$B$7,"",IF(AN310=1,AI310,AL310)))</f>
        <v/>
      </c>
      <c r="AZ310" s="73" t="str">
        <f aca="false">IF(ISBLANK($C310),"",IF($AF310&lt;&gt;Constants!$B$7,$AF310,AP310))</f>
        <v/>
      </c>
      <c r="BA310" s="74" t="str">
        <f aca="false">IF(ISBLANK($C310),"",IF($AF310&lt;&gt;Constants!$B$7,$AF310,AG310))</f>
        <v/>
      </c>
      <c r="BB310" s="75" t="str">
        <f aca="false">IF(ISBLANK($C310),"",AU310)</f>
        <v/>
      </c>
      <c r="BC310" s="75" t="str">
        <f aca="false">IF(ISBLANK($C310),"",AT310)</f>
        <v/>
      </c>
      <c r="BD310" s="76" t="str">
        <f aca="false">IF(ISBLANK($C310),"",IFERROR(_xlfn.SWITCH(BC310,Constants!$B$4,COUNTA($C$8:$C$507)+2,Constants!$B$5,COUNTA($C$8:$C$507)+1,Constants!$B$6,COUNTA($C$8:$C$507)),BC310))</f>
        <v/>
      </c>
      <c r="BE310" s="5"/>
      <c r="BF310" s="77" t="n">
        <f aca="false">IF(OR(ISNUMBER(BC310),BC310=Constants!$B$4,BC310=Constants!$B$6,BC310=Constants!$B$5),1,0)</f>
        <v>0</v>
      </c>
      <c r="BG310" s="77" t="n">
        <v>303</v>
      </c>
      <c r="BH310" s="77" t="str">
        <f aca="false">IF(ISBLANK($C310),"",IF(ISNUMBER(BD310),BD310+ROW($B310)/1000,""))</f>
        <v/>
      </c>
      <c r="BI310" s="77" t="str">
        <f aca="false">IF(ISNUMBER(BH310),RANK(BH310,$BH$8:$BH$507,1),"")</f>
        <v/>
      </c>
      <c r="BJ310" s="77" t="str">
        <f aca="false">IF(ISBLANK($C310),"",$B310)</f>
        <v/>
      </c>
      <c r="BK310" s="77" t="str">
        <f aca="false">IF(ISBLANK($C310),"",$C310)</f>
        <v/>
      </c>
      <c r="BL310" s="77" t="str">
        <f aca="false">IF(ISBLANK($C310),"",$D310)</f>
        <v/>
      </c>
      <c r="BM310" s="78" t="str">
        <f aca="false">BA310</f>
        <v/>
      </c>
      <c r="BN310" s="79" t="str">
        <f aca="false">AZ310</f>
        <v/>
      </c>
      <c r="BO310" s="77" t="str">
        <f aca="false">IF(ISBLANK($C310),"",BC310)</f>
        <v/>
      </c>
      <c r="BP310" s="80" t="str">
        <f aca="false">IF($BG310&gt;$BF$7,"",VLOOKUP($BG310,$BI$8:$BO$507,7,FALSE()))</f>
        <v/>
      </c>
      <c r="BQ310" s="81" t="str">
        <f aca="false">IF($BG310&gt;$BF$7,"",VLOOKUP($BG310,$BI$8:$BO$507,2,FALSE()))</f>
        <v/>
      </c>
      <c r="BR310" s="81" t="str">
        <f aca="false">IF($BG310&gt;$BF$7,"",VLOOKUP($BG310,$BI$8:$BO$507,3,FALSE()))</f>
        <v/>
      </c>
      <c r="BS310" s="81" t="str">
        <f aca="false">IF($BG310&gt;$BF$7,"",VLOOKUP($BG310,$BI$8:$BO$507,4,FALSE()))</f>
        <v/>
      </c>
      <c r="BT310" s="81" t="str">
        <f aca="false">IF($BG310&gt;$BF$7,"",VLOOKUP($BG310,$BI$8:$BO$507,5,FALSE()))</f>
        <v/>
      </c>
      <c r="BU310" s="82" t="str">
        <f aca="false">IF($BG310&gt;$BF$7,"",VLOOKUP($BG310,$BI$8:$BO$507,6,FALSE()))</f>
        <v/>
      </c>
      <c r="BV310" s="54"/>
    </row>
    <row r="311" customFormat="false" ht="15.75" hidden="false" customHeight="false" outlineLevel="0" collapsed="false">
      <c r="A311" s="5"/>
      <c r="B311" s="128"/>
      <c r="C311" s="129"/>
      <c r="D311" s="114"/>
      <c r="E311" s="134"/>
      <c r="F311" s="139"/>
      <c r="G311" s="93"/>
      <c r="H311" s="140"/>
      <c r="I311" s="95"/>
      <c r="J311" s="95"/>
      <c r="K311" s="93"/>
      <c r="L311" s="141"/>
      <c r="M311" s="95"/>
      <c r="N311" s="95"/>
      <c r="O311" s="93"/>
      <c r="P311" s="134"/>
      <c r="Q311" s="98"/>
      <c r="R311" s="99" t="str">
        <f aca="false">IF(ISBLANK($C311),"",IF(E311=Constants!$B$2, TRUE(), IF(E311=Constants!$B$3, FALSE(), TRUE())))</f>
        <v/>
      </c>
      <c r="S311" s="99" t="str">
        <f aca="false">IF(ISBLANK($C311),"",IF(F311=Constants!$B$2, TRUE(), IF(F311=Constants!$B$3, FALSE(), TRUE())))</f>
        <v/>
      </c>
      <c r="T311" s="99" t="str">
        <f aca="false">IF(ISBLANK($C311),"",IF(G311=Constants!$B$16,Constants!$B$9,IF(G311=Constants!$B$17,Constants!$B$10,Constants!$B$8)))</f>
        <v/>
      </c>
      <c r="U311" s="99" t="str">
        <f aca="false">IF(ISBLANK($C311),"",IF(H311=Constants!$B$19,Constants!$B$19,Constants!$B$18))</f>
        <v/>
      </c>
      <c r="V311" s="99" t="str">
        <f aca="false">IF(ISBLANK($C311),"",IF(ISNUMBER(I311),IF(I311&gt;=0,I311,""),""))</f>
        <v/>
      </c>
      <c r="W311" s="99" t="str">
        <f aca="false">IF(ISBLANK($C311),"",IF(J311=Constants!$B$2, TRUE(), IF(J311=Constants!$B$3, FALSE(), TRUE())))</f>
        <v/>
      </c>
      <c r="X311" s="99" t="str">
        <f aca="false">IF(ISBLANK($C311),"",IF(K311=Constants!$B$2, TRUE(), IF(K311=Constants!$B$3, FALSE(), TRUE())))</f>
        <v/>
      </c>
      <c r="Y311" s="99" t="str">
        <f aca="false">IF(ISBLANK($C311),"",IF(L311=Constants!$B$19,Constants!$B$19,Constants!$B$18))</f>
        <v/>
      </c>
      <c r="Z311" s="99" t="str">
        <f aca="false">IF(ISBLANK($C311),"",IF(ISNUMBER(M311),IF(M311&gt;=0,M311,""),""))</f>
        <v/>
      </c>
      <c r="AA311" s="99" t="str">
        <f aca="false">IF(ISBLANK($C311),"",IF(N311=Constants!$B$2, TRUE(), IF(N311=Constants!$B$3, FALSE(), TRUE())))</f>
        <v/>
      </c>
      <c r="AB311" s="99" t="str">
        <f aca="false">IF(ISBLANK($C311),"",IF(O311=Constants!$B$2, TRUE(), IF(O311=Constants!$B$3, FALSE(), TRUE())))</f>
        <v/>
      </c>
      <c r="AC311" s="99" t="str">
        <f aca="false">IF(ISBLANK($C311),"",IF(P311=Constants!$B$2, TRUE(), IF(P311=Constants!$B$3, FALSE(), FALSE())))</f>
        <v/>
      </c>
      <c r="AD311" s="99" t="str">
        <f aca="false">IF(ISBLANK($C311),"",AND(V311&lt;&gt;"",IF(U311=Constants!$B$19,S311,R311)))</f>
        <v/>
      </c>
      <c r="AE311" s="99" t="str">
        <f aca="false">IF(ISBLANK($C311),"",AND(Z311&lt;&gt;"",IF(Y311=Constants!$B$19,S311,R311)))</f>
        <v/>
      </c>
      <c r="AF311" s="99" t="str">
        <f aca="false">IF(ISBLANK($C311),"",IF(AC311,Constants!$B$4,IF(COUNTA(E311:O311)=0,Constants!$B$5,IF(AND(NOT(AD311),NOT(AE311)),Constants!$B$6,Constants!$B$7))))</f>
        <v/>
      </c>
      <c r="AG311" s="99" t="str">
        <f aca="false">IF(ISBLANK($C311),"",IF($AF311&lt;&gt;Constants!$B$7,$AF311,Constants!$B$20))</f>
        <v/>
      </c>
      <c r="AH311" s="99" t="str">
        <f aca="false">IF($AF311=Constants!$B$7,IF(AD311,V311,Constants!$B$13),"")</f>
        <v/>
      </c>
      <c r="AI311" s="99" t="str">
        <f aca="false">IF($AF311=Constants!$B$7,IF(AD311,T311*IF(W311, 1, Constants!$B$11)*IF(X311, 1, Constants!$B$12),Constants!$B$13),"")</f>
        <v/>
      </c>
      <c r="AJ311" s="99" t="str">
        <f aca="false">IF($AF311=Constants!$B$7,AH311*AI311,"")</f>
        <v/>
      </c>
      <c r="AK311" s="99" t="str">
        <f aca="false">IF($AF311=Constants!$B$7,IF(AE311,Z311,Constants!$B$13),"")</f>
        <v/>
      </c>
      <c r="AL311" s="99" t="str">
        <f aca="false">IF($AF311=Constants!$B$7,IF(AE311,T311*IF(AA311, 1, Constants!$B$11)*IF(AB311, 1, Constants!$B$12),Constants!$B$13),"")</f>
        <v/>
      </c>
      <c r="AM311" s="99" t="str">
        <f aca="false">IF($AF311=Constants!$B$7,AK311*AL311,"")</f>
        <v/>
      </c>
      <c r="AN311" s="99" t="str">
        <f aca="false">IF($AF311=Constants!$B$7,IF(AM311&gt;AJ311,2,1),"")</f>
        <v/>
      </c>
      <c r="AO311" s="99" t="str">
        <f aca="false">IF($AF311=Constants!$B$7,IF(AN311=1,2,1),"")</f>
        <v/>
      </c>
      <c r="AP311" s="99" t="str">
        <f aca="false">IF(ISBLANK($C311),"",IF($AF311&lt;&gt;Constants!$B$7,$AF311,IF(AN311=1,AJ311,AM311)))</f>
        <v/>
      </c>
      <c r="AQ311" s="99" t="str">
        <f aca="false">IF(ISBLANK($C311),"",IF($AF311=Constants!$B$7,IF(ISNUMBER(AP311),RANK(AP311,$AP$8:$AP$507),Constants!$B$14),$AF311))</f>
        <v/>
      </c>
      <c r="AR311" s="99" t="str">
        <f aca="false">IF(ISBLANK($C311),"",IF($AF311=Constants!$B$7,IF(AO311=1,AJ311,AM311),""))</f>
        <v/>
      </c>
      <c r="AS311" s="99" t="str">
        <f aca="false">IF(ISBLANK($C311),"",IF($AF311=Constants!$B$7,RANK(AR311,$AR$8:$AR$507),$AF311))</f>
        <v/>
      </c>
      <c r="AT311" s="99" t="str">
        <f aca="false">IF(ISBLANK($C311),"",IF($AF311=Constants!$B$7,IF(ISNUMBER(AQ311),COUNTIFS($AQ$8:$AQ$507,"&lt;"&amp;$AQ311)+COUNTIFS($AQ$8:$AQ$507,$AQ311,$AS$8:$AS$507,"&lt;"&amp;$AS311)+1,Constants!$B$14),$AF311))</f>
        <v/>
      </c>
      <c r="AU311" s="99" t="str">
        <f aca="false">IF(ISBLANK($C311),"",IF($AF311=Constants!$B$7,IF(ISNUMBER(AQ311),AQ311-AT311,Constants!$B$14),$AF311))</f>
        <v/>
      </c>
      <c r="AV311" s="100"/>
      <c r="AW311" s="101" t="str">
        <f aca="false">IF(ISBLANK($C311),"",IF($AF311&lt;&gt;Constants!$B$7,"",AN311))</f>
        <v/>
      </c>
      <c r="AX311" s="102" t="str">
        <f aca="false">IF(ISBLANK($C311),"",IF($AF311&lt;&gt;Constants!$B$7,"",IF(AN311=1,AH311,AK311)))</f>
        <v/>
      </c>
      <c r="AY311" s="103" t="str">
        <f aca="false">IF(ISBLANK($C311),"",IF($AF311&lt;&gt;Constants!$B$7,"",IF(AN311=1,AI311,AL311)))</f>
        <v/>
      </c>
      <c r="AZ311" s="104" t="str">
        <f aca="false">IF(ISBLANK($C311),"",IF($AF311&lt;&gt;Constants!$B$7,$AF311,AP311))</f>
        <v/>
      </c>
      <c r="BA311" s="105" t="str">
        <f aca="false">IF(ISBLANK($C311),"",IF($AF311&lt;&gt;Constants!$B$7,$AF311,AG311))</f>
        <v/>
      </c>
      <c r="BB311" s="106" t="str">
        <f aca="false">IF(ISBLANK($C311),"",AU311)</f>
        <v/>
      </c>
      <c r="BC311" s="106" t="str">
        <f aca="false">IF(ISBLANK($C311),"",AT311)</f>
        <v/>
      </c>
      <c r="BD311" s="107" t="str">
        <f aca="false">IF(ISBLANK($C311),"",IFERROR(_xlfn.SWITCH(BC311,Constants!$B$4,COUNTA($C$8:$C$507)+2,Constants!$B$5,COUNTA($C$8:$C$507)+1,Constants!$B$6,COUNTA($C$8:$C$507)),BC311))</f>
        <v/>
      </c>
      <c r="BE311" s="5"/>
      <c r="BF311" s="108" t="n">
        <f aca="false">IF(OR(ISNUMBER(BC311),BC311=Constants!$B$4,BC311=Constants!$B$6,BC311=Constants!$B$5),1,0)</f>
        <v>0</v>
      </c>
      <c r="BG311" s="108" t="n">
        <v>304</v>
      </c>
      <c r="BH311" s="108" t="str">
        <f aca="false">IF(ISBLANK($C311),"",IF(ISNUMBER(BD311),BD311+ROW($B311)/1000,""))</f>
        <v/>
      </c>
      <c r="BI311" s="108" t="str">
        <f aca="false">IF(ISNUMBER(BH311),RANK(BH311,$BH$8:$BH$507,1),"")</f>
        <v/>
      </c>
      <c r="BJ311" s="108" t="str">
        <f aca="false">IF(ISBLANK($C311),"",$B311)</f>
        <v/>
      </c>
      <c r="BK311" s="108" t="str">
        <f aca="false">IF(ISBLANK($C311),"",$C311)</f>
        <v/>
      </c>
      <c r="BL311" s="108" t="str">
        <f aca="false">IF(ISBLANK($C311),"",$D311)</f>
        <v/>
      </c>
      <c r="BM311" s="109" t="str">
        <f aca="false">BA311</f>
        <v/>
      </c>
      <c r="BN311" s="110" t="str">
        <f aca="false">AZ311</f>
        <v/>
      </c>
      <c r="BO311" s="108" t="str">
        <f aca="false">IF(ISBLANK($C311),"",BC311)</f>
        <v/>
      </c>
      <c r="BP311" s="111" t="str">
        <f aca="false">IF($BG311&gt;$BF$7,"",VLOOKUP($BG311,$BI$8:$BO$507,7,FALSE()))</f>
        <v/>
      </c>
      <c r="BQ311" s="112" t="str">
        <f aca="false">IF($BG311&gt;$BF$7,"",VLOOKUP($BG311,$BI$8:$BO$507,2,FALSE()))</f>
        <v/>
      </c>
      <c r="BR311" s="112" t="str">
        <f aca="false">IF($BG311&gt;$BF$7,"",VLOOKUP($BG311,$BI$8:$BO$507,3,FALSE()))</f>
        <v/>
      </c>
      <c r="BS311" s="112" t="str">
        <f aca="false">IF($BG311&gt;$BF$7,"",VLOOKUP($BG311,$BI$8:$BO$507,4,FALSE()))</f>
        <v/>
      </c>
      <c r="BT311" s="112" t="str">
        <f aca="false">IF($BG311&gt;$BF$7,"",VLOOKUP($BG311,$BI$8:$BO$507,5,FALSE()))</f>
        <v/>
      </c>
      <c r="BU311" s="113" t="str">
        <f aca="false">IF($BG311&gt;$BF$7,"",VLOOKUP($BG311,$BI$8:$BO$507,6,FALSE()))</f>
        <v/>
      </c>
      <c r="BV311" s="54"/>
    </row>
    <row r="312" customFormat="false" ht="15.75" hidden="false" customHeight="false" outlineLevel="0" collapsed="false">
      <c r="A312" s="5"/>
      <c r="B312" s="128"/>
      <c r="C312" s="129"/>
      <c r="D312" s="114"/>
      <c r="E312" s="134"/>
      <c r="F312" s="139"/>
      <c r="G312" s="93"/>
      <c r="H312" s="140"/>
      <c r="I312" s="95"/>
      <c r="J312" s="95"/>
      <c r="K312" s="93"/>
      <c r="L312" s="141"/>
      <c r="M312" s="95"/>
      <c r="N312" s="95"/>
      <c r="O312" s="93"/>
      <c r="P312" s="134"/>
      <c r="Q312" s="98"/>
      <c r="R312" s="99" t="str">
        <f aca="false">IF(ISBLANK($C312),"",IF(E312=Constants!$B$2, TRUE(), IF(E312=Constants!$B$3, FALSE(), TRUE())))</f>
        <v/>
      </c>
      <c r="S312" s="99" t="str">
        <f aca="false">IF(ISBLANK($C312),"",IF(F312=Constants!$B$2, TRUE(), IF(F312=Constants!$B$3, FALSE(), TRUE())))</f>
        <v/>
      </c>
      <c r="T312" s="99" t="str">
        <f aca="false">IF(ISBLANK($C312),"",IF(G312=Constants!$B$16,Constants!$B$9,IF(G312=Constants!$B$17,Constants!$B$10,Constants!$B$8)))</f>
        <v/>
      </c>
      <c r="U312" s="99" t="str">
        <f aca="false">IF(ISBLANK($C312),"",IF(H312=Constants!$B$19,Constants!$B$19,Constants!$B$18))</f>
        <v/>
      </c>
      <c r="V312" s="99" t="str">
        <f aca="false">IF(ISBLANK($C312),"",IF(ISNUMBER(I312),IF(I312&gt;=0,I312,""),""))</f>
        <v/>
      </c>
      <c r="W312" s="99" t="str">
        <f aca="false">IF(ISBLANK($C312),"",IF(J312=Constants!$B$2, TRUE(), IF(J312=Constants!$B$3, FALSE(), TRUE())))</f>
        <v/>
      </c>
      <c r="X312" s="99" t="str">
        <f aca="false">IF(ISBLANK($C312),"",IF(K312=Constants!$B$2, TRUE(), IF(K312=Constants!$B$3, FALSE(), TRUE())))</f>
        <v/>
      </c>
      <c r="Y312" s="99" t="str">
        <f aca="false">IF(ISBLANK($C312),"",IF(L312=Constants!$B$19,Constants!$B$19,Constants!$B$18))</f>
        <v/>
      </c>
      <c r="Z312" s="99" t="str">
        <f aca="false">IF(ISBLANK($C312),"",IF(ISNUMBER(M312),IF(M312&gt;=0,M312,""),""))</f>
        <v/>
      </c>
      <c r="AA312" s="99" t="str">
        <f aca="false">IF(ISBLANK($C312),"",IF(N312=Constants!$B$2, TRUE(), IF(N312=Constants!$B$3, FALSE(), TRUE())))</f>
        <v/>
      </c>
      <c r="AB312" s="99" t="str">
        <f aca="false">IF(ISBLANK($C312),"",IF(O312=Constants!$B$2, TRUE(), IF(O312=Constants!$B$3, FALSE(), TRUE())))</f>
        <v/>
      </c>
      <c r="AC312" s="99" t="str">
        <f aca="false">IF(ISBLANK($C312),"",IF(P312=Constants!$B$2, TRUE(), IF(P312=Constants!$B$3, FALSE(), FALSE())))</f>
        <v/>
      </c>
      <c r="AD312" s="99" t="str">
        <f aca="false">IF(ISBLANK($C312),"",AND(V312&lt;&gt;"",IF(U312=Constants!$B$19,S312,R312)))</f>
        <v/>
      </c>
      <c r="AE312" s="99" t="str">
        <f aca="false">IF(ISBLANK($C312),"",AND(Z312&lt;&gt;"",IF(Y312=Constants!$B$19,S312,R312)))</f>
        <v/>
      </c>
      <c r="AF312" s="99" t="str">
        <f aca="false">IF(ISBLANK($C312),"",IF(AC312,Constants!$B$4,IF(COUNTA(E312:O312)=0,Constants!$B$5,IF(AND(NOT(AD312),NOT(AE312)),Constants!$B$6,Constants!$B$7))))</f>
        <v/>
      </c>
      <c r="AG312" s="99" t="str">
        <f aca="false">IF(ISBLANK($C312),"",IF($AF312&lt;&gt;Constants!$B$7,$AF312,Constants!$B$20))</f>
        <v/>
      </c>
      <c r="AH312" s="99" t="str">
        <f aca="false">IF($AF312=Constants!$B$7,IF(AD312,V312,Constants!$B$13),"")</f>
        <v/>
      </c>
      <c r="AI312" s="99" t="str">
        <f aca="false">IF($AF312=Constants!$B$7,IF(AD312,T312*IF(W312, 1, Constants!$B$11)*IF(X312, 1, Constants!$B$12),Constants!$B$13),"")</f>
        <v/>
      </c>
      <c r="AJ312" s="99" t="str">
        <f aca="false">IF($AF312=Constants!$B$7,AH312*AI312,"")</f>
        <v/>
      </c>
      <c r="AK312" s="99" t="str">
        <f aca="false">IF($AF312=Constants!$B$7,IF(AE312,Z312,Constants!$B$13),"")</f>
        <v/>
      </c>
      <c r="AL312" s="99" t="str">
        <f aca="false">IF($AF312=Constants!$B$7,IF(AE312,T312*IF(AA312, 1, Constants!$B$11)*IF(AB312, 1, Constants!$B$12),Constants!$B$13),"")</f>
        <v/>
      </c>
      <c r="AM312" s="99" t="str">
        <f aca="false">IF($AF312=Constants!$B$7,AK312*AL312,"")</f>
        <v/>
      </c>
      <c r="AN312" s="99" t="str">
        <f aca="false">IF($AF312=Constants!$B$7,IF(AM312&gt;AJ312,2,1),"")</f>
        <v/>
      </c>
      <c r="AO312" s="99" t="str">
        <f aca="false">IF($AF312=Constants!$B$7,IF(AN312=1,2,1),"")</f>
        <v/>
      </c>
      <c r="AP312" s="99" t="str">
        <f aca="false">IF(ISBLANK($C312),"",IF($AF312&lt;&gt;Constants!$B$7,$AF312,IF(AN312=1,AJ312,AM312)))</f>
        <v/>
      </c>
      <c r="AQ312" s="99" t="str">
        <f aca="false">IF(ISBLANK($C312),"",IF($AF312=Constants!$B$7,IF(ISNUMBER(AP312),RANK(AP312,$AP$8:$AP$507),Constants!$B$14),$AF312))</f>
        <v/>
      </c>
      <c r="AR312" s="99" t="str">
        <f aca="false">IF(ISBLANK($C312),"",IF($AF312=Constants!$B$7,IF(AO312=1,AJ312,AM312),""))</f>
        <v/>
      </c>
      <c r="AS312" s="99" t="str">
        <f aca="false">IF(ISBLANK($C312),"",IF($AF312=Constants!$B$7,RANK(AR312,$AR$8:$AR$507),$AF312))</f>
        <v/>
      </c>
      <c r="AT312" s="99" t="str">
        <f aca="false">IF(ISBLANK($C312),"",IF($AF312=Constants!$B$7,IF(ISNUMBER(AQ312),COUNTIFS($AQ$8:$AQ$507,"&lt;"&amp;$AQ312)+COUNTIFS($AQ$8:$AQ$507,$AQ312,$AS$8:$AS$507,"&lt;"&amp;$AS312)+1,Constants!$B$14),$AF312))</f>
        <v/>
      </c>
      <c r="AU312" s="99" t="str">
        <f aca="false">IF(ISBLANK($C312),"",IF($AF312=Constants!$B$7,IF(ISNUMBER(AQ312),AQ312-AT312,Constants!$B$14),$AF312))</f>
        <v/>
      </c>
      <c r="AV312" s="100"/>
      <c r="AW312" s="101" t="str">
        <f aca="false">IF(ISBLANK($C312),"",IF($AF312&lt;&gt;Constants!$B$7,"",AN312))</f>
        <v/>
      </c>
      <c r="AX312" s="102" t="str">
        <f aca="false">IF(ISBLANK($C312),"",IF($AF312&lt;&gt;Constants!$B$7,"",IF(AN312=1,AH312,AK312)))</f>
        <v/>
      </c>
      <c r="AY312" s="103" t="str">
        <f aca="false">IF(ISBLANK($C312),"",IF($AF312&lt;&gt;Constants!$B$7,"",IF(AN312=1,AI312,AL312)))</f>
        <v/>
      </c>
      <c r="AZ312" s="104" t="str">
        <f aca="false">IF(ISBLANK($C312),"",IF($AF312&lt;&gt;Constants!$B$7,$AF312,AP312))</f>
        <v/>
      </c>
      <c r="BA312" s="105" t="str">
        <f aca="false">IF(ISBLANK($C312),"",IF($AF312&lt;&gt;Constants!$B$7,$AF312,AG312))</f>
        <v/>
      </c>
      <c r="BB312" s="106" t="str">
        <f aca="false">IF(ISBLANK($C312),"",AU312)</f>
        <v/>
      </c>
      <c r="BC312" s="106" t="str">
        <f aca="false">IF(ISBLANK($C312),"",AT312)</f>
        <v/>
      </c>
      <c r="BD312" s="107" t="str">
        <f aca="false">IF(ISBLANK($C312),"",IFERROR(_xlfn.SWITCH(BC312,Constants!$B$4,COUNTA($C$8:$C$507)+2,Constants!$B$5,COUNTA($C$8:$C$507)+1,Constants!$B$6,COUNTA($C$8:$C$507)),BC312))</f>
        <v/>
      </c>
      <c r="BE312" s="5"/>
      <c r="BF312" s="108" t="n">
        <f aca="false">IF(OR(ISNUMBER(BC312),BC312=Constants!$B$4,BC312=Constants!$B$6,BC312=Constants!$B$5),1,0)</f>
        <v>0</v>
      </c>
      <c r="BG312" s="108" t="n">
        <v>305</v>
      </c>
      <c r="BH312" s="108" t="str">
        <f aca="false">IF(ISBLANK($C312),"",IF(ISNUMBER(BD312),BD312+ROW($B312)/1000,""))</f>
        <v/>
      </c>
      <c r="BI312" s="108" t="str">
        <f aca="false">IF(ISNUMBER(BH312),RANK(BH312,$BH$8:$BH$507,1),"")</f>
        <v/>
      </c>
      <c r="BJ312" s="108" t="str">
        <f aca="false">IF(ISBLANK($C312),"",$B312)</f>
        <v/>
      </c>
      <c r="BK312" s="108" t="str">
        <f aca="false">IF(ISBLANK($C312),"",$C312)</f>
        <v/>
      </c>
      <c r="BL312" s="108" t="str">
        <f aca="false">IF(ISBLANK($C312),"",$D312)</f>
        <v/>
      </c>
      <c r="BM312" s="109" t="str">
        <f aca="false">BA312</f>
        <v/>
      </c>
      <c r="BN312" s="110" t="str">
        <f aca="false">AZ312</f>
        <v/>
      </c>
      <c r="BO312" s="108" t="str">
        <f aca="false">IF(ISBLANK($C312),"",BC312)</f>
        <v/>
      </c>
      <c r="BP312" s="111" t="str">
        <f aca="false">IF($BG312&gt;$BF$7,"",VLOOKUP($BG312,$BI$8:$BO$507,7,FALSE()))</f>
        <v/>
      </c>
      <c r="BQ312" s="112" t="str">
        <f aca="false">IF($BG312&gt;$BF$7,"",VLOOKUP($BG312,$BI$8:$BO$507,2,FALSE()))</f>
        <v/>
      </c>
      <c r="BR312" s="112" t="str">
        <f aca="false">IF($BG312&gt;$BF$7,"",VLOOKUP($BG312,$BI$8:$BO$507,3,FALSE()))</f>
        <v/>
      </c>
      <c r="BS312" s="112" t="str">
        <f aca="false">IF($BG312&gt;$BF$7,"",VLOOKUP($BG312,$BI$8:$BO$507,4,FALSE()))</f>
        <v/>
      </c>
      <c r="BT312" s="112" t="str">
        <f aca="false">IF($BG312&gt;$BF$7,"",VLOOKUP($BG312,$BI$8:$BO$507,5,FALSE()))</f>
        <v/>
      </c>
      <c r="BU312" s="113" t="str">
        <f aca="false">IF($BG312&gt;$BF$7,"",VLOOKUP($BG312,$BI$8:$BO$507,6,FALSE()))</f>
        <v/>
      </c>
      <c r="BV312" s="54"/>
    </row>
    <row r="313" customFormat="false" ht="15.75" hidden="false" customHeight="false" outlineLevel="0" collapsed="false">
      <c r="A313" s="5"/>
      <c r="B313" s="128"/>
      <c r="C313" s="129"/>
      <c r="D313" s="114"/>
      <c r="E313" s="134"/>
      <c r="F313" s="139"/>
      <c r="G313" s="93"/>
      <c r="H313" s="140"/>
      <c r="I313" s="95"/>
      <c r="J313" s="95"/>
      <c r="K313" s="93"/>
      <c r="L313" s="141"/>
      <c r="M313" s="95"/>
      <c r="N313" s="95"/>
      <c r="O313" s="93"/>
      <c r="P313" s="134"/>
      <c r="Q313" s="98"/>
      <c r="R313" s="99" t="str">
        <f aca="false">IF(ISBLANK($C313),"",IF(E313=Constants!$B$2, TRUE(), IF(E313=Constants!$B$3, FALSE(), TRUE())))</f>
        <v/>
      </c>
      <c r="S313" s="99" t="str">
        <f aca="false">IF(ISBLANK($C313),"",IF(F313=Constants!$B$2, TRUE(), IF(F313=Constants!$B$3, FALSE(), TRUE())))</f>
        <v/>
      </c>
      <c r="T313" s="99" t="str">
        <f aca="false">IF(ISBLANK($C313),"",IF(G313=Constants!$B$16,Constants!$B$9,IF(G313=Constants!$B$17,Constants!$B$10,Constants!$B$8)))</f>
        <v/>
      </c>
      <c r="U313" s="99" t="str">
        <f aca="false">IF(ISBLANK($C313),"",IF(H313=Constants!$B$19,Constants!$B$19,Constants!$B$18))</f>
        <v/>
      </c>
      <c r="V313" s="99" t="str">
        <f aca="false">IF(ISBLANK($C313),"",IF(ISNUMBER(I313),IF(I313&gt;=0,I313,""),""))</f>
        <v/>
      </c>
      <c r="W313" s="99" t="str">
        <f aca="false">IF(ISBLANK($C313),"",IF(J313=Constants!$B$2, TRUE(), IF(J313=Constants!$B$3, FALSE(), TRUE())))</f>
        <v/>
      </c>
      <c r="X313" s="99" t="str">
        <f aca="false">IF(ISBLANK($C313),"",IF(K313=Constants!$B$2, TRUE(), IF(K313=Constants!$B$3, FALSE(), TRUE())))</f>
        <v/>
      </c>
      <c r="Y313" s="99" t="str">
        <f aca="false">IF(ISBLANK($C313),"",IF(L313=Constants!$B$19,Constants!$B$19,Constants!$B$18))</f>
        <v/>
      </c>
      <c r="Z313" s="99" t="str">
        <f aca="false">IF(ISBLANK($C313),"",IF(ISNUMBER(M313),IF(M313&gt;=0,M313,""),""))</f>
        <v/>
      </c>
      <c r="AA313" s="99" t="str">
        <f aca="false">IF(ISBLANK($C313),"",IF(N313=Constants!$B$2, TRUE(), IF(N313=Constants!$B$3, FALSE(), TRUE())))</f>
        <v/>
      </c>
      <c r="AB313" s="99" t="str">
        <f aca="false">IF(ISBLANK($C313),"",IF(O313=Constants!$B$2, TRUE(), IF(O313=Constants!$B$3, FALSE(), TRUE())))</f>
        <v/>
      </c>
      <c r="AC313" s="99" t="str">
        <f aca="false">IF(ISBLANK($C313),"",IF(P313=Constants!$B$2, TRUE(), IF(P313=Constants!$B$3, FALSE(), FALSE())))</f>
        <v/>
      </c>
      <c r="AD313" s="99" t="str">
        <f aca="false">IF(ISBLANK($C313),"",AND(V313&lt;&gt;"",IF(U313=Constants!$B$19,S313,R313)))</f>
        <v/>
      </c>
      <c r="AE313" s="99" t="str">
        <f aca="false">IF(ISBLANK($C313),"",AND(Z313&lt;&gt;"",IF(Y313=Constants!$B$19,S313,R313)))</f>
        <v/>
      </c>
      <c r="AF313" s="99" t="str">
        <f aca="false">IF(ISBLANK($C313),"",IF(AC313,Constants!$B$4,IF(COUNTA(E313:O313)=0,Constants!$B$5,IF(AND(NOT(AD313),NOT(AE313)),Constants!$B$6,Constants!$B$7))))</f>
        <v/>
      </c>
      <c r="AG313" s="99" t="str">
        <f aca="false">IF(ISBLANK($C313),"",IF($AF313&lt;&gt;Constants!$B$7,$AF313,Constants!$B$20))</f>
        <v/>
      </c>
      <c r="AH313" s="99" t="str">
        <f aca="false">IF($AF313=Constants!$B$7,IF(AD313,V313,Constants!$B$13),"")</f>
        <v/>
      </c>
      <c r="AI313" s="99" t="str">
        <f aca="false">IF($AF313=Constants!$B$7,IF(AD313,T313*IF(W313, 1, Constants!$B$11)*IF(X313, 1, Constants!$B$12),Constants!$B$13),"")</f>
        <v/>
      </c>
      <c r="AJ313" s="99" t="str">
        <f aca="false">IF($AF313=Constants!$B$7,AH313*AI313,"")</f>
        <v/>
      </c>
      <c r="AK313" s="99" t="str">
        <f aca="false">IF($AF313=Constants!$B$7,IF(AE313,Z313,Constants!$B$13),"")</f>
        <v/>
      </c>
      <c r="AL313" s="99" t="str">
        <f aca="false">IF($AF313=Constants!$B$7,IF(AE313,T313*IF(AA313, 1, Constants!$B$11)*IF(AB313, 1, Constants!$B$12),Constants!$B$13),"")</f>
        <v/>
      </c>
      <c r="AM313" s="99" t="str">
        <f aca="false">IF($AF313=Constants!$B$7,AK313*AL313,"")</f>
        <v/>
      </c>
      <c r="AN313" s="99" t="str">
        <f aca="false">IF($AF313=Constants!$B$7,IF(AM313&gt;AJ313,2,1),"")</f>
        <v/>
      </c>
      <c r="AO313" s="99" t="str">
        <f aca="false">IF($AF313=Constants!$B$7,IF(AN313=1,2,1),"")</f>
        <v/>
      </c>
      <c r="AP313" s="99" t="str">
        <f aca="false">IF(ISBLANK($C313),"",IF($AF313&lt;&gt;Constants!$B$7,$AF313,IF(AN313=1,AJ313,AM313)))</f>
        <v/>
      </c>
      <c r="AQ313" s="99" t="str">
        <f aca="false">IF(ISBLANK($C313),"",IF($AF313=Constants!$B$7,IF(ISNUMBER(AP313),RANK(AP313,$AP$8:$AP$507),Constants!$B$14),$AF313))</f>
        <v/>
      </c>
      <c r="AR313" s="99" t="str">
        <f aca="false">IF(ISBLANK($C313),"",IF($AF313=Constants!$B$7,IF(AO313=1,AJ313,AM313),""))</f>
        <v/>
      </c>
      <c r="AS313" s="99" t="str">
        <f aca="false">IF(ISBLANK($C313),"",IF($AF313=Constants!$B$7,RANK(AR313,$AR$8:$AR$507),$AF313))</f>
        <v/>
      </c>
      <c r="AT313" s="99" t="str">
        <f aca="false">IF(ISBLANK($C313),"",IF($AF313=Constants!$B$7,IF(ISNUMBER(AQ313),COUNTIFS($AQ$8:$AQ$507,"&lt;"&amp;$AQ313)+COUNTIFS($AQ$8:$AQ$507,$AQ313,$AS$8:$AS$507,"&lt;"&amp;$AS313)+1,Constants!$B$14),$AF313))</f>
        <v/>
      </c>
      <c r="AU313" s="99" t="str">
        <f aca="false">IF(ISBLANK($C313),"",IF($AF313=Constants!$B$7,IF(ISNUMBER(AQ313),AQ313-AT313,Constants!$B$14),$AF313))</f>
        <v/>
      </c>
      <c r="AV313" s="100"/>
      <c r="AW313" s="101" t="str">
        <f aca="false">IF(ISBLANK($C313),"",IF($AF313&lt;&gt;Constants!$B$7,"",AN313))</f>
        <v/>
      </c>
      <c r="AX313" s="102" t="str">
        <f aca="false">IF(ISBLANK($C313),"",IF($AF313&lt;&gt;Constants!$B$7,"",IF(AN313=1,AH313,AK313)))</f>
        <v/>
      </c>
      <c r="AY313" s="103" t="str">
        <f aca="false">IF(ISBLANK($C313),"",IF($AF313&lt;&gt;Constants!$B$7,"",IF(AN313=1,AI313,AL313)))</f>
        <v/>
      </c>
      <c r="AZ313" s="104" t="str">
        <f aca="false">IF(ISBLANK($C313),"",IF($AF313&lt;&gt;Constants!$B$7,$AF313,AP313))</f>
        <v/>
      </c>
      <c r="BA313" s="105" t="str">
        <f aca="false">IF(ISBLANK($C313),"",IF($AF313&lt;&gt;Constants!$B$7,$AF313,AG313))</f>
        <v/>
      </c>
      <c r="BB313" s="106" t="str">
        <f aca="false">IF(ISBLANK($C313),"",AU313)</f>
        <v/>
      </c>
      <c r="BC313" s="106" t="str">
        <f aca="false">IF(ISBLANK($C313),"",AT313)</f>
        <v/>
      </c>
      <c r="BD313" s="107" t="str">
        <f aca="false">IF(ISBLANK($C313),"",IFERROR(_xlfn.SWITCH(BC313,Constants!$B$4,COUNTA($C$8:$C$507)+2,Constants!$B$5,COUNTA($C$8:$C$507)+1,Constants!$B$6,COUNTA($C$8:$C$507)),BC313))</f>
        <v/>
      </c>
      <c r="BE313" s="5"/>
      <c r="BF313" s="108" t="n">
        <f aca="false">IF(OR(ISNUMBER(BC313),BC313=Constants!$B$4,BC313=Constants!$B$6,BC313=Constants!$B$5),1,0)</f>
        <v>0</v>
      </c>
      <c r="BG313" s="108" t="n">
        <v>306</v>
      </c>
      <c r="BH313" s="108" t="str">
        <f aca="false">IF(ISBLANK($C313),"",IF(ISNUMBER(BD313),BD313+ROW($B313)/1000,""))</f>
        <v/>
      </c>
      <c r="BI313" s="108" t="str">
        <f aca="false">IF(ISNUMBER(BH313),RANK(BH313,$BH$8:$BH$507,1),"")</f>
        <v/>
      </c>
      <c r="BJ313" s="108" t="str">
        <f aca="false">IF(ISBLANK($C313),"",$B313)</f>
        <v/>
      </c>
      <c r="BK313" s="108" t="str">
        <f aca="false">IF(ISBLANK($C313),"",$C313)</f>
        <v/>
      </c>
      <c r="BL313" s="108" t="str">
        <f aca="false">IF(ISBLANK($C313),"",$D313)</f>
        <v/>
      </c>
      <c r="BM313" s="109" t="str">
        <f aca="false">BA313</f>
        <v/>
      </c>
      <c r="BN313" s="110" t="str">
        <f aca="false">AZ313</f>
        <v/>
      </c>
      <c r="BO313" s="108" t="str">
        <f aca="false">IF(ISBLANK($C313),"",BC313)</f>
        <v/>
      </c>
      <c r="BP313" s="111" t="str">
        <f aca="false">IF($BG313&gt;$BF$7,"",VLOOKUP($BG313,$BI$8:$BO$507,7,FALSE()))</f>
        <v/>
      </c>
      <c r="BQ313" s="112" t="str">
        <f aca="false">IF($BG313&gt;$BF$7,"",VLOOKUP($BG313,$BI$8:$BO$507,2,FALSE()))</f>
        <v/>
      </c>
      <c r="BR313" s="112" t="str">
        <f aca="false">IF($BG313&gt;$BF$7,"",VLOOKUP($BG313,$BI$8:$BO$507,3,FALSE()))</f>
        <v/>
      </c>
      <c r="BS313" s="112" t="str">
        <f aca="false">IF($BG313&gt;$BF$7,"",VLOOKUP($BG313,$BI$8:$BO$507,4,FALSE()))</f>
        <v/>
      </c>
      <c r="BT313" s="112" t="str">
        <f aca="false">IF($BG313&gt;$BF$7,"",VLOOKUP($BG313,$BI$8:$BO$507,5,FALSE()))</f>
        <v/>
      </c>
      <c r="BU313" s="113" t="str">
        <f aca="false">IF($BG313&gt;$BF$7,"",VLOOKUP($BG313,$BI$8:$BO$507,6,FALSE()))</f>
        <v/>
      </c>
      <c r="BV313" s="54"/>
    </row>
    <row r="314" customFormat="false" ht="15.75" hidden="false" customHeight="false" outlineLevel="0" collapsed="false">
      <c r="A314" s="5"/>
      <c r="B314" s="135"/>
      <c r="C314" s="56"/>
      <c r="D314" s="57"/>
      <c r="E314" s="84"/>
      <c r="F314" s="136"/>
      <c r="G314" s="60"/>
      <c r="H314" s="137"/>
      <c r="I314" s="62"/>
      <c r="J314" s="62"/>
      <c r="K314" s="60"/>
      <c r="L314" s="138"/>
      <c r="M314" s="62"/>
      <c r="N314" s="62"/>
      <c r="O314" s="60"/>
      <c r="P314" s="84"/>
      <c r="Q314" s="65"/>
      <c r="R314" s="67" t="str">
        <f aca="false">IF(ISBLANK($C314),"",IF(E314=Constants!$B$2, TRUE(), IF(E314=Constants!$B$3, FALSE(), TRUE())))</f>
        <v/>
      </c>
      <c r="S314" s="67" t="str">
        <f aca="false">IF(ISBLANK($C314),"",IF(F314=Constants!$B$2, TRUE(), IF(F314=Constants!$B$3, FALSE(), TRUE())))</f>
        <v/>
      </c>
      <c r="T314" s="67" t="str">
        <f aca="false">IF(ISBLANK($C314),"",IF(G314=Constants!$B$16,Constants!$B$9,IF(G314=Constants!$B$17,Constants!$B$10,Constants!$B$8)))</f>
        <v/>
      </c>
      <c r="U314" s="67" t="str">
        <f aca="false">IF(ISBLANK($C314),"",IF(H314=Constants!$B$19,Constants!$B$19,Constants!$B$18))</f>
        <v/>
      </c>
      <c r="V314" s="67" t="str">
        <f aca="false">IF(ISBLANK($C314),"",IF(ISNUMBER(I314),IF(I314&gt;=0,I314,""),""))</f>
        <v/>
      </c>
      <c r="W314" s="67" t="str">
        <f aca="false">IF(ISBLANK($C314),"",IF(J314=Constants!$B$2, TRUE(), IF(J314=Constants!$B$3, FALSE(), TRUE())))</f>
        <v/>
      </c>
      <c r="X314" s="67" t="str">
        <f aca="false">IF(ISBLANK($C314),"",IF(K314=Constants!$B$2, TRUE(), IF(K314=Constants!$B$3, FALSE(), TRUE())))</f>
        <v/>
      </c>
      <c r="Y314" s="67" t="str">
        <f aca="false">IF(ISBLANK($C314),"",IF(L314=Constants!$B$19,Constants!$B$19,Constants!$B$18))</f>
        <v/>
      </c>
      <c r="Z314" s="67" t="str">
        <f aca="false">IF(ISBLANK($C314),"",IF(ISNUMBER(M314),IF(M314&gt;=0,M314,""),""))</f>
        <v/>
      </c>
      <c r="AA314" s="67" t="str">
        <f aca="false">IF(ISBLANK($C314),"",IF(N314=Constants!$B$2, TRUE(), IF(N314=Constants!$B$3, FALSE(), TRUE())))</f>
        <v/>
      </c>
      <c r="AB314" s="67" t="str">
        <f aca="false">IF(ISBLANK($C314),"",IF(O314=Constants!$B$2, TRUE(), IF(O314=Constants!$B$3, FALSE(), TRUE())))</f>
        <v/>
      </c>
      <c r="AC314" s="67" t="str">
        <f aca="false">IF(ISBLANK($C314),"",IF(P314=Constants!$B$2, TRUE(), IF(P314=Constants!$B$3, FALSE(), FALSE())))</f>
        <v/>
      </c>
      <c r="AD314" s="67" t="str">
        <f aca="false">IF(ISBLANK($C314),"",AND(V314&lt;&gt;"",IF(U314=Constants!$B$19,S314,R314)))</f>
        <v/>
      </c>
      <c r="AE314" s="67" t="str">
        <f aca="false">IF(ISBLANK($C314),"",AND(Z314&lt;&gt;"",IF(Y314=Constants!$B$19,S314,R314)))</f>
        <v/>
      </c>
      <c r="AF314" s="67" t="str">
        <f aca="false">IF(ISBLANK($C314),"",IF(AC314,Constants!$B$4,IF(COUNTA(E314:O314)=0,Constants!$B$5,IF(AND(NOT(AD314),NOT(AE314)),Constants!$B$6,Constants!$B$7))))</f>
        <v/>
      </c>
      <c r="AG314" s="67" t="str">
        <f aca="false">IF(ISBLANK($C314),"",IF($AF314&lt;&gt;Constants!$B$7,$AF314,Constants!$B$20))</f>
        <v/>
      </c>
      <c r="AH314" s="67" t="str">
        <f aca="false">IF($AF314=Constants!$B$7,IF(AD314,V314,Constants!$B$13),"")</f>
        <v/>
      </c>
      <c r="AI314" s="67" t="str">
        <f aca="false">IF($AF314=Constants!$B$7,IF(AD314,T314*IF(W314, 1, Constants!$B$11)*IF(X314, 1, Constants!$B$12),Constants!$B$13),"")</f>
        <v/>
      </c>
      <c r="AJ314" s="67" t="str">
        <f aca="false">IF($AF314=Constants!$B$7,AH314*AI314,"")</f>
        <v/>
      </c>
      <c r="AK314" s="67" t="str">
        <f aca="false">IF($AF314=Constants!$B$7,IF(AE314,Z314,Constants!$B$13),"")</f>
        <v/>
      </c>
      <c r="AL314" s="67" t="str">
        <f aca="false">IF($AF314=Constants!$B$7,IF(AE314,T314*IF(AA314, 1, Constants!$B$11)*IF(AB314, 1, Constants!$B$12),Constants!$B$13),"")</f>
        <v/>
      </c>
      <c r="AM314" s="67" t="str">
        <f aca="false">IF($AF314=Constants!$B$7,AK314*AL314,"")</f>
        <v/>
      </c>
      <c r="AN314" s="67" t="str">
        <f aca="false">IF($AF314=Constants!$B$7,IF(AM314&gt;AJ314,2,1),"")</f>
        <v/>
      </c>
      <c r="AO314" s="67" t="str">
        <f aca="false">IF($AF314=Constants!$B$7,IF(AN314=1,2,1),"")</f>
        <v/>
      </c>
      <c r="AP314" s="67" t="str">
        <f aca="false">IF(ISBLANK($C314),"",IF($AF314&lt;&gt;Constants!$B$7,$AF314,IF(AN314=1,AJ314,AM314)))</f>
        <v/>
      </c>
      <c r="AQ314" s="67" t="str">
        <f aca="false">IF(ISBLANK($C314),"",IF($AF314=Constants!$B$7,IF(ISNUMBER(AP314),RANK(AP314,$AP$8:$AP$507),Constants!$B$14),$AF314))</f>
        <v/>
      </c>
      <c r="AR314" s="67" t="str">
        <f aca="false">IF(ISBLANK($C314),"",IF($AF314=Constants!$B$7,IF(AO314=1,AJ314,AM314),""))</f>
        <v/>
      </c>
      <c r="AS314" s="67" t="str">
        <f aca="false">IF(ISBLANK($C314),"",IF($AF314=Constants!$B$7,RANK(AR314,$AR$8:$AR$507),$AF314))</f>
        <v/>
      </c>
      <c r="AT314" s="67" t="str">
        <f aca="false">IF(ISBLANK($C314),"",IF($AF314=Constants!$B$7,IF(ISNUMBER(AQ314),COUNTIFS($AQ$8:$AQ$507,"&lt;"&amp;$AQ314)+COUNTIFS($AQ$8:$AQ$507,$AQ314,$AS$8:$AS$507,"&lt;"&amp;$AS314)+1,Constants!$B$14),$AF314))</f>
        <v/>
      </c>
      <c r="AU314" s="67" t="str">
        <f aca="false">IF(ISBLANK($C314),"",IF($AF314=Constants!$B$7,IF(ISNUMBER(AQ314),AQ314-AT314,Constants!$B$14),$AF314))</f>
        <v/>
      </c>
      <c r="AV314" s="69"/>
      <c r="AW314" s="70" t="str">
        <f aca="false">IF(ISBLANK($C314),"",IF($AF314&lt;&gt;Constants!$B$7,"",AN314))</f>
        <v/>
      </c>
      <c r="AX314" s="85" t="str">
        <f aca="false">IF(ISBLANK($C314),"",IF($AF314&lt;&gt;Constants!$B$7,"",IF(AN314=1,AH314,AK314)))</f>
        <v/>
      </c>
      <c r="AY314" s="72" t="str">
        <f aca="false">IF(ISBLANK($C314),"",IF($AF314&lt;&gt;Constants!$B$7,"",IF(AN314=1,AI314,AL314)))</f>
        <v/>
      </c>
      <c r="AZ314" s="73" t="str">
        <f aca="false">IF(ISBLANK($C314),"",IF($AF314&lt;&gt;Constants!$B$7,$AF314,AP314))</f>
        <v/>
      </c>
      <c r="BA314" s="74" t="str">
        <f aca="false">IF(ISBLANK($C314),"",IF($AF314&lt;&gt;Constants!$B$7,$AF314,AG314))</f>
        <v/>
      </c>
      <c r="BB314" s="75" t="str">
        <f aca="false">IF(ISBLANK($C314),"",AU314)</f>
        <v/>
      </c>
      <c r="BC314" s="75" t="str">
        <f aca="false">IF(ISBLANK($C314),"",AT314)</f>
        <v/>
      </c>
      <c r="BD314" s="76" t="str">
        <f aca="false">IF(ISBLANK($C314),"",IFERROR(_xlfn.SWITCH(BC314,Constants!$B$4,COUNTA($C$8:$C$507)+2,Constants!$B$5,COUNTA($C$8:$C$507)+1,Constants!$B$6,COUNTA($C$8:$C$507)),BC314))</f>
        <v/>
      </c>
      <c r="BE314" s="5"/>
      <c r="BF314" s="77" t="n">
        <f aca="false">IF(OR(ISNUMBER(BC314),BC314=Constants!$B$4,BC314=Constants!$B$6,BC314=Constants!$B$5),1,0)</f>
        <v>0</v>
      </c>
      <c r="BG314" s="77" t="n">
        <v>307</v>
      </c>
      <c r="BH314" s="77" t="str">
        <f aca="false">IF(ISBLANK($C314),"",IF(ISNUMBER(BD314),BD314+ROW($B314)/1000,""))</f>
        <v/>
      </c>
      <c r="BI314" s="77" t="str">
        <f aca="false">IF(ISNUMBER(BH314),RANK(BH314,$BH$8:$BH$507,1),"")</f>
        <v/>
      </c>
      <c r="BJ314" s="77" t="str">
        <f aca="false">IF(ISBLANK($C314),"",$B314)</f>
        <v/>
      </c>
      <c r="BK314" s="77" t="str">
        <f aca="false">IF(ISBLANK($C314),"",$C314)</f>
        <v/>
      </c>
      <c r="BL314" s="77" t="str">
        <f aca="false">IF(ISBLANK($C314),"",$D314)</f>
        <v/>
      </c>
      <c r="BM314" s="78" t="str">
        <f aca="false">BA314</f>
        <v/>
      </c>
      <c r="BN314" s="79" t="str">
        <f aca="false">AZ314</f>
        <v/>
      </c>
      <c r="BO314" s="77" t="str">
        <f aca="false">IF(ISBLANK($C314),"",BC314)</f>
        <v/>
      </c>
      <c r="BP314" s="80" t="str">
        <f aca="false">IF($BG314&gt;$BF$7,"",VLOOKUP($BG314,$BI$8:$BO$507,7,FALSE()))</f>
        <v/>
      </c>
      <c r="BQ314" s="81" t="str">
        <f aca="false">IF($BG314&gt;$BF$7,"",VLOOKUP($BG314,$BI$8:$BO$507,2,FALSE()))</f>
        <v/>
      </c>
      <c r="BR314" s="81" t="str">
        <f aca="false">IF($BG314&gt;$BF$7,"",VLOOKUP($BG314,$BI$8:$BO$507,3,FALSE()))</f>
        <v/>
      </c>
      <c r="BS314" s="81" t="str">
        <f aca="false">IF($BG314&gt;$BF$7,"",VLOOKUP($BG314,$BI$8:$BO$507,4,FALSE()))</f>
        <v/>
      </c>
      <c r="BT314" s="81" t="str">
        <f aca="false">IF($BG314&gt;$BF$7,"",VLOOKUP($BG314,$BI$8:$BO$507,5,FALSE()))</f>
        <v/>
      </c>
      <c r="BU314" s="82" t="str">
        <f aca="false">IF($BG314&gt;$BF$7,"",VLOOKUP($BG314,$BI$8:$BO$507,6,FALSE()))</f>
        <v/>
      </c>
      <c r="BV314" s="54"/>
    </row>
    <row r="315" customFormat="false" ht="15.75" hidden="false" customHeight="false" outlineLevel="0" collapsed="false">
      <c r="A315" s="5"/>
      <c r="B315" s="135"/>
      <c r="C315" s="56"/>
      <c r="D315" s="57"/>
      <c r="E315" s="84"/>
      <c r="F315" s="136"/>
      <c r="G315" s="60"/>
      <c r="H315" s="137"/>
      <c r="I315" s="62"/>
      <c r="J315" s="62"/>
      <c r="K315" s="60"/>
      <c r="L315" s="138"/>
      <c r="M315" s="62"/>
      <c r="N315" s="62"/>
      <c r="O315" s="60"/>
      <c r="P315" s="84"/>
      <c r="Q315" s="65"/>
      <c r="R315" s="67" t="str">
        <f aca="false">IF(ISBLANK($C315),"",IF(E315=Constants!$B$2, TRUE(), IF(E315=Constants!$B$3, FALSE(), TRUE())))</f>
        <v/>
      </c>
      <c r="S315" s="67" t="str">
        <f aca="false">IF(ISBLANK($C315),"",IF(F315=Constants!$B$2, TRUE(), IF(F315=Constants!$B$3, FALSE(), TRUE())))</f>
        <v/>
      </c>
      <c r="T315" s="67" t="str">
        <f aca="false">IF(ISBLANK($C315),"",IF(G315=Constants!$B$16,Constants!$B$9,IF(G315=Constants!$B$17,Constants!$B$10,Constants!$B$8)))</f>
        <v/>
      </c>
      <c r="U315" s="67" t="str">
        <f aca="false">IF(ISBLANK($C315),"",IF(H315=Constants!$B$19,Constants!$B$19,Constants!$B$18))</f>
        <v/>
      </c>
      <c r="V315" s="67" t="str">
        <f aca="false">IF(ISBLANK($C315),"",IF(ISNUMBER(I315),IF(I315&gt;=0,I315,""),""))</f>
        <v/>
      </c>
      <c r="W315" s="67" t="str">
        <f aca="false">IF(ISBLANK($C315),"",IF(J315=Constants!$B$2, TRUE(), IF(J315=Constants!$B$3, FALSE(), TRUE())))</f>
        <v/>
      </c>
      <c r="X315" s="67" t="str">
        <f aca="false">IF(ISBLANK($C315),"",IF(K315=Constants!$B$2, TRUE(), IF(K315=Constants!$B$3, FALSE(), TRUE())))</f>
        <v/>
      </c>
      <c r="Y315" s="67" t="str">
        <f aca="false">IF(ISBLANK($C315),"",IF(L315=Constants!$B$19,Constants!$B$19,Constants!$B$18))</f>
        <v/>
      </c>
      <c r="Z315" s="67" t="str">
        <f aca="false">IF(ISBLANK($C315),"",IF(ISNUMBER(M315),IF(M315&gt;=0,M315,""),""))</f>
        <v/>
      </c>
      <c r="AA315" s="67" t="str">
        <f aca="false">IF(ISBLANK($C315),"",IF(N315=Constants!$B$2, TRUE(), IF(N315=Constants!$B$3, FALSE(), TRUE())))</f>
        <v/>
      </c>
      <c r="AB315" s="67" t="str">
        <f aca="false">IF(ISBLANK($C315),"",IF(O315=Constants!$B$2, TRUE(), IF(O315=Constants!$B$3, FALSE(), TRUE())))</f>
        <v/>
      </c>
      <c r="AC315" s="67" t="str">
        <f aca="false">IF(ISBLANK($C315),"",IF(P315=Constants!$B$2, TRUE(), IF(P315=Constants!$B$3, FALSE(), FALSE())))</f>
        <v/>
      </c>
      <c r="AD315" s="67" t="str">
        <f aca="false">IF(ISBLANK($C315),"",AND(V315&lt;&gt;"",IF(U315=Constants!$B$19,S315,R315)))</f>
        <v/>
      </c>
      <c r="AE315" s="67" t="str">
        <f aca="false">IF(ISBLANK($C315),"",AND(Z315&lt;&gt;"",IF(Y315=Constants!$B$19,S315,R315)))</f>
        <v/>
      </c>
      <c r="AF315" s="67" t="str">
        <f aca="false">IF(ISBLANK($C315),"",IF(AC315,Constants!$B$4,IF(COUNTA(E315:O315)=0,Constants!$B$5,IF(AND(NOT(AD315),NOT(AE315)),Constants!$B$6,Constants!$B$7))))</f>
        <v/>
      </c>
      <c r="AG315" s="67" t="str">
        <f aca="false">IF(ISBLANK($C315),"",IF($AF315&lt;&gt;Constants!$B$7,$AF315,Constants!$B$20))</f>
        <v/>
      </c>
      <c r="AH315" s="67" t="str">
        <f aca="false">IF($AF315=Constants!$B$7,IF(AD315,V315,Constants!$B$13),"")</f>
        <v/>
      </c>
      <c r="AI315" s="67" t="str">
        <f aca="false">IF($AF315=Constants!$B$7,IF(AD315,T315*IF(W315, 1, Constants!$B$11)*IF(X315, 1, Constants!$B$12),Constants!$B$13),"")</f>
        <v/>
      </c>
      <c r="AJ315" s="67" t="str">
        <f aca="false">IF($AF315=Constants!$B$7,AH315*AI315,"")</f>
        <v/>
      </c>
      <c r="AK315" s="67" t="str">
        <f aca="false">IF($AF315=Constants!$B$7,IF(AE315,Z315,Constants!$B$13),"")</f>
        <v/>
      </c>
      <c r="AL315" s="67" t="str">
        <f aca="false">IF($AF315=Constants!$B$7,IF(AE315,T315*IF(AA315, 1, Constants!$B$11)*IF(AB315, 1, Constants!$B$12),Constants!$B$13),"")</f>
        <v/>
      </c>
      <c r="AM315" s="67" t="str">
        <f aca="false">IF($AF315=Constants!$B$7,AK315*AL315,"")</f>
        <v/>
      </c>
      <c r="AN315" s="67" t="str">
        <f aca="false">IF($AF315=Constants!$B$7,IF(AM315&gt;AJ315,2,1),"")</f>
        <v/>
      </c>
      <c r="AO315" s="67" t="str">
        <f aca="false">IF($AF315=Constants!$B$7,IF(AN315=1,2,1),"")</f>
        <v/>
      </c>
      <c r="AP315" s="67" t="str">
        <f aca="false">IF(ISBLANK($C315),"",IF($AF315&lt;&gt;Constants!$B$7,$AF315,IF(AN315=1,AJ315,AM315)))</f>
        <v/>
      </c>
      <c r="AQ315" s="67" t="str">
        <f aca="false">IF(ISBLANK($C315),"",IF($AF315=Constants!$B$7,IF(ISNUMBER(AP315),RANK(AP315,$AP$8:$AP$507),Constants!$B$14),$AF315))</f>
        <v/>
      </c>
      <c r="AR315" s="67" t="str">
        <f aca="false">IF(ISBLANK($C315),"",IF($AF315=Constants!$B$7,IF(AO315=1,AJ315,AM315),""))</f>
        <v/>
      </c>
      <c r="AS315" s="67" t="str">
        <f aca="false">IF(ISBLANK($C315),"",IF($AF315=Constants!$B$7,RANK(AR315,$AR$8:$AR$507),$AF315))</f>
        <v/>
      </c>
      <c r="AT315" s="67" t="str">
        <f aca="false">IF(ISBLANK($C315),"",IF($AF315=Constants!$B$7,IF(ISNUMBER(AQ315),COUNTIFS($AQ$8:$AQ$507,"&lt;"&amp;$AQ315)+COUNTIFS($AQ$8:$AQ$507,$AQ315,$AS$8:$AS$507,"&lt;"&amp;$AS315)+1,Constants!$B$14),$AF315))</f>
        <v/>
      </c>
      <c r="AU315" s="67" t="str">
        <f aca="false">IF(ISBLANK($C315),"",IF($AF315=Constants!$B$7,IF(ISNUMBER(AQ315),AQ315-AT315,Constants!$B$14),$AF315))</f>
        <v/>
      </c>
      <c r="AV315" s="69"/>
      <c r="AW315" s="70" t="str">
        <f aca="false">IF(ISBLANK($C315),"",IF($AF315&lt;&gt;Constants!$B$7,"",AN315))</f>
        <v/>
      </c>
      <c r="AX315" s="85" t="str">
        <f aca="false">IF(ISBLANK($C315),"",IF($AF315&lt;&gt;Constants!$B$7,"",IF(AN315=1,AH315,AK315)))</f>
        <v/>
      </c>
      <c r="AY315" s="72" t="str">
        <f aca="false">IF(ISBLANK($C315),"",IF($AF315&lt;&gt;Constants!$B$7,"",IF(AN315=1,AI315,AL315)))</f>
        <v/>
      </c>
      <c r="AZ315" s="73" t="str">
        <f aca="false">IF(ISBLANK($C315),"",IF($AF315&lt;&gt;Constants!$B$7,$AF315,AP315))</f>
        <v/>
      </c>
      <c r="BA315" s="74" t="str">
        <f aca="false">IF(ISBLANK($C315),"",IF($AF315&lt;&gt;Constants!$B$7,$AF315,AG315))</f>
        <v/>
      </c>
      <c r="BB315" s="75" t="str">
        <f aca="false">IF(ISBLANK($C315),"",AU315)</f>
        <v/>
      </c>
      <c r="BC315" s="75" t="str">
        <f aca="false">IF(ISBLANK($C315),"",AT315)</f>
        <v/>
      </c>
      <c r="BD315" s="76" t="str">
        <f aca="false">IF(ISBLANK($C315),"",IFERROR(_xlfn.SWITCH(BC315,Constants!$B$4,COUNTA($C$8:$C$507)+2,Constants!$B$5,COUNTA($C$8:$C$507)+1,Constants!$B$6,COUNTA($C$8:$C$507)),BC315))</f>
        <v/>
      </c>
      <c r="BE315" s="5"/>
      <c r="BF315" s="77" t="n">
        <f aca="false">IF(OR(ISNUMBER(BC315),BC315=Constants!$B$4,BC315=Constants!$B$6,BC315=Constants!$B$5),1,0)</f>
        <v>0</v>
      </c>
      <c r="BG315" s="77" t="n">
        <v>308</v>
      </c>
      <c r="BH315" s="77" t="str">
        <f aca="false">IF(ISBLANK($C315),"",IF(ISNUMBER(BD315),BD315+ROW($B315)/1000,""))</f>
        <v/>
      </c>
      <c r="BI315" s="77" t="str">
        <f aca="false">IF(ISNUMBER(BH315),RANK(BH315,$BH$8:$BH$507,1),"")</f>
        <v/>
      </c>
      <c r="BJ315" s="77" t="str">
        <f aca="false">IF(ISBLANK($C315),"",$B315)</f>
        <v/>
      </c>
      <c r="BK315" s="77" t="str">
        <f aca="false">IF(ISBLANK($C315),"",$C315)</f>
        <v/>
      </c>
      <c r="BL315" s="77" t="str">
        <f aca="false">IF(ISBLANK($C315),"",$D315)</f>
        <v/>
      </c>
      <c r="BM315" s="78" t="str">
        <f aca="false">BA315</f>
        <v/>
      </c>
      <c r="BN315" s="79" t="str">
        <f aca="false">AZ315</f>
        <v/>
      </c>
      <c r="BO315" s="77" t="str">
        <f aca="false">IF(ISBLANK($C315),"",BC315)</f>
        <v/>
      </c>
      <c r="BP315" s="80" t="str">
        <f aca="false">IF($BG315&gt;$BF$7,"",VLOOKUP($BG315,$BI$8:$BO$507,7,FALSE()))</f>
        <v/>
      </c>
      <c r="BQ315" s="81" t="str">
        <f aca="false">IF($BG315&gt;$BF$7,"",VLOOKUP($BG315,$BI$8:$BO$507,2,FALSE()))</f>
        <v/>
      </c>
      <c r="BR315" s="81" t="str">
        <f aca="false">IF($BG315&gt;$BF$7,"",VLOOKUP($BG315,$BI$8:$BO$507,3,FALSE()))</f>
        <v/>
      </c>
      <c r="BS315" s="81" t="str">
        <f aca="false">IF($BG315&gt;$BF$7,"",VLOOKUP($BG315,$BI$8:$BO$507,4,FALSE()))</f>
        <v/>
      </c>
      <c r="BT315" s="81" t="str">
        <f aca="false">IF($BG315&gt;$BF$7,"",VLOOKUP($BG315,$BI$8:$BO$507,5,FALSE()))</f>
        <v/>
      </c>
      <c r="BU315" s="82" t="str">
        <f aca="false">IF($BG315&gt;$BF$7,"",VLOOKUP($BG315,$BI$8:$BO$507,6,FALSE()))</f>
        <v/>
      </c>
      <c r="BV315" s="54"/>
    </row>
    <row r="316" customFormat="false" ht="15.75" hidden="false" customHeight="false" outlineLevel="0" collapsed="false">
      <c r="A316" s="5"/>
      <c r="B316" s="135"/>
      <c r="C316" s="56"/>
      <c r="D316" s="57"/>
      <c r="E316" s="84"/>
      <c r="F316" s="136"/>
      <c r="G316" s="60"/>
      <c r="H316" s="137"/>
      <c r="I316" s="62"/>
      <c r="J316" s="62"/>
      <c r="K316" s="60"/>
      <c r="L316" s="138"/>
      <c r="M316" s="62"/>
      <c r="N316" s="62"/>
      <c r="O316" s="60"/>
      <c r="P316" s="84"/>
      <c r="Q316" s="65"/>
      <c r="R316" s="67" t="str">
        <f aca="false">IF(ISBLANK($C316),"",IF(E316=Constants!$B$2, TRUE(), IF(E316=Constants!$B$3, FALSE(), TRUE())))</f>
        <v/>
      </c>
      <c r="S316" s="67" t="str">
        <f aca="false">IF(ISBLANK($C316),"",IF(F316=Constants!$B$2, TRUE(), IF(F316=Constants!$B$3, FALSE(), TRUE())))</f>
        <v/>
      </c>
      <c r="T316" s="67" t="str">
        <f aca="false">IF(ISBLANK($C316),"",IF(G316=Constants!$B$16,Constants!$B$9,IF(G316=Constants!$B$17,Constants!$B$10,Constants!$B$8)))</f>
        <v/>
      </c>
      <c r="U316" s="67" t="str">
        <f aca="false">IF(ISBLANK($C316),"",IF(H316=Constants!$B$19,Constants!$B$19,Constants!$B$18))</f>
        <v/>
      </c>
      <c r="V316" s="67" t="str">
        <f aca="false">IF(ISBLANK($C316),"",IF(ISNUMBER(I316),IF(I316&gt;=0,I316,""),""))</f>
        <v/>
      </c>
      <c r="W316" s="67" t="str">
        <f aca="false">IF(ISBLANK($C316),"",IF(J316=Constants!$B$2, TRUE(), IF(J316=Constants!$B$3, FALSE(), TRUE())))</f>
        <v/>
      </c>
      <c r="X316" s="67" t="str">
        <f aca="false">IF(ISBLANK($C316),"",IF(K316=Constants!$B$2, TRUE(), IF(K316=Constants!$B$3, FALSE(), TRUE())))</f>
        <v/>
      </c>
      <c r="Y316" s="67" t="str">
        <f aca="false">IF(ISBLANK($C316),"",IF(L316=Constants!$B$19,Constants!$B$19,Constants!$B$18))</f>
        <v/>
      </c>
      <c r="Z316" s="67" t="str">
        <f aca="false">IF(ISBLANK($C316),"",IF(ISNUMBER(M316),IF(M316&gt;=0,M316,""),""))</f>
        <v/>
      </c>
      <c r="AA316" s="67" t="str">
        <f aca="false">IF(ISBLANK($C316),"",IF(N316=Constants!$B$2, TRUE(), IF(N316=Constants!$B$3, FALSE(), TRUE())))</f>
        <v/>
      </c>
      <c r="AB316" s="67" t="str">
        <f aca="false">IF(ISBLANK($C316),"",IF(O316=Constants!$B$2, TRUE(), IF(O316=Constants!$B$3, FALSE(), TRUE())))</f>
        <v/>
      </c>
      <c r="AC316" s="67" t="str">
        <f aca="false">IF(ISBLANK($C316),"",IF(P316=Constants!$B$2, TRUE(), IF(P316=Constants!$B$3, FALSE(), FALSE())))</f>
        <v/>
      </c>
      <c r="AD316" s="67" t="str">
        <f aca="false">IF(ISBLANK($C316),"",AND(V316&lt;&gt;"",IF(U316=Constants!$B$19,S316,R316)))</f>
        <v/>
      </c>
      <c r="AE316" s="67" t="str">
        <f aca="false">IF(ISBLANK($C316),"",AND(Z316&lt;&gt;"",IF(Y316=Constants!$B$19,S316,R316)))</f>
        <v/>
      </c>
      <c r="AF316" s="67" t="str">
        <f aca="false">IF(ISBLANK($C316),"",IF(AC316,Constants!$B$4,IF(COUNTA(E316:O316)=0,Constants!$B$5,IF(AND(NOT(AD316),NOT(AE316)),Constants!$B$6,Constants!$B$7))))</f>
        <v/>
      </c>
      <c r="AG316" s="67" t="str">
        <f aca="false">IF(ISBLANK($C316),"",IF($AF316&lt;&gt;Constants!$B$7,$AF316,Constants!$B$20))</f>
        <v/>
      </c>
      <c r="AH316" s="67" t="str">
        <f aca="false">IF($AF316=Constants!$B$7,IF(AD316,V316,Constants!$B$13),"")</f>
        <v/>
      </c>
      <c r="AI316" s="67" t="str">
        <f aca="false">IF($AF316=Constants!$B$7,IF(AD316,T316*IF(W316, 1, Constants!$B$11)*IF(X316, 1, Constants!$B$12),Constants!$B$13),"")</f>
        <v/>
      </c>
      <c r="AJ316" s="67" t="str">
        <f aca="false">IF($AF316=Constants!$B$7,AH316*AI316,"")</f>
        <v/>
      </c>
      <c r="AK316" s="67" t="str">
        <f aca="false">IF($AF316=Constants!$B$7,IF(AE316,Z316,Constants!$B$13),"")</f>
        <v/>
      </c>
      <c r="AL316" s="67" t="str">
        <f aca="false">IF($AF316=Constants!$B$7,IF(AE316,T316*IF(AA316, 1, Constants!$B$11)*IF(AB316, 1, Constants!$B$12),Constants!$B$13),"")</f>
        <v/>
      </c>
      <c r="AM316" s="67" t="str">
        <f aca="false">IF($AF316=Constants!$B$7,AK316*AL316,"")</f>
        <v/>
      </c>
      <c r="AN316" s="67" t="str">
        <f aca="false">IF($AF316=Constants!$B$7,IF(AM316&gt;AJ316,2,1),"")</f>
        <v/>
      </c>
      <c r="AO316" s="67" t="str">
        <f aca="false">IF($AF316=Constants!$B$7,IF(AN316=1,2,1),"")</f>
        <v/>
      </c>
      <c r="AP316" s="67" t="str">
        <f aca="false">IF(ISBLANK($C316),"",IF($AF316&lt;&gt;Constants!$B$7,$AF316,IF(AN316=1,AJ316,AM316)))</f>
        <v/>
      </c>
      <c r="AQ316" s="67" t="str">
        <f aca="false">IF(ISBLANK($C316),"",IF($AF316=Constants!$B$7,IF(ISNUMBER(AP316),RANK(AP316,$AP$8:$AP$507),Constants!$B$14),$AF316))</f>
        <v/>
      </c>
      <c r="AR316" s="67" t="str">
        <f aca="false">IF(ISBLANK($C316),"",IF($AF316=Constants!$B$7,IF(AO316=1,AJ316,AM316),""))</f>
        <v/>
      </c>
      <c r="AS316" s="67" t="str">
        <f aca="false">IF(ISBLANK($C316),"",IF($AF316=Constants!$B$7,RANK(AR316,$AR$8:$AR$507),$AF316))</f>
        <v/>
      </c>
      <c r="AT316" s="67" t="str">
        <f aca="false">IF(ISBLANK($C316),"",IF($AF316=Constants!$B$7,IF(ISNUMBER(AQ316),COUNTIFS($AQ$8:$AQ$507,"&lt;"&amp;$AQ316)+COUNTIFS($AQ$8:$AQ$507,$AQ316,$AS$8:$AS$507,"&lt;"&amp;$AS316)+1,Constants!$B$14),$AF316))</f>
        <v/>
      </c>
      <c r="AU316" s="67" t="str">
        <f aca="false">IF(ISBLANK($C316),"",IF($AF316=Constants!$B$7,IF(ISNUMBER(AQ316),AQ316-AT316,Constants!$B$14),$AF316))</f>
        <v/>
      </c>
      <c r="AV316" s="69"/>
      <c r="AW316" s="70" t="str">
        <f aca="false">IF(ISBLANK($C316),"",IF($AF316&lt;&gt;Constants!$B$7,"",AN316))</f>
        <v/>
      </c>
      <c r="AX316" s="85" t="str">
        <f aca="false">IF(ISBLANK($C316),"",IF($AF316&lt;&gt;Constants!$B$7,"",IF(AN316=1,AH316,AK316)))</f>
        <v/>
      </c>
      <c r="AY316" s="72" t="str">
        <f aca="false">IF(ISBLANK($C316),"",IF($AF316&lt;&gt;Constants!$B$7,"",IF(AN316=1,AI316,AL316)))</f>
        <v/>
      </c>
      <c r="AZ316" s="73" t="str">
        <f aca="false">IF(ISBLANK($C316),"",IF($AF316&lt;&gt;Constants!$B$7,$AF316,AP316))</f>
        <v/>
      </c>
      <c r="BA316" s="74" t="str">
        <f aca="false">IF(ISBLANK($C316),"",IF($AF316&lt;&gt;Constants!$B$7,$AF316,AG316))</f>
        <v/>
      </c>
      <c r="BB316" s="75" t="str">
        <f aca="false">IF(ISBLANK($C316),"",AU316)</f>
        <v/>
      </c>
      <c r="BC316" s="75" t="str">
        <f aca="false">IF(ISBLANK($C316),"",AT316)</f>
        <v/>
      </c>
      <c r="BD316" s="76" t="str">
        <f aca="false">IF(ISBLANK($C316),"",IFERROR(_xlfn.SWITCH(BC316,Constants!$B$4,COUNTA($C$8:$C$507)+2,Constants!$B$5,COUNTA($C$8:$C$507)+1,Constants!$B$6,COUNTA($C$8:$C$507)),BC316))</f>
        <v/>
      </c>
      <c r="BE316" s="5"/>
      <c r="BF316" s="77" t="n">
        <f aca="false">IF(OR(ISNUMBER(BC316),BC316=Constants!$B$4,BC316=Constants!$B$6,BC316=Constants!$B$5),1,0)</f>
        <v>0</v>
      </c>
      <c r="BG316" s="77" t="n">
        <v>309</v>
      </c>
      <c r="BH316" s="77" t="str">
        <f aca="false">IF(ISBLANK($C316),"",IF(ISNUMBER(BD316),BD316+ROW($B316)/1000,""))</f>
        <v/>
      </c>
      <c r="BI316" s="77" t="str">
        <f aca="false">IF(ISNUMBER(BH316),RANK(BH316,$BH$8:$BH$507,1),"")</f>
        <v/>
      </c>
      <c r="BJ316" s="77" t="str">
        <f aca="false">IF(ISBLANK($C316),"",$B316)</f>
        <v/>
      </c>
      <c r="BK316" s="77" t="str">
        <f aca="false">IF(ISBLANK($C316),"",$C316)</f>
        <v/>
      </c>
      <c r="BL316" s="77" t="str">
        <f aca="false">IF(ISBLANK($C316),"",$D316)</f>
        <v/>
      </c>
      <c r="BM316" s="78" t="str">
        <f aca="false">BA316</f>
        <v/>
      </c>
      <c r="BN316" s="79" t="str">
        <f aca="false">AZ316</f>
        <v/>
      </c>
      <c r="BO316" s="77" t="str">
        <f aca="false">IF(ISBLANK($C316),"",BC316)</f>
        <v/>
      </c>
      <c r="BP316" s="80" t="str">
        <f aca="false">IF($BG316&gt;$BF$7,"",VLOOKUP($BG316,$BI$8:$BO$507,7,FALSE()))</f>
        <v/>
      </c>
      <c r="BQ316" s="81" t="str">
        <f aca="false">IF($BG316&gt;$BF$7,"",VLOOKUP($BG316,$BI$8:$BO$507,2,FALSE()))</f>
        <v/>
      </c>
      <c r="BR316" s="81" t="str">
        <f aca="false">IF($BG316&gt;$BF$7,"",VLOOKUP($BG316,$BI$8:$BO$507,3,FALSE()))</f>
        <v/>
      </c>
      <c r="BS316" s="81" t="str">
        <f aca="false">IF($BG316&gt;$BF$7,"",VLOOKUP($BG316,$BI$8:$BO$507,4,FALSE()))</f>
        <v/>
      </c>
      <c r="BT316" s="81" t="str">
        <f aca="false">IF($BG316&gt;$BF$7,"",VLOOKUP($BG316,$BI$8:$BO$507,5,FALSE()))</f>
        <v/>
      </c>
      <c r="BU316" s="82" t="str">
        <f aca="false">IF($BG316&gt;$BF$7,"",VLOOKUP($BG316,$BI$8:$BO$507,6,FALSE()))</f>
        <v/>
      </c>
      <c r="BV316" s="54"/>
    </row>
    <row r="317" customFormat="false" ht="15.75" hidden="false" customHeight="false" outlineLevel="0" collapsed="false">
      <c r="A317" s="5"/>
      <c r="B317" s="128"/>
      <c r="C317" s="129"/>
      <c r="D317" s="114"/>
      <c r="E317" s="134"/>
      <c r="F317" s="139"/>
      <c r="G317" s="93"/>
      <c r="H317" s="140"/>
      <c r="I317" s="95"/>
      <c r="J317" s="95"/>
      <c r="K317" s="93"/>
      <c r="L317" s="141"/>
      <c r="M317" s="95"/>
      <c r="N317" s="95"/>
      <c r="O317" s="93"/>
      <c r="P317" s="134"/>
      <c r="Q317" s="98"/>
      <c r="R317" s="99" t="str">
        <f aca="false">IF(ISBLANK($C317),"",IF(E317=Constants!$B$2, TRUE(), IF(E317=Constants!$B$3, FALSE(), TRUE())))</f>
        <v/>
      </c>
      <c r="S317" s="99" t="str">
        <f aca="false">IF(ISBLANK($C317),"",IF(F317=Constants!$B$2, TRUE(), IF(F317=Constants!$B$3, FALSE(), TRUE())))</f>
        <v/>
      </c>
      <c r="T317" s="99" t="str">
        <f aca="false">IF(ISBLANK($C317),"",IF(G317=Constants!$B$16,Constants!$B$9,IF(G317=Constants!$B$17,Constants!$B$10,Constants!$B$8)))</f>
        <v/>
      </c>
      <c r="U317" s="99" t="str">
        <f aca="false">IF(ISBLANK($C317),"",IF(H317=Constants!$B$19,Constants!$B$19,Constants!$B$18))</f>
        <v/>
      </c>
      <c r="V317" s="99" t="str">
        <f aca="false">IF(ISBLANK($C317),"",IF(ISNUMBER(I317),IF(I317&gt;=0,I317,""),""))</f>
        <v/>
      </c>
      <c r="W317" s="99" t="str">
        <f aca="false">IF(ISBLANK($C317),"",IF(J317=Constants!$B$2, TRUE(), IF(J317=Constants!$B$3, FALSE(), TRUE())))</f>
        <v/>
      </c>
      <c r="X317" s="99" t="str">
        <f aca="false">IF(ISBLANK($C317),"",IF(K317=Constants!$B$2, TRUE(), IF(K317=Constants!$B$3, FALSE(), TRUE())))</f>
        <v/>
      </c>
      <c r="Y317" s="99" t="str">
        <f aca="false">IF(ISBLANK($C317),"",IF(L317=Constants!$B$19,Constants!$B$19,Constants!$B$18))</f>
        <v/>
      </c>
      <c r="Z317" s="99" t="str">
        <f aca="false">IF(ISBLANK($C317),"",IF(ISNUMBER(M317),IF(M317&gt;=0,M317,""),""))</f>
        <v/>
      </c>
      <c r="AA317" s="99" t="str">
        <f aca="false">IF(ISBLANK($C317),"",IF(N317=Constants!$B$2, TRUE(), IF(N317=Constants!$B$3, FALSE(), TRUE())))</f>
        <v/>
      </c>
      <c r="AB317" s="99" t="str">
        <f aca="false">IF(ISBLANK($C317),"",IF(O317=Constants!$B$2, TRUE(), IF(O317=Constants!$B$3, FALSE(), TRUE())))</f>
        <v/>
      </c>
      <c r="AC317" s="99" t="str">
        <f aca="false">IF(ISBLANK($C317),"",IF(P317=Constants!$B$2, TRUE(), IF(P317=Constants!$B$3, FALSE(), FALSE())))</f>
        <v/>
      </c>
      <c r="AD317" s="99" t="str">
        <f aca="false">IF(ISBLANK($C317),"",AND(V317&lt;&gt;"",IF(U317=Constants!$B$19,S317,R317)))</f>
        <v/>
      </c>
      <c r="AE317" s="99" t="str">
        <f aca="false">IF(ISBLANK($C317),"",AND(Z317&lt;&gt;"",IF(Y317=Constants!$B$19,S317,R317)))</f>
        <v/>
      </c>
      <c r="AF317" s="99" t="str">
        <f aca="false">IF(ISBLANK($C317),"",IF(AC317,Constants!$B$4,IF(COUNTA(E317:O317)=0,Constants!$B$5,IF(AND(NOT(AD317),NOT(AE317)),Constants!$B$6,Constants!$B$7))))</f>
        <v/>
      </c>
      <c r="AG317" s="99" t="str">
        <f aca="false">IF(ISBLANK($C317),"",IF($AF317&lt;&gt;Constants!$B$7,$AF317,Constants!$B$20))</f>
        <v/>
      </c>
      <c r="AH317" s="99" t="str">
        <f aca="false">IF($AF317=Constants!$B$7,IF(AD317,V317,Constants!$B$13),"")</f>
        <v/>
      </c>
      <c r="AI317" s="99" t="str">
        <f aca="false">IF($AF317=Constants!$B$7,IF(AD317,T317*IF(W317, 1, Constants!$B$11)*IF(X317, 1, Constants!$B$12),Constants!$B$13),"")</f>
        <v/>
      </c>
      <c r="AJ317" s="99" t="str">
        <f aca="false">IF($AF317=Constants!$B$7,AH317*AI317,"")</f>
        <v/>
      </c>
      <c r="AK317" s="99" t="str">
        <f aca="false">IF($AF317=Constants!$B$7,IF(AE317,Z317,Constants!$B$13),"")</f>
        <v/>
      </c>
      <c r="AL317" s="99" t="str">
        <f aca="false">IF($AF317=Constants!$B$7,IF(AE317,T317*IF(AA317, 1, Constants!$B$11)*IF(AB317, 1, Constants!$B$12),Constants!$B$13),"")</f>
        <v/>
      </c>
      <c r="AM317" s="99" t="str">
        <f aca="false">IF($AF317=Constants!$B$7,AK317*AL317,"")</f>
        <v/>
      </c>
      <c r="AN317" s="99" t="str">
        <f aca="false">IF($AF317=Constants!$B$7,IF(AM317&gt;AJ317,2,1),"")</f>
        <v/>
      </c>
      <c r="AO317" s="99" t="str">
        <f aca="false">IF($AF317=Constants!$B$7,IF(AN317=1,2,1),"")</f>
        <v/>
      </c>
      <c r="AP317" s="99" t="str">
        <f aca="false">IF(ISBLANK($C317),"",IF($AF317&lt;&gt;Constants!$B$7,$AF317,IF(AN317=1,AJ317,AM317)))</f>
        <v/>
      </c>
      <c r="AQ317" s="99" t="str">
        <f aca="false">IF(ISBLANK($C317),"",IF($AF317=Constants!$B$7,IF(ISNUMBER(AP317),RANK(AP317,$AP$8:$AP$507),Constants!$B$14),$AF317))</f>
        <v/>
      </c>
      <c r="AR317" s="99" t="str">
        <f aca="false">IF(ISBLANK($C317),"",IF($AF317=Constants!$B$7,IF(AO317=1,AJ317,AM317),""))</f>
        <v/>
      </c>
      <c r="AS317" s="99" t="str">
        <f aca="false">IF(ISBLANK($C317),"",IF($AF317=Constants!$B$7,RANK(AR317,$AR$8:$AR$507),$AF317))</f>
        <v/>
      </c>
      <c r="AT317" s="99" t="str">
        <f aca="false">IF(ISBLANK($C317),"",IF($AF317=Constants!$B$7,IF(ISNUMBER(AQ317),COUNTIFS($AQ$8:$AQ$507,"&lt;"&amp;$AQ317)+COUNTIFS($AQ$8:$AQ$507,$AQ317,$AS$8:$AS$507,"&lt;"&amp;$AS317)+1,Constants!$B$14),$AF317))</f>
        <v/>
      </c>
      <c r="AU317" s="99" t="str">
        <f aca="false">IF(ISBLANK($C317),"",IF($AF317=Constants!$B$7,IF(ISNUMBER(AQ317),AQ317-AT317,Constants!$B$14),$AF317))</f>
        <v/>
      </c>
      <c r="AV317" s="100"/>
      <c r="AW317" s="101" t="str">
        <f aca="false">IF(ISBLANK($C317),"",IF($AF317&lt;&gt;Constants!$B$7,"",AN317))</f>
        <v/>
      </c>
      <c r="AX317" s="102" t="str">
        <f aca="false">IF(ISBLANK($C317),"",IF($AF317&lt;&gt;Constants!$B$7,"",IF(AN317=1,AH317,AK317)))</f>
        <v/>
      </c>
      <c r="AY317" s="103" t="str">
        <f aca="false">IF(ISBLANK($C317),"",IF($AF317&lt;&gt;Constants!$B$7,"",IF(AN317=1,AI317,AL317)))</f>
        <v/>
      </c>
      <c r="AZ317" s="104" t="str">
        <f aca="false">IF(ISBLANK($C317),"",IF($AF317&lt;&gt;Constants!$B$7,$AF317,AP317))</f>
        <v/>
      </c>
      <c r="BA317" s="105" t="str">
        <f aca="false">IF(ISBLANK($C317),"",IF($AF317&lt;&gt;Constants!$B$7,$AF317,AG317))</f>
        <v/>
      </c>
      <c r="BB317" s="106" t="str">
        <f aca="false">IF(ISBLANK($C317),"",AU317)</f>
        <v/>
      </c>
      <c r="BC317" s="106" t="str">
        <f aca="false">IF(ISBLANK($C317),"",AT317)</f>
        <v/>
      </c>
      <c r="BD317" s="107" t="str">
        <f aca="false">IF(ISBLANK($C317),"",IFERROR(_xlfn.SWITCH(BC317,Constants!$B$4,COUNTA($C$8:$C$507)+2,Constants!$B$5,COUNTA($C$8:$C$507)+1,Constants!$B$6,COUNTA($C$8:$C$507)),BC317))</f>
        <v/>
      </c>
      <c r="BE317" s="5"/>
      <c r="BF317" s="108" t="n">
        <f aca="false">IF(OR(ISNUMBER(BC317),BC317=Constants!$B$4,BC317=Constants!$B$6,BC317=Constants!$B$5),1,0)</f>
        <v>0</v>
      </c>
      <c r="BG317" s="108" t="n">
        <v>310</v>
      </c>
      <c r="BH317" s="108" t="str">
        <f aca="false">IF(ISBLANK($C317),"",IF(ISNUMBER(BD317),BD317+ROW($B317)/1000,""))</f>
        <v/>
      </c>
      <c r="BI317" s="108" t="str">
        <f aca="false">IF(ISNUMBER(BH317),RANK(BH317,$BH$8:$BH$507,1),"")</f>
        <v/>
      </c>
      <c r="BJ317" s="108" t="str">
        <f aca="false">IF(ISBLANK($C317),"",$B317)</f>
        <v/>
      </c>
      <c r="BK317" s="108" t="str">
        <f aca="false">IF(ISBLANK($C317),"",$C317)</f>
        <v/>
      </c>
      <c r="BL317" s="108" t="str">
        <f aca="false">IF(ISBLANK($C317),"",$D317)</f>
        <v/>
      </c>
      <c r="BM317" s="109" t="str">
        <f aca="false">BA317</f>
        <v/>
      </c>
      <c r="BN317" s="110" t="str">
        <f aca="false">AZ317</f>
        <v/>
      </c>
      <c r="BO317" s="108" t="str">
        <f aca="false">IF(ISBLANK($C317),"",BC317)</f>
        <v/>
      </c>
      <c r="BP317" s="111" t="str">
        <f aca="false">IF($BG317&gt;$BF$7,"",VLOOKUP($BG317,$BI$8:$BO$507,7,FALSE()))</f>
        <v/>
      </c>
      <c r="BQ317" s="112" t="str">
        <f aca="false">IF($BG317&gt;$BF$7,"",VLOOKUP($BG317,$BI$8:$BO$507,2,FALSE()))</f>
        <v/>
      </c>
      <c r="BR317" s="112" t="str">
        <f aca="false">IF($BG317&gt;$BF$7,"",VLOOKUP($BG317,$BI$8:$BO$507,3,FALSE()))</f>
        <v/>
      </c>
      <c r="BS317" s="112" t="str">
        <f aca="false">IF($BG317&gt;$BF$7,"",VLOOKUP($BG317,$BI$8:$BO$507,4,FALSE()))</f>
        <v/>
      </c>
      <c r="BT317" s="112" t="str">
        <f aca="false">IF($BG317&gt;$BF$7,"",VLOOKUP($BG317,$BI$8:$BO$507,5,FALSE()))</f>
        <v/>
      </c>
      <c r="BU317" s="113" t="str">
        <f aca="false">IF($BG317&gt;$BF$7,"",VLOOKUP($BG317,$BI$8:$BO$507,6,FALSE()))</f>
        <v/>
      </c>
      <c r="BV317" s="54"/>
    </row>
    <row r="318" customFormat="false" ht="15.75" hidden="false" customHeight="false" outlineLevel="0" collapsed="false">
      <c r="A318" s="5"/>
      <c r="B318" s="128"/>
      <c r="C318" s="129"/>
      <c r="D318" s="114"/>
      <c r="E318" s="134"/>
      <c r="F318" s="139"/>
      <c r="G318" s="93"/>
      <c r="H318" s="140"/>
      <c r="I318" s="95"/>
      <c r="J318" s="95"/>
      <c r="K318" s="93"/>
      <c r="L318" s="141"/>
      <c r="M318" s="95"/>
      <c r="N318" s="95"/>
      <c r="O318" s="93"/>
      <c r="P318" s="134"/>
      <c r="Q318" s="98"/>
      <c r="R318" s="99" t="str">
        <f aca="false">IF(ISBLANK($C318),"",IF(E318=Constants!$B$2, TRUE(), IF(E318=Constants!$B$3, FALSE(), TRUE())))</f>
        <v/>
      </c>
      <c r="S318" s="99" t="str">
        <f aca="false">IF(ISBLANK($C318),"",IF(F318=Constants!$B$2, TRUE(), IF(F318=Constants!$B$3, FALSE(), TRUE())))</f>
        <v/>
      </c>
      <c r="T318" s="99" t="str">
        <f aca="false">IF(ISBLANK($C318),"",IF(G318=Constants!$B$16,Constants!$B$9,IF(G318=Constants!$B$17,Constants!$B$10,Constants!$B$8)))</f>
        <v/>
      </c>
      <c r="U318" s="99" t="str">
        <f aca="false">IF(ISBLANK($C318),"",IF(H318=Constants!$B$19,Constants!$B$19,Constants!$B$18))</f>
        <v/>
      </c>
      <c r="V318" s="99" t="str">
        <f aca="false">IF(ISBLANK($C318),"",IF(ISNUMBER(I318),IF(I318&gt;=0,I318,""),""))</f>
        <v/>
      </c>
      <c r="W318" s="99" t="str">
        <f aca="false">IF(ISBLANK($C318),"",IF(J318=Constants!$B$2, TRUE(), IF(J318=Constants!$B$3, FALSE(), TRUE())))</f>
        <v/>
      </c>
      <c r="X318" s="99" t="str">
        <f aca="false">IF(ISBLANK($C318),"",IF(K318=Constants!$B$2, TRUE(), IF(K318=Constants!$B$3, FALSE(), TRUE())))</f>
        <v/>
      </c>
      <c r="Y318" s="99" t="str">
        <f aca="false">IF(ISBLANK($C318),"",IF(L318=Constants!$B$19,Constants!$B$19,Constants!$B$18))</f>
        <v/>
      </c>
      <c r="Z318" s="99" t="str">
        <f aca="false">IF(ISBLANK($C318),"",IF(ISNUMBER(M318),IF(M318&gt;=0,M318,""),""))</f>
        <v/>
      </c>
      <c r="AA318" s="99" t="str">
        <f aca="false">IF(ISBLANK($C318),"",IF(N318=Constants!$B$2, TRUE(), IF(N318=Constants!$B$3, FALSE(), TRUE())))</f>
        <v/>
      </c>
      <c r="AB318" s="99" t="str">
        <f aca="false">IF(ISBLANK($C318),"",IF(O318=Constants!$B$2, TRUE(), IF(O318=Constants!$B$3, FALSE(), TRUE())))</f>
        <v/>
      </c>
      <c r="AC318" s="99" t="str">
        <f aca="false">IF(ISBLANK($C318),"",IF(P318=Constants!$B$2, TRUE(), IF(P318=Constants!$B$3, FALSE(), FALSE())))</f>
        <v/>
      </c>
      <c r="AD318" s="99" t="str">
        <f aca="false">IF(ISBLANK($C318),"",AND(V318&lt;&gt;"",IF(U318=Constants!$B$19,S318,R318)))</f>
        <v/>
      </c>
      <c r="AE318" s="99" t="str">
        <f aca="false">IF(ISBLANK($C318),"",AND(Z318&lt;&gt;"",IF(Y318=Constants!$B$19,S318,R318)))</f>
        <v/>
      </c>
      <c r="AF318" s="99" t="str">
        <f aca="false">IF(ISBLANK($C318),"",IF(AC318,Constants!$B$4,IF(COUNTA(E318:O318)=0,Constants!$B$5,IF(AND(NOT(AD318),NOT(AE318)),Constants!$B$6,Constants!$B$7))))</f>
        <v/>
      </c>
      <c r="AG318" s="99" t="str">
        <f aca="false">IF(ISBLANK($C318),"",IF($AF318&lt;&gt;Constants!$B$7,$AF318,Constants!$B$20))</f>
        <v/>
      </c>
      <c r="AH318" s="99" t="str">
        <f aca="false">IF($AF318=Constants!$B$7,IF(AD318,V318,Constants!$B$13),"")</f>
        <v/>
      </c>
      <c r="AI318" s="99" t="str">
        <f aca="false">IF($AF318=Constants!$B$7,IF(AD318,T318*IF(W318, 1, Constants!$B$11)*IF(X318, 1, Constants!$B$12),Constants!$B$13),"")</f>
        <v/>
      </c>
      <c r="AJ318" s="99" t="str">
        <f aca="false">IF($AF318=Constants!$B$7,AH318*AI318,"")</f>
        <v/>
      </c>
      <c r="AK318" s="99" t="str">
        <f aca="false">IF($AF318=Constants!$B$7,IF(AE318,Z318,Constants!$B$13),"")</f>
        <v/>
      </c>
      <c r="AL318" s="99" t="str">
        <f aca="false">IF($AF318=Constants!$B$7,IF(AE318,T318*IF(AA318, 1, Constants!$B$11)*IF(AB318, 1, Constants!$B$12),Constants!$B$13),"")</f>
        <v/>
      </c>
      <c r="AM318" s="99" t="str">
        <f aca="false">IF($AF318=Constants!$B$7,AK318*AL318,"")</f>
        <v/>
      </c>
      <c r="AN318" s="99" t="str">
        <f aca="false">IF($AF318=Constants!$B$7,IF(AM318&gt;AJ318,2,1),"")</f>
        <v/>
      </c>
      <c r="AO318" s="99" t="str">
        <f aca="false">IF($AF318=Constants!$B$7,IF(AN318=1,2,1),"")</f>
        <v/>
      </c>
      <c r="AP318" s="99" t="str">
        <f aca="false">IF(ISBLANK($C318),"",IF($AF318&lt;&gt;Constants!$B$7,$AF318,IF(AN318=1,AJ318,AM318)))</f>
        <v/>
      </c>
      <c r="AQ318" s="99" t="str">
        <f aca="false">IF(ISBLANK($C318),"",IF($AF318=Constants!$B$7,IF(ISNUMBER(AP318),RANK(AP318,$AP$8:$AP$507),Constants!$B$14),$AF318))</f>
        <v/>
      </c>
      <c r="AR318" s="99" t="str">
        <f aca="false">IF(ISBLANK($C318),"",IF($AF318=Constants!$B$7,IF(AO318=1,AJ318,AM318),""))</f>
        <v/>
      </c>
      <c r="AS318" s="99" t="str">
        <f aca="false">IF(ISBLANK($C318),"",IF($AF318=Constants!$B$7,RANK(AR318,$AR$8:$AR$507),$AF318))</f>
        <v/>
      </c>
      <c r="AT318" s="99" t="str">
        <f aca="false">IF(ISBLANK($C318),"",IF($AF318=Constants!$B$7,IF(ISNUMBER(AQ318),COUNTIFS($AQ$8:$AQ$507,"&lt;"&amp;$AQ318)+COUNTIFS($AQ$8:$AQ$507,$AQ318,$AS$8:$AS$507,"&lt;"&amp;$AS318)+1,Constants!$B$14),$AF318))</f>
        <v/>
      </c>
      <c r="AU318" s="99" t="str">
        <f aca="false">IF(ISBLANK($C318),"",IF($AF318=Constants!$B$7,IF(ISNUMBER(AQ318),AQ318-AT318,Constants!$B$14),$AF318))</f>
        <v/>
      </c>
      <c r="AV318" s="100"/>
      <c r="AW318" s="101" t="str">
        <f aca="false">IF(ISBLANK($C318),"",IF($AF318&lt;&gt;Constants!$B$7,"",AN318))</f>
        <v/>
      </c>
      <c r="AX318" s="102" t="str">
        <f aca="false">IF(ISBLANK($C318),"",IF($AF318&lt;&gt;Constants!$B$7,"",IF(AN318=1,AH318,AK318)))</f>
        <v/>
      </c>
      <c r="AY318" s="103" t="str">
        <f aca="false">IF(ISBLANK($C318),"",IF($AF318&lt;&gt;Constants!$B$7,"",IF(AN318=1,AI318,AL318)))</f>
        <v/>
      </c>
      <c r="AZ318" s="104" t="str">
        <f aca="false">IF(ISBLANK($C318),"",IF($AF318&lt;&gt;Constants!$B$7,$AF318,AP318))</f>
        <v/>
      </c>
      <c r="BA318" s="105" t="str">
        <f aca="false">IF(ISBLANK($C318),"",IF($AF318&lt;&gt;Constants!$B$7,$AF318,AG318))</f>
        <v/>
      </c>
      <c r="BB318" s="106" t="str">
        <f aca="false">IF(ISBLANK($C318),"",AU318)</f>
        <v/>
      </c>
      <c r="BC318" s="106" t="str">
        <f aca="false">IF(ISBLANK($C318),"",AT318)</f>
        <v/>
      </c>
      <c r="BD318" s="107" t="str">
        <f aca="false">IF(ISBLANK($C318),"",IFERROR(_xlfn.SWITCH(BC318,Constants!$B$4,COUNTA($C$8:$C$507)+2,Constants!$B$5,COUNTA($C$8:$C$507)+1,Constants!$B$6,COUNTA($C$8:$C$507)),BC318))</f>
        <v/>
      </c>
      <c r="BE318" s="5"/>
      <c r="BF318" s="108" t="n">
        <f aca="false">IF(OR(ISNUMBER(BC318),BC318=Constants!$B$4,BC318=Constants!$B$6,BC318=Constants!$B$5),1,0)</f>
        <v>0</v>
      </c>
      <c r="BG318" s="108" t="n">
        <v>311</v>
      </c>
      <c r="BH318" s="108" t="str">
        <f aca="false">IF(ISBLANK($C318),"",IF(ISNUMBER(BD318),BD318+ROW($B318)/1000,""))</f>
        <v/>
      </c>
      <c r="BI318" s="108" t="str">
        <f aca="false">IF(ISNUMBER(BH318),RANK(BH318,$BH$8:$BH$507,1),"")</f>
        <v/>
      </c>
      <c r="BJ318" s="108" t="str">
        <f aca="false">IF(ISBLANK($C318),"",$B318)</f>
        <v/>
      </c>
      <c r="BK318" s="108" t="str">
        <f aca="false">IF(ISBLANK($C318),"",$C318)</f>
        <v/>
      </c>
      <c r="BL318" s="108" t="str">
        <f aca="false">IF(ISBLANK($C318),"",$D318)</f>
        <v/>
      </c>
      <c r="BM318" s="109" t="str">
        <f aca="false">BA318</f>
        <v/>
      </c>
      <c r="BN318" s="110" t="str">
        <f aca="false">AZ318</f>
        <v/>
      </c>
      <c r="BO318" s="108" t="str">
        <f aca="false">IF(ISBLANK($C318),"",BC318)</f>
        <v/>
      </c>
      <c r="BP318" s="111" t="str">
        <f aca="false">IF($BG318&gt;$BF$7,"",VLOOKUP($BG318,$BI$8:$BO$507,7,FALSE()))</f>
        <v/>
      </c>
      <c r="BQ318" s="112" t="str">
        <f aca="false">IF($BG318&gt;$BF$7,"",VLOOKUP($BG318,$BI$8:$BO$507,2,FALSE()))</f>
        <v/>
      </c>
      <c r="BR318" s="112" t="str">
        <f aca="false">IF($BG318&gt;$BF$7,"",VLOOKUP($BG318,$BI$8:$BO$507,3,FALSE()))</f>
        <v/>
      </c>
      <c r="BS318" s="112" t="str">
        <f aca="false">IF($BG318&gt;$BF$7,"",VLOOKUP($BG318,$BI$8:$BO$507,4,FALSE()))</f>
        <v/>
      </c>
      <c r="BT318" s="112" t="str">
        <f aca="false">IF($BG318&gt;$BF$7,"",VLOOKUP($BG318,$BI$8:$BO$507,5,FALSE()))</f>
        <v/>
      </c>
      <c r="BU318" s="113" t="str">
        <f aca="false">IF($BG318&gt;$BF$7,"",VLOOKUP($BG318,$BI$8:$BO$507,6,FALSE()))</f>
        <v/>
      </c>
      <c r="BV318" s="54"/>
    </row>
    <row r="319" customFormat="false" ht="15.75" hidden="false" customHeight="false" outlineLevel="0" collapsed="false">
      <c r="A319" s="5"/>
      <c r="B319" s="128"/>
      <c r="C319" s="129"/>
      <c r="D319" s="114"/>
      <c r="E319" s="134"/>
      <c r="F319" s="139"/>
      <c r="G319" s="93"/>
      <c r="H319" s="140"/>
      <c r="I319" s="95"/>
      <c r="J319" s="95"/>
      <c r="K319" s="93"/>
      <c r="L319" s="141"/>
      <c r="M319" s="95"/>
      <c r="N319" s="95"/>
      <c r="O319" s="93"/>
      <c r="P319" s="134"/>
      <c r="Q319" s="98"/>
      <c r="R319" s="99" t="str">
        <f aca="false">IF(ISBLANK($C319),"",IF(E319=Constants!$B$2, TRUE(), IF(E319=Constants!$B$3, FALSE(), TRUE())))</f>
        <v/>
      </c>
      <c r="S319" s="99" t="str">
        <f aca="false">IF(ISBLANK($C319),"",IF(F319=Constants!$B$2, TRUE(), IF(F319=Constants!$B$3, FALSE(), TRUE())))</f>
        <v/>
      </c>
      <c r="T319" s="99" t="str">
        <f aca="false">IF(ISBLANK($C319),"",IF(G319=Constants!$B$16,Constants!$B$9,IF(G319=Constants!$B$17,Constants!$B$10,Constants!$B$8)))</f>
        <v/>
      </c>
      <c r="U319" s="99" t="str">
        <f aca="false">IF(ISBLANK($C319),"",IF(H319=Constants!$B$19,Constants!$B$19,Constants!$B$18))</f>
        <v/>
      </c>
      <c r="V319" s="99" t="str">
        <f aca="false">IF(ISBLANK($C319),"",IF(ISNUMBER(I319),IF(I319&gt;=0,I319,""),""))</f>
        <v/>
      </c>
      <c r="W319" s="99" t="str">
        <f aca="false">IF(ISBLANK($C319),"",IF(J319=Constants!$B$2, TRUE(), IF(J319=Constants!$B$3, FALSE(), TRUE())))</f>
        <v/>
      </c>
      <c r="X319" s="99" t="str">
        <f aca="false">IF(ISBLANK($C319),"",IF(K319=Constants!$B$2, TRUE(), IF(K319=Constants!$B$3, FALSE(), TRUE())))</f>
        <v/>
      </c>
      <c r="Y319" s="99" t="str">
        <f aca="false">IF(ISBLANK($C319),"",IF(L319=Constants!$B$19,Constants!$B$19,Constants!$B$18))</f>
        <v/>
      </c>
      <c r="Z319" s="99" t="str">
        <f aca="false">IF(ISBLANK($C319),"",IF(ISNUMBER(M319),IF(M319&gt;=0,M319,""),""))</f>
        <v/>
      </c>
      <c r="AA319" s="99" t="str">
        <f aca="false">IF(ISBLANK($C319),"",IF(N319=Constants!$B$2, TRUE(), IF(N319=Constants!$B$3, FALSE(), TRUE())))</f>
        <v/>
      </c>
      <c r="AB319" s="99" t="str">
        <f aca="false">IF(ISBLANK($C319),"",IF(O319=Constants!$B$2, TRUE(), IF(O319=Constants!$B$3, FALSE(), TRUE())))</f>
        <v/>
      </c>
      <c r="AC319" s="99" t="str">
        <f aca="false">IF(ISBLANK($C319),"",IF(P319=Constants!$B$2, TRUE(), IF(P319=Constants!$B$3, FALSE(), FALSE())))</f>
        <v/>
      </c>
      <c r="AD319" s="99" t="str">
        <f aca="false">IF(ISBLANK($C319),"",AND(V319&lt;&gt;"",IF(U319=Constants!$B$19,S319,R319)))</f>
        <v/>
      </c>
      <c r="AE319" s="99" t="str">
        <f aca="false">IF(ISBLANK($C319),"",AND(Z319&lt;&gt;"",IF(Y319=Constants!$B$19,S319,R319)))</f>
        <v/>
      </c>
      <c r="AF319" s="99" t="str">
        <f aca="false">IF(ISBLANK($C319),"",IF(AC319,Constants!$B$4,IF(COUNTA(E319:O319)=0,Constants!$B$5,IF(AND(NOT(AD319),NOT(AE319)),Constants!$B$6,Constants!$B$7))))</f>
        <v/>
      </c>
      <c r="AG319" s="99" t="str">
        <f aca="false">IF(ISBLANK($C319),"",IF($AF319&lt;&gt;Constants!$B$7,$AF319,Constants!$B$20))</f>
        <v/>
      </c>
      <c r="AH319" s="99" t="str">
        <f aca="false">IF($AF319=Constants!$B$7,IF(AD319,V319,Constants!$B$13),"")</f>
        <v/>
      </c>
      <c r="AI319" s="99" t="str">
        <f aca="false">IF($AF319=Constants!$B$7,IF(AD319,T319*IF(W319, 1, Constants!$B$11)*IF(X319, 1, Constants!$B$12),Constants!$B$13),"")</f>
        <v/>
      </c>
      <c r="AJ319" s="99" t="str">
        <f aca="false">IF($AF319=Constants!$B$7,AH319*AI319,"")</f>
        <v/>
      </c>
      <c r="AK319" s="99" t="str">
        <f aca="false">IF($AF319=Constants!$B$7,IF(AE319,Z319,Constants!$B$13),"")</f>
        <v/>
      </c>
      <c r="AL319" s="99" t="str">
        <f aca="false">IF($AF319=Constants!$B$7,IF(AE319,T319*IF(AA319, 1, Constants!$B$11)*IF(AB319, 1, Constants!$B$12),Constants!$B$13),"")</f>
        <v/>
      </c>
      <c r="AM319" s="99" t="str">
        <f aca="false">IF($AF319=Constants!$B$7,AK319*AL319,"")</f>
        <v/>
      </c>
      <c r="AN319" s="99" t="str">
        <f aca="false">IF($AF319=Constants!$B$7,IF(AM319&gt;AJ319,2,1),"")</f>
        <v/>
      </c>
      <c r="AO319" s="99" t="str">
        <f aca="false">IF($AF319=Constants!$B$7,IF(AN319=1,2,1),"")</f>
        <v/>
      </c>
      <c r="AP319" s="99" t="str">
        <f aca="false">IF(ISBLANK($C319),"",IF($AF319&lt;&gt;Constants!$B$7,$AF319,IF(AN319=1,AJ319,AM319)))</f>
        <v/>
      </c>
      <c r="AQ319" s="99" t="str">
        <f aca="false">IF(ISBLANK($C319),"",IF($AF319=Constants!$B$7,IF(ISNUMBER(AP319),RANK(AP319,$AP$8:$AP$507),Constants!$B$14),$AF319))</f>
        <v/>
      </c>
      <c r="AR319" s="99" t="str">
        <f aca="false">IF(ISBLANK($C319),"",IF($AF319=Constants!$B$7,IF(AO319=1,AJ319,AM319),""))</f>
        <v/>
      </c>
      <c r="AS319" s="99" t="str">
        <f aca="false">IF(ISBLANK($C319),"",IF($AF319=Constants!$B$7,RANK(AR319,$AR$8:$AR$507),$AF319))</f>
        <v/>
      </c>
      <c r="AT319" s="99" t="str">
        <f aca="false">IF(ISBLANK($C319),"",IF($AF319=Constants!$B$7,IF(ISNUMBER(AQ319),COUNTIFS($AQ$8:$AQ$507,"&lt;"&amp;$AQ319)+COUNTIFS($AQ$8:$AQ$507,$AQ319,$AS$8:$AS$507,"&lt;"&amp;$AS319)+1,Constants!$B$14),$AF319))</f>
        <v/>
      </c>
      <c r="AU319" s="99" t="str">
        <f aca="false">IF(ISBLANK($C319),"",IF($AF319=Constants!$B$7,IF(ISNUMBER(AQ319),AQ319-AT319,Constants!$B$14),$AF319))</f>
        <v/>
      </c>
      <c r="AV319" s="100"/>
      <c r="AW319" s="101" t="str">
        <f aca="false">IF(ISBLANK($C319),"",IF($AF319&lt;&gt;Constants!$B$7,"",AN319))</f>
        <v/>
      </c>
      <c r="AX319" s="102" t="str">
        <f aca="false">IF(ISBLANK($C319),"",IF($AF319&lt;&gt;Constants!$B$7,"",IF(AN319=1,AH319,AK319)))</f>
        <v/>
      </c>
      <c r="AY319" s="103" t="str">
        <f aca="false">IF(ISBLANK($C319),"",IF($AF319&lt;&gt;Constants!$B$7,"",IF(AN319=1,AI319,AL319)))</f>
        <v/>
      </c>
      <c r="AZ319" s="104" t="str">
        <f aca="false">IF(ISBLANK($C319),"",IF($AF319&lt;&gt;Constants!$B$7,$AF319,AP319))</f>
        <v/>
      </c>
      <c r="BA319" s="105" t="str">
        <f aca="false">IF(ISBLANK($C319),"",IF($AF319&lt;&gt;Constants!$B$7,$AF319,AG319))</f>
        <v/>
      </c>
      <c r="BB319" s="106" t="str">
        <f aca="false">IF(ISBLANK($C319),"",AU319)</f>
        <v/>
      </c>
      <c r="BC319" s="106" t="str">
        <f aca="false">IF(ISBLANK($C319),"",AT319)</f>
        <v/>
      </c>
      <c r="BD319" s="107" t="str">
        <f aca="false">IF(ISBLANK($C319),"",IFERROR(_xlfn.SWITCH(BC319,Constants!$B$4,COUNTA($C$8:$C$507)+2,Constants!$B$5,COUNTA($C$8:$C$507)+1,Constants!$B$6,COUNTA($C$8:$C$507)),BC319))</f>
        <v/>
      </c>
      <c r="BE319" s="5"/>
      <c r="BF319" s="108" t="n">
        <f aca="false">IF(OR(ISNUMBER(BC319),BC319=Constants!$B$4,BC319=Constants!$B$6,BC319=Constants!$B$5),1,0)</f>
        <v>0</v>
      </c>
      <c r="BG319" s="108" t="n">
        <v>312</v>
      </c>
      <c r="BH319" s="108" t="str">
        <f aca="false">IF(ISBLANK($C319),"",IF(ISNUMBER(BD319),BD319+ROW($B319)/1000,""))</f>
        <v/>
      </c>
      <c r="BI319" s="108" t="str">
        <f aca="false">IF(ISNUMBER(BH319),RANK(BH319,$BH$8:$BH$507,1),"")</f>
        <v/>
      </c>
      <c r="BJ319" s="108" t="str">
        <f aca="false">IF(ISBLANK($C319),"",$B319)</f>
        <v/>
      </c>
      <c r="BK319" s="108" t="str">
        <f aca="false">IF(ISBLANK($C319),"",$C319)</f>
        <v/>
      </c>
      <c r="BL319" s="108" t="str">
        <f aca="false">IF(ISBLANK($C319),"",$D319)</f>
        <v/>
      </c>
      <c r="BM319" s="109" t="str">
        <f aca="false">BA319</f>
        <v/>
      </c>
      <c r="BN319" s="110" t="str">
        <f aca="false">AZ319</f>
        <v/>
      </c>
      <c r="BO319" s="108" t="str">
        <f aca="false">IF(ISBLANK($C319),"",BC319)</f>
        <v/>
      </c>
      <c r="BP319" s="111" t="str">
        <f aca="false">IF($BG319&gt;$BF$7,"",VLOOKUP($BG319,$BI$8:$BO$507,7,FALSE()))</f>
        <v/>
      </c>
      <c r="BQ319" s="112" t="str">
        <f aca="false">IF($BG319&gt;$BF$7,"",VLOOKUP($BG319,$BI$8:$BO$507,2,FALSE()))</f>
        <v/>
      </c>
      <c r="BR319" s="112" t="str">
        <f aca="false">IF($BG319&gt;$BF$7,"",VLOOKUP($BG319,$BI$8:$BO$507,3,FALSE()))</f>
        <v/>
      </c>
      <c r="BS319" s="112" t="str">
        <f aca="false">IF($BG319&gt;$BF$7,"",VLOOKUP($BG319,$BI$8:$BO$507,4,FALSE()))</f>
        <v/>
      </c>
      <c r="BT319" s="112" t="str">
        <f aca="false">IF($BG319&gt;$BF$7,"",VLOOKUP($BG319,$BI$8:$BO$507,5,FALSE()))</f>
        <v/>
      </c>
      <c r="BU319" s="113" t="str">
        <f aca="false">IF($BG319&gt;$BF$7,"",VLOOKUP($BG319,$BI$8:$BO$507,6,FALSE()))</f>
        <v/>
      </c>
      <c r="BV319" s="54"/>
    </row>
    <row r="320" customFormat="false" ht="15.75" hidden="false" customHeight="false" outlineLevel="0" collapsed="false">
      <c r="A320" s="5"/>
      <c r="B320" s="135"/>
      <c r="C320" s="56"/>
      <c r="D320" s="57"/>
      <c r="E320" s="84"/>
      <c r="F320" s="136"/>
      <c r="G320" s="60"/>
      <c r="H320" s="137"/>
      <c r="I320" s="62"/>
      <c r="J320" s="62"/>
      <c r="K320" s="60"/>
      <c r="L320" s="138"/>
      <c r="M320" s="62"/>
      <c r="N320" s="62"/>
      <c r="O320" s="60"/>
      <c r="P320" s="84"/>
      <c r="Q320" s="65"/>
      <c r="R320" s="67" t="str">
        <f aca="false">IF(ISBLANK($C320),"",IF(E320=Constants!$B$2, TRUE(), IF(E320=Constants!$B$3, FALSE(), TRUE())))</f>
        <v/>
      </c>
      <c r="S320" s="67" t="str">
        <f aca="false">IF(ISBLANK($C320),"",IF(F320=Constants!$B$2, TRUE(), IF(F320=Constants!$B$3, FALSE(), TRUE())))</f>
        <v/>
      </c>
      <c r="T320" s="67" t="str">
        <f aca="false">IF(ISBLANK($C320),"",IF(G320=Constants!$B$16,Constants!$B$9,IF(G320=Constants!$B$17,Constants!$B$10,Constants!$B$8)))</f>
        <v/>
      </c>
      <c r="U320" s="67" t="str">
        <f aca="false">IF(ISBLANK($C320),"",IF(H320=Constants!$B$19,Constants!$B$19,Constants!$B$18))</f>
        <v/>
      </c>
      <c r="V320" s="67" t="str">
        <f aca="false">IF(ISBLANK($C320),"",IF(ISNUMBER(I320),IF(I320&gt;=0,I320,""),""))</f>
        <v/>
      </c>
      <c r="W320" s="67" t="str">
        <f aca="false">IF(ISBLANK($C320),"",IF(J320=Constants!$B$2, TRUE(), IF(J320=Constants!$B$3, FALSE(), TRUE())))</f>
        <v/>
      </c>
      <c r="X320" s="67" t="str">
        <f aca="false">IF(ISBLANK($C320),"",IF(K320=Constants!$B$2, TRUE(), IF(K320=Constants!$B$3, FALSE(), TRUE())))</f>
        <v/>
      </c>
      <c r="Y320" s="67" t="str">
        <f aca="false">IF(ISBLANK($C320),"",IF(L320=Constants!$B$19,Constants!$B$19,Constants!$B$18))</f>
        <v/>
      </c>
      <c r="Z320" s="67" t="str">
        <f aca="false">IF(ISBLANK($C320),"",IF(ISNUMBER(M320),IF(M320&gt;=0,M320,""),""))</f>
        <v/>
      </c>
      <c r="AA320" s="67" t="str">
        <f aca="false">IF(ISBLANK($C320),"",IF(N320=Constants!$B$2, TRUE(), IF(N320=Constants!$B$3, FALSE(), TRUE())))</f>
        <v/>
      </c>
      <c r="AB320" s="67" t="str">
        <f aca="false">IF(ISBLANK($C320),"",IF(O320=Constants!$B$2, TRUE(), IF(O320=Constants!$B$3, FALSE(), TRUE())))</f>
        <v/>
      </c>
      <c r="AC320" s="67" t="str">
        <f aca="false">IF(ISBLANK($C320),"",IF(P320=Constants!$B$2, TRUE(), IF(P320=Constants!$B$3, FALSE(), FALSE())))</f>
        <v/>
      </c>
      <c r="AD320" s="67" t="str">
        <f aca="false">IF(ISBLANK($C320),"",AND(V320&lt;&gt;"",IF(U320=Constants!$B$19,S320,R320)))</f>
        <v/>
      </c>
      <c r="AE320" s="67" t="str">
        <f aca="false">IF(ISBLANK($C320),"",AND(Z320&lt;&gt;"",IF(Y320=Constants!$B$19,S320,R320)))</f>
        <v/>
      </c>
      <c r="AF320" s="67" t="str">
        <f aca="false">IF(ISBLANK($C320),"",IF(AC320,Constants!$B$4,IF(COUNTA(E320:O320)=0,Constants!$B$5,IF(AND(NOT(AD320),NOT(AE320)),Constants!$B$6,Constants!$B$7))))</f>
        <v/>
      </c>
      <c r="AG320" s="67" t="str">
        <f aca="false">IF(ISBLANK($C320),"",IF($AF320&lt;&gt;Constants!$B$7,$AF320,Constants!$B$20))</f>
        <v/>
      </c>
      <c r="AH320" s="67" t="str">
        <f aca="false">IF($AF320=Constants!$B$7,IF(AD320,V320,Constants!$B$13),"")</f>
        <v/>
      </c>
      <c r="AI320" s="67" t="str">
        <f aca="false">IF($AF320=Constants!$B$7,IF(AD320,T320*IF(W320, 1, Constants!$B$11)*IF(X320, 1, Constants!$B$12),Constants!$B$13),"")</f>
        <v/>
      </c>
      <c r="AJ320" s="67" t="str">
        <f aca="false">IF($AF320=Constants!$B$7,AH320*AI320,"")</f>
        <v/>
      </c>
      <c r="AK320" s="67" t="str">
        <f aca="false">IF($AF320=Constants!$B$7,IF(AE320,Z320,Constants!$B$13),"")</f>
        <v/>
      </c>
      <c r="AL320" s="67" t="str">
        <f aca="false">IF($AF320=Constants!$B$7,IF(AE320,T320*IF(AA320, 1, Constants!$B$11)*IF(AB320, 1, Constants!$B$12),Constants!$B$13),"")</f>
        <v/>
      </c>
      <c r="AM320" s="67" t="str">
        <f aca="false">IF($AF320=Constants!$B$7,AK320*AL320,"")</f>
        <v/>
      </c>
      <c r="AN320" s="67" t="str">
        <f aca="false">IF($AF320=Constants!$B$7,IF(AM320&gt;AJ320,2,1),"")</f>
        <v/>
      </c>
      <c r="AO320" s="67" t="str">
        <f aca="false">IF($AF320=Constants!$B$7,IF(AN320=1,2,1),"")</f>
        <v/>
      </c>
      <c r="AP320" s="67" t="str">
        <f aca="false">IF(ISBLANK($C320),"",IF($AF320&lt;&gt;Constants!$B$7,$AF320,IF(AN320=1,AJ320,AM320)))</f>
        <v/>
      </c>
      <c r="AQ320" s="67" t="str">
        <f aca="false">IF(ISBLANK($C320),"",IF($AF320=Constants!$B$7,IF(ISNUMBER(AP320),RANK(AP320,$AP$8:$AP$507),Constants!$B$14),$AF320))</f>
        <v/>
      </c>
      <c r="AR320" s="67" t="str">
        <f aca="false">IF(ISBLANK($C320),"",IF($AF320=Constants!$B$7,IF(AO320=1,AJ320,AM320),""))</f>
        <v/>
      </c>
      <c r="AS320" s="67" t="str">
        <f aca="false">IF(ISBLANK($C320),"",IF($AF320=Constants!$B$7,RANK(AR320,$AR$8:$AR$507),$AF320))</f>
        <v/>
      </c>
      <c r="AT320" s="67" t="str">
        <f aca="false">IF(ISBLANK($C320),"",IF($AF320=Constants!$B$7,IF(ISNUMBER(AQ320),COUNTIFS($AQ$8:$AQ$507,"&lt;"&amp;$AQ320)+COUNTIFS($AQ$8:$AQ$507,$AQ320,$AS$8:$AS$507,"&lt;"&amp;$AS320)+1,Constants!$B$14),$AF320))</f>
        <v/>
      </c>
      <c r="AU320" s="67" t="str">
        <f aca="false">IF(ISBLANK($C320),"",IF($AF320=Constants!$B$7,IF(ISNUMBER(AQ320),AQ320-AT320,Constants!$B$14),$AF320))</f>
        <v/>
      </c>
      <c r="AV320" s="69"/>
      <c r="AW320" s="70" t="str">
        <f aca="false">IF(ISBLANK($C320),"",IF($AF320&lt;&gt;Constants!$B$7,"",AN320))</f>
        <v/>
      </c>
      <c r="AX320" s="85" t="str">
        <f aca="false">IF(ISBLANK($C320),"",IF($AF320&lt;&gt;Constants!$B$7,"",IF(AN320=1,AH320,AK320)))</f>
        <v/>
      </c>
      <c r="AY320" s="72" t="str">
        <f aca="false">IF(ISBLANK($C320),"",IF($AF320&lt;&gt;Constants!$B$7,"",IF(AN320=1,AI320,AL320)))</f>
        <v/>
      </c>
      <c r="AZ320" s="73" t="str">
        <f aca="false">IF(ISBLANK($C320),"",IF($AF320&lt;&gt;Constants!$B$7,$AF320,AP320))</f>
        <v/>
      </c>
      <c r="BA320" s="74" t="str">
        <f aca="false">IF(ISBLANK($C320),"",IF($AF320&lt;&gt;Constants!$B$7,$AF320,AG320))</f>
        <v/>
      </c>
      <c r="BB320" s="75" t="str">
        <f aca="false">IF(ISBLANK($C320),"",AU320)</f>
        <v/>
      </c>
      <c r="BC320" s="75" t="str">
        <f aca="false">IF(ISBLANK($C320),"",AT320)</f>
        <v/>
      </c>
      <c r="BD320" s="76" t="str">
        <f aca="false">IF(ISBLANK($C320),"",IFERROR(_xlfn.SWITCH(BC320,Constants!$B$4,COUNTA($C$8:$C$507)+2,Constants!$B$5,COUNTA($C$8:$C$507)+1,Constants!$B$6,COUNTA($C$8:$C$507)),BC320))</f>
        <v/>
      </c>
      <c r="BE320" s="5"/>
      <c r="BF320" s="77" t="n">
        <f aca="false">IF(OR(ISNUMBER(BC320),BC320=Constants!$B$4,BC320=Constants!$B$6,BC320=Constants!$B$5),1,0)</f>
        <v>0</v>
      </c>
      <c r="BG320" s="77" t="n">
        <v>313</v>
      </c>
      <c r="BH320" s="77" t="str">
        <f aca="false">IF(ISBLANK($C320),"",IF(ISNUMBER(BD320),BD320+ROW($B320)/1000,""))</f>
        <v/>
      </c>
      <c r="BI320" s="77" t="str">
        <f aca="false">IF(ISNUMBER(BH320),RANK(BH320,$BH$8:$BH$507,1),"")</f>
        <v/>
      </c>
      <c r="BJ320" s="77" t="str">
        <f aca="false">IF(ISBLANK($C320),"",$B320)</f>
        <v/>
      </c>
      <c r="BK320" s="77" t="str">
        <f aca="false">IF(ISBLANK($C320),"",$C320)</f>
        <v/>
      </c>
      <c r="BL320" s="77" t="str">
        <f aca="false">IF(ISBLANK($C320),"",$D320)</f>
        <v/>
      </c>
      <c r="BM320" s="78" t="str">
        <f aca="false">BA320</f>
        <v/>
      </c>
      <c r="BN320" s="79" t="str">
        <f aca="false">AZ320</f>
        <v/>
      </c>
      <c r="BO320" s="77" t="str">
        <f aca="false">IF(ISBLANK($C320),"",BC320)</f>
        <v/>
      </c>
      <c r="BP320" s="80" t="str">
        <f aca="false">IF($BG320&gt;$BF$7,"",VLOOKUP($BG320,$BI$8:$BO$507,7,FALSE()))</f>
        <v/>
      </c>
      <c r="BQ320" s="81" t="str">
        <f aca="false">IF($BG320&gt;$BF$7,"",VLOOKUP($BG320,$BI$8:$BO$507,2,FALSE()))</f>
        <v/>
      </c>
      <c r="BR320" s="81" t="str">
        <f aca="false">IF($BG320&gt;$BF$7,"",VLOOKUP($BG320,$BI$8:$BO$507,3,FALSE()))</f>
        <v/>
      </c>
      <c r="BS320" s="81" t="str">
        <f aca="false">IF($BG320&gt;$BF$7,"",VLOOKUP($BG320,$BI$8:$BO$507,4,FALSE()))</f>
        <v/>
      </c>
      <c r="BT320" s="81" t="str">
        <f aca="false">IF($BG320&gt;$BF$7,"",VLOOKUP($BG320,$BI$8:$BO$507,5,FALSE()))</f>
        <v/>
      </c>
      <c r="BU320" s="82" t="str">
        <f aca="false">IF($BG320&gt;$BF$7,"",VLOOKUP($BG320,$BI$8:$BO$507,6,FALSE()))</f>
        <v/>
      </c>
      <c r="BV320" s="54"/>
    </row>
    <row r="321" customFormat="false" ht="15.75" hidden="false" customHeight="false" outlineLevel="0" collapsed="false">
      <c r="A321" s="5"/>
      <c r="B321" s="135"/>
      <c r="C321" s="56"/>
      <c r="D321" s="57"/>
      <c r="E321" s="84"/>
      <c r="F321" s="136"/>
      <c r="G321" s="60"/>
      <c r="H321" s="137"/>
      <c r="I321" s="62"/>
      <c r="J321" s="62"/>
      <c r="K321" s="60"/>
      <c r="L321" s="138"/>
      <c r="M321" s="62"/>
      <c r="N321" s="62"/>
      <c r="O321" s="60"/>
      <c r="P321" s="84"/>
      <c r="Q321" s="65"/>
      <c r="R321" s="67" t="str">
        <f aca="false">IF(ISBLANK($C321),"",IF(E321=Constants!$B$2, TRUE(), IF(E321=Constants!$B$3, FALSE(), TRUE())))</f>
        <v/>
      </c>
      <c r="S321" s="67" t="str">
        <f aca="false">IF(ISBLANK($C321),"",IF(F321=Constants!$B$2, TRUE(), IF(F321=Constants!$B$3, FALSE(), TRUE())))</f>
        <v/>
      </c>
      <c r="T321" s="67" t="str">
        <f aca="false">IF(ISBLANK($C321),"",IF(G321=Constants!$B$16,Constants!$B$9,IF(G321=Constants!$B$17,Constants!$B$10,Constants!$B$8)))</f>
        <v/>
      </c>
      <c r="U321" s="67" t="str">
        <f aca="false">IF(ISBLANK($C321),"",IF(H321=Constants!$B$19,Constants!$B$19,Constants!$B$18))</f>
        <v/>
      </c>
      <c r="V321" s="67" t="str">
        <f aca="false">IF(ISBLANK($C321),"",IF(ISNUMBER(I321),IF(I321&gt;=0,I321,""),""))</f>
        <v/>
      </c>
      <c r="W321" s="67" t="str">
        <f aca="false">IF(ISBLANK($C321),"",IF(J321=Constants!$B$2, TRUE(), IF(J321=Constants!$B$3, FALSE(), TRUE())))</f>
        <v/>
      </c>
      <c r="X321" s="67" t="str">
        <f aca="false">IF(ISBLANK($C321),"",IF(K321=Constants!$B$2, TRUE(), IF(K321=Constants!$B$3, FALSE(), TRUE())))</f>
        <v/>
      </c>
      <c r="Y321" s="67" t="str">
        <f aca="false">IF(ISBLANK($C321),"",IF(L321=Constants!$B$19,Constants!$B$19,Constants!$B$18))</f>
        <v/>
      </c>
      <c r="Z321" s="67" t="str">
        <f aca="false">IF(ISBLANK($C321),"",IF(ISNUMBER(M321),IF(M321&gt;=0,M321,""),""))</f>
        <v/>
      </c>
      <c r="AA321" s="67" t="str">
        <f aca="false">IF(ISBLANK($C321),"",IF(N321=Constants!$B$2, TRUE(), IF(N321=Constants!$B$3, FALSE(), TRUE())))</f>
        <v/>
      </c>
      <c r="AB321" s="67" t="str">
        <f aca="false">IF(ISBLANK($C321),"",IF(O321=Constants!$B$2, TRUE(), IF(O321=Constants!$B$3, FALSE(), TRUE())))</f>
        <v/>
      </c>
      <c r="AC321" s="67" t="str">
        <f aca="false">IF(ISBLANK($C321),"",IF(P321=Constants!$B$2, TRUE(), IF(P321=Constants!$B$3, FALSE(), FALSE())))</f>
        <v/>
      </c>
      <c r="AD321" s="67" t="str">
        <f aca="false">IF(ISBLANK($C321),"",AND(V321&lt;&gt;"",IF(U321=Constants!$B$19,S321,R321)))</f>
        <v/>
      </c>
      <c r="AE321" s="67" t="str">
        <f aca="false">IF(ISBLANK($C321),"",AND(Z321&lt;&gt;"",IF(Y321=Constants!$B$19,S321,R321)))</f>
        <v/>
      </c>
      <c r="AF321" s="67" t="str">
        <f aca="false">IF(ISBLANK($C321),"",IF(AC321,Constants!$B$4,IF(COUNTA(E321:O321)=0,Constants!$B$5,IF(AND(NOT(AD321),NOT(AE321)),Constants!$B$6,Constants!$B$7))))</f>
        <v/>
      </c>
      <c r="AG321" s="67" t="str">
        <f aca="false">IF(ISBLANK($C321),"",IF($AF321&lt;&gt;Constants!$B$7,$AF321,Constants!$B$20))</f>
        <v/>
      </c>
      <c r="AH321" s="67" t="str">
        <f aca="false">IF($AF321=Constants!$B$7,IF(AD321,V321,Constants!$B$13),"")</f>
        <v/>
      </c>
      <c r="AI321" s="67" t="str">
        <f aca="false">IF($AF321=Constants!$B$7,IF(AD321,T321*IF(W321, 1, Constants!$B$11)*IF(X321, 1, Constants!$B$12),Constants!$B$13),"")</f>
        <v/>
      </c>
      <c r="AJ321" s="67" t="str">
        <f aca="false">IF($AF321=Constants!$B$7,AH321*AI321,"")</f>
        <v/>
      </c>
      <c r="AK321" s="67" t="str">
        <f aca="false">IF($AF321=Constants!$B$7,IF(AE321,Z321,Constants!$B$13),"")</f>
        <v/>
      </c>
      <c r="AL321" s="67" t="str">
        <f aca="false">IF($AF321=Constants!$B$7,IF(AE321,T321*IF(AA321, 1, Constants!$B$11)*IF(AB321, 1, Constants!$B$12),Constants!$B$13),"")</f>
        <v/>
      </c>
      <c r="AM321" s="67" t="str">
        <f aca="false">IF($AF321=Constants!$B$7,AK321*AL321,"")</f>
        <v/>
      </c>
      <c r="AN321" s="67" t="str">
        <f aca="false">IF($AF321=Constants!$B$7,IF(AM321&gt;AJ321,2,1),"")</f>
        <v/>
      </c>
      <c r="AO321" s="67" t="str">
        <f aca="false">IF($AF321=Constants!$B$7,IF(AN321=1,2,1),"")</f>
        <v/>
      </c>
      <c r="AP321" s="67" t="str">
        <f aca="false">IF(ISBLANK($C321),"",IF($AF321&lt;&gt;Constants!$B$7,$AF321,IF(AN321=1,AJ321,AM321)))</f>
        <v/>
      </c>
      <c r="AQ321" s="67" t="str">
        <f aca="false">IF(ISBLANK($C321),"",IF($AF321=Constants!$B$7,IF(ISNUMBER(AP321),RANK(AP321,$AP$8:$AP$507),Constants!$B$14),$AF321))</f>
        <v/>
      </c>
      <c r="AR321" s="67" t="str">
        <f aca="false">IF(ISBLANK($C321),"",IF($AF321=Constants!$B$7,IF(AO321=1,AJ321,AM321),""))</f>
        <v/>
      </c>
      <c r="AS321" s="67" t="str">
        <f aca="false">IF(ISBLANK($C321),"",IF($AF321=Constants!$B$7,RANK(AR321,$AR$8:$AR$507),$AF321))</f>
        <v/>
      </c>
      <c r="AT321" s="67" t="str">
        <f aca="false">IF(ISBLANK($C321),"",IF($AF321=Constants!$B$7,IF(ISNUMBER(AQ321),COUNTIFS($AQ$8:$AQ$507,"&lt;"&amp;$AQ321)+COUNTIFS($AQ$8:$AQ$507,$AQ321,$AS$8:$AS$507,"&lt;"&amp;$AS321)+1,Constants!$B$14),$AF321))</f>
        <v/>
      </c>
      <c r="AU321" s="67" t="str">
        <f aca="false">IF(ISBLANK($C321),"",IF($AF321=Constants!$B$7,IF(ISNUMBER(AQ321),AQ321-AT321,Constants!$B$14),$AF321))</f>
        <v/>
      </c>
      <c r="AV321" s="69"/>
      <c r="AW321" s="70" t="str">
        <f aca="false">IF(ISBLANK($C321),"",IF($AF321&lt;&gt;Constants!$B$7,"",AN321))</f>
        <v/>
      </c>
      <c r="AX321" s="85" t="str">
        <f aca="false">IF(ISBLANK($C321),"",IF($AF321&lt;&gt;Constants!$B$7,"",IF(AN321=1,AH321,AK321)))</f>
        <v/>
      </c>
      <c r="AY321" s="72" t="str">
        <f aca="false">IF(ISBLANK($C321),"",IF($AF321&lt;&gt;Constants!$B$7,"",IF(AN321=1,AI321,AL321)))</f>
        <v/>
      </c>
      <c r="AZ321" s="73" t="str">
        <f aca="false">IF(ISBLANK($C321),"",IF($AF321&lt;&gt;Constants!$B$7,$AF321,AP321))</f>
        <v/>
      </c>
      <c r="BA321" s="74" t="str">
        <f aca="false">IF(ISBLANK($C321),"",IF($AF321&lt;&gt;Constants!$B$7,$AF321,AG321))</f>
        <v/>
      </c>
      <c r="BB321" s="75" t="str">
        <f aca="false">IF(ISBLANK($C321),"",AU321)</f>
        <v/>
      </c>
      <c r="BC321" s="75" t="str">
        <f aca="false">IF(ISBLANK($C321),"",AT321)</f>
        <v/>
      </c>
      <c r="BD321" s="76" t="str">
        <f aca="false">IF(ISBLANK($C321),"",IFERROR(_xlfn.SWITCH(BC321,Constants!$B$4,COUNTA($C$8:$C$507)+2,Constants!$B$5,COUNTA($C$8:$C$507)+1,Constants!$B$6,COUNTA($C$8:$C$507)),BC321))</f>
        <v/>
      </c>
      <c r="BE321" s="5"/>
      <c r="BF321" s="77" t="n">
        <f aca="false">IF(OR(ISNUMBER(BC321),BC321=Constants!$B$4,BC321=Constants!$B$6,BC321=Constants!$B$5),1,0)</f>
        <v>0</v>
      </c>
      <c r="BG321" s="77" t="n">
        <v>314</v>
      </c>
      <c r="BH321" s="77" t="str">
        <f aca="false">IF(ISBLANK($C321),"",IF(ISNUMBER(BD321),BD321+ROW($B321)/1000,""))</f>
        <v/>
      </c>
      <c r="BI321" s="77" t="str">
        <f aca="false">IF(ISNUMBER(BH321),RANK(BH321,$BH$8:$BH$507,1),"")</f>
        <v/>
      </c>
      <c r="BJ321" s="77" t="str">
        <f aca="false">IF(ISBLANK($C321),"",$B321)</f>
        <v/>
      </c>
      <c r="BK321" s="77" t="str">
        <f aca="false">IF(ISBLANK($C321),"",$C321)</f>
        <v/>
      </c>
      <c r="BL321" s="77" t="str">
        <f aca="false">IF(ISBLANK($C321),"",$D321)</f>
        <v/>
      </c>
      <c r="BM321" s="78" t="str">
        <f aca="false">BA321</f>
        <v/>
      </c>
      <c r="BN321" s="79" t="str">
        <f aca="false">AZ321</f>
        <v/>
      </c>
      <c r="BO321" s="77" t="str">
        <f aca="false">IF(ISBLANK($C321),"",BC321)</f>
        <v/>
      </c>
      <c r="BP321" s="80" t="str">
        <f aca="false">IF($BG321&gt;$BF$7,"",VLOOKUP($BG321,$BI$8:$BO$507,7,FALSE()))</f>
        <v/>
      </c>
      <c r="BQ321" s="81" t="str">
        <f aca="false">IF($BG321&gt;$BF$7,"",VLOOKUP($BG321,$BI$8:$BO$507,2,FALSE()))</f>
        <v/>
      </c>
      <c r="BR321" s="81" t="str">
        <f aca="false">IF($BG321&gt;$BF$7,"",VLOOKUP($BG321,$BI$8:$BO$507,3,FALSE()))</f>
        <v/>
      </c>
      <c r="BS321" s="81" t="str">
        <f aca="false">IF($BG321&gt;$BF$7,"",VLOOKUP($BG321,$BI$8:$BO$507,4,FALSE()))</f>
        <v/>
      </c>
      <c r="BT321" s="81" t="str">
        <f aca="false">IF($BG321&gt;$BF$7,"",VLOOKUP($BG321,$BI$8:$BO$507,5,FALSE()))</f>
        <v/>
      </c>
      <c r="BU321" s="82" t="str">
        <f aca="false">IF($BG321&gt;$BF$7,"",VLOOKUP($BG321,$BI$8:$BO$507,6,FALSE()))</f>
        <v/>
      </c>
      <c r="BV321" s="54"/>
    </row>
    <row r="322" customFormat="false" ht="15.75" hidden="false" customHeight="false" outlineLevel="0" collapsed="false">
      <c r="A322" s="5"/>
      <c r="B322" s="135"/>
      <c r="C322" s="56"/>
      <c r="D322" s="57"/>
      <c r="E322" s="84"/>
      <c r="F322" s="136"/>
      <c r="G322" s="60"/>
      <c r="H322" s="137"/>
      <c r="I322" s="62"/>
      <c r="J322" s="62"/>
      <c r="K322" s="60"/>
      <c r="L322" s="138"/>
      <c r="M322" s="62"/>
      <c r="N322" s="62"/>
      <c r="O322" s="60"/>
      <c r="P322" s="84"/>
      <c r="Q322" s="65"/>
      <c r="R322" s="67" t="str">
        <f aca="false">IF(ISBLANK($C322),"",IF(E322=Constants!$B$2, TRUE(), IF(E322=Constants!$B$3, FALSE(), TRUE())))</f>
        <v/>
      </c>
      <c r="S322" s="67" t="str">
        <f aca="false">IF(ISBLANK($C322),"",IF(F322=Constants!$B$2, TRUE(), IF(F322=Constants!$B$3, FALSE(), TRUE())))</f>
        <v/>
      </c>
      <c r="T322" s="67" t="str">
        <f aca="false">IF(ISBLANK($C322),"",IF(G322=Constants!$B$16,Constants!$B$9,IF(G322=Constants!$B$17,Constants!$B$10,Constants!$B$8)))</f>
        <v/>
      </c>
      <c r="U322" s="67" t="str">
        <f aca="false">IF(ISBLANK($C322),"",IF(H322=Constants!$B$19,Constants!$B$19,Constants!$B$18))</f>
        <v/>
      </c>
      <c r="V322" s="67" t="str">
        <f aca="false">IF(ISBLANK($C322),"",IF(ISNUMBER(I322),IF(I322&gt;=0,I322,""),""))</f>
        <v/>
      </c>
      <c r="W322" s="67" t="str">
        <f aca="false">IF(ISBLANK($C322),"",IF(J322=Constants!$B$2, TRUE(), IF(J322=Constants!$B$3, FALSE(), TRUE())))</f>
        <v/>
      </c>
      <c r="X322" s="67" t="str">
        <f aca="false">IF(ISBLANK($C322),"",IF(K322=Constants!$B$2, TRUE(), IF(K322=Constants!$B$3, FALSE(), TRUE())))</f>
        <v/>
      </c>
      <c r="Y322" s="67" t="str">
        <f aca="false">IF(ISBLANK($C322),"",IF(L322=Constants!$B$19,Constants!$B$19,Constants!$B$18))</f>
        <v/>
      </c>
      <c r="Z322" s="67" t="str">
        <f aca="false">IF(ISBLANK($C322),"",IF(ISNUMBER(M322),IF(M322&gt;=0,M322,""),""))</f>
        <v/>
      </c>
      <c r="AA322" s="67" t="str">
        <f aca="false">IF(ISBLANK($C322),"",IF(N322=Constants!$B$2, TRUE(), IF(N322=Constants!$B$3, FALSE(), TRUE())))</f>
        <v/>
      </c>
      <c r="AB322" s="67" t="str">
        <f aca="false">IF(ISBLANK($C322),"",IF(O322=Constants!$B$2, TRUE(), IF(O322=Constants!$B$3, FALSE(), TRUE())))</f>
        <v/>
      </c>
      <c r="AC322" s="67" t="str">
        <f aca="false">IF(ISBLANK($C322),"",IF(P322=Constants!$B$2, TRUE(), IF(P322=Constants!$B$3, FALSE(), FALSE())))</f>
        <v/>
      </c>
      <c r="AD322" s="67" t="str">
        <f aca="false">IF(ISBLANK($C322),"",AND(V322&lt;&gt;"",IF(U322=Constants!$B$19,S322,R322)))</f>
        <v/>
      </c>
      <c r="AE322" s="67" t="str">
        <f aca="false">IF(ISBLANK($C322),"",AND(Z322&lt;&gt;"",IF(Y322=Constants!$B$19,S322,R322)))</f>
        <v/>
      </c>
      <c r="AF322" s="67" t="str">
        <f aca="false">IF(ISBLANK($C322),"",IF(AC322,Constants!$B$4,IF(COUNTA(E322:O322)=0,Constants!$B$5,IF(AND(NOT(AD322),NOT(AE322)),Constants!$B$6,Constants!$B$7))))</f>
        <v/>
      </c>
      <c r="AG322" s="67" t="str">
        <f aca="false">IF(ISBLANK($C322),"",IF($AF322&lt;&gt;Constants!$B$7,$AF322,Constants!$B$20))</f>
        <v/>
      </c>
      <c r="AH322" s="67" t="str">
        <f aca="false">IF($AF322=Constants!$B$7,IF(AD322,V322,Constants!$B$13),"")</f>
        <v/>
      </c>
      <c r="AI322" s="67" t="str">
        <f aca="false">IF($AF322=Constants!$B$7,IF(AD322,T322*IF(W322, 1, Constants!$B$11)*IF(X322, 1, Constants!$B$12),Constants!$B$13),"")</f>
        <v/>
      </c>
      <c r="AJ322" s="67" t="str">
        <f aca="false">IF($AF322=Constants!$B$7,AH322*AI322,"")</f>
        <v/>
      </c>
      <c r="AK322" s="67" t="str">
        <f aca="false">IF($AF322=Constants!$B$7,IF(AE322,Z322,Constants!$B$13),"")</f>
        <v/>
      </c>
      <c r="AL322" s="67" t="str">
        <f aca="false">IF($AF322=Constants!$B$7,IF(AE322,T322*IF(AA322, 1, Constants!$B$11)*IF(AB322, 1, Constants!$B$12),Constants!$B$13),"")</f>
        <v/>
      </c>
      <c r="AM322" s="67" t="str">
        <f aca="false">IF($AF322=Constants!$B$7,AK322*AL322,"")</f>
        <v/>
      </c>
      <c r="AN322" s="67" t="str">
        <f aca="false">IF($AF322=Constants!$B$7,IF(AM322&gt;AJ322,2,1),"")</f>
        <v/>
      </c>
      <c r="AO322" s="67" t="str">
        <f aca="false">IF($AF322=Constants!$B$7,IF(AN322=1,2,1),"")</f>
        <v/>
      </c>
      <c r="AP322" s="67" t="str">
        <f aca="false">IF(ISBLANK($C322),"",IF($AF322&lt;&gt;Constants!$B$7,$AF322,IF(AN322=1,AJ322,AM322)))</f>
        <v/>
      </c>
      <c r="AQ322" s="67" t="str">
        <f aca="false">IF(ISBLANK($C322),"",IF($AF322=Constants!$B$7,IF(ISNUMBER(AP322),RANK(AP322,$AP$8:$AP$507),Constants!$B$14),$AF322))</f>
        <v/>
      </c>
      <c r="AR322" s="67" t="str">
        <f aca="false">IF(ISBLANK($C322),"",IF($AF322=Constants!$B$7,IF(AO322=1,AJ322,AM322),""))</f>
        <v/>
      </c>
      <c r="AS322" s="67" t="str">
        <f aca="false">IF(ISBLANK($C322),"",IF($AF322=Constants!$B$7,RANK(AR322,$AR$8:$AR$507),$AF322))</f>
        <v/>
      </c>
      <c r="AT322" s="67" t="str">
        <f aca="false">IF(ISBLANK($C322),"",IF($AF322=Constants!$B$7,IF(ISNUMBER(AQ322),COUNTIFS($AQ$8:$AQ$507,"&lt;"&amp;$AQ322)+COUNTIFS($AQ$8:$AQ$507,$AQ322,$AS$8:$AS$507,"&lt;"&amp;$AS322)+1,Constants!$B$14),$AF322))</f>
        <v/>
      </c>
      <c r="AU322" s="67" t="str">
        <f aca="false">IF(ISBLANK($C322),"",IF($AF322=Constants!$B$7,IF(ISNUMBER(AQ322),AQ322-AT322,Constants!$B$14),$AF322))</f>
        <v/>
      </c>
      <c r="AV322" s="69"/>
      <c r="AW322" s="70" t="str">
        <f aca="false">IF(ISBLANK($C322),"",IF($AF322&lt;&gt;Constants!$B$7,"",AN322))</f>
        <v/>
      </c>
      <c r="AX322" s="85" t="str">
        <f aca="false">IF(ISBLANK($C322),"",IF($AF322&lt;&gt;Constants!$B$7,"",IF(AN322=1,AH322,AK322)))</f>
        <v/>
      </c>
      <c r="AY322" s="72" t="str">
        <f aca="false">IF(ISBLANK($C322),"",IF($AF322&lt;&gt;Constants!$B$7,"",IF(AN322=1,AI322,AL322)))</f>
        <v/>
      </c>
      <c r="AZ322" s="73" t="str">
        <f aca="false">IF(ISBLANK($C322),"",IF($AF322&lt;&gt;Constants!$B$7,$AF322,AP322))</f>
        <v/>
      </c>
      <c r="BA322" s="74" t="str">
        <f aca="false">IF(ISBLANK($C322),"",IF($AF322&lt;&gt;Constants!$B$7,$AF322,AG322))</f>
        <v/>
      </c>
      <c r="BB322" s="75" t="str">
        <f aca="false">IF(ISBLANK($C322),"",AU322)</f>
        <v/>
      </c>
      <c r="BC322" s="75" t="str">
        <f aca="false">IF(ISBLANK($C322),"",AT322)</f>
        <v/>
      </c>
      <c r="BD322" s="76" t="str">
        <f aca="false">IF(ISBLANK($C322),"",IFERROR(_xlfn.SWITCH(BC322,Constants!$B$4,COUNTA($C$8:$C$507)+2,Constants!$B$5,COUNTA($C$8:$C$507)+1,Constants!$B$6,COUNTA($C$8:$C$507)),BC322))</f>
        <v/>
      </c>
      <c r="BE322" s="5"/>
      <c r="BF322" s="77" t="n">
        <f aca="false">IF(OR(ISNUMBER(BC322),BC322=Constants!$B$4,BC322=Constants!$B$6,BC322=Constants!$B$5),1,0)</f>
        <v>0</v>
      </c>
      <c r="BG322" s="77" t="n">
        <v>315</v>
      </c>
      <c r="BH322" s="77" t="str">
        <f aca="false">IF(ISBLANK($C322),"",IF(ISNUMBER(BD322),BD322+ROW($B322)/1000,""))</f>
        <v/>
      </c>
      <c r="BI322" s="77" t="str">
        <f aca="false">IF(ISNUMBER(BH322),RANK(BH322,$BH$8:$BH$507,1),"")</f>
        <v/>
      </c>
      <c r="BJ322" s="77" t="str">
        <f aca="false">IF(ISBLANK($C322),"",$B322)</f>
        <v/>
      </c>
      <c r="BK322" s="77" t="str">
        <f aca="false">IF(ISBLANK($C322),"",$C322)</f>
        <v/>
      </c>
      <c r="BL322" s="77" t="str">
        <f aca="false">IF(ISBLANK($C322),"",$D322)</f>
        <v/>
      </c>
      <c r="BM322" s="78" t="str">
        <f aca="false">BA322</f>
        <v/>
      </c>
      <c r="BN322" s="79" t="str">
        <f aca="false">AZ322</f>
        <v/>
      </c>
      <c r="BO322" s="77" t="str">
        <f aca="false">IF(ISBLANK($C322),"",BC322)</f>
        <v/>
      </c>
      <c r="BP322" s="80" t="str">
        <f aca="false">IF($BG322&gt;$BF$7,"",VLOOKUP($BG322,$BI$8:$BO$507,7,FALSE()))</f>
        <v/>
      </c>
      <c r="BQ322" s="81" t="str">
        <f aca="false">IF($BG322&gt;$BF$7,"",VLOOKUP($BG322,$BI$8:$BO$507,2,FALSE()))</f>
        <v/>
      </c>
      <c r="BR322" s="81" t="str">
        <f aca="false">IF($BG322&gt;$BF$7,"",VLOOKUP($BG322,$BI$8:$BO$507,3,FALSE()))</f>
        <v/>
      </c>
      <c r="BS322" s="81" t="str">
        <f aca="false">IF($BG322&gt;$BF$7,"",VLOOKUP($BG322,$BI$8:$BO$507,4,FALSE()))</f>
        <v/>
      </c>
      <c r="BT322" s="81" t="str">
        <f aca="false">IF($BG322&gt;$BF$7,"",VLOOKUP($BG322,$BI$8:$BO$507,5,FALSE()))</f>
        <v/>
      </c>
      <c r="BU322" s="82" t="str">
        <f aca="false">IF($BG322&gt;$BF$7,"",VLOOKUP($BG322,$BI$8:$BO$507,6,FALSE()))</f>
        <v/>
      </c>
      <c r="BV322" s="54"/>
    </row>
    <row r="323" customFormat="false" ht="15.75" hidden="false" customHeight="false" outlineLevel="0" collapsed="false">
      <c r="A323" s="5"/>
      <c r="B323" s="128"/>
      <c r="C323" s="129"/>
      <c r="D323" s="114"/>
      <c r="E323" s="134"/>
      <c r="F323" s="139"/>
      <c r="G323" s="93"/>
      <c r="H323" s="140"/>
      <c r="I323" s="95"/>
      <c r="J323" s="95"/>
      <c r="K323" s="93"/>
      <c r="L323" s="141"/>
      <c r="M323" s="95"/>
      <c r="N323" s="95"/>
      <c r="O323" s="93"/>
      <c r="P323" s="134"/>
      <c r="Q323" s="98"/>
      <c r="R323" s="99" t="str">
        <f aca="false">IF(ISBLANK($C323),"",IF(E323=Constants!$B$2, TRUE(), IF(E323=Constants!$B$3, FALSE(), TRUE())))</f>
        <v/>
      </c>
      <c r="S323" s="99" t="str">
        <f aca="false">IF(ISBLANK($C323),"",IF(F323=Constants!$B$2, TRUE(), IF(F323=Constants!$B$3, FALSE(), TRUE())))</f>
        <v/>
      </c>
      <c r="T323" s="99" t="str">
        <f aca="false">IF(ISBLANK($C323),"",IF(G323=Constants!$B$16,Constants!$B$9,IF(G323=Constants!$B$17,Constants!$B$10,Constants!$B$8)))</f>
        <v/>
      </c>
      <c r="U323" s="99" t="str">
        <f aca="false">IF(ISBLANK($C323),"",IF(H323=Constants!$B$19,Constants!$B$19,Constants!$B$18))</f>
        <v/>
      </c>
      <c r="V323" s="99" t="str">
        <f aca="false">IF(ISBLANK($C323),"",IF(ISNUMBER(I323),IF(I323&gt;=0,I323,""),""))</f>
        <v/>
      </c>
      <c r="W323" s="99" t="str">
        <f aca="false">IF(ISBLANK($C323),"",IF(J323=Constants!$B$2, TRUE(), IF(J323=Constants!$B$3, FALSE(), TRUE())))</f>
        <v/>
      </c>
      <c r="X323" s="99" t="str">
        <f aca="false">IF(ISBLANK($C323),"",IF(K323=Constants!$B$2, TRUE(), IF(K323=Constants!$B$3, FALSE(), TRUE())))</f>
        <v/>
      </c>
      <c r="Y323" s="99" t="str">
        <f aca="false">IF(ISBLANK($C323),"",IF(L323=Constants!$B$19,Constants!$B$19,Constants!$B$18))</f>
        <v/>
      </c>
      <c r="Z323" s="99" t="str">
        <f aca="false">IF(ISBLANK($C323),"",IF(ISNUMBER(M323),IF(M323&gt;=0,M323,""),""))</f>
        <v/>
      </c>
      <c r="AA323" s="99" t="str">
        <f aca="false">IF(ISBLANK($C323),"",IF(N323=Constants!$B$2, TRUE(), IF(N323=Constants!$B$3, FALSE(), TRUE())))</f>
        <v/>
      </c>
      <c r="AB323" s="99" t="str">
        <f aca="false">IF(ISBLANK($C323),"",IF(O323=Constants!$B$2, TRUE(), IF(O323=Constants!$B$3, FALSE(), TRUE())))</f>
        <v/>
      </c>
      <c r="AC323" s="99" t="str">
        <f aca="false">IF(ISBLANK($C323),"",IF(P323=Constants!$B$2, TRUE(), IF(P323=Constants!$B$3, FALSE(), FALSE())))</f>
        <v/>
      </c>
      <c r="AD323" s="99" t="str">
        <f aca="false">IF(ISBLANK($C323),"",AND(V323&lt;&gt;"",IF(U323=Constants!$B$19,S323,R323)))</f>
        <v/>
      </c>
      <c r="AE323" s="99" t="str">
        <f aca="false">IF(ISBLANK($C323),"",AND(Z323&lt;&gt;"",IF(Y323=Constants!$B$19,S323,R323)))</f>
        <v/>
      </c>
      <c r="AF323" s="99" t="str">
        <f aca="false">IF(ISBLANK($C323),"",IF(AC323,Constants!$B$4,IF(COUNTA(E323:O323)=0,Constants!$B$5,IF(AND(NOT(AD323),NOT(AE323)),Constants!$B$6,Constants!$B$7))))</f>
        <v/>
      </c>
      <c r="AG323" s="99" t="str">
        <f aca="false">IF(ISBLANK($C323),"",IF($AF323&lt;&gt;Constants!$B$7,$AF323,Constants!$B$20))</f>
        <v/>
      </c>
      <c r="AH323" s="99" t="str">
        <f aca="false">IF($AF323=Constants!$B$7,IF(AD323,V323,Constants!$B$13),"")</f>
        <v/>
      </c>
      <c r="AI323" s="99" t="str">
        <f aca="false">IF($AF323=Constants!$B$7,IF(AD323,T323*IF(W323, 1, Constants!$B$11)*IF(X323, 1, Constants!$B$12),Constants!$B$13),"")</f>
        <v/>
      </c>
      <c r="AJ323" s="99" t="str">
        <f aca="false">IF($AF323=Constants!$B$7,AH323*AI323,"")</f>
        <v/>
      </c>
      <c r="AK323" s="99" t="str">
        <f aca="false">IF($AF323=Constants!$B$7,IF(AE323,Z323,Constants!$B$13),"")</f>
        <v/>
      </c>
      <c r="AL323" s="99" t="str">
        <f aca="false">IF($AF323=Constants!$B$7,IF(AE323,T323*IF(AA323, 1, Constants!$B$11)*IF(AB323, 1, Constants!$B$12),Constants!$B$13),"")</f>
        <v/>
      </c>
      <c r="AM323" s="99" t="str">
        <f aca="false">IF($AF323=Constants!$B$7,AK323*AL323,"")</f>
        <v/>
      </c>
      <c r="AN323" s="99" t="str">
        <f aca="false">IF($AF323=Constants!$B$7,IF(AM323&gt;AJ323,2,1),"")</f>
        <v/>
      </c>
      <c r="AO323" s="99" t="str">
        <f aca="false">IF($AF323=Constants!$B$7,IF(AN323=1,2,1),"")</f>
        <v/>
      </c>
      <c r="AP323" s="99" t="str">
        <f aca="false">IF(ISBLANK($C323),"",IF($AF323&lt;&gt;Constants!$B$7,$AF323,IF(AN323=1,AJ323,AM323)))</f>
        <v/>
      </c>
      <c r="AQ323" s="99" t="str">
        <f aca="false">IF(ISBLANK($C323),"",IF($AF323=Constants!$B$7,IF(ISNUMBER(AP323),RANK(AP323,$AP$8:$AP$507),Constants!$B$14),$AF323))</f>
        <v/>
      </c>
      <c r="AR323" s="99" t="str">
        <f aca="false">IF(ISBLANK($C323),"",IF($AF323=Constants!$B$7,IF(AO323=1,AJ323,AM323),""))</f>
        <v/>
      </c>
      <c r="AS323" s="99" t="str">
        <f aca="false">IF(ISBLANK($C323),"",IF($AF323=Constants!$B$7,RANK(AR323,$AR$8:$AR$507),$AF323))</f>
        <v/>
      </c>
      <c r="AT323" s="99" t="str">
        <f aca="false">IF(ISBLANK($C323),"",IF($AF323=Constants!$B$7,IF(ISNUMBER(AQ323),COUNTIFS($AQ$8:$AQ$507,"&lt;"&amp;$AQ323)+COUNTIFS($AQ$8:$AQ$507,$AQ323,$AS$8:$AS$507,"&lt;"&amp;$AS323)+1,Constants!$B$14),$AF323))</f>
        <v/>
      </c>
      <c r="AU323" s="99" t="str">
        <f aca="false">IF(ISBLANK($C323),"",IF($AF323=Constants!$B$7,IF(ISNUMBER(AQ323),AQ323-AT323,Constants!$B$14),$AF323))</f>
        <v/>
      </c>
      <c r="AV323" s="100"/>
      <c r="AW323" s="101" t="str">
        <f aca="false">IF(ISBLANK($C323),"",IF($AF323&lt;&gt;Constants!$B$7,"",AN323))</f>
        <v/>
      </c>
      <c r="AX323" s="102" t="str">
        <f aca="false">IF(ISBLANK($C323),"",IF($AF323&lt;&gt;Constants!$B$7,"",IF(AN323=1,AH323,AK323)))</f>
        <v/>
      </c>
      <c r="AY323" s="103" t="str">
        <f aca="false">IF(ISBLANK($C323),"",IF($AF323&lt;&gt;Constants!$B$7,"",IF(AN323=1,AI323,AL323)))</f>
        <v/>
      </c>
      <c r="AZ323" s="104" t="str">
        <f aca="false">IF(ISBLANK($C323),"",IF($AF323&lt;&gt;Constants!$B$7,$AF323,AP323))</f>
        <v/>
      </c>
      <c r="BA323" s="105" t="str">
        <f aca="false">IF(ISBLANK($C323),"",IF($AF323&lt;&gt;Constants!$B$7,$AF323,AG323))</f>
        <v/>
      </c>
      <c r="BB323" s="106" t="str">
        <f aca="false">IF(ISBLANK($C323),"",AU323)</f>
        <v/>
      </c>
      <c r="BC323" s="106" t="str">
        <f aca="false">IF(ISBLANK($C323),"",AT323)</f>
        <v/>
      </c>
      <c r="BD323" s="107" t="str">
        <f aca="false">IF(ISBLANK($C323),"",IFERROR(_xlfn.SWITCH(BC323,Constants!$B$4,COUNTA($C$8:$C$507)+2,Constants!$B$5,COUNTA($C$8:$C$507)+1,Constants!$B$6,COUNTA($C$8:$C$507)),BC323))</f>
        <v/>
      </c>
      <c r="BE323" s="5"/>
      <c r="BF323" s="108" t="n">
        <f aca="false">IF(OR(ISNUMBER(BC323),BC323=Constants!$B$4,BC323=Constants!$B$6,BC323=Constants!$B$5),1,0)</f>
        <v>0</v>
      </c>
      <c r="BG323" s="108" t="n">
        <v>316</v>
      </c>
      <c r="BH323" s="108" t="str">
        <f aca="false">IF(ISBLANK($C323),"",IF(ISNUMBER(BD323),BD323+ROW($B323)/1000,""))</f>
        <v/>
      </c>
      <c r="BI323" s="108" t="str">
        <f aca="false">IF(ISNUMBER(BH323),RANK(BH323,$BH$8:$BH$507,1),"")</f>
        <v/>
      </c>
      <c r="BJ323" s="108" t="str">
        <f aca="false">IF(ISBLANK($C323),"",$B323)</f>
        <v/>
      </c>
      <c r="BK323" s="108" t="str">
        <f aca="false">IF(ISBLANK($C323),"",$C323)</f>
        <v/>
      </c>
      <c r="BL323" s="108" t="str">
        <f aca="false">IF(ISBLANK($C323),"",$D323)</f>
        <v/>
      </c>
      <c r="BM323" s="109" t="str">
        <f aca="false">BA323</f>
        <v/>
      </c>
      <c r="BN323" s="110" t="str">
        <f aca="false">AZ323</f>
        <v/>
      </c>
      <c r="BO323" s="108" t="str">
        <f aca="false">IF(ISBLANK($C323),"",BC323)</f>
        <v/>
      </c>
      <c r="BP323" s="111" t="str">
        <f aca="false">IF($BG323&gt;$BF$7,"",VLOOKUP($BG323,$BI$8:$BO$507,7,FALSE()))</f>
        <v/>
      </c>
      <c r="BQ323" s="112" t="str">
        <f aca="false">IF($BG323&gt;$BF$7,"",VLOOKUP($BG323,$BI$8:$BO$507,2,FALSE()))</f>
        <v/>
      </c>
      <c r="BR323" s="112" t="str">
        <f aca="false">IF($BG323&gt;$BF$7,"",VLOOKUP($BG323,$BI$8:$BO$507,3,FALSE()))</f>
        <v/>
      </c>
      <c r="BS323" s="112" t="str">
        <f aca="false">IF($BG323&gt;$BF$7,"",VLOOKUP($BG323,$BI$8:$BO$507,4,FALSE()))</f>
        <v/>
      </c>
      <c r="BT323" s="112" t="str">
        <f aca="false">IF($BG323&gt;$BF$7,"",VLOOKUP($BG323,$BI$8:$BO$507,5,FALSE()))</f>
        <v/>
      </c>
      <c r="BU323" s="113" t="str">
        <f aca="false">IF($BG323&gt;$BF$7,"",VLOOKUP($BG323,$BI$8:$BO$507,6,FALSE()))</f>
        <v/>
      </c>
      <c r="BV323" s="54"/>
    </row>
    <row r="324" customFormat="false" ht="15.75" hidden="false" customHeight="false" outlineLevel="0" collapsed="false">
      <c r="A324" s="5"/>
      <c r="B324" s="128"/>
      <c r="C324" s="129"/>
      <c r="D324" s="114"/>
      <c r="E324" s="134"/>
      <c r="F324" s="139"/>
      <c r="G324" s="93"/>
      <c r="H324" s="140"/>
      <c r="I324" s="95"/>
      <c r="J324" s="95"/>
      <c r="K324" s="93"/>
      <c r="L324" s="141"/>
      <c r="M324" s="95"/>
      <c r="N324" s="95"/>
      <c r="O324" s="93"/>
      <c r="P324" s="134"/>
      <c r="Q324" s="98"/>
      <c r="R324" s="99" t="str">
        <f aca="false">IF(ISBLANK($C324),"",IF(E324=Constants!$B$2, TRUE(), IF(E324=Constants!$B$3, FALSE(), TRUE())))</f>
        <v/>
      </c>
      <c r="S324" s="99" t="str">
        <f aca="false">IF(ISBLANK($C324),"",IF(F324=Constants!$B$2, TRUE(), IF(F324=Constants!$B$3, FALSE(), TRUE())))</f>
        <v/>
      </c>
      <c r="T324" s="99" t="str">
        <f aca="false">IF(ISBLANK($C324),"",IF(G324=Constants!$B$16,Constants!$B$9,IF(G324=Constants!$B$17,Constants!$B$10,Constants!$B$8)))</f>
        <v/>
      </c>
      <c r="U324" s="99" t="str">
        <f aca="false">IF(ISBLANK($C324),"",IF(H324=Constants!$B$19,Constants!$B$19,Constants!$B$18))</f>
        <v/>
      </c>
      <c r="V324" s="99" t="str">
        <f aca="false">IF(ISBLANK($C324),"",IF(ISNUMBER(I324),IF(I324&gt;=0,I324,""),""))</f>
        <v/>
      </c>
      <c r="W324" s="99" t="str">
        <f aca="false">IF(ISBLANK($C324),"",IF(J324=Constants!$B$2, TRUE(), IF(J324=Constants!$B$3, FALSE(), TRUE())))</f>
        <v/>
      </c>
      <c r="X324" s="99" t="str">
        <f aca="false">IF(ISBLANK($C324),"",IF(K324=Constants!$B$2, TRUE(), IF(K324=Constants!$B$3, FALSE(), TRUE())))</f>
        <v/>
      </c>
      <c r="Y324" s="99" t="str">
        <f aca="false">IF(ISBLANK($C324),"",IF(L324=Constants!$B$19,Constants!$B$19,Constants!$B$18))</f>
        <v/>
      </c>
      <c r="Z324" s="99" t="str">
        <f aca="false">IF(ISBLANK($C324),"",IF(ISNUMBER(M324),IF(M324&gt;=0,M324,""),""))</f>
        <v/>
      </c>
      <c r="AA324" s="99" t="str">
        <f aca="false">IF(ISBLANK($C324),"",IF(N324=Constants!$B$2, TRUE(), IF(N324=Constants!$B$3, FALSE(), TRUE())))</f>
        <v/>
      </c>
      <c r="AB324" s="99" t="str">
        <f aca="false">IF(ISBLANK($C324),"",IF(O324=Constants!$B$2, TRUE(), IF(O324=Constants!$B$3, FALSE(), TRUE())))</f>
        <v/>
      </c>
      <c r="AC324" s="99" t="str">
        <f aca="false">IF(ISBLANK($C324),"",IF(P324=Constants!$B$2, TRUE(), IF(P324=Constants!$B$3, FALSE(), FALSE())))</f>
        <v/>
      </c>
      <c r="AD324" s="99" t="str">
        <f aca="false">IF(ISBLANK($C324),"",AND(V324&lt;&gt;"",IF(U324=Constants!$B$19,S324,R324)))</f>
        <v/>
      </c>
      <c r="AE324" s="99" t="str">
        <f aca="false">IF(ISBLANK($C324),"",AND(Z324&lt;&gt;"",IF(Y324=Constants!$B$19,S324,R324)))</f>
        <v/>
      </c>
      <c r="AF324" s="99" t="str">
        <f aca="false">IF(ISBLANK($C324),"",IF(AC324,Constants!$B$4,IF(COUNTA(E324:O324)=0,Constants!$B$5,IF(AND(NOT(AD324),NOT(AE324)),Constants!$B$6,Constants!$B$7))))</f>
        <v/>
      </c>
      <c r="AG324" s="99" t="str">
        <f aca="false">IF(ISBLANK($C324),"",IF($AF324&lt;&gt;Constants!$B$7,$AF324,Constants!$B$20))</f>
        <v/>
      </c>
      <c r="AH324" s="99" t="str">
        <f aca="false">IF($AF324=Constants!$B$7,IF(AD324,V324,Constants!$B$13),"")</f>
        <v/>
      </c>
      <c r="AI324" s="99" t="str">
        <f aca="false">IF($AF324=Constants!$B$7,IF(AD324,T324*IF(W324, 1, Constants!$B$11)*IF(X324, 1, Constants!$B$12),Constants!$B$13),"")</f>
        <v/>
      </c>
      <c r="AJ324" s="99" t="str">
        <f aca="false">IF($AF324=Constants!$B$7,AH324*AI324,"")</f>
        <v/>
      </c>
      <c r="AK324" s="99" t="str">
        <f aca="false">IF($AF324=Constants!$B$7,IF(AE324,Z324,Constants!$B$13),"")</f>
        <v/>
      </c>
      <c r="AL324" s="99" t="str">
        <f aca="false">IF($AF324=Constants!$B$7,IF(AE324,T324*IF(AA324, 1, Constants!$B$11)*IF(AB324, 1, Constants!$B$12),Constants!$B$13),"")</f>
        <v/>
      </c>
      <c r="AM324" s="99" t="str">
        <f aca="false">IF($AF324=Constants!$B$7,AK324*AL324,"")</f>
        <v/>
      </c>
      <c r="AN324" s="99" t="str">
        <f aca="false">IF($AF324=Constants!$B$7,IF(AM324&gt;AJ324,2,1),"")</f>
        <v/>
      </c>
      <c r="AO324" s="99" t="str">
        <f aca="false">IF($AF324=Constants!$B$7,IF(AN324=1,2,1),"")</f>
        <v/>
      </c>
      <c r="AP324" s="99" t="str">
        <f aca="false">IF(ISBLANK($C324),"",IF($AF324&lt;&gt;Constants!$B$7,$AF324,IF(AN324=1,AJ324,AM324)))</f>
        <v/>
      </c>
      <c r="AQ324" s="99" t="str">
        <f aca="false">IF(ISBLANK($C324),"",IF($AF324=Constants!$B$7,IF(ISNUMBER(AP324),RANK(AP324,$AP$8:$AP$507),Constants!$B$14),$AF324))</f>
        <v/>
      </c>
      <c r="AR324" s="99" t="str">
        <f aca="false">IF(ISBLANK($C324),"",IF($AF324=Constants!$B$7,IF(AO324=1,AJ324,AM324),""))</f>
        <v/>
      </c>
      <c r="AS324" s="99" t="str">
        <f aca="false">IF(ISBLANK($C324),"",IF($AF324=Constants!$B$7,RANK(AR324,$AR$8:$AR$507),$AF324))</f>
        <v/>
      </c>
      <c r="AT324" s="99" t="str">
        <f aca="false">IF(ISBLANK($C324),"",IF($AF324=Constants!$B$7,IF(ISNUMBER(AQ324),COUNTIFS($AQ$8:$AQ$507,"&lt;"&amp;$AQ324)+COUNTIFS($AQ$8:$AQ$507,$AQ324,$AS$8:$AS$507,"&lt;"&amp;$AS324)+1,Constants!$B$14),$AF324))</f>
        <v/>
      </c>
      <c r="AU324" s="99" t="str">
        <f aca="false">IF(ISBLANK($C324),"",IF($AF324=Constants!$B$7,IF(ISNUMBER(AQ324),AQ324-AT324,Constants!$B$14),$AF324))</f>
        <v/>
      </c>
      <c r="AV324" s="100"/>
      <c r="AW324" s="101" t="str">
        <f aca="false">IF(ISBLANK($C324),"",IF($AF324&lt;&gt;Constants!$B$7,"",AN324))</f>
        <v/>
      </c>
      <c r="AX324" s="102" t="str">
        <f aca="false">IF(ISBLANK($C324),"",IF($AF324&lt;&gt;Constants!$B$7,"",IF(AN324=1,AH324,AK324)))</f>
        <v/>
      </c>
      <c r="AY324" s="103" t="str">
        <f aca="false">IF(ISBLANK($C324),"",IF($AF324&lt;&gt;Constants!$B$7,"",IF(AN324=1,AI324,AL324)))</f>
        <v/>
      </c>
      <c r="AZ324" s="104" t="str">
        <f aca="false">IF(ISBLANK($C324),"",IF($AF324&lt;&gt;Constants!$B$7,$AF324,AP324))</f>
        <v/>
      </c>
      <c r="BA324" s="105" t="str">
        <f aca="false">IF(ISBLANK($C324),"",IF($AF324&lt;&gt;Constants!$B$7,$AF324,AG324))</f>
        <v/>
      </c>
      <c r="BB324" s="106" t="str">
        <f aca="false">IF(ISBLANK($C324),"",AU324)</f>
        <v/>
      </c>
      <c r="BC324" s="106" t="str">
        <f aca="false">IF(ISBLANK($C324),"",AT324)</f>
        <v/>
      </c>
      <c r="BD324" s="107" t="str">
        <f aca="false">IF(ISBLANK($C324),"",IFERROR(_xlfn.SWITCH(BC324,Constants!$B$4,COUNTA($C$8:$C$507)+2,Constants!$B$5,COUNTA($C$8:$C$507)+1,Constants!$B$6,COUNTA($C$8:$C$507)),BC324))</f>
        <v/>
      </c>
      <c r="BE324" s="5"/>
      <c r="BF324" s="108" t="n">
        <f aca="false">IF(OR(ISNUMBER(BC324),BC324=Constants!$B$4,BC324=Constants!$B$6,BC324=Constants!$B$5),1,0)</f>
        <v>0</v>
      </c>
      <c r="BG324" s="108" t="n">
        <v>317</v>
      </c>
      <c r="BH324" s="108" t="str">
        <f aca="false">IF(ISBLANK($C324),"",IF(ISNUMBER(BD324),BD324+ROW($B324)/1000,""))</f>
        <v/>
      </c>
      <c r="BI324" s="108" t="str">
        <f aca="false">IF(ISNUMBER(BH324),RANK(BH324,$BH$8:$BH$507,1),"")</f>
        <v/>
      </c>
      <c r="BJ324" s="108" t="str">
        <f aca="false">IF(ISBLANK($C324),"",$B324)</f>
        <v/>
      </c>
      <c r="BK324" s="108" t="str">
        <f aca="false">IF(ISBLANK($C324),"",$C324)</f>
        <v/>
      </c>
      <c r="BL324" s="108" t="str">
        <f aca="false">IF(ISBLANK($C324),"",$D324)</f>
        <v/>
      </c>
      <c r="BM324" s="109" t="str">
        <f aca="false">BA324</f>
        <v/>
      </c>
      <c r="BN324" s="110" t="str">
        <f aca="false">AZ324</f>
        <v/>
      </c>
      <c r="BO324" s="108" t="str">
        <f aca="false">IF(ISBLANK($C324),"",BC324)</f>
        <v/>
      </c>
      <c r="BP324" s="111" t="str">
        <f aca="false">IF($BG324&gt;$BF$7,"",VLOOKUP($BG324,$BI$8:$BO$507,7,FALSE()))</f>
        <v/>
      </c>
      <c r="BQ324" s="112" t="str">
        <f aca="false">IF($BG324&gt;$BF$7,"",VLOOKUP($BG324,$BI$8:$BO$507,2,FALSE()))</f>
        <v/>
      </c>
      <c r="BR324" s="112" t="str">
        <f aca="false">IF($BG324&gt;$BF$7,"",VLOOKUP($BG324,$BI$8:$BO$507,3,FALSE()))</f>
        <v/>
      </c>
      <c r="BS324" s="112" t="str">
        <f aca="false">IF($BG324&gt;$BF$7,"",VLOOKUP($BG324,$BI$8:$BO$507,4,FALSE()))</f>
        <v/>
      </c>
      <c r="BT324" s="112" t="str">
        <f aca="false">IF($BG324&gt;$BF$7,"",VLOOKUP($BG324,$BI$8:$BO$507,5,FALSE()))</f>
        <v/>
      </c>
      <c r="BU324" s="113" t="str">
        <f aca="false">IF($BG324&gt;$BF$7,"",VLOOKUP($BG324,$BI$8:$BO$507,6,FALSE()))</f>
        <v/>
      </c>
      <c r="BV324" s="54"/>
    </row>
    <row r="325" customFormat="false" ht="15.75" hidden="false" customHeight="false" outlineLevel="0" collapsed="false">
      <c r="A325" s="5"/>
      <c r="B325" s="128"/>
      <c r="C325" s="129"/>
      <c r="D325" s="114"/>
      <c r="E325" s="134"/>
      <c r="F325" s="139"/>
      <c r="G325" s="93"/>
      <c r="H325" s="140"/>
      <c r="I325" s="95"/>
      <c r="J325" s="95"/>
      <c r="K325" s="93"/>
      <c r="L325" s="141"/>
      <c r="M325" s="95"/>
      <c r="N325" s="95"/>
      <c r="O325" s="93"/>
      <c r="P325" s="134"/>
      <c r="Q325" s="98"/>
      <c r="R325" s="99" t="str">
        <f aca="false">IF(ISBLANK($C325),"",IF(E325=Constants!$B$2, TRUE(), IF(E325=Constants!$B$3, FALSE(), TRUE())))</f>
        <v/>
      </c>
      <c r="S325" s="99" t="str">
        <f aca="false">IF(ISBLANK($C325),"",IF(F325=Constants!$B$2, TRUE(), IF(F325=Constants!$B$3, FALSE(), TRUE())))</f>
        <v/>
      </c>
      <c r="T325" s="99" t="str">
        <f aca="false">IF(ISBLANK($C325),"",IF(G325=Constants!$B$16,Constants!$B$9,IF(G325=Constants!$B$17,Constants!$B$10,Constants!$B$8)))</f>
        <v/>
      </c>
      <c r="U325" s="99" t="str">
        <f aca="false">IF(ISBLANK($C325),"",IF(H325=Constants!$B$19,Constants!$B$19,Constants!$B$18))</f>
        <v/>
      </c>
      <c r="V325" s="99" t="str">
        <f aca="false">IF(ISBLANK($C325),"",IF(ISNUMBER(I325),IF(I325&gt;=0,I325,""),""))</f>
        <v/>
      </c>
      <c r="W325" s="99" t="str">
        <f aca="false">IF(ISBLANK($C325),"",IF(J325=Constants!$B$2, TRUE(), IF(J325=Constants!$B$3, FALSE(), TRUE())))</f>
        <v/>
      </c>
      <c r="X325" s="99" t="str">
        <f aca="false">IF(ISBLANK($C325),"",IF(K325=Constants!$B$2, TRUE(), IF(K325=Constants!$B$3, FALSE(), TRUE())))</f>
        <v/>
      </c>
      <c r="Y325" s="99" t="str">
        <f aca="false">IF(ISBLANK($C325),"",IF(L325=Constants!$B$19,Constants!$B$19,Constants!$B$18))</f>
        <v/>
      </c>
      <c r="Z325" s="99" t="str">
        <f aca="false">IF(ISBLANK($C325),"",IF(ISNUMBER(M325),IF(M325&gt;=0,M325,""),""))</f>
        <v/>
      </c>
      <c r="AA325" s="99" t="str">
        <f aca="false">IF(ISBLANK($C325),"",IF(N325=Constants!$B$2, TRUE(), IF(N325=Constants!$B$3, FALSE(), TRUE())))</f>
        <v/>
      </c>
      <c r="AB325" s="99" t="str">
        <f aca="false">IF(ISBLANK($C325),"",IF(O325=Constants!$B$2, TRUE(), IF(O325=Constants!$B$3, FALSE(), TRUE())))</f>
        <v/>
      </c>
      <c r="AC325" s="99" t="str">
        <f aca="false">IF(ISBLANK($C325),"",IF(P325=Constants!$B$2, TRUE(), IF(P325=Constants!$B$3, FALSE(), FALSE())))</f>
        <v/>
      </c>
      <c r="AD325" s="99" t="str">
        <f aca="false">IF(ISBLANK($C325),"",AND(V325&lt;&gt;"",IF(U325=Constants!$B$19,S325,R325)))</f>
        <v/>
      </c>
      <c r="AE325" s="99" t="str">
        <f aca="false">IF(ISBLANK($C325),"",AND(Z325&lt;&gt;"",IF(Y325=Constants!$B$19,S325,R325)))</f>
        <v/>
      </c>
      <c r="AF325" s="99" t="str">
        <f aca="false">IF(ISBLANK($C325),"",IF(AC325,Constants!$B$4,IF(COUNTA(E325:O325)=0,Constants!$B$5,IF(AND(NOT(AD325),NOT(AE325)),Constants!$B$6,Constants!$B$7))))</f>
        <v/>
      </c>
      <c r="AG325" s="99" t="str">
        <f aca="false">IF(ISBLANK($C325),"",IF($AF325&lt;&gt;Constants!$B$7,$AF325,Constants!$B$20))</f>
        <v/>
      </c>
      <c r="AH325" s="99" t="str">
        <f aca="false">IF($AF325=Constants!$B$7,IF(AD325,V325,Constants!$B$13),"")</f>
        <v/>
      </c>
      <c r="AI325" s="99" t="str">
        <f aca="false">IF($AF325=Constants!$B$7,IF(AD325,T325*IF(W325, 1, Constants!$B$11)*IF(X325, 1, Constants!$B$12),Constants!$B$13),"")</f>
        <v/>
      </c>
      <c r="AJ325" s="99" t="str">
        <f aca="false">IF($AF325=Constants!$B$7,AH325*AI325,"")</f>
        <v/>
      </c>
      <c r="AK325" s="99" t="str">
        <f aca="false">IF($AF325=Constants!$B$7,IF(AE325,Z325,Constants!$B$13),"")</f>
        <v/>
      </c>
      <c r="AL325" s="99" t="str">
        <f aca="false">IF($AF325=Constants!$B$7,IF(AE325,T325*IF(AA325, 1, Constants!$B$11)*IF(AB325, 1, Constants!$B$12),Constants!$B$13),"")</f>
        <v/>
      </c>
      <c r="AM325" s="99" t="str">
        <f aca="false">IF($AF325=Constants!$B$7,AK325*AL325,"")</f>
        <v/>
      </c>
      <c r="AN325" s="99" t="str">
        <f aca="false">IF($AF325=Constants!$B$7,IF(AM325&gt;AJ325,2,1),"")</f>
        <v/>
      </c>
      <c r="AO325" s="99" t="str">
        <f aca="false">IF($AF325=Constants!$B$7,IF(AN325=1,2,1),"")</f>
        <v/>
      </c>
      <c r="AP325" s="99" t="str">
        <f aca="false">IF(ISBLANK($C325),"",IF($AF325&lt;&gt;Constants!$B$7,$AF325,IF(AN325=1,AJ325,AM325)))</f>
        <v/>
      </c>
      <c r="AQ325" s="99" t="str">
        <f aca="false">IF(ISBLANK($C325),"",IF($AF325=Constants!$B$7,IF(ISNUMBER(AP325),RANK(AP325,$AP$8:$AP$507),Constants!$B$14),$AF325))</f>
        <v/>
      </c>
      <c r="AR325" s="99" t="str">
        <f aca="false">IF(ISBLANK($C325),"",IF($AF325=Constants!$B$7,IF(AO325=1,AJ325,AM325),""))</f>
        <v/>
      </c>
      <c r="AS325" s="99" t="str">
        <f aca="false">IF(ISBLANK($C325),"",IF($AF325=Constants!$B$7,RANK(AR325,$AR$8:$AR$507),$AF325))</f>
        <v/>
      </c>
      <c r="AT325" s="99" t="str">
        <f aca="false">IF(ISBLANK($C325),"",IF($AF325=Constants!$B$7,IF(ISNUMBER(AQ325),COUNTIFS($AQ$8:$AQ$507,"&lt;"&amp;$AQ325)+COUNTIFS($AQ$8:$AQ$507,$AQ325,$AS$8:$AS$507,"&lt;"&amp;$AS325)+1,Constants!$B$14),$AF325))</f>
        <v/>
      </c>
      <c r="AU325" s="99" t="str">
        <f aca="false">IF(ISBLANK($C325),"",IF($AF325=Constants!$B$7,IF(ISNUMBER(AQ325),AQ325-AT325,Constants!$B$14),$AF325))</f>
        <v/>
      </c>
      <c r="AV325" s="100"/>
      <c r="AW325" s="101" t="str">
        <f aca="false">IF(ISBLANK($C325),"",IF($AF325&lt;&gt;Constants!$B$7,"",AN325))</f>
        <v/>
      </c>
      <c r="AX325" s="102" t="str">
        <f aca="false">IF(ISBLANK($C325),"",IF($AF325&lt;&gt;Constants!$B$7,"",IF(AN325=1,AH325,AK325)))</f>
        <v/>
      </c>
      <c r="AY325" s="103" t="str">
        <f aca="false">IF(ISBLANK($C325),"",IF($AF325&lt;&gt;Constants!$B$7,"",IF(AN325=1,AI325,AL325)))</f>
        <v/>
      </c>
      <c r="AZ325" s="104" t="str">
        <f aca="false">IF(ISBLANK($C325),"",IF($AF325&lt;&gt;Constants!$B$7,$AF325,AP325))</f>
        <v/>
      </c>
      <c r="BA325" s="105" t="str">
        <f aca="false">IF(ISBLANK($C325),"",IF($AF325&lt;&gt;Constants!$B$7,$AF325,AG325))</f>
        <v/>
      </c>
      <c r="BB325" s="106" t="str">
        <f aca="false">IF(ISBLANK($C325),"",AU325)</f>
        <v/>
      </c>
      <c r="BC325" s="106" t="str">
        <f aca="false">IF(ISBLANK($C325),"",AT325)</f>
        <v/>
      </c>
      <c r="BD325" s="107" t="str">
        <f aca="false">IF(ISBLANK($C325),"",IFERROR(_xlfn.SWITCH(BC325,Constants!$B$4,COUNTA($C$8:$C$507)+2,Constants!$B$5,COUNTA($C$8:$C$507)+1,Constants!$B$6,COUNTA($C$8:$C$507)),BC325))</f>
        <v/>
      </c>
      <c r="BE325" s="5"/>
      <c r="BF325" s="108" t="n">
        <f aca="false">IF(OR(ISNUMBER(BC325),BC325=Constants!$B$4,BC325=Constants!$B$6,BC325=Constants!$B$5),1,0)</f>
        <v>0</v>
      </c>
      <c r="BG325" s="108" t="n">
        <v>318</v>
      </c>
      <c r="BH325" s="108" t="str">
        <f aca="false">IF(ISBLANK($C325),"",IF(ISNUMBER(BD325),BD325+ROW($B325)/1000,""))</f>
        <v/>
      </c>
      <c r="BI325" s="108" t="str">
        <f aca="false">IF(ISNUMBER(BH325),RANK(BH325,$BH$8:$BH$507,1),"")</f>
        <v/>
      </c>
      <c r="BJ325" s="108" t="str">
        <f aca="false">IF(ISBLANK($C325),"",$B325)</f>
        <v/>
      </c>
      <c r="BK325" s="108" t="str">
        <f aca="false">IF(ISBLANK($C325),"",$C325)</f>
        <v/>
      </c>
      <c r="BL325" s="108" t="str">
        <f aca="false">IF(ISBLANK($C325),"",$D325)</f>
        <v/>
      </c>
      <c r="BM325" s="109" t="str">
        <f aca="false">BA325</f>
        <v/>
      </c>
      <c r="BN325" s="110" t="str">
        <f aca="false">AZ325</f>
        <v/>
      </c>
      <c r="BO325" s="108" t="str">
        <f aca="false">IF(ISBLANK($C325),"",BC325)</f>
        <v/>
      </c>
      <c r="BP325" s="111" t="str">
        <f aca="false">IF($BG325&gt;$BF$7,"",VLOOKUP($BG325,$BI$8:$BO$507,7,FALSE()))</f>
        <v/>
      </c>
      <c r="BQ325" s="112" t="str">
        <f aca="false">IF($BG325&gt;$BF$7,"",VLOOKUP($BG325,$BI$8:$BO$507,2,FALSE()))</f>
        <v/>
      </c>
      <c r="BR325" s="112" t="str">
        <f aca="false">IF($BG325&gt;$BF$7,"",VLOOKUP($BG325,$BI$8:$BO$507,3,FALSE()))</f>
        <v/>
      </c>
      <c r="BS325" s="112" t="str">
        <f aca="false">IF($BG325&gt;$BF$7,"",VLOOKUP($BG325,$BI$8:$BO$507,4,FALSE()))</f>
        <v/>
      </c>
      <c r="BT325" s="112" t="str">
        <f aca="false">IF($BG325&gt;$BF$7,"",VLOOKUP($BG325,$BI$8:$BO$507,5,FALSE()))</f>
        <v/>
      </c>
      <c r="BU325" s="113" t="str">
        <f aca="false">IF($BG325&gt;$BF$7,"",VLOOKUP($BG325,$BI$8:$BO$507,6,FALSE()))</f>
        <v/>
      </c>
      <c r="BV325" s="54"/>
    </row>
    <row r="326" customFormat="false" ht="15.75" hidden="false" customHeight="false" outlineLevel="0" collapsed="false">
      <c r="A326" s="5"/>
      <c r="B326" s="135"/>
      <c r="C326" s="56"/>
      <c r="D326" s="57"/>
      <c r="E326" s="84"/>
      <c r="F326" s="136"/>
      <c r="G326" s="60"/>
      <c r="H326" s="137"/>
      <c r="I326" s="62"/>
      <c r="J326" s="62"/>
      <c r="K326" s="60"/>
      <c r="L326" s="138"/>
      <c r="M326" s="62"/>
      <c r="N326" s="62"/>
      <c r="O326" s="60"/>
      <c r="P326" s="84"/>
      <c r="Q326" s="65"/>
      <c r="R326" s="67" t="str">
        <f aca="false">IF(ISBLANK($C326),"",IF(E326=Constants!$B$2, TRUE(), IF(E326=Constants!$B$3, FALSE(), TRUE())))</f>
        <v/>
      </c>
      <c r="S326" s="67" t="str">
        <f aca="false">IF(ISBLANK($C326),"",IF(F326=Constants!$B$2, TRUE(), IF(F326=Constants!$B$3, FALSE(), TRUE())))</f>
        <v/>
      </c>
      <c r="T326" s="67" t="str">
        <f aca="false">IF(ISBLANK($C326),"",IF(G326=Constants!$B$16,Constants!$B$9,IF(G326=Constants!$B$17,Constants!$B$10,Constants!$B$8)))</f>
        <v/>
      </c>
      <c r="U326" s="67" t="str">
        <f aca="false">IF(ISBLANK($C326),"",IF(H326=Constants!$B$19,Constants!$B$19,Constants!$B$18))</f>
        <v/>
      </c>
      <c r="V326" s="67" t="str">
        <f aca="false">IF(ISBLANK($C326),"",IF(ISNUMBER(I326),IF(I326&gt;=0,I326,""),""))</f>
        <v/>
      </c>
      <c r="W326" s="67" t="str">
        <f aca="false">IF(ISBLANK($C326),"",IF(J326=Constants!$B$2, TRUE(), IF(J326=Constants!$B$3, FALSE(), TRUE())))</f>
        <v/>
      </c>
      <c r="X326" s="67" t="str">
        <f aca="false">IF(ISBLANK($C326),"",IF(K326=Constants!$B$2, TRUE(), IF(K326=Constants!$B$3, FALSE(), TRUE())))</f>
        <v/>
      </c>
      <c r="Y326" s="67" t="str">
        <f aca="false">IF(ISBLANK($C326),"",IF(L326=Constants!$B$19,Constants!$B$19,Constants!$B$18))</f>
        <v/>
      </c>
      <c r="Z326" s="67" t="str">
        <f aca="false">IF(ISBLANK($C326),"",IF(ISNUMBER(M326),IF(M326&gt;=0,M326,""),""))</f>
        <v/>
      </c>
      <c r="AA326" s="67" t="str">
        <f aca="false">IF(ISBLANK($C326),"",IF(N326=Constants!$B$2, TRUE(), IF(N326=Constants!$B$3, FALSE(), TRUE())))</f>
        <v/>
      </c>
      <c r="AB326" s="67" t="str">
        <f aca="false">IF(ISBLANK($C326),"",IF(O326=Constants!$B$2, TRUE(), IF(O326=Constants!$B$3, FALSE(), TRUE())))</f>
        <v/>
      </c>
      <c r="AC326" s="67" t="str">
        <f aca="false">IF(ISBLANK($C326),"",IF(P326=Constants!$B$2, TRUE(), IF(P326=Constants!$B$3, FALSE(), FALSE())))</f>
        <v/>
      </c>
      <c r="AD326" s="67" t="str">
        <f aca="false">IF(ISBLANK($C326),"",AND(V326&lt;&gt;"",IF(U326=Constants!$B$19,S326,R326)))</f>
        <v/>
      </c>
      <c r="AE326" s="67" t="str">
        <f aca="false">IF(ISBLANK($C326),"",AND(Z326&lt;&gt;"",IF(Y326=Constants!$B$19,S326,R326)))</f>
        <v/>
      </c>
      <c r="AF326" s="67" t="str">
        <f aca="false">IF(ISBLANK($C326),"",IF(AC326,Constants!$B$4,IF(COUNTA(E326:O326)=0,Constants!$B$5,IF(AND(NOT(AD326),NOT(AE326)),Constants!$B$6,Constants!$B$7))))</f>
        <v/>
      </c>
      <c r="AG326" s="67" t="str">
        <f aca="false">IF(ISBLANK($C326),"",IF($AF326&lt;&gt;Constants!$B$7,$AF326,Constants!$B$20))</f>
        <v/>
      </c>
      <c r="AH326" s="67" t="str">
        <f aca="false">IF($AF326=Constants!$B$7,IF(AD326,V326,Constants!$B$13),"")</f>
        <v/>
      </c>
      <c r="AI326" s="67" t="str">
        <f aca="false">IF($AF326=Constants!$B$7,IF(AD326,T326*IF(W326, 1, Constants!$B$11)*IF(X326, 1, Constants!$B$12),Constants!$B$13),"")</f>
        <v/>
      </c>
      <c r="AJ326" s="67" t="str">
        <f aca="false">IF($AF326=Constants!$B$7,AH326*AI326,"")</f>
        <v/>
      </c>
      <c r="AK326" s="67" t="str">
        <f aca="false">IF($AF326=Constants!$B$7,IF(AE326,Z326,Constants!$B$13),"")</f>
        <v/>
      </c>
      <c r="AL326" s="67" t="str">
        <f aca="false">IF($AF326=Constants!$B$7,IF(AE326,T326*IF(AA326, 1, Constants!$B$11)*IF(AB326, 1, Constants!$B$12),Constants!$B$13),"")</f>
        <v/>
      </c>
      <c r="AM326" s="67" t="str">
        <f aca="false">IF($AF326=Constants!$B$7,AK326*AL326,"")</f>
        <v/>
      </c>
      <c r="AN326" s="67" t="str">
        <f aca="false">IF($AF326=Constants!$B$7,IF(AM326&gt;AJ326,2,1),"")</f>
        <v/>
      </c>
      <c r="AO326" s="67" t="str">
        <f aca="false">IF($AF326=Constants!$B$7,IF(AN326=1,2,1),"")</f>
        <v/>
      </c>
      <c r="AP326" s="67" t="str">
        <f aca="false">IF(ISBLANK($C326),"",IF($AF326&lt;&gt;Constants!$B$7,$AF326,IF(AN326=1,AJ326,AM326)))</f>
        <v/>
      </c>
      <c r="AQ326" s="67" t="str">
        <f aca="false">IF(ISBLANK($C326),"",IF($AF326=Constants!$B$7,IF(ISNUMBER(AP326),RANK(AP326,$AP$8:$AP$507),Constants!$B$14),$AF326))</f>
        <v/>
      </c>
      <c r="AR326" s="67" t="str">
        <f aca="false">IF(ISBLANK($C326),"",IF($AF326=Constants!$B$7,IF(AO326=1,AJ326,AM326),""))</f>
        <v/>
      </c>
      <c r="AS326" s="67" t="str">
        <f aca="false">IF(ISBLANK($C326),"",IF($AF326=Constants!$B$7,RANK(AR326,$AR$8:$AR$507),$AF326))</f>
        <v/>
      </c>
      <c r="AT326" s="67" t="str">
        <f aca="false">IF(ISBLANK($C326),"",IF($AF326=Constants!$B$7,IF(ISNUMBER(AQ326),COUNTIFS($AQ$8:$AQ$507,"&lt;"&amp;$AQ326)+COUNTIFS($AQ$8:$AQ$507,$AQ326,$AS$8:$AS$507,"&lt;"&amp;$AS326)+1,Constants!$B$14),$AF326))</f>
        <v/>
      </c>
      <c r="AU326" s="67" t="str">
        <f aca="false">IF(ISBLANK($C326),"",IF($AF326=Constants!$B$7,IF(ISNUMBER(AQ326),AQ326-AT326,Constants!$B$14),$AF326))</f>
        <v/>
      </c>
      <c r="AV326" s="69"/>
      <c r="AW326" s="70" t="str">
        <f aca="false">IF(ISBLANK($C326),"",IF($AF326&lt;&gt;Constants!$B$7,"",AN326))</f>
        <v/>
      </c>
      <c r="AX326" s="85" t="str">
        <f aca="false">IF(ISBLANK($C326),"",IF($AF326&lt;&gt;Constants!$B$7,"",IF(AN326=1,AH326,AK326)))</f>
        <v/>
      </c>
      <c r="AY326" s="72" t="str">
        <f aca="false">IF(ISBLANK($C326),"",IF($AF326&lt;&gt;Constants!$B$7,"",IF(AN326=1,AI326,AL326)))</f>
        <v/>
      </c>
      <c r="AZ326" s="73" t="str">
        <f aca="false">IF(ISBLANK($C326),"",IF($AF326&lt;&gt;Constants!$B$7,$AF326,AP326))</f>
        <v/>
      </c>
      <c r="BA326" s="74" t="str">
        <f aca="false">IF(ISBLANK($C326),"",IF($AF326&lt;&gt;Constants!$B$7,$AF326,AG326))</f>
        <v/>
      </c>
      <c r="BB326" s="75" t="str">
        <f aca="false">IF(ISBLANK($C326),"",AU326)</f>
        <v/>
      </c>
      <c r="BC326" s="75" t="str">
        <f aca="false">IF(ISBLANK($C326),"",AT326)</f>
        <v/>
      </c>
      <c r="BD326" s="76" t="str">
        <f aca="false">IF(ISBLANK($C326),"",IFERROR(_xlfn.SWITCH(BC326,Constants!$B$4,COUNTA($C$8:$C$507)+2,Constants!$B$5,COUNTA($C$8:$C$507)+1,Constants!$B$6,COUNTA($C$8:$C$507)),BC326))</f>
        <v/>
      </c>
      <c r="BE326" s="5"/>
      <c r="BF326" s="77" t="n">
        <f aca="false">IF(OR(ISNUMBER(BC326),BC326=Constants!$B$4,BC326=Constants!$B$6,BC326=Constants!$B$5),1,0)</f>
        <v>0</v>
      </c>
      <c r="BG326" s="77" t="n">
        <v>319</v>
      </c>
      <c r="BH326" s="77" t="str">
        <f aca="false">IF(ISBLANK($C326),"",IF(ISNUMBER(BD326),BD326+ROW($B326)/1000,""))</f>
        <v/>
      </c>
      <c r="BI326" s="77" t="str">
        <f aca="false">IF(ISNUMBER(BH326),RANK(BH326,$BH$8:$BH$507,1),"")</f>
        <v/>
      </c>
      <c r="BJ326" s="77" t="str">
        <f aca="false">IF(ISBLANK($C326),"",$B326)</f>
        <v/>
      </c>
      <c r="BK326" s="77" t="str">
        <f aca="false">IF(ISBLANK($C326),"",$C326)</f>
        <v/>
      </c>
      <c r="BL326" s="77" t="str">
        <f aca="false">IF(ISBLANK($C326),"",$D326)</f>
        <v/>
      </c>
      <c r="BM326" s="78" t="str">
        <f aca="false">BA326</f>
        <v/>
      </c>
      <c r="BN326" s="79" t="str">
        <f aca="false">AZ326</f>
        <v/>
      </c>
      <c r="BO326" s="77" t="str">
        <f aca="false">IF(ISBLANK($C326),"",BC326)</f>
        <v/>
      </c>
      <c r="BP326" s="80" t="str">
        <f aca="false">IF($BG326&gt;$BF$7,"",VLOOKUP($BG326,$BI$8:$BO$507,7,FALSE()))</f>
        <v/>
      </c>
      <c r="BQ326" s="81" t="str">
        <f aca="false">IF($BG326&gt;$BF$7,"",VLOOKUP($BG326,$BI$8:$BO$507,2,FALSE()))</f>
        <v/>
      </c>
      <c r="BR326" s="81" t="str">
        <f aca="false">IF($BG326&gt;$BF$7,"",VLOOKUP($BG326,$BI$8:$BO$507,3,FALSE()))</f>
        <v/>
      </c>
      <c r="BS326" s="81" t="str">
        <f aca="false">IF($BG326&gt;$BF$7,"",VLOOKUP($BG326,$BI$8:$BO$507,4,FALSE()))</f>
        <v/>
      </c>
      <c r="BT326" s="81" t="str">
        <f aca="false">IF($BG326&gt;$BF$7,"",VLOOKUP($BG326,$BI$8:$BO$507,5,FALSE()))</f>
        <v/>
      </c>
      <c r="BU326" s="82" t="str">
        <f aca="false">IF($BG326&gt;$BF$7,"",VLOOKUP($BG326,$BI$8:$BO$507,6,FALSE()))</f>
        <v/>
      </c>
      <c r="BV326" s="54"/>
    </row>
    <row r="327" customFormat="false" ht="15.75" hidden="false" customHeight="false" outlineLevel="0" collapsed="false">
      <c r="A327" s="5"/>
      <c r="B327" s="135"/>
      <c r="C327" s="56"/>
      <c r="D327" s="57"/>
      <c r="E327" s="84"/>
      <c r="F327" s="136"/>
      <c r="G327" s="60"/>
      <c r="H327" s="137"/>
      <c r="I327" s="62"/>
      <c r="J327" s="62"/>
      <c r="K327" s="60"/>
      <c r="L327" s="138"/>
      <c r="M327" s="62"/>
      <c r="N327" s="62"/>
      <c r="O327" s="60"/>
      <c r="P327" s="84"/>
      <c r="Q327" s="65"/>
      <c r="R327" s="67" t="str">
        <f aca="false">IF(ISBLANK($C327),"",IF(E327=Constants!$B$2, TRUE(), IF(E327=Constants!$B$3, FALSE(), TRUE())))</f>
        <v/>
      </c>
      <c r="S327" s="67" t="str">
        <f aca="false">IF(ISBLANK($C327),"",IF(F327=Constants!$B$2, TRUE(), IF(F327=Constants!$B$3, FALSE(), TRUE())))</f>
        <v/>
      </c>
      <c r="T327" s="67" t="str">
        <f aca="false">IF(ISBLANK($C327),"",IF(G327=Constants!$B$16,Constants!$B$9,IF(G327=Constants!$B$17,Constants!$B$10,Constants!$B$8)))</f>
        <v/>
      </c>
      <c r="U327" s="67" t="str">
        <f aca="false">IF(ISBLANK($C327),"",IF(H327=Constants!$B$19,Constants!$B$19,Constants!$B$18))</f>
        <v/>
      </c>
      <c r="V327" s="67" t="str">
        <f aca="false">IF(ISBLANK($C327),"",IF(ISNUMBER(I327),IF(I327&gt;=0,I327,""),""))</f>
        <v/>
      </c>
      <c r="W327" s="67" t="str">
        <f aca="false">IF(ISBLANK($C327),"",IF(J327=Constants!$B$2, TRUE(), IF(J327=Constants!$B$3, FALSE(), TRUE())))</f>
        <v/>
      </c>
      <c r="X327" s="67" t="str">
        <f aca="false">IF(ISBLANK($C327),"",IF(K327=Constants!$B$2, TRUE(), IF(K327=Constants!$B$3, FALSE(), TRUE())))</f>
        <v/>
      </c>
      <c r="Y327" s="67" t="str">
        <f aca="false">IF(ISBLANK($C327),"",IF(L327=Constants!$B$19,Constants!$B$19,Constants!$B$18))</f>
        <v/>
      </c>
      <c r="Z327" s="67" t="str">
        <f aca="false">IF(ISBLANK($C327),"",IF(ISNUMBER(M327),IF(M327&gt;=0,M327,""),""))</f>
        <v/>
      </c>
      <c r="AA327" s="67" t="str">
        <f aca="false">IF(ISBLANK($C327),"",IF(N327=Constants!$B$2, TRUE(), IF(N327=Constants!$B$3, FALSE(), TRUE())))</f>
        <v/>
      </c>
      <c r="AB327" s="67" t="str">
        <f aca="false">IF(ISBLANK($C327),"",IF(O327=Constants!$B$2, TRUE(), IF(O327=Constants!$B$3, FALSE(), TRUE())))</f>
        <v/>
      </c>
      <c r="AC327" s="67" t="str">
        <f aca="false">IF(ISBLANK($C327),"",IF(P327=Constants!$B$2, TRUE(), IF(P327=Constants!$B$3, FALSE(), FALSE())))</f>
        <v/>
      </c>
      <c r="AD327" s="67" t="str">
        <f aca="false">IF(ISBLANK($C327),"",AND(V327&lt;&gt;"",IF(U327=Constants!$B$19,S327,R327)))</f>
        <v/>
      </c>
      <c r="AE327" s="67" t="str">
        <f aca="false">IF(ISBLANK($C327),"",AND(Z327&lt;&gt;"",IF(Y327=Constants!$B$19,S327,R327)))</f>
        <v/>
      </c>
      <c r="AF327" s="67" t="str">
        <f aca="false">IF(ISBLANK($C327),"",IF(AC327,Constants!$B$4,IF(COUNTA(E327:O327)=0,Constants!$B$5,IF(AND(NOT(AD327),NOT(AE327)),Constants!$B$6,Constants!$B$7))))</f>
        <v/>
      </c>
      <c r="AG327" s="67" t="str">
        <f aca="false">IF(ISBLANK($C327),"",IF($AF327&lt;&gt;Constants!$B$7,$AF327,Constants!$B$20))</f>
        <v/>
      </c>
      <c r="AH327" s="67" t="str">
        <f aca="false">IF($AF327=Constants!$B$7,IF(AD327,V327,Constants!$B$13),"")</f>
        <v/>
      </c>
      <c r="AI327" s="67" t="str">
        <f aca="false">IF($AF327=Constants!$B$7,IF(AD327,T327*IF(W327, 1, Constants!$B$11)*IF(X327, 1, Constants!$B$12),Constants!$B$13),"")</f>
        <v/>
      </c>
      <c r="AJ327" s="67" t="str">
        <f aca="false">IF($AF327=Constants!$B$7,AH327*AI327,"")</f>
        <v/>
      </c>
      <c r="AK327" s="67" t="str">
        <f aca="false">IF($AF327=Constants!$B$7,IF(AE327,Z327,Constants!$B$13),"")</f>
        <v/>
      </c>
      <c r="AL327" s="67" t="str">
        <f aca="false">IF($AF327=Constants!$B$7,IF(AE327,T327*IF(AA327, 1, Constants!$B$11)*IF(AB327, 1, Constants!$B$12),Constants!$B$13),"")</f>
        <v/>
      </c>
      <c r="AM327" s="67" t="str">
        <f aca="false">IF($AF327=Constants!$B$7,AK327*AL327,"")</f>
        <v/>
      </c>
      <c r="AN327" s="67" t="str">
        <f aca="false">IF($AF327=Constants!$B$7,IF(AM327&gt;AJ327,2,1),"")</f>
        <v/>
      </c>
      <c r="AO327" s="67" t="str">
        <f aca="false">IF($AF327=Constants!$B$7,IF(AN327=1,2,1),"")</f>
        <v/>
      </c>
      <c r="AP327" s="67" t="str">
        <f aca="false">IF(ISBLANK($C327),"",IF($AF327&lt;&gt;Constants!$B$7,$AF327,IF(AN327=1,AJ327,AM327)))</f>
        <v/>
      </c>
      <c r="AQ327" s="67" t="str">
        <f aca="false">IF(ISBLANK($C327),"",IF($AF327=Constants!$B$7,IF(ISNUMBER(AP327),RANK(AP327,$AP$8:$AP$507),Constants!$B$14),$AF327))</f>
        <v/>
      </c>
      <c r="AR327" s="67" t="str">
        <f aca="false">IF(ISBLANK($C327),"",IF($AF327=Constants!$B$7,IF(AO327=1,AJ327,AM327),""))</f>
        <v/>
      </c>
      <c r="AS327" s="67" t="str">
        <f aca="false">IF(ISBLANK($C327),"",IF($AF327=Constants!$B$7,RANK(AR327,$AR$8:$AR$507),$AF327))</f>
        <v/>
      </c>
      <c r="AT327" s="67" t="str">
        <f aca="false">IF(ISBLANK($C327),"",IF($AF327=Constants!$B$7,IF(ISNUMBER(AQ327),COUNTIFS($AQ$8:$AQ$507,"&lt;"&amp;$AQ327)+COUNTIFS($AQ$8:$AQ$507,$AQ327,$AS$8:$AS$507,"&lt;"&amp;$AS327)+1,Constants!$B$14),$AF327))</f>
        <v/>
      </c>
      <c r="AU327" s="67" t="str">
        <f aca="false">IF(ISBLANK($C327),"",IF($AF327=Constants!$B$7,IF(ISNUMBER(AQ327),AQ327-AT327,Constants!$B$14),$AF327))</f>
        <v/>
      </c>
      <c r="AV327" s="69"/>
      <c r="AW327" s="70" t="str">
        <f aca="false">IF(ISBLANK($C327),"",IF($AF327&lt;&gt;Constants!$B$7,"",AN327))</f>
        <v/>
      </c>
      <c r="AX327" s="85" t="str">
        <f aca="false">IF(ISBLANK($C327),"",IF($AF327&lt;&gt;Constants!$B$7,"",IF(AN327=1,AH327,AK327)))</f>
        <v/>
      </c>
      <c r="AY327" s="72" t="str">
        <f aca="false">IF(ISBLANK($C327),"",IF($AF327&lt;&gt;Constants!$B$7,"",IF(AN327=1,AI327,AL327)))</f>
        <v/>
      </c>
      <c r="AZ327" s="73" t="str">
        <f aca="false">IF(ISBLANK($C327),"",IF($AF327&lt;&gt;Constants!$B$7,$AF327,AP327))</f>
        <v/>
      </c>
      <c r="BA327" s="74" t="str">
        <f aca="false">IF(ISBLANK($C327),"",IF($AF327&lt;&gt;Constants!$B$7,$AF327,AG327))</f>
        <v/>
      </c>
      <c r="BB327" s="75" t="str">
        <f aca="false">IF(ISBLANK($C327),"",AU327)</f>
        <v/>
      </c>
      <c r="BC327" s="75" t="str">
        <f aca="false">IF(ISBLANK($C327),"",AT327)</f>
        <v/>
      </c>
      <c r="BD327" s="76" t="str">
        <f aca="false">IF(ISBLANK($C327),"",IFERROR(_xlfn.SWITCH(BC327,Constants!$B$4,COUNTA($C$8:$C$507)+2,Constants!$B$5,COUNTA($C$8:$C$507)+1,Constants!$B$6,COUNTA($C$8:$C$507)),BC327))</f>
        <v/>
      </c>
      <c r="BE327" s="5"/>
      <c r="BF327" s="77" t="n">
        <f aca="false">IF(OR(ISNUMBER(BC327),BC327=Constants!$B$4,BC327=Constants!$B$6,BC327=Constants!$B$5),1,0)</f>
        <v>0</v>
      </c>
      <c r="BG327" s="77" t="n">
        <v>320</v>
      </c>
      <c r="BH327" s="77" t="str">
        <f aca="false">IF(ISBLANK($C327),"",IF(ISNUMBER(BD327),BD327+ROW($B327)/1000,""))</f>
        <v/>
      </c>
      <c r="BI327" s="77" t="str">
        <f aca="false">IF(ISNUMBER(BH327),RANK(BH327,$BH$8:$BH$507,1),"")</f>
        <v/>
      </c>
      <c r="BJ327" s="77" t="str">
        <f aca="false">IF(ISBLANK($C327),"",$B327)</f>
        <v/>
      </c>
      <c r="BK327" s="77" t="str">
        <f aca="false">IF(ISBLANK($C327),"",$C327)</f>
        <v/>
      </c>
      <c r="BL327" s="77" t="str">
        <f aca="false">IF(ISBLANK($C327),"",$D327)</f>
        <v/>
      </c>
      <c r="BM327" s="78" t="str">
        <f aca="false">BA327</f>
        <v/>
      </c>
      <c r="BN327" s="79" t="str">
        <f aca="false">AZ327</f>
        <v/>
      </c>
      <c r="BO327" s="77" t="str">
        <f aca="false">IF(ISBLANK($C327),"",BC327)</f>
        <v/>
      </c>
      <c r="BP327" s="80" t="str">
        <f aca="false">IF($BG327&gt;$BF$7,"",VLOOKUP($BG327,$BI$8:$BO$507,7,FALSE()))</f>
        <v/>
      </c>
      <c r="BQ327" s="81" t="str">
        <f aca="false">IF($BG327&gt;$BF$7,"",VLOOKUP($BG327,$BI$8:$BO$507,2,FALSE()))</f>
        <v/>
      </c>
      <c r="BR327" s="81" t="str">
        <f aca="false">IF($BG327&gt;$BF$7,"",VLOOKUP($BG327,$BI$8:$BO$507,3,FALSE()))</f>
        <v/>
      </c>
      <c r="BS327" s="81" t="str">
        <f aca="false">IF($BG327&gt;$BF$7,"",VLOOKUP($BG327,$BI$8:$BO$507,4,FALSE()))</f>
        <v/>
      </c>
      <c r="BT327" s="81" t="str">
        <f aca="false">IF($BG327&gt;$BF$7,"",VLOOKUP($BG327,$BI$8:$BO$507,5,FALSE()))</f>
        <v/>
      </c>
      <c r="BU327" s="82" t="str">
        <f aca="false">IF($BG327&gt;$BF$7,"",VLOOKUP($BG327,$BI$8:$BO$507,6,FALSE()))</f>
        <v/>
      </c>
      <c r="BV327" s="54"/>
    </row>
    <row r="328" customFormat="false" ht="15.75" hidden="false" customHeight="false" outlineLevel="0" collapsed="false">
      <c r="A328" s="5"/>
      <c r="B328" s="135"/>
      <c r="C328" s="56"/>
      <c r="D328" s="57"/>
      <c r="E328" s="84"/>
      <c r="F328" s="136"/>
      <c r="G328" s="60"/>
      <c r="H328" s="137"/>
      <c r="I328" s="62"/>
      <c r="J328" s="62"/>
      <c r="K328" s="60"/>
      <c r="L328" s="138"/>
      <c r="M328" s="62"/>
      <c r="N328" s="62"/>
      <c r="O328" s="60"/>
      <c r="P328" s="84"/>
      <c r="Q328" s="65"/>
      <c r="R328" s="67" t="str">
        <f aca="false">IF(ISBLANK($C328),"",IF(E328=Constants!$B$2, TRUE(), IF(E328=Constants!$B$3, FALSE(), TRUE())))</f>
        <v/>
      </c>
      <c r="S328" s="67" t="str">
        <f aca="false">IF(ISBLANK($C328),"",IF(F328=Constants!$B$2, TRUE(), IF(F328=Constants!$B$3, FALSE(), TRUE())))</f>
        <v/>
      </c>
      <c r="T328" s="67" t="str">
        <f aca="false">IF(ISBLANK($C328),"",IF(G328=Constants!$B$16,Constants!$B$9,IF(G328=Constants!$B$17,Constants!$B$10,Constants!$B$8)))</f>
        <v/>
      </c>
      <c r="U328" s="67" t="str">
        <f aca="false">IF(ISBLANK($C328),"",IF(H328=Constants!$B$19,Constants!$B$19,Constants!$B$18))</f>
        <v/>
      </c>
      <c r="V328" s="67" t="str">
        <f aca="false">IF(ISBLANK($C328),"",IF(ISNUMBER(I328),IF(I328&gt;=0,I328,""),""))</f>
        <v/>
      </c>
      <c r="W328" s="67" t="str">
        <f aca="false">IF(ISBLANK($C328),"",IF(J328=Constants!$B$2, TRUE(), IF(J328=Constants!$B$3, FALSE(), TRUE())))</f>
        <v/>
      </c>
      <c r="X328" s="67" t="str">
        <f aca="false">IF(ISBLANK($C328),"",IF(K328=Constants!$B$2, TRUE(), IF(K328=Constants!$B$3, FALSE(), TRUE())))</f>
        <v/>
      </c>
      <c r="Y328" s="67" t="str">
        <f aca="false">IF(ISBLANK($C328),"",IF(L328=Constants!$B$19,Constants!$B$19,Constants!$B$18))</f>
        <v/>
      </c>
      <c r="Z328" s="67" t="str">
        <f aca="false">IF(ISBLANK($C328),"",IF(ISNUMBER(M328),IF(M328&gt;=0,M328,""),""))</f>
        <v/>
      </c>
      <c r="AA328" s="67" t="str">
        <f aca="false">IF(ISBLANK($C328),"",IF(N328=Constants!$B$2, TRUE(), IF(N328=Constants!$B$3, FALSE(), TRUE())))</f>
        <v/>
      </c>
      <c r="AB328" s="67" t="str">
        <f aca="false">IF(ISBLANK($C328),"",IF(O328=Constants!$B$2, TRUE(), IF(O328=Constants!$B$3, FALSE(), TRUE())))</f>
        <v/>
      </c>
      <c r="AC328" s="67" t="str">
        <f aca="false">IF(ISBLANK($C328),"",IF(P328=Constants!$B$2, TRUE(), IF(P328=Constants!$B$3, FALSE(), FALSE())))</f>
        <v/>
      </c>
      <c r="AD328" s="67" t="str">
        <f aca="false">IF(ISBLANK($C328),"",AND(V328&lt;&gt;"",IF(U328=Constants!$B$19,S328,R328)))</f>
        <v/>
      </c>
      <c r="AE328" s="67" t="str">
        <f aca="false">IF(ISBLANK($C328),"",AND(Z328&lt;&gt;"",IF(Y328=Constants!$B$19,S328,R328)))</f>
        <v/>
      </c>
      <c r="AF328" s="67" t="str">
        <f aca="false">IF(ISBLANK($C328),"",IF(AC328,Constants!$B$4,IF(COUNTA(E328:O328)=0,Constants!$B$5,IF(AND(NOT(AD328),NOT(AE328)),Constants!$B$6,Constants!$B$7))))</f>
        <v/>
      </c>
      <c r="AG328" s="67" t="str">
        <f aca="false">IF(ISBLANK($C328),"",IF($AF328&lt;&gt;Constants!$B$7,$AF328,Constants!$B$20))</f>
        <v/>
      </c>
      <c r="AH328" s="67" t="str">
        <f aca="false">IF($AF328=Constants!$B$7,IF(AD328,V328,Constants!$B$13),"")</f>
        <v/>
      </c>
      <c r="AI328" s="67" t="str">
        <f aca="false">IF($AF328=Constants!$B$7,IF(AD328,T328*IF(W328, 1, Constants!$B$11)*IF(X328, 1, Constants!$B$12),Constants!$B$13),"")</f>
        <v/>
      </c>
      <c r="AJ328" s="67" t="str">
        <f aca="false">IF($AF328=Constants!$B$7,AH328*AI328,"")</f>
        <v/>
      </c>
      <c r="AK328" s="67" t="str">
        <f aca="false">IF($AF328=Constants!$B$7,IF(AE328,Z328,Constants!$B$13),"")</f>
        <v/>
      </c>
      <c r="AL328" s="67" t="str">
        <f aca="false">IF($AF328=Constants!$B$7,IF(AE328,T328*IF(AA328, 1, Constants!$B$11)*IF(AB328, 1, Constants!$B$12),Constants!$B$13),"")</f>
        <v/>
      </c>
      <c r="AM328" s="67" t="str">
        <f aca="false">IF($AF328=Constants!$B$7,AK328*AL328,"")</f>
        <v/>
      </c>
      <c r="AN328" s="67" t="str">
        <f aca="false">IF($AF328=Constants!$B$7,IF(AM328&gt;AJ328,2,1),"")</f>
        <v/>
      </c>
      <c r="AO328" s="67" t="str">
        <f aca="false">IF($AF328=Constants!$B$7,IF(AN328=1,2,1),"")</f>
        <v/>
      </c>
      <c r="AP328" s="67" t="str">
        <f aca="false">IF(ISBLANK($C328),"",IF($AF328&lt;&gt;Constants!$B$7,$AF328,IF(AN328=1,AJ328,AM328)))</f>
        <v/>
      </c>
      <c r="AQ328" s="67" t="str">
        <f aca="false">IF(ISBLANK($C328),"",IF($AF328=Constants!$B$7,IF(ISNUMBER(AP328),RANK(AP328,$AP$8:$AP$507),Constants!$B$14),$AF328))</f>
        <v/>
      </c>
      <c r="AR328" s="67" t="str">
        <f aca="false">IF(ISBLANK($C328),"",IF($AF328=Constants!$B$7,IF(AO328=1,AJ328,AM328),""))</f>
        <v/>
      </c>
      <c r="AS328" s="67" t="str">
        <f aca="false">IF(ISBLANK($C328),"",IF($AF328=Constants!$B$7,RANK(AR328,$AR$8:$AR$507),$AF328))</f>
        <v/>
      </c>
      <c r="AT328" s="67" t="str">
        <f aca="false">IF(ISBLANK($C328),"",IF($AF328=Constants!$B$7,IF(ISNUMBER(AQ328),COUNTIFS($AQ$8:$AQ$507,"&lt;"&amp;$AQ328)+COUNTIFS($AQ$8:$AQ$507,$AQ328,$AS$8:$AS$507,"&lt;"&amp;$AS328)+1,Constants!$B$14),$AF328))</f>
        <v/>
      </c>
      <c r="AU328" s="67" t="str">
        <f aca="false">IF(ISBLANK($C328),"",IF($AF328=Constants!$B$7,IF(ISNUMBER(AQ328),AQ328-AT328,Constants!$B$14),$AF328))</f>
        <v/>
      </c>
      <c r="AV328" s="69"/>
      <c r="AW328" s="70" t="str">
        <f aca="false">IF(ISBLANK($C328),"",IF($AF328&lt;&gt;Constants!$B$7,"",AN328))</f>
        <v/>
      </c>
      <c r="AX328" s="85" t="str">
        <f aca="false">IF(ISBLANK($C328),"",IF($AF328&lt;&gt;Constants!$B$7,"",IF(AN328=1,AH328,AK328)))</f>
        <v/>
      </c>
      <c r="AY328" s="72" t="str">
        <f aca="false">IF(ISBLANK($C328),"",IF($AF328&lt;&gt;Constants!$B$7,"",IF(AN328=1,AI328,AL328)))</f>
        <v/>
      </c>
      <c r="AZ328" s="73" t="str">
        <f aca="false">IF(ISBLANK($C328),"",IF($AF328&lt;&gt;Constants!$B$7,$AF328,AP328))</f>
        <v/>
      </c>
      <c r="BA328" s="74" t="str">
        <f aca="false">IF(ISBLANK($C328),"",IF($AF328&lt;&gt;Constants!$B$7,$AF328,AG328))</f>
        <v/>
      </c>
      <c r="BB328" s="75" t="str">
        <f aca="false">IF(ISBLANK($C328),"",AU328)</f>
        <v/>
      </c>
      <c r="BC328" s="75" t="str">
        <f aca="false">IF(ISBLANK($C328),"",AT328)</f>
        <v/>
      </c>
      <c r="BD328" s="76" t="str">
        <f aca="false">IF(ISBLANK($C328),"",IFERROR(_xlfn.SWITCH(BC328,Constants!$B$4,COUNTA($C$8:$C$507)+2,Constants!$B$5,COUNTA($C$8:$C$507)+1,Constants!$B$6,COUNTA($C$8:$C$507)),BC328))</f>
        <v/>
      </c>
      <c r="BE328" s="5"/>
      <c r="BF328" s="77" t="n">
        <f aca="false">IF(OR(ISNUMBER(BC328),BC328=Constants!$B$4,BC328=Constants!$B$6,BC328=Constants!$B$5),1,0)</f>
        <v>0</v>
      </c>
      <c r="BG328" s="77" t="n">
        <v>321</v>
      </c>
      <c r="BH328" s="77" t="str">
        <f aca="false">IF(ISBLANK($C328),"",IF(ISNUMBER(BD328),BD328+ROW($B328)/1000,""))</f>
        <v/>
      </c>
      <c r="BI328" s="77" t="str">
        <f aca="false">IF(ISNUMBER(BH328),RANK(BH328,$BH$8:$BH$507,1),"")</f>
        <v/>
      </c>
      <c r="BJ328" s="77" t="str">
        <f aca="false">IF(ISBLANK($C328),"",$B328)</f>
        <v/>
      </c>
      <c r="BK328" s="77" t="str">
        <f aca="false">IF(ISBLANK($C328),"",$C328)</f>
        <v/>
      </c>
      <c r="BL328" s="77" t="str">
        <f aca="false">IF(ISBLANK($C328),"",$D328)</f>
        <v/>
      </c>
      <c r="BM328" s="78" t="str">
        <f aca="false">BA328</f>
        <v/>
      </c>
      <c r="BN328" s="79" t="str">
        <f aca="false">AZ328</f>
        <v/>
      </c>
      <c r="BO328" s="77" t="str">
        <f aca="false">IF(ISBLANK($C328),"",BC328)</f>
        <v/>
      </c>
      <c r="BP328" s="80" t="str">
        <f aca="false">IF($BG328&gt;$BF$7,"",VLOOKUP($BG328,$BI$8:$BO$507,7,FALSE()))</f>
        <v/>
      </c>
      <c r="BQ328" s="81" t="str">
        <f aca="false">IF($BG328&gt;$BF$7,"",VLOOKUP($BG328,$BI$8:$BO$507,2,FALSE()))</f>
        <v/>
      </c>
      <c r="BR328" s="81" t="str">
        <f aca="false">IF($BG328&gt;$BF$7,"",VLOOKUP($BG328,$BI$8:$BO$507,3,FALSE()))</f>
        <v/>
      </c>
      <c r="BS328" s="81" t="str">
        <f aca="false">IF($BG328&gt;$BF$7,"",VLOOKUP($BG328,$BI$8:$BO$507,4,FALSE()))</f>
        <v/>
      </c>
      <c r="BT328" s="81" t="str">
        <f aca="false">IF($BG328&gt;$BF$7,"",VLOOKUP($BG328,$BI$8:$BO$507,5,FALSE()))</f>
        <v/>
      </c>
      <c r="BU328" s="82" t="str">
        <f aca="false">IF($BG328&gt;$BF$7,"",VLOOKUP($BG328,$BI$8:$BO$507,6,FALSE()))</f>
        <v/>
      </c>
      <c r="BV328" s="54"/>
    </row>
    <row r="329" customFormat="false" ht="15.75" hidden="false" customHeight="false" outlineLevel="0" collapsed="false">
      <c r="A329" s="5"/>
      <c r="B329" s="128"/>
      <c r="C329" s="129"/>
      <c r="D329" s="114"/>
      <c r="E329" s="134"/>
      <c r="F329" s="139"/>
      <c r="G329" s="93"/>
      <c r="H329" s="140"/>
      <c r="I329" s="95"/>
      <c r="J329" s="95"/>
      <c r="K329" s="93"/>
      <c r="L329" s="141"/>
      <c r="M329" s="95"/>
      <c r="N329" s="95"/>
      <c r="O329" s="93"/>
      <c r="P329" s="134"/>
      <c r="Q329" s="98"/>
      <c r="R329" s="99" t="str">
        <f aca="false">IF(ISBLANK($C329),"",IF(E329=Constants!$B$2, TRUE(), IF(E329=Constants!$B$3, FALSE(), TRUE())))</f>
        <v/>
      </c>
      <c r="S329" s="99" t="str">
        <f aca="false">IF(ISBLANK($C329),"",IF(F329=Constants!$B$2, TRUE(), IF(F329=Constants!$B$3, FALSE(), TRUE())))</f>
        <v/>
      </c>
      <c r="T329" s="99" t="str">
        <f aca="false">IF(ISBLANK($C329),"",IF(G329=Constants!$B$16,Constants!$B$9,IF(G329=Constants!$B$17,Constants!$B$10,Constants!$B$8)))</f>
        <v/>
      </c>
      <c r="U329" s="99" t="str">
        <f aca="false">IF(ISBLANK($C329),"",IF(H329=Constants!$B$19,Constants!$B$19,Constants!$B$18))</f>
        <v/>
      </c>
      <c r="V329" s="99" t="str">
        <f aca="false">IF(ISBLANK($C329),"",IF(ISNUMBER(I329),IF(I329&gt;=0,I329,""),""))</f>
        <v/>
      </c>
      <c r="W329" s="99" t="str">
        <f aca="false">IF(ISBLANK($C329),"",IF(J329=Constants!$B$2, TRUE(), IF(J329=Constants!$B$3, FALSE(), TRUE())))</f>
        <v/>
      </c>
      <c r="X329" s="99" t="str">
        <f aca="false">IF(ISBLANK($C329),"",IF(K329=Constants!$B$2, TRUE(), IF(K329=Constants!$B$3, FALSE(), TRUE())))</f>
        <v/>
      </c>
      <c r="Y329" s="99" t="str">
        <f aca="false">IF(ISBLANK($C329),"",IF(L329=Constants!$B$19,Constants!$B$19,Constants!$B$18))</f>
        <v/>
      </c>
      <c r="Z329" s="99" t="str">
        <f aca="false">IF(ISBLANK($C329),"",IF(ISNUMBER(M329),IF(M329&gt;=0,M329,""),""))</f>
        <v/>
      </c>
      <c r="AA329" s="99" t="str">
        <f aca="false">IF(ISBLANK($C329),"",IF(N329=Constants!$B$2, TRUE(), IF(N329=Constants!$B$3, FALSE(), TRUE())))</f>
        <v/>
      </c>
      <c r="AB329" s="99" t="str">
        <f aca="false">IF(ISBLANK($C329),"",IF(O329=Constants!$B$2, TRUE(), IF(O329=Constants!$B$3, FALSE(), TRUE())))</f>
        <v/>
      </c>
      <c r="AC329" s="99" t="str">
        <f aca="false">IF(ISBLANK($C329),"",IF(P329=Constants!$B$2, TRUE(), IF(P329=Constants!$B$3, FALSE(), FALSE())))</f>
        <v/>
      </c>
      <c r="AD329" s="99" t="str">
        <f aca="false">IF(ISBLANK($C329),"",AND(V329&lt;&gt;"",IF(U329=Constants!$B$19,S329,R329)))</f>
        <v/>
      </c>
      <c r="AE329" s="99" t="str">
        <f aca="false">IF(ISBLANK($C329),"",AND(Z329&lt;&gt;"",IF(Y329=Constants!$B$19,S329,R329)))</f>
        <v/>
      </c>
      <c r="AF329" s="99" t="str">
        <f aca="false">IF(ISBLANK($C329),"",IF(AC329,Constants!$B$4,IF(COUNTA(E329:O329)=0,Constants!$B$5,IF(AND(NOT(AD329),NOT(AE329)),Constants!$B$6,Constants!$B$7))))</f>
        <v/>
      </c>
      <c r="AG329" s="99" t="str">
        <f aca="false">IF(ISBLANK($C329),"",IF($AF329&lt;&gt;Constants!$B$7,$AF329,Constants!$B$20))</f>
        <v/>
      </c>
      <c r="AH329" s="99" t="str">
        <f aca="false">IF($AF329=Constants!$B$7,IF(AD329,V329,Constants!$B$13),"")</f>
        <v/>
      </c>
      <c r="AI329" s="99" t="str">
        <f aca="false">IF($AF329=Constants!$B$7,IF(AD329,T329*IF(W329, 1, Constants!$B$11)*IF(X329, 1, Constants!$B$12),Constants!$B$13),"")</f>
        <v/>
      </c>
      <c r="AJ329" s="99" t="str">
        <f aca="false">IF($AF329=Constants!$B$7,AH329*AI329,"")</f>
        <v/>
      </c>
      <c r="AK329" s="99" t="str">
        <f aca="false">IF($AF329=Constants!$B$7,IF(AE329,Z329,Constants!$B$13),"")</f>
        <v/>
      </c>
      <c r="AL329" s="99" t="str">
        <f aca="false">IF($AF329=Constants!$B$7,IF(AE329,T329*IF(AA329, 1, Constants!$B$11)*IF(AB329, 1, Constants!$B$12),Constants!$B$13),"")</f>
        <v/>
      </c>
      <c r="AM329" s="99" t="str">
        <f aca="false">IF($AF329=Constants!$B$7,AK329*AL329,"")</f>
        <v/>
      </c>
      <c r="AN329" s="99" t="str">
        <f aca="false">IF($AF329=Constants!$B$7,IF(AM329&gt;AJ329,2,1),"")</f>
        <v/>
      </c>
      <c r="AO329" s="99" t="str">
        <f aca="false">IF($AF329=Constants!$B$7,IF(AN329=1,2,1),"")</f>
        <v/>
      </c>
      <c r="AP329" s="99" t="str">
        <f aca="false">IF(ISBLANK($C329),"",IF($AF329&lt;&gt;Constants!$B$7,$AF329,IF(AN329=1,AJ329,AM329)))</f>
        <v/>
      </c>
      <c r="AQ329" s="99" t="str">
        <f aca="false">IF(ISBLANK($C329),"",IF($AF329=Constants!$B$7,IF(ISNUMBER(AP329),RANK(AP329,$AP$8:$AP$507),Constants!$B$14),$AF329))</f>
        <v/>
      </c>
      <c r="AR329" s="99" t="str">
        <f aca="false">IF(ISBLANK($C329),"",IF($AF329=Constants!$B$7,IF(AO329=1,AJ329,AM329),""))</f>
        <v/>
      </c>
      <c r="AS329" s="99" t="str">
        <f aca="false">IF(ISBLANK($C329),"",IF($AF329=Constants!$B$7,RANK(AR329,$AR$8:$AR$507),$AF329))</f>
        <v/>
      </c>
      <c r="AT329" s="99" t="str">
        <f aca="false">IF(ISBLANK($C329),"",IF($AF329=Constants!$B$7,IF(ISNUMBER(AQ329),COUNTIFS($AQ$8:$AQ$507,"&lt;"&amp;$AQ329)+COUNTIFS($AQ$8:$AQ$507,$AQ329,$AS$8:$AS$507,"&lt;"&amp;$AS329)+1,Constants!$B$14),$AF329))</f>
        <v/>
      </c>
      <c r="AU329" s="99" t="str">
        <f aca="false">IF(ISBLANK($C329),"",IF($AF329=Constants!$B$7,IF(ISNUMBER(AQ329),AQ329-AT329,Constants!$B$14),$AF329))</f>
        <v/>
      </c>
      <c r="AV329" s="100"/>
      <c r="AW329" s="101" t="str">
        <f aca="false">IF(ISBLANK($C329),"",IF($AF329&lt;&gt;Constants!$B$7,"",AN329))</f>
        <v/>
      </c>
      <c r="AX329" s="102" t="str">
        <f aca="false">IF(ISBLANK($C329),"",IF($AF329&lt;&gt;Constants!$B$7,"",IF(AN329=1,AH329,AK329)))</f>
        <v/>
      </c>
      <c r="AY329" s="103" t="str">
        <f aca="false">IF(ISBLANK($C329),"",IF($AF329&lt;&gt;Constants!$B$7,"",IF(AN329=1,AI329,AL329)))</f>
        <v/>
      </c>
      <c r="AZ329" s="104" t="str">
        <f aca="false">IF(ISBLANK($C329),"",IF($AF329&lt;&gt;Constants!$B$7,$AF329,AP329))</f>
        <v/>
      </c>
      <c r="BA329" s="105" t="str">
        <f aca="false">IF(ISBLANK($C329),"",IF($AF329&lt;&gt;Constants!$B$7,$AF329,AG329))</f>
        <v/>
      </c>
      <c r="BB329" s="106" t="str">
        <f aca="false">IF(ISBLANK($C329),"",AU329)</f>
        <v/>
      </c>
      <c r="BC329" s="106" t="str">
        <f aca="false">IF(ISBLANK($C329),"",AT329)</f>
        <v/>
      </c>
      <c r="BD329" s="107" t="str">
        <f aca="false">IF(ISBLANK($C329),"",IFERROR(_xlfn.SWITCH(BC329,Constants!$B$4,COUNTA($C$8:$C$507)+2,Constants!$B$5,COUNTA($C$8:$C$507)+1,Constants!$B$6,COUNTA($C$8:$C$507)),BC329))</f>
        <v/>
      </c>
      <c r="BE329" s="5"/>
      <c r="BF329" s="108" t="n">
        <f aca="false">IF(OR(ISNUMBER(BC329),BC329=Constants!$B$4,BC329=Constants!$B$6,BC329=Constants!$B$5),1,0)</f>
        <v>0</v>
      </c>
      <c r="BG329" s="108" t="n">
        <v>322</v>
      </c>
      <c r="BH329" s="108" t="str">
        <f aca="false">IF(ISBLANK($C329),"",IF(ISNUMBER(BD329),BD329+ROW($B329)/1000,""))</f>
        <v/>
      </c>
      <c r="BI329" s="108" t="str">
        <f aca="false">IF(ISNUMBER(BH329),RANK(BH329,$BH$8:$BH$507,1),"")</f>
        <v/>
      </c>
      <c r="BJ329" s="108" t="str">
        <f aca="false">IF(ISBLANK($C329),"",$B329)</f>
        <v/>
      </c>
      <c r="BK329" s="108" t="str">
        <f aca="false">IF(ISBLANK($C329),"",$C329)</f>
        <v/>
      </c>
      <c r="BL329" s="108" t="str">
        <f aca="false">IF(ISBLANK($C329),"",$D329)</f>
        <v/>
      </c>
      <c r="BM329" s="109" t="str">
        <f aca="false">BA329</f>
        <v/>
      </c>
      <c r="BN329" s="110" t="str">
        <f aca="false">AZ329</f>
        <v/>
      </c>
      <c r="BO329" s="108" t="str">
        <f aca="false">IF(ISBLANK($C329),"",BC329)</f>
        <v/>
      </c>
      <c r="BP329" s="111" t="str">
        <f aca="false">IF($BG329&gt;$BF$7,"",VLOOKUP($BG329,$BI$8:$BO$507,7,FALSE()))</f>
        <v/>
      </c>
      <c r="BQ329" s="112" t="str">
        <f aca="false">IF($BG329&gt;$BF$7,"",VLOOKUP($BG329,$BI$8:$BO$507,2,FALSE()))</f>
        <v/>
      </c>
      <c r="BR329" s="112" t="str">
        <f aca="false">IF($BG329&gt;$BF$7,"",VLOOKUP($BG329,$BI$8:$BO$507,3,FALSE()))</f>
        <v/>
      </c>
      <c r="BS329" s="112" t="str">
        <f aca="false">IF($BG329&gt;$BF$7,"",VLOOKUP($BG329,$BI$8:$BO$507,4,FALSE()))</f>
        <v/>
      </c>
      <c r="BT329" s="112" t="str">
        <f aca="false">IF($BG329&gt;$BF$7,"",VLOOKUP($BG329,$BI$8:$BO$507,5,FALSE()))</f>
        <v/>
      </c>
      <c r="BU329" s="113" t="str">
        <f aca="false">IF($BG329&gt;$BF$7,"",VLOOKUP($BG329,$BI$8:$BO$507,6,FALSE()))</f>
        <v/>
      </c>
      <c r="BV329" s="54"/>
    </row>
    <row r="330" customFormat="false" ht="15.75" hidden="false" customHeight="false" outlineLevel="0" collapsed="false">
      <c r="A330" s="5"/>
      <c r="B330" s="128"/>
      <c r="C330" s="129"/>
      <c r="D330" s="114"/>
      <c r="E330" s="134"/>
      <c r="F330" s="139"/>
      <c r="G330" s="93"/>
      <c r="H330" s="140"/>
      <c r="I330" s="95"/>
      <c r="J330" s="95"/>
      <c r="K330" s="93"/>
      <c r="L330" s="141"/>
      <c r="M330" s="95"/>
      <c r="N330" s="95"/>
      <c r="O330" s="93"/>
      <c r="P330" s="134"/>
      <c r="Q330" s="98"/>
      <c r="R330" s="99" t="str">
        <f aca="false">IF(ISBLANK($C330),"",IF(E330=Constants!$B$2, TRUE(), IF(E330=Constants!$B$3, FALSE(), TRUE())))</f>
        <v/>
      </c>
      <c r="S330" s="99" t="str">
        <f aca="false">IF(ISBLANK($C330),"",IF(F330=Constants!$B$2, TRUE(), IF(F330=Constants!$B$3, FALSE(), TRUE())))</f>
        <v/>
      </c>
      <c r="T330" s="99" t="str">
        <f aca="false">IF(ISBLANK($C330),"",IF(G330=Constants!$B$16,Constants!$B$9,IF(G330=Constants!$B$17,Constants!$B$10,Constants!$B$8)))</f>
        <v/>
      </c>
      <c r="U330" s="99" t="str">
        <f aca="false">IF(ISBLANK($C330),"",IF(H330=Constants!$B$19,Constants!$B$19,Constants!$B$18))</f>
        <v/>
      </c>
      <c r="V330" s="99" t="str">
        <f aca="false">IF(ISBLANK($C330),"",IF(ISNUMBER(I330),IF(I330&gt;=0,I330,""),""))</f>
        <v/>
      </c>
      <c r="W330" s="99" t="str">
        <f aca="false">IF(ISBLANK($C330),"",IF(J330=Constants!$B$2, TRUE(), IF(J330=Constants!$B$3, FALSE(), TRUE())))</f>
        <v/>
      </c>
      <c r="X330" s="99" t="str">
        <f aca="false">IF(ISBLANK($C330),"",IF(K330=Constants!$B$2, TRUE(), IF(K330=Constants!$B$3, FALSE(), TRUE())))</f>
        <v/>
      </c>
      <c r="Y330" s="99" t="str">
        <f aca="false">IF(ISBLANK($C330),"",IF(L330=Constants!$B$19,Constants!$B$19,Constants!$B$18))</f>
        <v/>
      </c>
      <c r="Z330" s="99" t="str">
        <f aca="false">IF(ISBLANK($C330),"",IF(ISNUMBER(M330),IF(M330&gt;=0,M330,""),""))</f>
        <v/>
      </c>
      <c r="AA330" s="99" t="str">
        <f aca="false">IF(ISBLANK($C330),"",IF(N330=Constants!$B$2, TRUE(), IF(N330=Constants!$B$3, FALSE(), TRUE())))</f>
        <v/>
      </c>
      <c r="AB330" s="99" t="str">
        <f aca="false">IF(ISBLANK($C330),"",IF(O330=Constants!$B$2, TRUE(), IF(O330=Constants!$B$3, FALSE(), TRUE())))</f>
        <v/>
      </c>
      <c r="AC330" s="99" t="str">
        <f aca="false">IF(ISBLANK($C330),"",IF(P330=Constants!$B$2, TRUE(), IF(P330=Constants!$B$3, FALSE(), FALSE())))</f>
        <v/>
      </c>
      <c r="AD330" s="99" t="str">
        <f aca="false">IF(ISBLANK($C330),"",AND(V330&lt;&gt;"",IF(U330=Constants!$B$19,S330,R330)))</f>
        <v/>
      </c>
      <c r="AE330" s="99" t="str">
        <f aca="false">IF(ISBLANK($C330),"",AND(Z330&lt;&gt;"",IF(Y330=Constants!$B$19,S330,R330)))</f>
        <v/>
      </c>
      <c r="AF330" s="99" t="str">
        <f aca="false">IF(ISBLANK($C330),"",IF(AC330,Constants!$B$4,IF(COUNTA(E330:O330)=0,Constants!$B$5,IF(AND(NOT(AD330),NOT(AE330)),Constants!$B$6,Constants!$B$7))))</f>
        <v/>
      </c>
      <c r="AG330" s="99" t="str">
        <f aca="false">IF(ISBLANK($C330),"",IF($AF330&lt;&gt;Constants!$B$7,$AF330,Constants!$B$20))</f>
        <v/>
      </c>
      <c r="AH330" s="99" t="str">
        <f aca="false">IF($AF330=Constants!$B$7,IF(AD330,V330,Constants!$B$13),"")</f>
        <v/>
      </c>
      <c r="AI330" s="99" t="str">
        <f aca="false">IF($AF330=Constants!$B$7,IF(AD330,T330*IF(W330, 1, Constants!$B$11)*IF(X330, 1, Constants!$B$12),Constants!$B$13),"")</f>
        <v/>
      </c>
      <c r="AJ330" s="99" t="str">
        <f aca="false">IF($AF330=Constants!$B$7,AH330*AI330,"")</f>
        <v/>
      </c>
      <c r="AK330" s="99" t="str">
        <f aca="false">IF($AF330=Constants!$B$7,IF(AE330,Z330,Constants!$B$13),"")</f>
        <v/>
      </c>
      <c r="AL330" s="99" t="str">
        <f aca="false">IF($AF330=Constants!$B$7,IF(AE330,T330*IF(AA330, 1, Constants!$B$11)*IF(AB330, 1, Constants!$B$12),Constants!$B$13),"")</f>
        <v/>
      </c>
      <c r="AM330" s="99" t="str">
        <f aca="false">IF($AF330=Constants!$B$7,AK330*AL330,"")</f>
        <v/>
      </c>
      <c r="AN330" s="99" t="str">
        <f aca="false">IF($AF330=Constants!$B$7,IF(AM330&gt;AJ330,2,1),"")</f>
        <v/>
      </c>
      <c r="AO330" s="99" t="str">
        <f aca="false">IF($AF330=Constants!$B$7,IF(AN330=1,2,1),"")</f>
        <v/>
      </c>
      <c r="AP330" s="99" t="str">
        <f aca="false">IF(ISBLANK($C330),"",IF($AF330&lt;&gt;Constants!$B$7,$AF330,IF(AN330=1,AJ330,AM330)))</f>
        <v/>
      </c>
      <c r="AQ330" s="99" t="str">
        <f aca="false">IF(ISBLANK($C330),"",IF($AF330=Constants!$B$7,IF(ISNUMBER(AP330),RANK(AP330,$AP$8:$AP$507),Constants!$B$14),$AF330))</f>
        <v/>
      </c>
      <c r="AR330" s="99" t="str">
        <f aca="false">IF(ISBLANK($C330),"",IF($AF330=Constants!$B$7,IF(AO330=1,AJ330,AM330),""))</f>
        <v/>
      </c>
      <c r="AS330" s="99" t="str">
        <f aca="false">IF(ISBLANK($C330),"",IF($AF330=Constants!$B$7,RANK(AR330,$AR$8:$AR$507),$AF330))</f>
        <v/>
      </c>
      <c r="AT330" s="99" t="str">
        <f aca="false">IF(ISBLANK($C330),"",IF($AF330=Constants!$B$7,IF(ISNUMBER(AQ330),COUNTIFS($AQ$8:$AQ$507,"&lt;"&amp;$AQ330)+COUNTIFS($AQ$8:$AQ$507,$AQ330,$AS$8:$AS$507,"&lt;"&amp;$AS330)+1,Constants!$B$14),$AF330))</f>
        <v/>
      </c>
      <c r="AU330" s="99" t="str">
        <f aca="false">IF(ISBLANK($C330),"",IF($AF330=Constants!$B$7,IF(ISNUMBER(AQ330),AQ330-AT330,Constants!$B$14),$AF330))</f>
        <v/>
      </c>
      <c r="AV330" s="100"/>
      <c r="AW330" s="101" t="str">
        <f aca="false">IF(ISBLANK($C330),"",IF($AF330&lt;&gt;Constants!$B$7,"",AN330))</f>
        <v/>
      </c>
      <c r="AX330" s="102" t="str">
        <f aca="false">IF(ISBLANK($C330),"",IF($AF330&lt;&gt;Constants!$B$7,"",IF(AN330=1,AH330,AK330)))</f>
        <v/>
      </c>
      <c r="AY330" s="103" t="str">
        <f aca="false">IF(ISBLANK($C330),"",IF($AF330&lt;&gt;Constants!$B$7,"",IF(AN330=1,AI330,AL330)))</f>
        <v/>
      </c>
      <c r="AZ330" s="104" t="str">
        <f aca="false">IF(ISBLANK($C330),"",IF($AF330&lt;&gt;Constants!$B$7,$AF330,AP330))</f>
        <v/>
      </c>
      <c r="BA330" s="105" t="str">
        <f aca="false">IF(ISBLANK($C330),"",IF($AF330&lt;&gt;Constants!$B$7,$AF330,AG330))</f>
        <v/>
      </c>
      <c r="BB330" s="106" t="str">
        <f aca="false">IF(ISBLANK($C330),"",AU330)</f>
        <v/>
      </c>
      <c r="BC330" s="106" t="str">
        <f aca="false">IF(ISBLANK($C330),"",AT330)</f>
        <v/>
      </c>
      <c r="BD330" s="107" t="str">
        <f aca="false">IF(ISBLANK($C330),"",IFERROR(_xlfn.SWITCH(BC330,Constants!$B$4,COUNTA($C$8:$C$507)+2,Constants!$B$5,COUNTA($C$8:$C$507)+1,Constants!$B$6,COUNTA($C$8:$C$507)),BC330))</f>
        <v/>
      </c>
      <c r="BE330" s="5"/>
      <c r="BF330" s="108" t="n">
        <f aca="false">IF(OR(ISNUMBER(BC330),BC330=Constants!$B$4,BC330=Constants!$B$6,BC330=Constants!$B$5),1,0)</f>
        <v>0</v>
      </c>
      <c r="BG330" s="108" t="n">
        <v>323</v>
      </c>
      <c r="BH330" s="108" t="str">
        <f aca="false">IF(ISBLANK($C330),"",IF(ISNUMBER(BD330),BD330+ROW($B330)/1000,""))</f>
        <v/>
      </c>
      <c r="BI330" s="108" t="str">
        <f aca="false">IF(ISNUMBER(BH330),RANK(BH330,$BH$8:$BH$507,1),"")</f>
        <v/>
      </c>
      <c r="BJ330" s="108" t="str">
        <f aca="false">IF(ISBLANK($C330),"",$B330)</f>
        <v/>
      </c>
      <c r="BK330" s="108" t="str">
        <f aca="false">IF(ISBLANK($C330),"",$C330)</f>
        <v/>
      </c>
      <c r="BL330" s="108" t="str">
        <f aca="false">IF(ISBLANK($C330),"",$D330)</f>
        <v/>
      </c>
      <c r="BM330" s="109" t="str">
        <f aca="false">BA330</f>
        <v/>
      </c>
      <c r="BN330" s="110" t="str">
        <f aca="false">AZ330</f>
        <v/>
      </c>
      <c r="BO330" s="108" t="str">
        <f aca="false">IF(ISBLANK($C330),"",BC330)</f>
        <v/>
      </c>
      <c r="BP330" s="111" t="str">
        <f aca="false">IF($BG330&gt;$BF$7,"",VLOOKUP($BG330,$BI$8:$BO$507,7,FALSE()))</f>
        <v/>
      </c>
      <c r="BQ330" s="112" t="str">
        <f aca="false">IF($BG330&gt;$BF$7,"",VLOOKUP($BG330,$BI$8:$BO$507,2,FALSE()))</f>
        <v/>
      </c>
      <c r="BR330" s="112" t="str">
        <f aca="false">IF($BG330&gt;$BF$7,"",VLOOKUP($BG330,$BI$8:$BO$507,3,FALSE()))</f>
        <v/>
      </c>
      <c r="BS330" s="112" t="str">
        <f aca="false">IF($BG330&gt;$BF$7,"",VLOOKUP($BG330,$BI$8:$BO$507,4,FALSE()))</f>
        <v/>
      </c>
      <c r="BT330" s="112" t="str">
        <f aca="false">IF($BG330&gt;$BF$7,"",VLOOKUP($BG330,$BI$8:$BO$507,5,FALSE()))</f>
        <v/>
      </c>
      <c r="BU330" s="113" t="str">
        <f aca="false">IF($BG330&gt;$BF$7,"",VLOOKUP($BG330,$BI$8:$BO$507,6,FALSE()))</f>
        <v/>
      </c>
      <c r="BV330" s="54"/>
    </row>
    <row r="331" customFormat="false" ht="15.75" hidden="false" customHeight="false" outlineLevel="0" collapsed="false">
      <c r="A331" s="5"/>
      <c r="B331" s="128"/>
      <c r="C331" s="129"/>
      <c r="D331" s="114"/>
      <c r="E331" s="134"/>
      <c r="F331" s="139"/>
      <c r="G331" s="93"/>
      <c r="H331" s="140"/>
      <c r="I331" s="95"/>
      <c r="J331" s="95"/>
      <c r="K331" s="93"/>
      <c r="L331" s="141"/>
      <c r="M331" s="95"/>
      <c r="N331" s="95"/>
      <c r="O331" s="93"/>
      <c r="P331" s="134"/>
      <c r="Q331" s="98"/>
      <c r="R331" s="99" t="str">
        <f aca="false">IF(ISBLANK($C331),"",IF(E331=Constants!$B$2, TRUE(), IF(E331=Constants!$B$3, FALSE(), TRUE())))</f>
        <v/>
      </c>
      <c r="S331" s="99" t="str">
        <f aca="false">IF(ISBLANK($C331),"",IF(F331=Constants!$B$2, TRUE(), IF(F331=Constants!$B$3, FALSE(), TRUE())))</f>
        <v/>
      </c>
      <c r="T331" s="99" t="str">
        <f aca="false">IF(ISBLANK($C331),"",IF(G331=Constants!$B$16,Constants!$B$9,IF(G331=Constants!$B$17,Constants!$B$10,Constants!$B$8)))</f>
        <v/>
      </c>
      <c r="U331" s="99" t="str">
        <f aca="false">IF(ISBLANK($C331),"",IF(H331=Constants!$B$19,Constants!$B$19,Constants!$B$18))</f>
        <v/>
      </c>
      <c r="V331" s="99" t="str">
        <f aca="false">IF(ISBLANK($C331),"",IF(ISNUMBER(I331),IF(I331&gt;=0,I331,""),""))</f>
        <v/>
      </c>
      <c r="W331" s="99" t="str">
        <f aca="false">IF(ISBLANK($C331),"",IF(J331=Constants!$B$2, TRUE(), IF(J331=Constants!$B$3, FALSE(), TRUE())))</f>
        <v/>
      </c>
      <c r="X331" s="99" t="str">
        <f aca="false">IF(ISBLANK($C331),"",IF(K331=Constants!$B$2, TRUE(), IF(K331=Constants!$B$3, FALSE(), TRUE())))</f>
        <v/>
      </c>
      <c r="Y331" s="99" t="str">
        <f aca="false">IF(ISBLANK($C331),"",IF(L331=Constants!$B$19,Constants!$B$19,Constants!$B$18))</f>
        <v/>
      </c>
      <c r="Z331" s="99" t="str">
        <f aca="false">IF(ISBLANK($C331),"",IF(ISNUMBER(M331),IF(M331&gt;=0,M331,""),""))</f>
        <v/>
      </c>
      <c r="AA331" s="99" t="str">
        <f aca="false">IF(ISBLANK($C331),"",IF(N331=Constants!$B$2, TRUE(), IF(N331=Constants!$B$3, FALSE(), TRUE())))</f>
        <v/>
      </c>
      <c r="AB331" s="99" t="str">
        <f aca="false">IF(ISBLANK($C331),"",IF(O331=Constants!$B$2, TRUE(), IF(O331=Constants!$B$3, FALSE(), TRUE())))</f>
        <v/>
      </c>
      <c r="AC331" s="99" t="str">
        <f aca="false">IF(ISBLANK($C331),"",IF(P331=Constants!$B$2, TRUE(), IF(P331=Constants!$B$3, FALSE(), FALSE())))</f>
        <v/>
      </c>
      <c r="AD331" s="99" t="str">
        <f aca="false">IF(ISBLANK($C331),"",AND(V331&lt;&gt;"",IF(U331=Constants!$B$19,S331,R331)))</f>
        <v/>
      </c>
      <c r="AE331" s="99" t="str">
        <f aca="false">IF(ISBLANK($C331),"",AND(Z331&lt;&gt;"",IF(Y331=Constants!$B$19,S331,R331)))</f>
        <v/>
      </c>
      <c r="AF331" s="99" t="str">
        <f aca="false">IF(ISBLANK($C331),"",IF(AC331,Constants!$B$4,IF(COUNTA(E331:O331)=0,Constants!$B$5,IF(AND(NOT(AD331),NOT(AE331)),Constants!$B$6,Constants!$B$7))))</f>
        <v/>
      </c>
      <c r="AG331" s="99" t="str">
        <f aca="false">IF(ISBLANK($C331),"",IF($AF331&lt;&gt;Constants!$B$7,$AF331,Constants!$B$20))</f>
        <v/>
      </c>
      <c r="AH331" s="99" t="str">
        <f aca="false">IF($AF331=Constants!$B$7,IF(AD331,V331,Constants!$B$13),"")</f>
        <v/>
      </c>
      <c r="AI331" s="99" t="str">
        <f aca="false">IF($AF331=Constants!$B$7,IF(AD331,T331*IF(W331, 1, Constants!$B$11)*IF(X331, 1, Constants!$B$12),Constants!$B$13),"")</f>
        <v/>
      </c>
      <c r="AJ331" s="99" t="str">
        <f aca="false">IF($AF331=Constants!$B$7,AH331*AI331,"")</f>
        <v/>
      </c>
      <c r="AK331" s="99" t="str">
        <f aca="false">IF($AF331=Constants!$B$7,IF(AE331,Z331,Constants!$B$13),"")</f>
        <v/>
      </c>
      <c r="AL331" s="99" t="str">
        <f aca="false">IF($AF331=Constants!$B$7,IF(AE331,T331*IF(AA331, 1, Constants!$B$11)*IF(AB331, 1, Constants!$B$12),Constants!$B$13),"")</f>
        <v/>
      </c>
      <c r="AM331" s="99" t="str">
        <f aca="false">IF($AF331=Constants!$B$7,AK331*AL331,"")</f>
        <v/>
      </c>
      <c r="AN331" s="99" t="str">
        <f aca="false">IF($AF331=Constants!$B$7,IF(AM331&gt;AJ331,2,1),"")</f>
        <v/>
      </c>
      <c r="AO331" s="99" t="str">
        <f aca="false">IF($AF331=Constants!$B$7,IF(AN331=1,2,1),"")</f>
        <v/>
      </c>
      <c r="AP331" s="99" t="str">
        <f aca="false">IF(ISBLANK($C331),"",IF($AF331&lt;&gt;Constants!$B$7,$AF331,IF(AN331=1,AJ331,AM331)))</f>
        <v/>
      </c>
      <c r="AQ331" s="99" t="str">
        <f aca="false">IF(ISBLANK($C331),"",IF($AF331=Constants!$B$7,IF(ISNUMBER(AP331),RANK(AP331,$AP$8:$AP$507),Constants!$B$14),$AF331))</f>
        <v/>
      </c>
      <c r="AR331" s="99" t="str">
        <f aca="false">IF(ISBLANK($C331),"",IF($AF331=Constants!$B$7,IF(AO331=1,AJ331,AM331),""))</f>
        <v/>
      </c>
      <c r="AS331" s="99" t="str">
        <f aca="false">IF(ISBLANK($C331),"",IF($AF331=Constants!$B$7,RANK(AR331,$AR$8:$AR$507),$AF331))</f>
        <v/>
      </c>
      <c r="AT331" s="99" t="str">
        <f aca="false">IF(ISBLANK($C331),"",IF($AF331=Constants!$B$7,IF(ISNUMBER(AQ331),COUNTIFS($AQ$8:$AQ$507,"&lt;"&amp;$AQ331)+COUNTIFS($AQ$8:$AQ$507,$AQ331,$AS$8:$AS$507,"&lt;"&amp;$AS331)+1,Constants!$B$14),$AF331))</f>
        <v/>
      </c>
      <c r="AU331" s="99" t="str">
        <f aca="false">IF(ISBLANK($C331),"",IF($AF331=Constants!$B$7,IF(ISNUMBER(AQ331),AQ331-AT331,Constants!$B$14),$AF331))</f>
        <v/>
      </c>
      <c r="AV331" s="100"/>
      <c r="AW331" s="101" t="str">
        <f aca="false">IF(ISBLANK($C331),"",IF($AF331&lt;&gt;Constants!$B$7,"",AN331))</f>
        <v/>
      </c>
      <c r="AX331" s="102" t="str">
        <f aca="false">IF(ISBLANK($C331),"",IF($AF331&lt;&gt;Constants!$B$7,"",IF(AN331=1,AH331,AK331)))</f>
        <v/>
      </c>
      <c r="AY331" s="103" t="str">
        <f aca="false">IF(ISBLANK($C331),"",IF($AF331&lt;&gt;Constants!$B$7,"",IF(AN331=1,AI331,AL331)))</f>
        <v/>
      </c>
      <c r="AZ331" s="104" t="str">
        <f aca="false">IF(ISBLANK($C331),"",IF($AF331&lt;&gt;Constants!$B$7,$AF331,AP331))</f>
        <v/>
      </c>
      <c r="BA331" s="105" t="str">
        <f aca="false">IF(ISBLANK($C331),"",IF($AF331&lt;&gt;Constants!$B$7,$AF331,AG331))</f>
        <v/>
      </c>
      <c r="BB331" s="106" t="str">
        <f aca="false">IF(ISBLANK($C331),"",AU331)</f>
        <v/>
      </c>
      <c r="BC331" s="106" t="str">
        <f aca="false">IF(ISBLANK($C331),"",AT331)</f>
        <v/>
      </c>
      <c r="BD331" s="107" t="str">
        <f aca="false">IF(ISBLANK($C331),"",IFERROR(_xlfn.SWITCH(BC331,Constants!$B$4,COUNTA($C$8:$C$507)+2,Constants!$B$5,COUNTA($C$8:$C$507)+1,Constants!$B$6,COUNTA($C$8:$C$507)),BC331))</f>
        <v/>
      </c>
      <c r="BE331" s="5"/>
      <c r="BF331" s="108" t="n">
        <f aca="false">IF(OR(ISNUMBER(BC331),BC331=Constants!$B$4,BC331=Constants!$B$6,BC331=Constants!$B$5),1,0)</f>
        <v>0</v>
      </c>
      <c r="BG331" s="108" t="n">
        <v>324</v>
      </c>
      <c r="BH331" s="108" t="str">
        <f aca="false">IF(ISBLANK($C331),"",IF(ISNUMBER(BD331),BD331+ROW($B331)/1000,""))</f>
        <v/>
      </c>
      <c r="BI331" s="108" t="str">
        <f aca="false">IF(ISNUMBER(BH331),RANK(BH331,$BH$8:$BH$507,1),"")</f>
        <v/>
      </c>
      <c r="BJ331" s="108" t="str">
        <f aca="false">IF(ISBLANK($C331),"",$B331)</f>
        <v/>
      </c>
      <c r="BK331" s="108" t="str">
        <f aca="false">IF(ISBLANK($C331),"",$C331)</f>
        <v/>
      </c>
      <c r="BL331" s="108" t="str">
        <f aca="false">IF(ISBLANK($C331),"",$D331)</f>
        <v/>
      </c>
      <c r="BM331" s="109" t="str">
        <f aca="false">BA331</f>
        <v/>
      </c>
      <c r="BN331" s="110" t="str">
        <f aca="false">AZ331</f>
        <v/>
      </c>
      <c r="BO331" s="108" t="str">
        <f aca="false">IF(ISBLANK($C331),"",BC331)</f>
        <v/>
      </c>
      <c r="BP331" s="111" t="str">
        <f aca="false">IF($BG331&gt;$BF$7,"",VLOOKUP($BG331,$BI$8:$BO$507,7,FALSE()))</f>
        <v/>
      </c>
      <c r="BQ331" s="112" t="str">
        <f aca="false">IF($BG331&gt;$BF$7,"",VLOOKUP($BG331,$BI$8:$BO$507,2,FALSE()))</f>
        <v/>
      </c>
      <c r="BR331" s="112" t="str">
        <f aca="false">IF($BG331&gt;$BF$7,"",VLOOKUP($BG331,$BI$8:$BO$507,3,FALSE()))</f>
        <v/>
      </c>
      <c r="BS331" s="112" t="str">
        <f aca="false">IF($BG331&gt;$BF$7,"",VLOOKUP($BG331,$BI$8:$BO$507,4,FALSE()))</f>
        <v/>
      </c>
      <c r="BT331" s="112" t="str">
        <f aca="false">IF($BG331&gt;$BF$7,"",VLOOKUP($BG331,$BI$8:$BO$507,5,FALSE()))</f>
        <v/>
      </c>
      <c r="BU331" s="113" t="str">
        <f aca="false">IF($BG331&gt;$BF$7,"",VLOOKUP($BG331,$BI$8:$BO$507,6,FALSE()))</f>
        <v/>
      </c>
      <c r="BV331" s="54"/>
    </row>
    <row r="332" customFormat="false" ht="15.75" hidden="false" customHeight="false" outlineLevel="0" collapsed="false">
      <c r="A332" s="5"/>
      <c r="B332" s="135"/>
      <c r="C332" s="56"/>
      <c r="D332" s="57"/>
      <c r="E332" s="84"/>
      <c r="F332" s="136"/>
      <c r="G332" s="60"/>
      <c r="H332" s="137"/>
      <c r="I332" s="62"/>
      <c r="J332" s="62"/>
      <c r="K332" s="60"/>
      <c r="L332" s="138"/>
      <c r="M332" s="62"/>
      <c r="N332" s="62"/>
      <c r="O332" s="60"/>
      <c r="P332" s="84"/>
      <c r="Q332" s="65"/>
      <c r="R332" s="67" t="str">
        <f aca="false">IF(ISBLANK($C332),"",IF(E332=Constants!$B$2, TRUE(), IF(E332=Constants!$B$3, FALSE(), TRUE())))</f>
        <v/>
      </c>
      <c r="S332" s="67" t="str">
        <f aca="false">IF(ISBLANK($C332),"",IF(F332=Constants!$B$2, TRUE(), IF(F332=Constants!$B$3, FALSE(), TRUE())))</f>
        <v/>
      </c>
      <c r="T332" s="67" t="str">
        <f aca="false">IF(ISBLANK($C332),"",IF(G332=Constants!$B$16,Constants!$B$9,IF(G332=Constants!$B$17,Constants!$B$10,Constants!$B$8)))</f>
        <v/>
      </c>
      <c r="U332" s="67" t="str">
        <f aca="false">IF(ISBLANK($C332),"",IF(H332=Constants!$B$19,Constants!$B$19,Constants!$B$18))</f>
        <v/>
      </c>
      <c r="V332" s="67" t="str">
        <f aca="false">IF(ISBLANK($C332),"",IF(ISNUMBER(I332),IF(I332&gt;=0,I332,""),""))</f>
        <v/>
      </c>
      <c r="W332" s="67" t="str">
        <f aca="false">IF(ISBLANK($C332),"",IF(J332=Constants!$B$2, TRUE(), IF(J332=Constants!$B$3, FALSE(), TRUE())))</f>
        <v/>
      </c>
      <c r="X332" s="67" t="str">
        <f aca="false">IF(ISBLANK($C332),"",IF(K332=Constants!$B$2, TRUE(), IF(K332=Constants!$B$3, FALSE(), TRUE())))</f>
        <v/>
      </c>
      <c r="Y332" s="67" t="str">
        <f aca="false">IF(ISBLANK($C332),"",IF(L332=Constants!$B$19,Constants!$B$19,Constants!$B$18))</f>
        <v/>
      </c>
      <c r="Z332" s="67" t="str">
        <f aca="false">IF(ISBLANK($C332),"",IF(ISNUMBER(M332),IF(M332&gt;=0,M332,""),""))</f>
        <v/>
      </c>
      <c r="AA332" s="67" t="str">
        <f aca="false">IF(ISBLANK($C332),"",IF(N332=Constants!$B$2, TRUE(), IF(N332=Constants!$B$3, FALSE(), TRUE())))</f>
        <v/>
      </c>
      <c r="AB332" s="67" t="str">
        <f aca="false">IF(ISBLANK($C332),"",IF(O332=Constants!$B$2, TRUE(), IF(O332=Constants!$B$3, FALSE(), TRUE())))</f>
        <v/>
      </c>
      <c r="AC332" s="67" t="str">
        <f aca="false">IF(ISBLANK($C332),"",IF(P332=Constants!$B$2, TRUE(), IF(P332=Constants!$B$3, FALSE(), FALSE())))</f>
        <v/>
      </c>
      <c r="AD332" s="67" t="str">
        <f aca="false">IF(ISBLANK($C332),"",AND(V332&lt;&gt;"",IF(U332=Constants!$B$19,S332,R332)))</f>
        <v/>
      </c>
      <c r="AE332" s="67" t="str">
        <f aca="false">IF(ISBLANK($C332),"",AND(Z332&lt;&gt;"",IF(Y332=Constants!$B$19,S332,R332)))</f>
        <v/>
      </c>
      <c r="AF332" s="67" t="str">
        <f aca="false">IF(ISBLANK($C332),"",IF(AC332,Constants!$B$4,IF(COUNTA(E332:O332)=0,Constants!$B$5,IF(AND(NOT(AD332),NOT(AE332)),Constants!$B$6,Constants!$B$7))))</f>
        <v/>
      </c>
      <c r="AG332" s="67" t="str">
        <f aca="false">IF(ISBLANK($C332),"",IF($AF332&lt;&gt;Constants!$B$7,$AF332,Constants!$B$20))</f>
        <v/>
      </c>
      <c r="AH332" s="67" t="str">
        <f aca="false">IF($AF332=Constants!$B$7,IF(AD332,V332,Constants!$B$13),"")</f>
        <v/>
      </c>
      <c r="AI332" s="67" t="str">
        <f aca="false">IF($AF332=Constants!$B$7,IF(AD332,T332*IF(W332, 1, Constants!$B$11)*IF(X332, 1, Constants!$B$12),Constants!$B$13),"")</f>
        <v/>
      </c>
      <c r="AJ332" s="67" t="str">
        <f aca="false">IF($AF332=Constants!$B$7,AH332*AI332,"")</f>
        <v/>
      </c>
      <c r="AK332" s="67" t="str">
        <f aca="false">IF($AF332=Constants!$B$7,IF(AE332,Z332,Constants!$B$13),"")</f>
        <v/>
      </c>
      <c r="AL332" s="67" t="str">
        <f aca="false">IF($AF332=Constants!$B$7,IF(AE332,T332*IF(AA332, 1, Constants!$B$11)*IF(AB332, 1, Constants!$B$12),Constants!$B$13),"")</f>
        <v/>
      </c>
      <c r="AM332" s="67" t="str">
        <f aca="false">IF($AF332=Constants!$B$7,AK332*AL332,"")</f>
        <v/>
      </c>
      <c r="AN332" s="67" t="str">
        <f aca="false">IF($AF332=Constants!$B$7,IF(AM332&gt;AJ332,2,1),"")</f>
        <v/>
      </c>
      <c r="AO332" s="67" t="str">
        <f aca="false">IF($AF332=Constants!$B$7,IF(AN332=1,2,1),"")</f>
        <v/>
      </c>
      <c r="AP332" s="67" t="str">
        <f aca="false">IF(ISBLANK($C332),"",IF($AF332&lt;&gt;Constants!$B$7,$AF332,IF(AN332=1,AJ332,AM332)))</f>
        <v/>
      </c>
      <c r="AQ332" s="67" t="str">
        <f aca="false">IF(ISBLANK($C332),"",IF($AF332=Constants!$B$7,IF(ISNUMBER(AP332),RANK(AP332,$AP$8:$AP$507),Constants!$B$14),$AF332))</f>
        <v/>
      </c>
      <c r="AR332" s="67" t="str">
        <f aca="false">IF(ISBLANK($C332),"",IF($AF332=Constants!$B$7,IF(AO332=1,AJ332,AM332),""))</f>
        <v/>
      </c>
      <c r="AS332" s="67" t="str">
        <f aca="false">IF(ISBLANK($C332),"",IF($AF332=Constants!$B$7,RANK(AR332,$AR$8:$AR$507),$AF332))</f>
        <v/>
      </c>
      <c r="AT332" s="67" t="str">
        <f aca="false">IF(ISBLANK($C332),"",IF($AF332=Constants!$B$7,IF(ISNUMBER(AQ332),COUNTIFS($AQ$8:$AQ$507,"&lt;"&amp;$AQ332)+COUNTIFS($AQ$8:$AQ$507,$AQ332,$AS$8:$AS$507,"&lt;"&amp;$AS332)+1,Constants!$B$14),$AF332))</f>
        <v/>
      </c>
      <c r="AU332" s="67" t="str">
        <f aca="false">IF(ISBLANK($C332),"",IF($AF332=Constants!$B$7,IF(ISNUMBER(AQ332),AQ332-AT332,Constants!$B$14),$AF332))</f>
        <v/>
      </c>
      <c r="AV332" s="69"/>
      <c r="AW332" s="70" t="str">
        <f aca="false">IF(ISBLANK($C332),"",IF($AF332&lt;&gt;Constants!$B$7,"",AN332))</f>
        <v/>
      </c>
      <c r="AX332" s="85" t="str">
        <f aca="false">IF(ISBLANK($C332),"",IF($AF332&lt;&gt;Constants!$B$7,"",IF(AN332=1,AH332,AK332)))</f>
        <v/>
      </c>
      <c r="AY332" s="72" t="str">
        <f aca="false">IF(ISBLANK($C332),"",IF($AF332&lt;&gt;Constants!$B$7,"",IF(AN332=1,AI332,AL332)))</f>
        <v/>
      </c>
      <c r="AZ332" s="73" t="str">
        <f aca="false">IF(ISBLANK($C332),"",IF($AF332&lt;&gt;Constants!$B$7,$AF332,AP332))</f>
        <v/>
      </c>
      <c r="BA332" s="74" t="str">
        <f aca="false">IF(ISBLANK($C332),"",IF($AF332&lt;&gt;Constants!$B$7,$AF332,AG332))</f>
        <v/>
      </c>
      <c r="BB332" s="75" t="str">
        <f aca="false">IF(ISBLANK($C332),"",AU332)</f>
        <v/>
      </c>
      <c r="BC332" s="75" t="str">
        <f aca="false">IF(ISBLANK($C332),"",AT332)</f>
        <v/>
      </c>
      <c r="BD332" s="76" t="str">
        <f aca="false">IF(ISBLANK($C332),"",IFERROR(_xlfn.SWITCH(BC332,Constants!$B$4,COUNTA($C$8:$C$507)+2,Constants!$B$5,COUNTA($C$8:$C$507)+1,Constants!$B$6,COUNTA($C$8:$C$507)),BC332))</f>
        <v/>
      </c>
      <c r="BE332" s="5"/>
      <c r="BF332" s="77" t="n">
        <f aca="false">IF(OR(ISNUMBER(BC332),BC332=Constants!$B$4,BC332=Constants!$B$6,BC332=Constants!$B$5),1,0)</f>
        <v>0</v>
      </c>
      <c r="BG332" s="77" t="n">
        <v>325</v>
      </c>
      <c r="BH332" s="77" t="str">
        <f aca="false">IF(ISBLANK($C332),"",IF(ISNUMBER(BD332),BD332+ROW($B332)/1000,""))</f>
        <v/>
      </c>
      <c r="BI332" s="77" t="str">
        <f aca="false">IF(ISNUMBER(BH332),RANK(BH332,$BH$8:$BH$507,1),"")</f>
        <v/>
      </c>
      <c r="BJ332" s="77" t="str">
        <f aca="false">IF(ISBLANK($C332),"",$B332)</f>
        <v/>
      </c>
      <c r="BK332" s="77" t="str">
        <f aca="false">IF(ISBLANK($C332),"",$C332)</f>
        <v/>
      </c>
      <c r="BL332" s="77" t="str">
        <f aca="false">IF(ISBLANK($C332),"",$D332)</f>
        <v/>
      </c>
      <c r="BM332" s="78" t="str">
        <f aca="false">BA332</f>
        <v/>
      </c>
      <c r="BN332" s="79" t="str">
        <f aca="false">AZ332</f>
        <v/>
      </c>
      <c r="BO332" s="77" t="str">
        <f aca="false">IF(ISBLANK($C332),"",BC332)</f>
        <v/>
      </c>
      <c r="BP332" s="80" t="str">
        <f aca="false">IF($BG332&gt;$BF$7,"",VLOOKUP($BG332,$BI$8:$BO$507,7,FALSE()))</f>
        <v/>
      </c>
      <c r="BQ332" s="81" t="str">
        <f aca="false">IF($BG332&gt;$BF$7,"",VLOOKUP($BG332,$BI$8:$BO$507,2,FALSE()))</f>
        <v/>
      </c>
      <c r="BR332" s="81" t="str">
        <f aca="false">IF($BG332&gt;$BF$7,"",VLOOKUP($BG332,$BI$8:$BO$507,3,FALSE()))</f>
        <v/>
      </c>
      <c r="BS332" s="81" t="str">
        <f aca="false">IF($BG332&gt;$BF$7,"",VLOOKUP($BG332,$BI$8:$BO$507,4,FALSE()))</f>
        <v/>
      </c>
      <c r="BT332" s="81" t="str">
        <f aca="false">IF($BG332&gt;$BF$7,"",VLOOKUP($BG332,$BI$8:$BO$507,5,FALSE()))</f>
        <v/>
      </c>
      <c r="BU332" s="82" t="str">
        <f aca="false">IF($BG332&gt;$BF$7,"",VLOOKUP($BG332,$BI$8:$BO$507,6,FALSE()))</f>
        <v/>
      </c>
      <c r="BV332" s="54"/>
    </row>
    <row r="333" customFormat="false" ht="15.75" hidden="false" customHeight="false" outlineLevel="0" collapsed="false">
      <c r="A333" s="5"/>
      <c r="B333" s="135"/>
      <c r="C333" s="56"/>
      <c r="D333" s="57"/>
      <c r="E333" s="84"/>
      <c r="F333" s="136"/>
      <c r="G333" s="60"/>
      <c r="H333" s="137"/>
      <c r="I333" s="62"/>
      <c r="J333" s="62"/>
      <c r="K333" s="60"/>
      <c r="L333" s="138"/>
      <c r="M333" s="62"/>
      <c r="N333" s="62"/>
      <c r="O333" s="60"/>
      <c r="P333" s="84"/>
      <c r="Q333" s="65"/>
      <c r="R333" s="67" t="str">
        <f aca="false">IF(ISBLANK($C333),"",IF(E333=Constants!$B$2, TRUE(), IF(E333=Constants!$B$3, FALSE(), TRUE())))</f>
        <v/>
      </c>
      <c r="S333" s="67" t="str">
        <f aca="false">IF(ISBLANK($C333),"",IF(F333=Constants!$B$2, TRUE(), IF(F333=Constants!$B$3, FALSE(), TRUE())))</f>
        <v/>
      </c>
      <c r="T333" s="67" t="str">
        <f aca="false">IF(ISBLANK($C333),"",IF(G333=Constants!$B$16,Constants!$B$9,IF(G333=Constants!$B$17,Constants!$B$10,Constants!$B$8)))</f>
        <v/>
      </c>
      <c r="U333" s="67" t="str">
        <f aca="false">IF(ISBLANK($C333),"",IF(H333=Constants!$B$19,Constants!$B$19,Constants!$B$18))</f>
        <v/>
      </c>
      <c r="V333" s="67" t="str">
        <f aca="false">IF(ISBLANK($C333),"",IF(ISNUMBER(I333),IF(I333&gt;=0,I333,""),""))</f>
        <v/>
      </c>
      <c r="W333" s="67" t="str">
        <f aca="false">IF(ISBLANK($C333),"",IF(J333=Constants!$B$2, TRUE(), IF(J333=Constants!$B$3, FALSE(), TRUE())))</f>
        <v/>
      </c>
      <c r="X333" s="67" t="str">
        <f aca="false">IF(ISBLANK($C333),"",IF(K333=Constants!$B$2, TRUE(), IF(K333=Constants!$B$3, FALSE(), TRUE())))</f>
        <v/>
      </c>
      <c r="Y333" s="67" t="str">
        <f aca="false">IF(ISBLANK($C333),"",IF(L333=Constants!$B$19,Constants!$B$19,Constants!$B$18))</f>
        <v/>
      </c>
      <c r="Z333" s="67" t="str">
        <f aca="false">IF(ISBLANK($C333),"",IF(ISNUMBER(M333),IF(M333&gt;=0,M333,""),""))</f>
        <v/>
      </c>
      <c r="AA333" s="67" t="str">
        <f aca="false">IF(ISBLANK($C333),"",IF(N333=Constants!$B$2, TRUE(), IF(N333=Constants!$B$3, FALSE(), TRUE())))</f>
        <v/>
      </c>
      <c r="AB333" s="67" t="str">
        <f aca="false">IF(ISBLANK($C333),"",IF(O333=Constants!$B$2, TRUE(), IF(O333=Constants!$B$3, FALSE(), TRUE())))</f>
        <v/>
      </c>
      <c r="AC333" s="67" t="str">
        <f aca="false">IF(ISBLANK($C333),"",IF(P333=Constants!$B$2, TRUE(), IF(P333=Constants!$B$3, FALSE(), FALSE())))</f>
        <v/>
      </c>
      <c r="AD333" s="67" t="str">
        <f aca="false">IF(ISBLANK($C333),"",AND(V333&lt;&gt;"",IF(U333=Constants!$B$19,S333,R333)))</f>
        <v/>
      </c>
      <c r="AE333" s="67" t="str">
        <f aca="false">IF(ISBLANK($C333),"",AND(Z333&lt;&gt;"",IF(Y333=Constants!$B$19,S333,R333)))</f>
        <v/>
      </c>
      <c r="AF333" s="67" t="str">
        <f aca="false">IF(ISBLANK($C333),"",IF(AC333,Constants!$B$4,IF(COUNTA(E333:O333)=0,Constants!$B$5,IF(AND(NOT(AD333),NOT(AE333)),Constants!$B$6,Constants!$B$7))))</f>
        <v/>
      </c>
      <c r="AG333" s="67" t="str">
        <f aca="false">IF(ISBLANK($C333),"",IF($AF333&lt;&gt;Constants!$B$7,$AF333,Constants!$B$20))</f>
        <v/>
      </c>
      <c r="AH333" s="67" t="str">
        <f aca="false">IF($AF333=Constants!$B$7,IF(AD333,V333,Constants!$B$13),"")</f>
        <v/>
      </c>
      <c r="AI333" s="67" t="str">
        <f aca="false">IF($AF333=Constants!$B$7,IF(AD333,T333*IF(W333, 1, Constants!$B$11)*IF(X333, 1, Constants!$B$12),Constants!$B$13),"")</f>
        <v/>
      </c>
      <c r="AJ333" s="67" t="str">
        <f aca="false">IF($AF333=Constants!$B$7,AH333*AI333,"")</f>
        <v/>
      </c>
      <c r="AK333" s="67" t="str">
        <f aca="false">IF($AF333=Constants!$B$7,IF(AE333,Z333,Constants!$B$13),"")</f>
        <v/>
      </c>
      <c r="AL333" s="67" t="str">
        <f aca="false">IF($AF333=Constants!$B$7,IF(AE333,T333*IF(AA333, 1, Constants!$B$11)*IF(AB333, 1, Constants!$B$12),Constants!$B$13),"")</f>
        <v/>
      </c>
      <c r="AM333" s="67" t="str">
        <f aca="false">IF($AF333=Constants!$B$7,AK333*AL333,"")</f>
        <v/>
      </c>
      <c r="AN333" s="67" t="str">
        <f aca="false">IF($AF333=Constants!$B$7,IF(AM333&gt;AJ333,2,1),"")</f>
        <v/>
      </c>
      <c r="AO333" s="67" t="str">
        <f aca="false">IF($AF333=Constants!$B$7,IF(AN333=1,2,1),"")</f>
        <v/>
      </c>
      <c r="AP333" s="67" t="str">
        <f aca="false">IF(ISBLANK($C333),"",IF($AF333&lt;&gt;Constants!$B$7,$AF333,IF(AN333=1,AJ333,AM333)))</f>
        <v/>
      </c>
      <c r="AQ333" s="67" t="str">
        <f aca="false">IF(ISBLANK($C333),"",IF($AF333=Constants!$B$7,IF(ISNUMBER(AP333),RANK(AP333,$AP$8:$AP$507),Constants!$B$14),$AF333))</f>
        <v/>
      </c>
      <c r="AR333" s="67" t="str">
        <f aca="false">IF(ISBLANK($C333),"",IF($AF333=Constants!$B$7,IF(AO333=1,AJ333,AM333),""))</f>
        <v/>
      </c>
      <c r="AS333" s="67" t="str">
        <f aca="false">IF(ISBLANK($C333),"",IF($AF333=Constants!$B$7,RANK(AR333,$AR$8:$AR$507),$AF333))</f>
        <v/>
      </c>
      <c r="AT333" s="67" t="str">
        <f aca="false">IF(ISBLANK($C333),"",IF($AF333=Constants!$B$7,IF(ISNUMBER(AQ333),COUNTIFS($AQ$8:$AQ$507,"&lt;"&amp;$AQ333)+COUNTIFS($AQ$8:$AQ$507,$AQ333,$AS$8:$AS$507,"&lt;"&amp;$AS333)+1,Constants!$B$14),$AF333))</f>
        <v/>
      </c>
      <c r="AU333" s="67" t="str">
        <f aca="false">IF(ISBLANK($C333),"",IF($AF333=Constants!$B$7,IF(ISNUMBER(AQ333),AQ333-AT333,Constants!$B$14),$AF333))</f>
        <v/>
      </c>
      <c r="AV333" s="69"/>
      <c r="AW333" s="70" t="str">
        <f aca="false">IF(ISBLANK($C333),"",IF($AF333&lt;&gt;Constants!$B$7,"",AN333))</f>
        <v/>
      </c>
      <c r="AX333" s="85" t="str">
        <f aca="false">IF(ISBLANK($C333),"",IF($AF333&lt;&gt;Constants!$B$7,"",IF(AN333=1,AH333,AK333)))</f>
        <v/>
      </c>
      <c r="AY333" s="72" t="str">
        <f aca="false">IF(ISBLANK($C333),"",IF($AF333&lt;&gt;Constants!$B$7,"",IF(AN333=1,AI333,AL333)))</f>
        <v/>
      </c>
      <c r="AZ333" s="73" t="str">
        <f aca="false">IF(ISBLANK($C333),"",IF($AF333&lt;&gt;Constants!$B$7,$AF333,AP333))</f>
        <v/>
      </c>
      <c r="BA333" s="74" t="str">
        <f aca="false">IF(ISBLANK($C333),"",IF($AF333&lt;&gt;Constants!$B$7,$AF333,AG333))</f>
        <v/>
      </c>
      <c r="BB333" s="75" t="str">
        <f aca="false">IF(ISBLANK($C333),"",AU333)</f>
        <v/>
      </c>
      <c r="BC333" s="75" t="str">
        <f aca="false">IF(ISBLANK($C333),"",AT333)</f>
        <v/>
      </c>
      <c r="BD333" s="76" t="str">
        <f aca="false">IF(ISBLANK($C333),"",IFERROR(_xlfn.SWITCH(BC333,Constants!$B$4,COUNTA($C$8:$C$507)+2,Constants!$B$5,COUNTA($C$8:$C$507)+1,Constants!$B$6,COUNTA($C$8:$C$507)),BC333))</f>
        <v/>
      </c>
      <c r="BE333" s="5"/>
      <c r="BF333" s="77" t="n">
        <f aca="false">IF(OR(ISNUMBER(BC333),BC333=Constants!$B$4,BC333=Constants!$B$6,BC333=Constants!$B$5),1,0)</f>
        <v>0</v>
      </c>
      <c r="BG333" s="77" t="n">
        <v>326</v>
      </c>
      <c r="BH333" s="77" t="str">
        <f aca="false">IF(ISBLANK($C333),"",IF(ISNUMBER(BD333),BD333+ROW($B333)/1000,""))</f>
        <v/>
      </c>
      <c r="BI333" s="77" t="str">
        <f aca="false">IF(ISNUMBER(BH333),RANK(BH333,$BH$8:$BH$507,1),"")</f>
        <v/>
      </c>
      <c r="BJ333" s="77" t="str">
        <f aca="false">IF(ISBLANK($C333),"",$B333)</f>
        <v/>
      </c>
      <c r="BK333" s="77" t="str">
        <f aca="false">IF(ISBLANK($C333),"",$C333)</f>
        <v/>
      </c>
      <c r="BL333" s="77" t="str">
        <f aca="false">IF(ISBLANK($C333),"",$D333)</f>
        <v/>
      </c>
      <c r="BM333" s="78" t="str">
        <f aca="false">BA333</f>
        <v/>
      </c>
      <c r="BN333" s="79" t="str">
        <f aca="false">AZ333</f>
        <v/>
      </c>
      <c r="BO333" s="77" t="str">
        <f aca="false">IF(ISBLANK($C333),"",BC333)</f>
        <v/>
      </c>
      <c r="BP333" s="80" t="str">
        <f aca="false">IF($BG333&gt;$BF$7,"",VLOOKUP($BG333,$BI$8:$BO$507,7,FALSE()))</f>
        <v/>
      </c>
      <c r="BQ333" s="81" t="str">
        <f aca="false">IF($BG333&gt;$BF$7,"",VLOOKUP($BG333,$BI$8:$BO$507,2,FALSE()))</f>
        <v/>
      </c>
      <c r="BR333" s="81" t="str">
        <f aca="false">IF($BG333&gt;$BF$7,"",VLOOKUP($BG333,$BI$8:$BO$507,3,FALSE()))</f>
        <v/>
      </c>
      <c r="BS333" s="81" t="str">
        <f aca="false">IF($BG333&gt;$BF$7,"",VLOOKUP($BG333,$BI$8:$BO$507,4,FALSE()))</f>
        <v/>
      </c>
      <c r="BT333" s="81" t="str">
        <f aca="false">IF($BG333&gt;$BF$7,"",VLOOKUP($BG333,$BI$8:$BO$507,5,FALSE()))</f>
        <v/>
      </c>
      <c r="BU333" s="82" t="str">
        <f aca="false">IF($BG333&gt;$BF$7,"",VLOOKUP($BG333,$BI$8:$BO$507,6,FALSE()))</f>
        <v/>
      </c>
      <c r="BV333" s="54"/>
    </row>
    <row r="334" customFormat="false" ht="15.75" hidden="false" customHeight="false" outlineLevel="0" collapsed="false">
      <c r="A334" s="5"/>
      <c r="B334" s="135"/>
      <c r="C334" s="56"/>
      <c r="D334" s="57"/>
      <c r="E334" s="84"/>
      <c r="F334" s="136"/>
      <c r="G334" s="60"/>
      <c r="H334" s="137"/>
      <c r="I334" s="62"/>
      <c r="J334" s="62"/>
      <c r="K334" s="60"/>
      <c r="L334" s="138"/>
      <c r="M334" s="62"/>
      <c r="N334" s="62"/>
      <c r="O334" s="60"/>
      <c r="P334" s="84"/>
      <c r="Q334" s="65"/>
      <c r="R334" s="67" t="str">
        <f aca="false">IF(ISBLANK($C334),"",IF(E334=Constants!$B$2, TRUE(), IF(E334=Constants!$B$3, FALSE(), TRUE())))</f>
        <v/>
      </c>
      <c r="S334" s="67" t="str">
        <f aca="false">IF(ISBLANK($C334),"",IF(F334=Constants!$B$2, TRUE(), IF(F334=Constants!$B$3, FALSE(), TRUE())))</f>
        <v/>
      </c>
      <c r="T334" s="67" t="str">
        <f aca="false">IF(ISBLANK($C334),"",IF(G334=Constants!$B$16,Constants!$B$9,IF(G334=Constants!$B$17,Constants!$B$10,Constants!$B$8)))</f>
        <v/>
      </c>
      <c r="U334" s="67" t="str">
        <f aca="false">IF(ISBLANK($C334),"",IF(H334=Constants!$B$19,Constants!$B$19,Constants!$B$18))</f>
        <v/>
      </c>
      <c r="V334" s="67" t="str">
        <f aca="false">IF(ISBLANK($C334),"",IF(ISNUMBER(I334),IF(I334&gt;=0,I334,""),""))</f>
        <v/>
      </c>
      <c r="W334" s="67" t="str">
        <f aca="false">IF(ISBLANK($C334),"",IF(J334=Constants!$B$2, TRUE(), IF(J334=Constants!$B$3, FALSE(), TRUE())))</f>
        <v/>
      </c>
      <c r="X334" s="67" t="str">
        <f aca="false">IF(ISBLANK($C334),"",IF(K334=Constants!$B$2, TRUE(), IF(K334=Constants!$B$3, FALSE(), TRUE())))</f>
        <v/>
      </c>
      <c r="Y334" s="67" t="str">
        <f aca="false">IF(ISBLANK($C334),"",IF(L334=Constants!$B$19,Constants!$B$19,Constants!$B$18))</f>
        <v/>
      </c>
      <c r="Z334" s="67" t="str">
        <f aca="false">IF(ISBLANK($C334),"",IF(ISNUMBER(M334),IF(M334&gt;=0,M334,""),""))</f>
        <v/>
      </c>
      <c r="AA334" s="67" t="str">
        <f aca="false">IF(ISBLANK($C334),"",IF(N334=Constants!$B$2, TRUE(), IF(N334=Constants!$B$3, FALSE(), TRUE())))</f>
        <v/>
      </c>
      <c r="AB334" s="67" t="str">
        <f aca="false">IF(ISBLANK($C334),"",IF(O334=Constants!$B$2, TRUE(), IF(O334=Constants!$B$3, FALSE(), TRUE())))</f>
        <v/>
      </c>
      <c r="AC334" s="67" t="str">
        <f aca="false">IF(ISBLANK($C334),"",IF(P334=Constants!$B$2, TRUE(), IF(P334=Constants!$B$3, FALSE(), FALSE())))</f>
        <v/>
      </c>
      <c r="AD334" s="67" t="str">
        <f aca="false">IF(ISBLANK($C334),"",AND(V334&lt;&gt;"",IF(U334=Constants!$B$19,S334,R334)))</f>
        <v/>
      </c>
      <c r="AE334" s="67" t="str">
        <f aca="false">IF(ISBLANK($C334),"",AND(Z334&lt;&gt;"",IF(Y334=Constants!$B$19,S334,R334)))</f>
        <v/>
      </c>
      <c r="AF334" s="67" t="str">
        <f aca="false">IF(ISBLANK($C334),"",IF(AC334,Constants!$B$4,IF(COUNTA(E334:O334)=0,Constants!$B$5,IF(AND(NOT(AD334),NOT(AE334)),Constants!$B$6,Constants!$B$7))))</f>
        <v/>
      </c>
      <c r="AG334" s="67" t="str">
        <f aca="false">IF(ISBLANK($C334),"",IF($AF334&lt;&gt;Constants!$B$7,$AF334,Constants!$B$20))</f>
        <v/>
      </c>
      <c r="AH334" s="67" t="str">
        <f aca="false">IF($AF334=Constants!$B$7,IF(AD334,V334,Constants!$B$13),"")</f>
        <v/>
      </c>
      <c r="AI334" s="67" t="str">
        <f aca="false">IF($AF334=Constants!$B$7,IF(AD334,T334*IF(W334, 1, Constants!$B$11)*IF(X334, 1, Constants!$B$12),Constants!$B$13),"")</f>
        <v/>
      </c>
      <c r="AJ334" s="67" t="str">
        <f aca="false">IF($AF334=Constants!$B$7,AH334*AI334,"")</f>
        <v/>
      </c>
      <c r="AK334" s="67" t="str">
        <f aca="false">IF($AF334=Constants!$B$7,IF(AE334,Z334,Constants!$B$13),"")</f>
        <v/>
      </c>
      <c r="AL334" s="67" t="str">
        <f aca="false">IF($AF334=Constants!$B$7,IF(AE334,T334*IF(AA334, 1, Constants!$B$11)*IF(AB334, 1, Constants!$B$12),Constants!$B$13),"")</f>
        <v/>
      </c>
      <c r="AM334" s="67" t="str">
        <f aca="false">IF($AF334=Constants!$B$7,AK334*AL334,"")</f>
        <v/>
      </c>
      <c r="AN334" s="67" t="str">
        <f aca="false">IF($AF334=Constants!$B$7,IF(AM334&gt;AJ334,2,1),"")</f>
        <v/>
      </c>
      <c r="AO334" s="67" t="str">
        <f aca="false">IF($AF334=Constants!$B$7,IF(AN334=1,2,1),"")</f>
        <v/>
      </c>
      <c r="AP334" s="67" t="str">
        <f aca="false">IF(ISBLANK($C334),"",IF($AF334&lt;&gt;Constants!$B$7,$AF334,IF(AN334=1,AJ334,AM334)))</f>
        <v/>
      </c>
      <c r="AQ334" s="67" t="str">
        <f aca="false">IF(ISBLANK($C334),"",IF($AF334=Constants!$B$7,IF(ISNUMBER(AP334),RANK(AP334,$AP$8:$AP$507),Constants!$B$14),$AF334))</f>
        <v/>
      </c>
      <c r="AR334" s="67" t="str">
        <f aca="false">IF(ISBLANK($C334),"",IF($AF334=Constants!$B$7,IF(AO334=1,AJ334,AM334),""))</f>
        <v/>
      </c>
      <c r="AS334" s="67" t="str">
        <f aca="false">IF(ISBLANK($C334),"",IF($AF334=Constants!$B$7,RANK(AR334,$AR$8:$AR$507),$AF334))</f>
        <v/>
      </c>
      <c r="AT334" s="67" t="str">
        <f aca="false">IF(ISBLANK($C334),"",IF($AF334=Constants!$B$7,IF(ISNUMBER(AQ334),COUNTIFS($AQ$8:$AQ$507,"&lt;"&amp;$AQ334)+COUNTIFS($AQ$8:$AQ$507,$AQ334,$AS$8:$AS$507,"&lt;"&amp;$AS334)+1,Constants!$B$14),$AF334))</f>
        <v/>
      </c>
      <c r="AU334" s="67" t="str">
        <f aca="false">IF(ISBLANK($C334),"",IF($AF334=Constants!$B$7,IF(ISNUMBER(AQ334),AQ334-AT334,Constants!$B$14),$AF334))</f>
        <v/>
      </c>
      <c r="AV334" s="69"/>
      <c r="AW334" s="70" t="str">
        <f aca="false">IF(ISBLANK($C334),"",IF($AF334&lt;&gt;Constants!$B$7,"",AN334))</f>
        <v/>
      </c>
      <c r="AX334" s="85" t="str">
        <f aca="false">IF(ISBLANK($C334),"",IF($AF334&lt;&gt;Constants!$B$7,"",IF(AN334=1,AH334,AK334)))</f>
        <v/>
      </c>
      <c r="AY334" s="72" t="str">
        <f aca="false">IF(ISBLANK($C334),"",IF($AF334&lt;&gt;Constants!$B$7,"",IF(AN334=1,AI334,AL334)))</f>
        <v/>
      </c>
      <c r="AZ334" s="73" t="str">
        <f aca="false">IF(ISBLANK($C334),"",IF($AF334&lt;&gt;Constants!$B$7,$AF334,AP334))</f>
        <v/>
      </c>
      <c r="BA334" s="74" t="str">
        <f aca="false">IF(ISBLANK($C334),"",IF($AF334&lt;&gt;Constants!$B$7,$AF334,AG334))</f>
        <v/>
      </c>
      <c r="BB334" s="75" t="str">
        <f aca="false">IF(ISBLANK($C334),"",AU334)</f>
        <v/>
      </c>
      <c r="BC334" s="75" t="str">
        <f aca="false">IF(ISBLANK($C334),"",AT334)</f>
        <v/>
      </c>
      <c r="BD334" s="76" t="str">
        <f aca="false">IF(ISBLANK($C334),"",IFERROR(_xlfn.SWITCH(BC334,Constants!$B$4,COUNTA($C$8:$C$507)+2,Constants!$B$5,COUNTA($C$8:$C$507)+1,Constants!$B$6,COUNTA($C$8:$C$507)),BC334))</f>
        <v/>
      </c>
      <c r="BE334" s="5"/>
      <c r="BF334" s="77" t="n">
        <f aca="false">IF(OR(ISNUMBER(BC334),BC334=Constants!$B$4,BC334=Constants!$B$6,BC334=Constants!$B$5),1,0)</f>
        <v>0</v>
      </c>
      <c r="BG334" s="77" t="n">
        <v>327</v>
      </c>
      <c r="BH334" s="77" t="str">
        <f aca="false">IF(ISBLANK($C334),"",IF(ISNUMBER(BD334),BD334+ROW($B334)/1000,""))</f>
        <v/>
      </c>
      <c r="BI334" s="77" t="str">
        <f aca="false">IF(ISNUMBER(BH334),RANK(BH334,$BH$8:$BH$507,1),"")</f>
        <v/>
      </c>
      <c r="BJ334" s="77" t="str">
        <f aca="false">IF(ISBLANK($C334),"",$B334)</f>
        <v/>
      </c>
      <c r="BK334" s="77" t="str">
        <f aca="false">IF(ISBLANK($C334),"",$C334)</f>
        <v/>
      </c>
      <c r="BL334" s="77" t="str">
        <f aca="false">IF(ISBLANK($C334),"",$D334)</f>
        <v/>
      </c>
      <c r="BM334" s="78" t="str">
        <f aca="false">BA334</f>
        <v/>
      </c>
      <c r="BN334" s="79" t="str">
        <f aca="false">AZ334</f>
        <v/>
      </c>
      <c r="BO334" s="77" t="str">
        <f aca="false">IF(ISBLANK($C334),"",BC334)</f>
        <v/>
      </c>
      <c r="BP334" s="80" t="str">
        <f aca="false">IF($BG334&gt;$BF$7,"",VLOOKUP($BG334,$BI$8:$BO$507,7,FALSE()))</f>
        <v/>
      </c>
      <c r="BQ334" s="81" t="str">
        <f aca="false">IF($BG334&gt;$BF$7,"",VLOOKUP($BG334,$BI$8:$BO$507,2,FALSE()))</f>
        <v/>
      </c>
      <c r="BR334" s="81" t="str">
        <f aca="false">IF($BG334&gt;$BF$7,"",VLOOKUP($BG334,$BI$8:$BO$507,3,FALSE()))</f>
        <v/>
      </c>
      <c r="BS334" s="81" t="str">
        <f aca="false">IF($BG334&gt;$BF$7,"",VLOOKUP($BG334,$BI$8:$BO$507,4,FALSE()))</f>
        <v/>
      </c>
      <c r="BT334" s="81" t="str">
        <f aca="false">IF($BG334&gt;$BF$7,"",VLOOKUP($BG334,$BI$8:$BO$507,5,FALSE()))</f>
        <v/>
      </c>
      <c r="BU334" s="82" t="str">
        <f aca="false">IF($BG334&gt;$BF$7,"",VLOOKUP($BG334,$BI$8:$BO$507,6,FALSE()))</f>
        <v/>
      </c>
      <c r="BV334" s="54"/>
    </row>
    <row r="335" customFormat="false" ht="15.75" hidden="false" customHeight="false" outlineLevel="0" collapsed="false">
      <c r="A335" s="5"/>
      <c r="B335" s="128"/>
      <c r="C335" s="129"/>
      <c r="D335" s="114"/>
      <c r="E335" s="134"/>
      <c r="F335" s="139"/>
      <c r="G335" s="93"/>
      <c r="H335" s="140"/>
      <c r="I335" s="95"/>
      <c r="J335" s="95"/>
      <c r="K335" s="93"/>
      <c r="L335" s="141"/>
      <c r="M335" s="95"/>
      <c r="N335" s="95"/>
      <c r="O335" s="93"/>
      <c r="P335" s="134"/>
      <c r="Q335" s="98"/>
      <c r="R335" s="99" t="str">
        <f aca="false">IF(ISBLANK($C335),"",IF(E335=Constants!$B$2, TRUE(), IF(E335=Constants!$B$3, FALSE(), TRUE())))</f>
        <v/>
      </c>
      <c r="S335" s="99" t="str">
        <f aca="false">IF(ISBLANK($C335),"",IF(F335=Constants!$B$2, TRUE(), IF(F335=Constants!$B$3, FALSE(), TRUE())))</f>
        <v/>
      </c>
      <c r="T335" s="99" t="str">
        <f aca="false">IF(ISBLANK($C335),"",IF(G335=Constants!$B$16,Constants!$B$9,IF(G335=Constants!$B$17,Constants!$B$10,Constants!$B$8)))</f>
        <v/>
      </c>
      <c r="U335" s="99" t="str">
        <f aca="false">IF(ISBLANK($C335),"",IF(H335=Constants!$B$19,Constants!$B$19,Constants!$B$18))</f>
        <v/>
      </c>
      <c r="V335" s="99" t="str">
        <f aca="false">IF(ISBLANK($C335),"",IF(ISNUMBER(I335),IF(I335&gt;=0,I335,""),""))</f>
        <v/>
      </c>
      <c r="W335" s="99" t="str">
        <f aca="false">IF(ISBLANK($C335),"",IF(J335=Constants!$B$2, TRUE(), IF(J335=Constants!$B$3, FALSE(), TRUE())))</f>
        <v/>
      </c>
      <c r="X335" s="99" t="str">
        <f aca="false">IF(ISBLANK($C335),"",IF(K335=Constants!$B$2, TRUE(), IF(K335=Constants!$B$3, FALSE(), TRUE())))</f>
        <v/>
      </c>
      <c r="Y335" s="99" t="str">
        <f aca="false">IF(ISBLANK($C335),"",IF(L335=Constants!$B$19,Constants!$B$19,Constants!$B$18))</f>
        <v/>
      </c>
      <c r="Z335" s="99" t="str">
        <f aca="false">IF(ISBLANK($C335),"",IF(ISNUMBER(M335),IF(M335&gt;=0,M335,""),""))</f>
        <v/>
      </c>
      <c r="AA335" s="99" t="str">
        <f aca="false">IF(ISBLANK($C335),"",IF(N335=Constants!$B$2, TRUE(), IF(N335=Constants!$B$3, FALSE(), TRUE())))</f>
        <v/>
      </c>
      <c r="AB335" s="99" t="str">
        <f aca="false">IF(ISBLANK($C335),"",IF(O335=Constants!$B$2, TRUE(), IF(O335=Constants!$B$3, FALSE(), TRUE())))</f>
        <v/>
      </c>
      <c r="AC335" s="99" t="str">
        <f aca="false">IF(ISBLANK($C335),"",IF(P335=Constants!$B$2, TRUE(), IF(P335=Constants!$B$3, FALSE(), FALSE())))</f>
        <v/>
      </c>
      <c r="AD335" s="99" t="str">
        <f aca="false">IF(ISBLANK($C335),"",AND(V335&lt;&gt;"",IF(U335=Constants!$B$19,S335,R335)))</f>
        <v/>
      </c>
      <c r="AE335" s="99" t="str">
        <f aca="false">IF(ISBLANK($C335),"",AND(Z335&lt;&gt;"",IF(Y335=Constants!$B$19,S335,R335)))</f>
        <v/>
      </c>
      <c r="AF335" s="99" t="str">
        <f aca="false">IF(ISBLANK($C335),"",IF(AC335,Constants!$B$4,IF(COUNTA(E335:O335)=0,Constants!$B$5,IF(AND(NOT(AD335),NOT(AE335)),Constants!$B$6,Constants!$B$7))))</f>
        <v/>
      </c>
      <c r="AG335" s="99" t="str">
        <f aca="false">IF(ISBLANK($C335),"",IF($AF335&lt;&gt;Constants!$B$7,$AF335,Constants!$B$20))</f>
        <v/>
      </c>
      <c r="AH335" s="99" t="str">
        <f aca="false">IF($AF335=Constants!$B$7,IF(AD335,V335,Constants!$B$13),"")</f>
        <v/>
      </c>
      <c r="AI335" s="99" t="str">
        <f aca="false">IF($AF335=Constants!$B$7,IF(AD335,T335*IF(W335, 1, Constants!$B$11)*IF(X335, 1, Constants!$B$12),Constants!$B$13),"")</f>
        <v/>
      </c>
      <c r="AJ335" s="99" t="str">
        <f aca="false">IF($AF335=Constants!$B$7,AH335*AI335,"")</f>
        <v/>
      </c>
      <c r="AK335" s="99" t="str">
        <f aca="false">IF($AF335=Constants!$B$7,IF(AE335,Z335,Constants!$B$13),"")</f>
        <v/>
      </c>
      <c r="AL335" s="99" t="str">
        <f aca="false">IF($AF335=Constants!$B$7,IF(AE335,T335*IF(AA335, 1, Constants!$B$11)*IF(AB335, 1, Constants!$B$12),Constants!$B$13),"")</f>
        <v/>
      </c>
      <c r="AM335" s="99" t="str">
        <f aca="false">IF($AF335=Constants!$B$7,AK335*AL335,"")</f>
        <v/>
      </c>
      <c r="AN335" s="99" t="str">
        <f aca="false">IF($AF335=Constants!$B$7,IF(AM335&gt;AJ335,2,1),"")</f>
        <v/>
      </c>
      <c r="AO335" s="99" t="str">
        <f aca="false">IF($AF335=Constants!$B$7,IF(AN335=1,2,1),"")</f>
        <v/>
      </c>
      <c r="AP335" s="99" t="str">
        <f aca="false">IF(ISBLANK($C335),"",IF($AF335&lt;&gt;Constants!$B$7,$AF335,IF(AN335=1,AJ335,AM335)))</f>
        <v/>
      </c>
      <c r="AQ335" s="99" t="str">
        <f aca="false">IF(ISBLANK($C335),"",IF($AF335=Constants!$B$7,IF(ISNUMBER(AP335),RANK(AP335,$AP$8:$AP$507),Constants!$B$14),$AF335))</f>
        <v/>
      </c>
      <c r="AR335" s="99" t="str">
        <f aca="false">IF(ISBLANK($C335),"",IF($AF335=Constants!$B$7,IF(AO335=1,AJ335,AM335),""))</f>
        <v/>
      </c>
      <c r="AS335" s="99" t="str">
        <f aca="false">IF(ISBLANK($C335),"",IF($AF335=Constants!$B$7,RANK(AR335,$AR$8:$AR$507),$AF335))</f>
        <v/>
      </c>
      <c r="AT335" s="99" t="str">
        <f aca="false">IF(ISBLANK($C335),"",IF($AF335=Constants!$B$7,IF(ISNUMBER(AQ335),COUNTIFS($AQ$8:$AQ$507,"&lt;"&amp;$AQ335)+COUNTIFS($AQ$8:$AQ$507,$AQ335,$AS$8:$AS$507,"&lt;"&amp;$AS335)+1,Constants!$B$14),$AF335))</f>
        <v/>
      </c>
      <c r="AU335" s="99" t="str">
        <f aca="false">IF(ISBLANK($C335),"",IF($AF335=Constants!$B$7,IF(ISNUMBER(AQ335),AQ335-AT335,Constants!$B$14),$AF335))</f>
        <v/>
      </c>
      <c r="AV335" s="100"/>
      <c r="AW335" s="101" t="str">
        <f aca="false">IF(ISBLANK($C335),"",IF($AF335&lt;&gt;Constants!$B$7,"",AN335))</f>
        <v/>
      </c>
      <c r="AX335" s="102" t="str">
        <f aca="false">IF(ISBLANK($C335),"",IF($AF335&lt;&gt;Constants!$B$7,"",IF(AN335=1,AH335,AK335)))</f>
        <v/>
      </c>
      <c r="AY335" s="103" t="str">
        <f aca="false">IF(ISBLANK($C335),"",IF($AF335&lt;&gt;Constants!$B$7,"",IF(AN335=1,AI335,AL335)))</f>
        <v/>
      </c>
      <c r="AZ335" s="104" t="str">
        <f aca="false">IF(ISBLANK($C335),"",IF($AF335&lt;&gt;Constants!$B$7,$AF335,AP335))</f>
        <v/>
      </c>
      <c r="BA335" s="105" t="str">
        <f aca="false">IF(ISBLANK($C335),"",IF($AF335&lt;&gt;Constants!$B$7,$AF335,AG335))</f>
        <v/>
      </c>
      <c r="BB335" s="106" t="str">
        <f aca="false">IF(ISBLANK($C335),"",AU335)</f>
        <v/>
      </c>
      <c r="BC335" s="106" t="str">
        <f aca="false">IF(ISBLANK($C335),"",AT335)</f>
        <v/>
      </c>
      <c r="BD335" s="107" t="str">
        <f aca="false">IF(ISBLANK($C335),"",IFERROR(_xlfn.SWITCH(BC335,Constants!$B$4,COUNTA($C$8:$C$507)+2,Constants!$B$5,COUNTA($C$8:$C$507)+1,Constants!$B$6,COUNTA($C$8:$C$507)),BC335))</f>
        <v/>
      </c>
      <c r="BE335" s="5"/>
      <c r="BF335" s="108" t="n">
        <f aca="false">IF(OR(ISNUMBER(BC335),BC335=Constants!$B$4,BC335=Constants!$B$6,BC335=Constants!$B$5),1,0)</f>
        <v>0</v>
      </c>
      <c r="BG335" s="108" t="n">
        <v>328</v>
      </c>
      <c r="BH335" s="108" t="str">
        <f aca="false">IF(ISBLANK($C335),"",IF(ISNUMBER(BD335),BD335+ROW($B335)/1000,""))</f>
        <v/>
      </c>
      <c r="BI335" s="108" t="str">
        <f aca="false">IF(ISNUMBER(BH335),RANK(BH335,$BH$8:$BH$507,1),"")</f>
        <v/>
      </c>
      <c r="BJ335" s="108" t="str">
        <f aca="false">IF(ISBLANK($C335),"",$B335)</f>
        <v/>
      </c>
      <c r="BK335" s="108" t="str">
        <f aca="false">IF(ISBLANK($C335),"",$C335)</f>
        <v/>
      </c>
      <c r="BL335" s="108" t="str">
        <f aca="false">IF(ISBLANK($C335),"",$D335)</f>
        <v/>
      </c>
      <c r="BM335" s="109" t="str">
        <f aca="false">BA335</f>
        <v/>
      </c>
      <c r="BN335" s="110" t="str">
        <f aca="false">AZ335</f>
        <v/>
      </c>
      <c r="BO335" s="108" t="str">
        <f aca="false">IF(ISBLANK($C335),"",BC335)</f>
        <v/>
      </c>
      <c r="BP335" s="111" t="str">
        <f aca="false">IF($BG335&gt;$BF$7,"",VLOOKUP($BG335,$BI$8:$BO$507,7,FALSE()))</f>
        <v/>
      </c>
      <c r="BQ335" s="112" t="str">
        <f aca="false">IF($BG335&gt;$BF$7,"",VLOOKUP($BG335,$BI$8:$BO$507,2,FALSE()))</f>
        <v/>
      </c>
      <c r="BR335" s="112" t="str">
        <f aca="false">IF($BG335&gt;$BF$7,"",VLOOKUP($BG335,$BI$8:$BO$507,3,FALSE()))</f>
        <v/>
      </c>
      <c r="BS335" s="112" t="str">
        <f aca="false">IF($BG335&gt;$BF$7,"",VLOOKUP($BG335,$BI$8:$BO$507,4,FALSE()))</f>
        <v/>
      </c>
      <c r="BT335" s="112" t="str">
        <f aca="false">IF($BG335&gt;$BF$7,"",VLOOKUP($BG335,$BI$8:$BO$507,5,FALSE()))</f>
        <v/>
      </c>
      <c r="BU335" s="113" t="str">
        <f aca="false">IF($BG335&gt;$BF$7,"",VLOOKUP($BG335,$BI$8:$BO$507,6,FALSE()))</f>
        <v/>
      </c>
      <c r="BV335" s="54"/>
    </row>
    <row r="336" customFormat="false" ht="15.75" hidden="false" customHeight="false" outlineLevel="0" collapsed="false">
      <c r="A336" s="5"/>
      <c r="B336" s="128"/>
      <c r="C336" s="129"/>
      <c r="D336" s="114"/>
      <c r="E336" s="134"/>
      <c r="F336" s="139"/>
      <c r="G336" s="93"/>
      <c r="H336" s="140"/>
      <c r="I336" s="95"/>
      <c r="J336" s="95"/>
      <c r="K336" s="93"/>
      <c r="L336" s="141"/>
      <c r="M336" s="95"/>
      <c r="N336" s="95"/>
      <c r="O336" s="93"/>
      <c r="P336" s="134"/>
      <c r="Q336" s="98"/>
      <c r="R336" s="99" t="str">
        <f aca="false">IF(ISBLANK($C336),"",IF(E336=Constants!$B$2, TRUE(), IF(E336=Constants!$B$3, FALSE(), TRUE())))</f>
        <v/>
      </c>
      <c r="S336" s="99" t="str">
        <f aca="false">IF(ISBLANK($C336),"",IF(F336=Constants!$B$2, TRUE(), IF(F336=Constants!$B$3, FALSE(), TRUE())))</f>
        <v/>
      </c>
      <c r="T336" s="99" t="str">
        <f aca="false">IF(ISBLANK($C336),"",IF(G336=Constants!$B$16,Constants!$B$9,IF(G336=Constants!$B$17,Constants!$B$10,Constants!$B$8)))</f>
        <v/>
      </c>
      <c r="U336" s="99" t="str">
        <f aca="false">IF(ISBLANK($C336),"",IF(H336=Constants!$B$19,Constants!$B$19,Constants!$B$18))</f>
        <v/>
      </c>
      <c r="V336" s="99" t="str">
        <f aca="false">IF(ISBLANK($C336),"",IF(ISNUMBER(I336),IF(I336&gt;=0,I336,""),""))</f>
        <v/>
      </c>
      <c r="W336" s="99" t="str">
        <f aca="false">IF(ISBLANK($C336),"",IF(J336=Constants!$B$2, TRUE(), IF(J336=Constants!$B$3, FALSE(), TRUE())))</f>
        <v/>
      </c>
      <c r="X336" s="99" t="str">
        <f aca="false">IF(ISBLANK($C336),"",IF(K336=Constants!$B$2, TRUE(), IF(K336=Constants!$B$3, FALSE(), TRUE())))</f>
        <v/>
      </c>
      <c r="Y336" s="99" t="str">
        <f aca="false">IF(ISBLANK($C336),"",IF(L336=Constants!$B$19,Constants!$B$19,Constants!$B$18))</f>
        <v/>
      </c>
      <c r="Z336" s="99" t="str">
        <f aca="false">IF(ISBLANK($C336),"",IF(ISNUMBER(M336),IF(M336&gt;=0,M336,""),""))</f>
        <v/>
      </c>
      <c r="AA336" s="99" t="str">
        <f aca="false">IF(ISBLANK($C336),"",IF(N336=Constants!$B$2, TRUE(), IF(N336=Constants!$B$3, FALSE(), TRUE())))</f>
        <v/>
      </c>
      <c r="AB336" s="99" t="str">
        <f aca="false">IF(ISBLANK($C336),"",IF(O336=Constants!$B$2, TRUE(), IF(O336=Constants!$B$3, FALSE(), TRUE())))</f>
        <v/>
      </c>
      <c r="AC336" s="99" t="str">
        <f aca="false">IF(ISBLANK($C336),"",IF(P336=Constants!$B$2, TRUE(), IF(P336=Constants!$B$3, FALSE(), FALSE())))</f>
        <v/>
      </c>
      <c r="AD336" s="99" t="str">
        <f aca="false">IF(ISBLANK($C336),"",AND(V336&lt;&gt;"",IF(U336=Constants!$B$19,S336,R336)))</f>
        <v/>
      </c>
      <c r="AE336" s="99" t="str">
        <f aca="false">IF(ISBLANK($C336),"",AND(Z336&lt;&gt;"",IF(Y336=Constants!$B$19,S336,R336)))</f>
        <v/>
      </c>
      <c r="AF336" s="99" t="str">
        <f aca="false">IF(ISBLANK($C336),"",IF(AC336,Constants!$B$4,IF(COUNTA(E336:O336)=0,Constants!$B$5,IF(AND(NOT(AD336),NOT(AE336)),Constants!$B$6,Constants!$B$7))))</f>
        <v/>
      </c>
      <c r="AG336" s="99" t="str">
        <f aca="false">IF(ISBLANK($C336),"",IF($AF336&lt;&gt;Constants!$B$7,$AF336,Constants!$B$20))</f>
        <v/>
      </c>
      <c r="AH336" s="99" t="str">
        <f aca="false">IF($AF336=Constants!$B$7,IF(AD336,V336,Constants!$B$13),"")</f>
        <v/>
      </c>
      <c r="AI336" s="99" t="str">
        <f aca="false">IF($AF336=Constants!$B$7,IF(AD336,T336*IF(W336, 1, Constants!$B$11)*IF(X336, 1, Constants!$B$12),Constants!$B$13),"")</f>
        <v/>
      </c>
      <c r="AJ336" s="99" t="str">
        <f aca="false">IF($AF336=Constants!$B$7,AH336*AI336,"")</f>
        <v/>
      </c>
      <c r="AK336" s="99" t="str">
        <f aca="false">IF($AF336=Constants!$B$7,IF(AE336,Z336,Constants!$B$13),"")</f>
        <v/>
      </c>
      <c r="AL336" s="99" t="str">
        <f aca="false">IF($AF336=Constants!$B$7,IF(AE336,T336*IF(AA336, 1, Constants!$B$11)*IF(AB336, 1, Constants!$B$12),Constants!$B$13),"")</f>
        <v/>
      </c>
      <c r="AM336" s="99" t="str">
        <f aca="false">IF($AF336=Constants!$B$7,AK336*AL336,"")</f>
        <v/>
      </c>
      <c r="AN336" s="99" t="str">
        <f aca="false">IF($AF336=Constants!$B$7,IF(AM336&gt;AJ336,2,1),"")</f>
        <v/>
      </c>
      <c r="AO336" s="99" t="str">
        <f aca="false">IF($AF336=Constants!$B$7,IF(AN336=1,2,1),"")</f>
        <v/>
      </c>
      <c r="AP336" s="99" t="str">
        <f aca="false">IF(ISBLANK($C336),"",IF($AF336&lt;&gt;Constants!$B$7,$AF336,IF(AN336=1,AJ336,AM336)))</f>
        <v/>
      </c>
      <c r="AQ336" s="99" t="str">
        <f aca="false">IF(ISBLANK($C336),"",IF($AF336=Constants!$B$7,IF(ISNUMBER(AP336),RANK(AP336,$AP$8:$AP$507),Constants!$B$14),$AF336))</f>
        <v/>
      </c>
      <c r="AR336" s="99" t="str">
        <f aca="false">IF(ISBLANK($C336),"",IF($AF336=Constants!$B$7,IF(AO336=1,AJ336,AM336),""))</f>
        <v/>
      </c>
      <c r="AS336" s="99" t="str">
        <f aca="false">IF(ISBLANK($C336),"",IF($AF336=Constants!$B$7,RANK(AR336,$AR$8:$AR$507),$AF336))</f>
        <v/>
      </c>
      <c r="AT336" s="99" t="str">
        <f aca="false">IF(ISBLANK($C336),"",IF($AF336=Constants!$B$7,IF(ISNUMBER(AQ336),COUNTIFS($AQ$8:$AQ$507,"&lt;"&amp;$AQ336)+COUNTIFS($AQ$8:$AQ$507,$AQ336,$AS$8:$AS$507,"&lt;"&amp;$AS336)+1,Constants!$B$14),$AF336))</f>
        <v/>
      </c>
      <c r="AU336" s="99" t="str">
        <f aca="false">IF(ISBLANK($C336),"",IF($AF336=Constants!$B$7,IF(ISNUMBER(AQ336),AQ336-AT336,Constants!$B$14),$AF336))</f>
        <v/>
      </c>
      <c r="AV336" s="100"/>
      <c r="AW336" s="101" t="str">
        <f aca="false">IF(ISBLANK($C336),"",IF($AF336&lt;&gt;Constants!$B$7,"",AN336))</f>
        <v/>
      </c>
      <c r="AX336" s="102" t="str">
        <f aca="false">IF(ISBLANK($C336),"",IF($AF336&lt;&gt;Constants!$B$7,"",IF(AN336=1,AH336,AK336)))</f>
        <v/>
      </c>
      <c r="AY336" s="103" t="str">
        <f aca="false">IF(ISBLANK($C336),"",IF($AF336&lt;&gt;Constants!$B$7,"",IF(AN336=1,AI336,AL336)))</f>
        <v/>
      </c>
      <c r="AZ336" s="104" t="str">
        <f aca="false">IF(ISBLANK($C336),"",IF($AF336&lt;&gt;Constants!$B$7,$AF336,AP336))</f>
        <v/>
      </c>
      <c r="BA336" s="105" t="str">
        <f aca="false">IF(ISBLANK($C336),"",IF($AF336&lt;&gt;Constants!$B$7,$AF336,AG336))</f>
        <v/>
      </c>
      <c r="BB336" s="106" t="str">
        <f aca="false">IF(ISBLANK($C336),"",AU336)</f>
        <v/>
      </c>
      <c r="BC336" s="106" t="str">
        <f aca="false">IF(ISBLANK($C336),"",AT336)</f>
        <v/>
      </c>
      <c r="BD336" s="107" t="str">
        <f aca="false">IF(ISBLANK($C336),"",IFERROR(_xlfn.SWITCH(BC336,Constants!$B$4,COUNTA($C$8:$C$507)+2,Constants!$B$5,COUNTA($C$8:$C$507)+1,Constants!$B$6,COUNTA($C$8:$C$507)),BC336))</f>
        <v/>
      </c>
      <c r="BE336" s="5"/>
      <c r="BF336" s="108" t="n">
        <f aca="false">IF(OR(ISNUMBER(BC336),BC336=Constants!$B$4,BC336=Constants!$B$6,BC336=Constants!$B$5),1,0)</f>
        <v>0</v>
      </c>
      <c r="BG336" s="108" t="n">
        <v>329</v>
      </c>
      <c r="BH336" s="108" t="str">
        <f aca="false">IF(ISBLANK($C336),"",IF(ISNUMBER(BD336),BD336+ROW($B336)/1000,""))</f>
        <v/>
      </c>
      <c r="BI336" s="108" t="str">
        <f aca="false">IF(ISNUMBER(BH336),RANK(BH336,$BH$8:$BH$507,1),"")</f>
        <v/>
      </c>
      <c r="BJ336" s="108" t="str">
        <f aca="false">IF(ISBLANK($C336),"",$B336)</f>
        <v/>
      </c>
      <c r="BK336" s="108" t="str">
        <f aca="false">IF(ISBLANK($C336),"",$C336)</f>
        <v/>
      </c>
      <c r="BL336" s="108" t="str">
        <f aca="false">IF(ISBLANK($C336),"",$D336)</f>
        <v/>
      </c>
      <c r="BM336" s="109" t="str">
        <f aca="false">BA336</f>
        <v/>
      </c>
      <c r="BN336" s="110" t="str">
        <f aca="false">AZ336</f>
        <v/>
      </c>
      <c r="BO336" s="108" t="str">
        <f aca="false">IF(ISBLANK($C336),"",BC336)</f>
        <v/>
      </c>
      <c r="BP336" s="111" t="str">
        <f aca="false">IF($BG336&gt;$BF$7,"",VLOOKUP($BG336,$BI$8:$BO$507,7,FALSE()))</f>
        <v/>
      </c>
      <c r="BQ336" s="112" t="str">
        <f aca="false">IF($BG336&gt;$BF$7,"",VLOOKUP($BG336,$BI$8:$BO$507,2,FALSE()))</f>
        <v/>
      </c>
      <c r="BR336" s="112" t="str">
        <f aca="false">IF($BG336&gt;$BF$7,"",VLOOKUP($BG336,$BI$8:$BO$507,3,FALSE()))</f>
        <v/>
      </c>
      <c r="BS336" s="112" t="str">
        <f aca="false">IF($BG336&gt;$BF$7,"",VLOOKUP($BG336,$BI$8:$BO$507,4,FALSE()))</f>
        <v/>
      </c>
      <c r="BT336" s="112" t="str">
        <f aca="false">IF($BG336&gt;$BF$7,"",VLOOKUP($BG336,$BI$8:$BO$507,5,FALSE()))</f>
        <v/>
      </c>
      <c r="BU336" s="113" t="str">
        <f aca="false">IF($BG336&gt;$BF$7,"",VLOOKUP($BG336,$BI$8:$BO$507,6,FALSE()))</f>
        <v/>
      </c>
      <c r="BV336" s="54"/>
    </row>
    <row r="337" customFormat="false" ht="15.75" hidden="false" customHeight="false" outlineLevel="0" collapsed="false">
      <c r="A337" s="5"/>
      <c r="B337" s="128"/>
      <c r="C337" s="129"/>
      <c r="D337" s="114"/>
      <c r="E337" s="134"/>
      <c r="F337" s="139"/>
      <c r="G337" s="93"/>
      <c r="H337" s="140"/>
      <c r="I337" s="95"/>
      <c r="J337" s="95"/>
      <c r="K337" s="93"/>
      <c r="L337" s="141"/>
      <c r="M337" s="95"/>
      <c r="N337" s="95"/>
      <c r="O337" s="93"/>
      <c r="P337" s="134"/>
      <c r="Q337" s="98"/>
      <c r="R337" s="99" t="str">
        <f aca="false">IF(ISBLANK($C337),"",IF(E337=Constants!$B$2, TRUE(), IF(E337=Constants!$B$3, FALSE(), TRUE())))</f>
        <v/>
      </c>
      <c r="S337" s="99" t="str">
        <f aca="false">IF(ISBLANK($C337),"",IF(F337=Constants!$B$2, TRUE(), IF(F337=Constants!$B$3, FALSE(), TRUE())))</f>
        <v/>
      </c>
      <c r="T337" s="99" t="str">
        <f aca="false">IF(ISBLANK($C337),"",IF(G337=Constants!$B$16,Constants!$B$9,IF(G337=Constants!$B$17,Constants!$B$10,Constants!$B$8)))</f>
        <v/>
      </c>
      <c r="U337" s="99" t="str">
        <f aca="false">IF(ISBLANK($C337),"",IF(H337=Constants!$B$19,Constants!$B$19,Constants!$B$18))</f>
        <v/>
      </c>
      <c r="V337" s="99" t="str">
        <f aca="false">IF(ISBLANK($C337),"",IF(ISNUMBER(I337),IF(I337&gt;=0,I337,""),""))</f>
        <v/>
      </c>
      <c r="W337" s="99" t="str">
        <f aca="false">IF(ISBLANK($C337),"",IF(J337=Constants!$B$2, TRUE(), IF(J337=Constants!$B$3, FALSE(), TRUE())))</f>
        <v/>
      </c>
      <c r="X337" s="99" t="str">
        <f aca="false">IF(ISBLANK($C337),"",IF(K337=Constants!$B$2, TRUE(), IF(K337=Constants!$B$3, FALSE(), TRUE())))</f>
        <v/>
      </c>
      <c r="Y337" s="99" t="str">
        <f aca="false">IF(ISBLANK($C337),"",IF(L337=Constants!$B$19,Constants!$B$19,Constants!$B$18))</f>
        <v/>
      </c>
      <c r="Z337" s="99" t="str">
        <f aca="false">IF(ISBLANK($C337),"",IF(ISNUMBER(M337),IF(M337&gt;=0,M337,""),""))</f>
        <v/>
      </c>
      <c r="AA337" s="99" t="str">
        <f aca="false">IF(ISBLANK($C337),"",IF(N337=Constants!$B$2, TRUE(), IF(N337=Constants!$B$3, FALSE(), TRUE())))</f>
        <v/>
      </c>
      <c r="AB337" s="99" t="str">
        <f aca="false">IF(ISBLANK($C337),"",IF(O337=Constants!$B$2, TRUE(), IF(O337=Constants!$B$3, FALSE(), TRUE())))</f>
        <v/>
      </c>
      <c r="AC337" s="99" t="str">
        <f aca="false">IF(ISBLANK($C337),"",IF(P337=Constants!$B$2, TRUE(), IF(P337=Constants!$B$3, FALSE(), FALSE())))</f>
        <v/>
      </c>
      <c r="AD337" s="99" t="str">
        <f aca="false">IF(ISBLANK($C337),"",AND(V337&lt;&gt;"",IF(U337=Constants!$B$19,S337,R337)))</f>
        <v/>
      </c>
      <c r="AE337" s="99" t="str">
        <f aca="false">IF(ISBLANK($C337),"",AND(Z337&lt;&gt;"",IF(Y337=Constants!$B$19,S337,R337)))</f>
        <v/>
      </c>
      <c r="AF337" s="99" t="str">
        <f aca="false">IF(ISBLANK($C337),"",IF(AC337,Constants!$B$4,IF(COUNTA(E337:O337)=0,Constants!$B$5,IF(AND(NOT(AD337),NOT(AE337)),Constants!$B$6,Constants!$B$7))))</f>
        <v/>
      </c>
      <c r="AG337" s="99" t="str">
        <f aca="false">IF(ISBLANK($C337),"",IF($AF337&lt;&gt;Constants!$B$7,$AF337,Constants!$B$20))</f>
        <v/>
      </c>
      <c r="AH337" s="99" t="str">
        <f aca="false">IF($AF337=Constants!$B$7,IF(AD337,V337,Constants!$B$13),"")</f>
        <v/>
      </c>
      <c r="AI337" s="99" t="str">
        <f aca="false">IF($AF337=Constants!$B$7,IF(AD337,T337*IF(W337, 1, Constants!$B$11)*IF(X337, 1, Constants!$B$12),Constants!$B$13),"")</f>
        <v/>
      </c>
      <c r="AJ337" s="99" t="str">
        <f aca="false">IF($AF337=Constants!$B$7,AH337*AI337,"")</f>
        <v/>
      </c>
      <c r="AK337" s="99" t="str">
        <f aca="false">IF($AF337=Constants!$B$7,IF(AE337,Z337,Constants!$B$13),"")</f>
        <v/>
      </c>
      <c r="AL337" s="99" t="str">
        <f aca="false">IF($AF337=Constants!$B$7,IF(AE337,T337*IF(AA337, 1, Constants!$B$11)*IF(AB337, 1, Constants!$B$12),Constants!$B$13),"")</f>
        <v/>
      </c>
      <c r="AM337" s="99" t="str">
        <f aca="false">IF($AF337=Constants!$B$7,AK337*AL337,"")</f>
        <v/>
      </c>
      <c r="AN337" s="99" t="str">
        <f aca="false">IF($AF337=Constants!$B$7,IF(AM337&gt;AJ337,2,1),"")</f>
        <v/>
      </c>
      <c r="AO337" s="99" t="str">
        <f aca="false">IF($AF337=Constants!$B$7,IF(AN337=1,2,1),"")</f>
        <v/>
      </c>
      <c r="AP337" s="99" t="str">
        <f aca="false">IF(ISBLANK($C337),"",IF($AF337&lt;&gt;Constants!$B$7,$AF337,IF(AN337=1,AJ337,AM337)))</f>
        <v/>
      </c>
      <c r="AQ337" s="99" t="str">
        <f aca="false">IF(ISBLANK($C337),"",IF($AF337=Constants!$B$7,IF(ISNUMBER(AP337),RANK(AP337,$AP$8:$AP$507),Constants!$B$14),$AF337))</f>
        <v/>
      </c>
      <c r="AR337" s="99" t="str">
        <f aca="false">IF(ISBLANK($C337),"",IF($AF337=Constants!$B$7,IF(AO337=1,AJ337,AM337),""))</f>
        <v/>
      </c>
      <c r="AS337" s="99" t="str">
        <f aca="false">IF(ISBLANK($C337),"",IF($AF337=Constants!$B$7,RANK(AR337,$AR$8:$AR$507),$AF337))</f>
        <v/>
      </c>
      <c r="AT337" s="99" t="str">
        <f aca="false">IF(ISBLANK($C337),"",IF($AF337=Constants!$B$7,IF(ISNUMBER(AQ337),COUNTIFS($AQ$8:$AQ$507,"&lt;"&amp;$AQ337)+COUNTIFS($AQ$8:$AQ$507,$AQ337,$AS$8:$AS$507,"&lt;"&amp;$AS337)+1,Constants!$B$14),$AF337))</f>
        <v/>
      </c>
      <c r="AU337" s="99" t="str">
        <f aca="false">IF(ISBLANK($C337),"",IF($AF337=Constants!$B$7,IF(ISNUMBER(AQ337),AQ337-AT337,Constants!$B$14),$AF337))</f>
        <v/>
      </c>
      <c r="AV337" s="100"/>
      <c r="AW337" s="101" t="str">
        <f aca="false">IF(ISBLANK($C337),"",IF($AF337&lt;&gt;Constants!$B$7,"",AN337))</f>
        <v/>
      </c>
      <c r="AX337" s="102" t="str">
        <f aca="false">IF(ISBLANK($C337),"",IF($AF337&lt;&gt;Constants!$B$7,"",IF(AN337=1,AH337,AK337)))</f>
        <v/>
      </c>
      <c r="AY337" s="103" t="str">
        <f aca="false">IF(ISBLANK($C337),"",IF($AF337&lt;&gt;Constants!$B$7,"",IF(AN337=1,AI337,AL337)))</f>
        <v/>
      </c>
      <c r="AZ337" s="104" t="str">
        <f aca="false">IF(ISBLANK($C337),"",IF($AF337&lt;&gt;Constants!$B$7,$AF337,AP337))</f>
        <v/>
      </c>
      <c r="BA337" s="105" t="str">
        <f aca="false">IF(ISBLANK($C337),"",IF($AF337&lt;&gt;Constants!$B$7,$AF337,AG337))</f>
        <v/>
      </c>
      <c r="BB337" s="106" t="str">
        <f aca="false">IF(ISBLANK($C337),"",AU337)</f>
        <v/>
      </c>
      <c r="BC337" s="106" t="str">
        <f aca="false">IF(ISBLANK($C337),"",AT337)</f>
        <v/>
      </c>
      <c r="BD337" s="107" t="str">
        <f aca="false">IF(ISBLANK($C337),"",IFERROR(_xlfn.SWITCH(BC337,Constants!$B$4,COUNTA($C$8:$C$507)+2,Constants!$B$5,COUNTA($C$8:$C$507)+1,Constants!$B$6,COUNTA($C$8:$C$507)),BC337))</f>
        <v/>
      </c>
      <c r="BE337" s="5"/>
      <c r="BF337" s="108" t="n">
        <f aca="false">IF(OR(ISNUMBER(BC337),BC337=Constants!$B$4,BC337=Constants!$B$6,BC337=Constants!$B$5),1,0)</f>
        <v>0</v>
      </c>
      <c r="BG337" s="108" t="n">
        <v>330</v>
      </c>
      <c r="BH337" s="108" t="str">
        <f aca="false">IF(ISBLANK($C337),"",IF(ISNUMBER(BD337),BD337+ROW($B337)/1000,""))</f>
        <v/>
      </c>
      <c r="BI337" s="108" t="str">
        <f aca="false">IF(ISNUMBER(BH337),RANK(BH337,$BH$8:$BH$507,1),"")</f>
        <v/>
      </c>
      <c r="BJ337" s="108" t="str">
        <f aca="false">IF(ISBLANK($C337),"",$B337)</f>
        <v/>
      </c>
      <c r="BK337" s="108" t="str">
        <f aca="false">IF(ISBLANK($C337),"",$C337)</f>
        <v/>
      </c>
      <c r="BL337" s="108" t="str">
        <f aca="false">IF(ISBLANK($C337),"",$D337)</f>
        <v/>
      </c>
      <c r="BM337" s="109" t="str">
        <f aca="false">BA337</f>
        <v/>
      </c>
      <c r="BN337" s="110" t="str">
        <f aca="false">AZ337</f>
        <v/>
      </c>
      <c r="BO337" s="108" t="str">
        <f aca="false">IF(ISBLANK($C337),"",BC337)</f>
        <v/>
      </c>
      <c r="BP337" s="111" t="str">
        <f aca="false">IF($BG337&gt;$BF$7,"",VLOOKUP($BG337,$BI$8:$BO$507,7,FALSE()))</f>
        <v/>
      </c>
      <c r="BQ337" s="112" t="str">
        <f aca="false">IF($BG337&gt;$BF$7,"",VLOOKUP($BG337,$BI$8:$BO$507,2,FALSE()))</f>
        <v/>
      </c>
      <c r="BR337" s="112" t="str">
        <f aca="false">IF($BG337&gt;$BF$7,"",VLOOKUP($BG337,$BI$8:$BO$507,3,FALSE()))</f>
        <v/>
      </c>
      <c r="BS337" s="112" t="str">
        <f aca="false">IF($BG337&gt;$BF$7,"",VLOOKUP($BG337,$BI$8:$BO$507,4,FALSE()))</f>
        <v/>
      </c>
      <c r="BT337" s="112" t="str">
        <f aca="false">IF($BG337&gt;$BF$7,"",VLOOKUP($BG337,$BI$8:$BO$507,5,FALSE()))</f>
        <v/>
      </c>
      <c r="BU337" s="113" t="str">
        <f aca="false">IF($BG337&gt;$BF$7,"",VLOOKUP($BG337,$BI$8:$BO$507,6,FALSE()))</f>
        <v/>
      </c>
      <c r="BV337" s="54"/>
    </row>
    <row r="338" customFormat="false" ht="15.75" hidden="false" customHeight="false" outlineLevel="0" collapsed="false">
      <c r="A338" s="5"/>
      <c r="B338" s="135"/>
      <c r="C338" s="56"/>
      <c r="D338" s="57"/>
      <c r="E338" s="84"/>
      <c r="F338" s="136"/>
      <c r="G338" s="60"/>
      <c r="H338" s="137"/>
      <c r="I338" s="62"/>
      <c r="J338" s="62"/>
      <c r="K338" s="60"/>
      <c r="L338" s="138"/>
      <c r="M338" s="62"/>
      <c r="N338" s="62"/>
      <c r="O338" s="60"/>
      <c r="P338" s="84"/>
      <c r="Q338" s="65"/>
      <c r="R338" s="67" t="str">
        <f aca="false">IF(ISBLANK($C338),"",IF(E338=Constants!$B$2, TRUE(), IF(E338=Constants!$B$3, FALSE(), TRUE())))</f>
        <v/>
      </c>
      <c r="S338" s="67" t="str">
        <f aca="false">IF(ISBLANK($C338),"",IF(F338=Constants!$B$2, TRUE(), IF(F338=Constants!$B$3, FALSE(), TRUE())))</f>
        <v/>
      </c>
      <c r="T338" s="67" t="str">
        <f aca="false">IF(ISBLANK($C338),"",IF(G338=Constants!$B$16,Constants!$B$9,IF(G338=Constants!$B$17,Constants!$B$10,Constants!$B$8)))</f>
        <v/>
      </c>
      <c r="U338" s="67" t="str">
        <f aca="false">IF(ISBLANK($C338),"",IF(H338=Constants!$B$19,Constants!$B$19,Constants!$B$18))</f>
        <v/>
      </c>
      <c r="V338" s="67" t="str">
        <f aca="false">IF(ISBLANK($C338),"",IF(ISNUMBER(I338),IF(I338&gt;=0,I338,""),""))</f>
        <v/>
      </c>
      <c r="W338" s="67" t="str">
        <f aca="false">IF(ISBLANK($C338),"",IF(J338=Constants!$B$2, TRUE(), IF(J338=Constants!$B$3, FALSE(), TRUE())))</f>
        <v/>
      </c>
      <c r="X338" s="67" t="str">
        <f aca="false">IF(ISBLANK($C338),"",IF(K338=Constants!$B$2, TRUE(), IF(K338=Constants!$B$3, FALSE(), TRUE())))</f>
        <v/>
      </c>
      <c r="Y338" s="67" t="str">
        <f aca="false">IF(ISBLANK($C338),"",IF(L338=Constants!$B$19,Constants!$B$19,Constants!$B$18))</f>
        <v/>
      </c>
      <c r="Z338" s="67" t="str">
        <f aca="false">IF(ISBLANK($C338),"",IF(ISNUMBER(M338),IF(M338&gt;=0,M338,""),""))</f>
        <v/>
      </c>
      <c r="AA338" s="67" t="str">
        <f aca="false">IF(ISBLANK($C338),"",IF(N338=Constants!$B$2, TRUE(), IF(N338=Constants!$B$3, FALSE(), TRUE())))</f>
        <v/>
      </c>
      <c r="AB338" s="67" t="str">
        <f aca="false">IF(ISBLANK($C338),"",IF(O338=Constants!$B$2, TRUE(), IF(O338=Constants!$B$3, FALSE(), TRUE())))</f>
        <v/>
      </c>
      <c r="AC338" s="67" t="str">
        <f aca="false">IF(ISBLANK($C338),"",IF(P338=Constants!$B$2, TRUE(), IF(P338=Constants!$B$3, FALSE(), FALSE())))</f>
        <v/>
      </c>
      <c r="AD338" s="67" t="str">
        <f aca="false">IF(ISBLANK($C338),"",AND(V338&lt;&gt;"",IF(U338=Constants!$B$19,S338,R338)))</f>
        <v/>
      </c>
      <c r="AE338" s="67" t="str">
        <f aca="false">IF(ISBLANK($C338),"",AND(Z338&lt;&gt;"",IF(Y338=Constants!$B$19,S338,R338)))</f>
        <v/>
      </c>
      <c r="AF338" s="67" t="str">
        <f aca="false">IF(ISBLANK($C338),"",IF(AC338,Constants!$B$4,IF(COUNTA(E338:O338)=0,Constants!$B$5,IF(AND(NOT(AD338),NOT(AE338)),Constants!$B$6,Constants!$B$7))))</f>
        <v/>
      </c>
      <c r="AG338" s="67" t="str">
        <f aca="false">IF(ISBLANK($C338),"",IF($AF338&lt;&gt;Constants!$B$7,$AF338,Constants!$B$20))</f>
        <v/>
      </c>
      <c r="AH338" s="67" t="str">
        <f aca="false">IF($AF338=Constants!$B$7,IF(AD338,V338,Constants!$B$13),"")</f>
        <v/>
      </c>
      <c r="AI338" s="67" t="str">
        <f aca="false">IF($AF338=Constants!$B$7,IF(AD338,T338*IF(W338, 1, Constants!$B$11)*IF(X338, 1, Constants!$B$12),Constants!$B$13),"")</f>
        <v/>
      </c>
      <c r="AJ338" s="67" t="str">
        <f aca="false">IF($AF338=Constants!$B$7,AH338*AI338,"")</f>
        <v/>
      </c>
      <c r="AK338" s="67" t="str">
        <f aca="false">IF($AF338=Constants!$B$7,IF(AE338,Z338,Constants!$B$13),"")</f>
        <v/>
      </c>
      <c r="AL338" s="67" t="str">
        <f aca="false">IF($AF338=Constants!$B$7,IF(AE338,T338*IF(AA338, 1, Constants!$B$11)*IF(AB338, 1, Constants!$B$12),Constants!$B$13),"")</f>
        <v/>
      </c>
      <c r="AM338" s="67" t="str">
        <f aca="false">IF($AF338=Constants!$B$7,AK338*AL338,"")</f>
        <v/>
      </c>
      <c r="AN338" s="67" t="str">
        <f aca="false">IF($AF338=Constants!$B$7,IF(AM338&gt;AJ338,2,1),"")</f>
        <v/>
      </c>
      <c r="AO338" s="67" t="str">
        <f aca="false">IF($AF338=Constants!$B$7,IF(AN338=1,2,1),"")</f>
        <v/>
      </c>
      <c r="AP338" s="67" t="str">
        <f aca="false">IF(ISBLANK($C338),"",IF($AF338&lt;&gt;Constants!$B$7,$AF338,IF(AN338=1,AJ338,AM338)))</f>
        <v/>
      </c>
      <c r="AQ338" s="67" t="str">
        <f aca="false">IF(ISBLANK($C338),"",IF($AF338=Constants!$B$7,IF(ISNUMBER(AP338),RANK(AP338,$AP$8:$AP$507),Constants!$B$14),$AF338))</f>
        <v/>
      </c>
      <c r="AR338" s="67" t="str">
        <f aca="false">IF(ISBLANK($C338),"",IF($AF338=Constants!$B$7,IF(AO338=1,AJ338,AM338),""))</f>
        <v/>
      </c>
      <c r="AS338" s="67" t="str">
        <f aca="false">IF(ISBLANK($C338),"",IF($AF338=Constants!$B$7,RANK(AR338,$AR$8:$AR$507),$AF338))</f>
        <v/>
      </c>
      <c r="AT338" s="67" t="str">
        <f aca="false">IF(ISBLANK($C338),"",IF($AF338=Constants!$B$7,IF(ISNUMBER(AQ338),COUNTIFS($AQ$8:$AQ$507,"&lt;"&amp;$AQ338)+COUNTIFS($AQ$8:$AQ$507,$AQ338,$AS$8:$AS$507,"&lt;"&amp;$AS338)+1,Constants!$B$14),$AF338))</f>
        <v/>
      </c>
      <c r="AU338" s="67" t="str">
        <f aca="false">IF(ISBLANK($C338),"",IF($AF338=Constants!$B$7,IF(ISNUMBER(AQ338),AQ338-AT338,Constants!$B$14),$AF338))</f>
        <v/>
      </c>
      <c r="AV338" s="69"/>
      <c r="AW338" s="70" t="str">
        <f aca="false">IF(ISBLANK($C338),"",IF($AF338&lt;&gt;Constants!$B$7,"",AN338))</f>
        <v/>
      </c>
      <c r="AX338" s="85" t="str">
        <f aca="false">IF(ISBLANK($C338),"",IF($AF338&lt;&gt;Constants!$B$7,"",IF(AN338=1,AH338,AK338)))</f>
        <v/>
      </c>
      <c r="AY338" s="72" t="str">
        <f aca="false">IF(ISBLANK($C338),"",IF($AF338&lt;&gt;Constants!$B$7,"",IF(AN338=1,AI338,AL338)))</f>
        <v/>
      </c>
      <c r="AZ338" s="73" t="str">
        <f aca="false">IF(ISBLANK($C338),"",IF($AF338&lt;&gt;Constants!$B$7,$AF338,AP338))</f>
        <v/>
      </c>
      <c r="BA338" s="74" t="str">
        <f aca="false">IF(ISBLANK($C338),"",IF($AF338&lt;&gt;Constants!$B$7,$AF338,AG338))</f>
        <v/>
      </c>
      <c r="BB338" s="75" t="str">
        <f aca="false">IF(ISBLANK($C338),"",AU338)</f>
        <v/>
      </c>
      <c r="BC338" s="75" t="str">
        <f aca="false">IF(ISBLANK($C338),"",AT338)</f>
        <v/>
      </c>
      <c r="BD338" s="76" t="str">
        <f aca="false">IF(ISBLANK($C338),"",IFERROR(_xlfn.SWITCH(BC338,Constants!$B$4,COUNTA($C$8:$C$507)+2,Constants!$B$5,COUNTA($C$8:$C$507)+1,Constants!$B$6,COUNTA($C$8:$C$507)),BC338))</f>
        <v/>
      </c>
      <c r="BE338" s="5"/>
      <c r="BF338" s="77" t="n">
        <f aca="false">IF(OR(ISNUMBER(BC338),BC338=Constants!$B$4,BC338=Constants!$B$6,BC338=Constants!$B$5),1,0)</f>
        <v>0</v>
      </c>
      <c r="BG338" s="77" t="n">
        <v>331</v>
      </c>
      <c r="BH338" s="77" t="str">
        <f aca="false">IF(ISBLANK($C338),"",IF(ISNUMBER(BD338),BD338+ROW($B338)/1000,""))</f>
        <v/>
      </c>
      <c r="BI338" s="77" t="str">
        <f aca="false">IF(ISNUMBER(BH338),RANK(BH338,$BH$8:$BH$507,1),"")</f>
        <v/>
      </c>
      <c r="BJ338" s="77" t="str">
        <f aca="false">IF(ISBLANK($C338),"",$B338)</f>
        <v/>
      </c>
      <c r="BK338" s="77" t="str">
        <f aca="false">IF(ISBLANK($C338),"",$C338)</f>
        <v/>
      </c>
      <c r="BL338" s="77" t="str">
        <f aca="false">IF(ISBLANK($C338),"",$D338)</f>
        <v/>
      </c>
      <c r="BM338" s="78" t="str">
        <f aca="false">BA338</f>
        <v/>
      </c>
      <c r="BN338" s="79" t="str">
        <f aca="false">AZ338</f>
        <v/>
      </c>
      <c r="BO338" s="77" t="str">
        <f aca="false">IF(ISBLANK($C338),"",BC338)</f>
        <v/>
      </c>
      <c r="BP338" s="80" t="str">
        <f aca="false">IF($BG338&gt;$BF$7,"",VLOOKUP($BG338,$BI$8:$BO$507,7,FALSE()))</f>
        <v/>
      </c>
      <c r="BQ338" s="81" t="str">
        <f aca="false">IF($BG338&gt;$BF$7,"",VLOOKUP($BG338,$BI$8:$BO$507,2,FALSE()))</f>
        <v/>
      </c>
      <c r="BR338" s="81" t="str">
        <f aca="false">IF($BG338&gt;$BF$7,"",VLOOKUP($BG338,$BI$8:$BO$507,3,FALSE()))</f>
        <v/>
      </c>
      <c r="BS338" s="81" t="str">
        <f aca="false">IF($BG338&gt;$BF$7,"",VLOOKUP($BG338,$BI$8:$BO$507,4,FALSE()))</f>
        <v/>
      </c>
      <c r="BT338" s="81" t="str">
        <f aca="false">IF($BG338&gt;$BF$7,"",VLOOKUP($BG338,$BI$8:$BO$507,5,FALSE()))</f>
        <v/>
      </c>
      <c r="BU338" s="82" t="str">
        <f aca="false">IF($BG338&gt;$BF$7,"",VLOOKUP($BG338,$BI$8:$BO$507,6,FALSE()))</f>
        <v/>
      </c>
      <c r="BV338" s="54"/>
    </row>
    <row r="339" customFormat="false" ht="15.75" hidden="false" customHeight="false" outlineLevel="0" collapsed="false">
      <c r="A339" s="5"/>
      <c r="B339" s="135"/>
      <c r="C339" s="56"/>
      <c r="D339" s="57"/>
      <c r="E339" s="84"/>
      <c r="F339" s="136"/>
      <c r="G339" s="60"/>
      <c r="H339" s="137"/>
      <c r="I339" s="62"/>
      <c r="J339" s="62"/>
      <c r="K339" s="60"/>
      <c r="L339" s="138"/>
      <c r="M339" s="62"/>
      <c r="N339" s="62"/>
      <c r="O339" s="60"/>
      <c r="P339" s="84"/>
      <c r="Q339" s="65"/>
      <c r="R339" s="67" t="str">
        <f aca="false">IF(ISBLANK($C339),"",IF(E339=Constants!$B$2, TRUE(), IF(E339=Constants!$B$3, FALSE(), TRUE())))</f>
        <v/>
      </c>
      <c r="S339" s="67" t="str">
        <f aca="false">IF(ISBLANK($C339),"",IF(F339=Constants!$B$2, TRUE(), IF(F339=Constants!$B$3, FALSE(), TRUE())))</f>
        <v/>
      </c>
      <c r="T339" s="67" t="str">
        <f aca="false">IF(ISBLANK($C339),"",IF(G339=Constants!$B$16,Constants!$B$9,IF(G339=Constants!$B$17,Constants!$B$10,Constants!$B$8)))</f>
        <v/>
      </c>
      <c r="U339" s="67" t="str">
        <f aca="false">IF(ISBLANK($C339),"",IF(H339=Constants!$B$19,Constants!$B$19,Constants!$B$18))</f>
        <v/>
      </c>
      <c r="V339" s="67" t="str">
        <f aca="false">IF(ISBLANK($C339),"",IF(ISNUMBER(I339),IF(I339&gt;=0,I339,""),""))</f>
        <v/>
      </c>
      <c r="W339" s="67" t="str">
        <f aca="false">IF(ISBLANK($C339),"",IF(J339=Constants!$B$2, TRUE(), IF(J339=Constants!$B$3, FALSE(), TRUE())))</f>
        <v/>
      </c>
      <c r="X339" s="67" t="str">
        <f aca="false">IF(ISBLANK($C339),"",IF(K339=Constants!$B$2, TRUE(), IF(K339=Constants!$B$3, FALSE(), TRUE())))</f>
        <v/>
      </c>
      <c r="Y339" s="67" t="str">
        <f aca="false">IF(ISBLANK($C339),"",IF(L339=Constants!$B$19,Constants!$B$19,Constants!$B$18))</f>
        <v/>
      </c>
      <c r="Z339" s="67" t="str">
        <f aca="false">IF(ISBLANK($C339),"",IF(ISNUMBER(M339),IF(M339&gt;=0,M339,""),""))</f>
        <v/>
      </c>
      <c r="AA339" s="67" t="str">
        <f aca="false">IF(ISBLANK($C339),"",IF(N339=Constants!$B$2, TRUE(), IF(N339=Constants!$B$3, FALSE(), TRUE())))</f>
        <v/>
      </c>
      <c r="AB339" s="67" t="str">
        <f aca="false">IF(ISBLANK($C339),"",IF(O339=Constants!$B$2, TRUE(), IF(O339=Constants!$B$3, FALSE(), TRUE())))</f>
        <v/>
      </c>
      <c r="AC339" s="67" t="str">
        <f aca="false">IF(ISBLANK($C339),"",IF(P339=Constants!$B$2, TRUE(), IF(P339=Constants!$B$3, FALSE(), FALSE())))</f>
        <v/>
      </c>
      <c r="AD339" s="67" t="str">
        <f aca="false">IF(ISBLANK($C339),"",AND(V339&lt;&gt;"",IF(U339=Constants!$B$19,S339,R339)))</f>
        <v/>
      </c>
      <c r="AE339" s="67" t="str">
        <f aca="false">IF(ISBLANK($C339),"",AND(Z339&lt;&gt;"",IF(Y339=Constants!$B$19,S339,R339)))</f>
        <v/>
      </c>
      <c r="AF339" s="67" t="str">
        <f aca="false">IF(ISBLANK($C339),"",IF(AC339,Constants!$B$4,IF(COUNTA(E339:O339)=0,Constants!$B$5,IF(AND(NOT(AD339),NOT(AE339)),Constants!$B$6,Constants!$B$7))))</f>
        <v/>
      </c>
      <c r="AG339" s="67" t="str">
        <f aca="false">IF(ISBLANK($C339),"",IF($AF339&lt;&gt;Constants!$B$7,$AF339,Constants!$B$20))</f>
        <v/>
      </c>
      <c r="AH339" s="67" t="str">
        <f aca="false">IF($AF339=Constants!$B$7,IF(AD339,V339,Constants!$B$13),"")</f>
        <v/>
      </c>
      <c r="AI339" s="67" t="str">
        <f aca="false">IF($AF339=Constants!$B$7,IF(AD339,T339*IF(W339, 1, Constants!$B$11)*IF(X339, 1, Constants!$B$12),Constants!$B$13),"")</f>
        <v/>
      </c>
      <c r="AJ339" s="67" t="str">
        <f aca="false">IF($AF339=Constants!$B$7,AH339*AI339,"")</f>
        <v/>
      </c>
      <c r="AK339" s="67" t="str">
        <f aca="false">IF($AF339=Constants!$B$7,IF(AE339,Z339,Constants!$B$13),"")</f>
        <v/>
      </c>
      <c r="AL339" s="67" t="str">
        <f aca="false">IF($AF339=Constants!$B$7,IF(AE339,T339*IF(AA339, 1, Constants!$B$11)*IF(AB339, 1, Constants!$B$12),Constants!$B$13),"")</f>
        <v/>
      </c>
      <c r="AM339" s="67" t="str">
        <f aca="false">IF($AF339=Constants!$B$7,AK339*AL339,"")</f>
        <v/>
      </c>
      <c r="AN339" s="67" t="str">
        <f aca="false">IF($AF339=Constants!$B$7,IF(AM339&gt;AJ339,2,1),"")</f>
        <v/>
      </c>
      <c r="AO339" s="67" t="str">
        <f aca="false">IF($AF339=Constants!$B$7,IF(AN339=1,2,1),"")</f>
        <v/>
      </c>
      <c r="AP339" s="67" t="str">
        <f aca="false">IF(ISBLANK($C339),"",IF($AF339&lt;&gt;Constants!$B$7,$AF339,IF(AN339=1,AJ339,AM339)))</f>
        <v/>
      </c>
      <c r="AQ339" s="67" t="str">
        <f aca="false">IF(ISBLANK($C339),"",IF($AF339=Constants!$B$7,IF(ISNUMBER(AP339),RANK(AP339,$AP$8:$AP$507),Constants!$B$14),$AF339))</f>
        <v/>
      </c>
      <c r="AR339" s="67" t="str">
        <f aca="false">IF(ISBLANK($C339),"",IF($AF339=Constants!$B$7,IF(AO339=1,AJ339,AM339),""))</f>
        <v/>
      </c>
      <c r="AS339" s="67" t="str">
        <f aca="false">IF(ISBLANK($C339),"",IF($AF339=Constants!$B$7,RANK(AR339,$AR$8:$AR$507),$AF339))</f>
        <v/>
      </c>
      <c r="AT339" s="67" t="str">
        <f aca="false">IF(ISBLANK($C339),"",IF($AF339=Constants!$B$7,IF(ISNUMBER(AQ339),COUNTIFS($AQ$8:$AQ$507,"&lt;"&amp;$AQ339)+COUNTIFS($AQ$8:$AQ$507,$AQ339,$AS$8:$AS$507,"&lt;"&amp;$AS339)+1,Constants!$B$14),$AF339))</f>
        <v/>
      </c>
      <c r="AU339" s="67" t="str">
        <f aca="false">IF(ISBLANK($C339),"",IF($AF339=Constants!$B$7,IF(ISNUMBER(AQ339),AQ339-AT339,Constants!$B$14),$AF339))</f>
        <v/>
      </c>
      <c r="AV339" s="69"/>
      <c r="AW339" s="70" t="str">
        <f aca="false">IF(ISBLANK($C339),"",IF($AF339&lt;&gt;Constants!$B$7,"",AN339))</f>
        <v/>
      </c>
      <c r="AX339" s="85" t="str">
        <f aca="false">IF(ISBLANK($C339),"",IF($AF339&lt;&gt;Constants!$B$7,"",IF(AN339=1,AH339,AK339)))</f>
        <v/>
      </c>
      <c r="AY339" s="72" t="str">
        <f aca="false">IF(ISBLANK($C339),"",IF($AF339&lt;&gt;Constants!$B$7,"",IF(AN339=1,AI339,AL339)))</f>
        <v/>
      </c>
      <c r="AZ339" s="73" t="str">
        <f aca="false">IF(ISBLANK($C339),"",IF($AF339&lt;&gt;Constants!$B$7,$AF339,AP339))</f>
        <v/>
      </c>
      <c r="BA339" s="74" t="str">
        <f aca="false">IF(ISBLANK($C339),"",IF($AF339&lt;&gt;Constants!$B$7,$AF339,AG339))</f>
        <v/>
      </c>
      <c r="BB339" s="75" t="str">
        <f aca="false">IF(ISBLANK($C339),"",AU339)</f>
        <v/>
      </c>
      <c r="BC339" s="75" t="str">
        <f aca="false">IF(ISBLANK($C339),"",AT339)</f>
        <v/>
      </c>
      <c r="BD339" s="76" t="str">
        <f aca="false">IF(ISBLANK($C339),"",IFERROR(_xlfn.SWITCH(BC339,Constants!$B$4,COUNTA($C$8:$C$507)+2,Constants!$B$5,COUNTA($C$8:$C$507)+1,Constants!$B$6,COUNTA($C$8:$C$507)),BC339))</f>
        <v/>
      </c>
      <c r="BE339" s="5"/>
      <c r="BF339" s="77" t="n">
        <f aca="false">IF(OR(ISNUMBER(BC339),BC339=Constants!$B$4,BC339=Constants!$B$6,BC339=Constants!$B$5),1,0)</f>
        <v>0</v>
      </c>
      <c r="BG339" s="77" t="n">
        <v>332</v>
      </c>
      <c r="BH339" s="77" t="str">
        <f aca="false">IF(ISBLANK($C339),"",IF(ISNUMBER(BD339),BD339+ROW($B339)/1000,""))</f>
        <v/>
      </c>
      <c r="BI339" s="77" t="str">
        <f aca="false">IF(ISNUMBER(BH339),RANK(BH339,$BH$8:$BH$507,1),"")</f>
        <v/>
      </c>
      <c r="BJ339" s="77" t="str">
        <f aca="false">IF(ISBLANK($C339),"",$B339)</f>
        <v/>
      </c>
      <c r="BK339" s="77" t="str">
        <f aca="false">IF(ISBLANK($C339),"",$C339)</f>
        <v/>
      </c>
      <c r="BL339" s="77" t="str">
        <f aca="false">IF(ISBLANK($C339),"",$D339)</f>
        <v/>
      </c>
      <c r="BM339" s="78" t="str">
        <f aca="false">BA339</f>
        <v/>
      </c>
      <c r="BN339" s="79" t="str">
        <f aca="false">AZ339</f>
        <v/>
      </c>
      <c r="BO339" s="77" t="str">
        <f aca="false">IF(ISBLANK($C339),"",BC339)</f>
        <v/>
      </c>
      <c r="BP339" s="80" t="str">
        <f aca="false">IF($BG339&gt;$BF$7,"",VLOOKUP($BG339,$BI$8:$BO$507,7,FALSE()))</f>
        <v/>
      </c>
      <c r="BQ339" s="81" t="str">
        <f aca="false">IF($BG339&gt;$BF$7,"",VLOOKUP($BG339,$BI$8:$BO$507,2,FALSE()))</f>
        <v/>
      </c>
      <c r="BR339" s="81" t="str">
        <f aca="false">IF($BG339&gt;$BF$7,"",VLOOKUP($BG339,$BI$8:$BO$507,3,FALSE()))</f>
        <v/>
      </c>
      <c r="BS339" s="81" t="str">
        <f aca="false">IF($BG339&gt;$BF$7,"",VLOOKUP($BG339,$BI$8:$BO$507,4,FALSE()))</f>
        <v/>
      </c>
      <c r="BT339" s="81" t="str">
        <f aca="false">IF($BG339&gt;$BF$7,"",VLOOKUP($BG339,$BI$8:$BO$507,5,FALSE()))</f>
        <v/>
      </c>
      <c r="BU339" s="82" t="str">
        <f aca="false">IF($BG339&gt;$BF$7,"",VLOOKUP($BG339,$BI$8:$BO$507,6,FALSE()))</f>
        <v/>
      </c>
      <c r="BV339" s="54"/>
    </row>
    <row r="340" customFormat="false" ht="15.75" hidden="false" customHeight="false" outlineLevel="0" collapsed="false">
      <c r="A340" s="5"/>
      <c r="B340" s="135"/>
      <c r="C340" s="56"/>
      <c r="D340" s="57"/>
      <c r="E340" s="84"/>
      <c r="F340" s="136"/>
      <c r="G340" s="60"/>
      <c r="H340" s="137"/>
      <c r="I340" s="62"/>
      <c r="J340" s="62"/>
      <c r="K340" s="60"/>
      <c r="L340" s="138"/>
      <c r="M340" s="62"/>
      <c r="N340" s="62"/>
      <c r="O340" s="60"/>
      <c r="P340" s="84"/>
      <c r="Q340" s="65"/>
      <c r="R340" s="67" t="str">
        <f aca="false">IF(ISBLANK($C340),"",IF(E340=Constants!$B$2, TRUE(), IF(E340=Constants!$B$3, FALSE(), TRUE())))</f>
        <v/>
      </c>
      <c r="S340" s="67" t="str">
        <f aca="false">IF(ISBLANK($C340),"",IF(F340=Constants!$B$2, TRUE(), IF(F340=Constants!$B$3, FALSE(), TRUE())))</f>
        <v/>
      </c>
      <c r="T340" s="67" t="str">
        <f aca="false">IF(ISBLANK($C340),"",IF(G340=Constants!$B$16,Constants!$B$9,IF(G340=Constants!$B$17,Constants!$B$10,Constants!$B$8)))</f>
        <v/>
      </c>
      <c r="U340" s="67" t="str">
        <f aca="false">IF(ISBLANK($C340),"",IF(H340=Constants!$B$19,Constants!$B$19,Constants!$B$18))</f>
        <v/>
      </c>
      <c r="V340" s="67" t="str">
        <f aca="false">IF(ISBLANK($C340),"",IF(ISNUMBER(I340),IF(I340&gt;=0,I340,""),""))</f>
        <v/>
      </c>
      <c r="W340" s="67" t="str">
        <f aca="false">IF(ISBLANK($C340),"",IF(J340=Constants!$B$2, TRUE(), IF(J340=Constants!$B$3, FALSE(), TRUE())))</f>
        <v/>
      </c>
      <c r="X340" s="67" t="str">
        <f aca="false">IF(ISBLANK($C340),"",IF(K340=Constants!$B$2, TRUE(), IF(K340=Constants!$B$3, FALSE(), TRUE())))</f>
        <v/>
      </c>
      <c r="Y340" s="67" t="str">
        <f aca="false">IF(ISBLANK($C340),"",IF(L340=Constants!$B$19,Constants!$B$19,Constants!$B$18))</f>
        <v/>
      </c>
      <c r="Z340" s="67" t="str">
        <f aca="false">IF(ISBLANK($C340),"",IF(ISNUMBER(M340),IF(M340&gt;=0,M340,""),""))</f>
        <v/>
      </c>
      <c r="AA340" s="67" t="str">
        <f aca="false">IF(ISBLANK($C340),"",IF(N340=Constants!$B$2, TRUE(), IF(N340=Constants!$B$3, FALSE(), TRUE())))</f>
        <v/>
      </c>
      <c r="AB340" s="67" t="str">
        <f aca="false">IF(ISBLANK($C340),"",IF(O340=Constants!$B$2, TRUE(), IF(O340=Constants!$B$3, FALSE(), TRUE())))</f>
        <v/>
      </c>
      <c r="AC340" s="67" t="str">
        <f aca="false">IF(ISBLANK($C340),"",IF(P340=Constants!$B$2, TRUE(), IF(P340=Constants!$B$3, FALSE(), FALSE())))</f>
        <v/>
      </c>
      <c r="AD340" s="67" t="str">
        <f aca="false">IF(ISBLANK($C340),"",AND(V340&lt;&gt;"",IF(U340=Constants!$B$19,S340,R340)))</f>
        <v/>
      </c>
      <c r="AE340" s="67" t="str">
        <f aca="false">IF(ISBLANK($C340),"",AND(Z340&lt;&gt;"",IF(Y340=Constants!$B$19,S340,R340)))</f>
        <v/>
      </c>
      <c r="AF340" s="67" t="str">
        <f aca="false">IF(ISBLANK($C340),"",IF(AC340,Constants!$B$4,IF(COUNTA(E340:O340)=0,Constants!$B$5,IF(AND(NOT(AD340),NOT(AE340)),Constants!$B$6,Constants!$B$7))))</f>
        <v/>
      </c>
      <c r="AG340" s="67" t="str">
        <f aca="false">IF(ISBLANK($C340),"",IF($AF340&lt;&gt;Constants!$B$7,$AF340,Constants!$B$20))</f>
        <v/>
      </c>
      <c r="AH340" s="67" t="str">
        <f aca="false">IF($AF340=Constants!$B$7,IF(AD340,V340,Constants!$B$13),"")</f>
        <v/>
      </c>
      <c r="AI340" s="67" t="str">
        <f aca="false">IF($AF340=Constants!$B$7,IF(AD340,T340*IF(W340, 1, Constants!$B$11)*IF(X340, 1, Constants!$B$12),Constants!$B$13),"")</f>
        <v/>
      </c>
      <c r="AJ340" s="67" t="str">
        <f aca="false">IF($AF340=Constants!$B$7,AH340*AI340,"")</f>
        <v/>
      </c>
      <c r="AK340" s="67" t="str">
        <f aca="false">IF($AF340=Constants!$B$7,IF(AE340,Z340,Constants!$B$13),"")</f>
        <v/>
      </c>
      <c r="AL340" s="67" t="str">
        <f aca="false">IF($AF340=Constants!$B$7,IF(AE340,T340*IF(AA340, 1, Constants!$B$11)*IF(AB340, 1, Constants!$B$12),Constants!$B$13),"")</f>
        <v/>
      </c>
      <c r="AM340" s="67" t="str">
        <f aca="false">IF($AF340=Constants!$B$7,AK340*AL340,"")</f>
        <v/>
      </c>
      <c r="AN340" s="67" t="str">
        <f aca="false">IF($AF340=Constants!$B$7,IF(AM340&gt;AJ340,2,1),"")</f>
        <v/>
      </c>
      <c r="AO340" s="67" t="str">
        <f aca="false">IF($AF340=Constants!$B$7,IF(AN340=1,2,1),"")</f>
        <v/>
      </c>
      <c r="AP340" s="67" t="str">
        <f aca="false">IF(ISBLANK($C340),"",IF($AF340&lt;&gt;Constants!$B$7,$AF340,IF(AN340=1,AJ340,AM340)))</f>
        <v/>
      </c>
      <c r="AQ340" s="67" t="str">
        <f aca="false">IF(ISBLANK($C340),"",IF($AF340=Constants!$B$7,IF(ISNUMBER(AP340),RANK(AP340,$AP$8:$AP$507),Constants!$B$14),$AF340))</f>
        <v/>
      </c>
      <c r="AR340" s="67" t="str">
        <f aca="false">IF(ISBLANK($C340),"",IF($AF340=Constants!$B$7,IF(AO340=1,AJ340,AM340),""))</f>
        <v/>
      </c>
      <c r="AS340" s="67" t="str">
        <f aca="false">IF(ISBLANK($C340),"",IF($AF340=Constants!$B$7,RANK(AR340,$AR$8:$AR$507),$AF340))</f>
        <v/>
      </c>
      <c r="AT340" s="67" t="str">
        <f aca="false">IF(ISBLANK($C340),"",IF($AF340=Constants!$B$7,IF(ISNUMBER(AQ340),COUNTIFS($AQ$8:$AQ$507,"&lt;"&amp;$AQ340)+COUNTIFS($AQ$8:$AQ$507,$AQ340,$AS$8:$AS$507,"&lt;"&amp;$AS340)+1,Constants!$B$14),$AF340))</f>
        <v/>
      </c>
      <c r="AU340" s="67" t="str">
        <f aca="false">IF(ISBLANK($C340),"",IF($AF340=Constants!$B$7,IF(ISNUMBER(AQ340),AQ340-AT340,Constants!$B$14),$AF340))</f>
        <v/>
      </c>
      <c r="AV340" s="69"/>
      <c r="AW340" s="70" t="str">
        <f aca="false">IF(ISBLANK($C340),"",IF($AF340&lt;&gt;Constants!$B$7,"",AN340))</f>
        <v/>
      </c>
      <c r="AX340" s="85" t="str">
        <f aca="false">IF(ISBLANK($C340),"",IF($AF340&lt;&gt;Constants!$B$7,"",IF(AN340=1,AH340,AK340)))</f>
        <v/>
      </c>
      <c r="AY340" s="72" t="str">
        <f aca="false">IF(ISBLANK($C340),"",IF($AF340&lt;&gt;Constants!$B$7,"",IF(AN340=1,AI340,AL340)))</f>
        <v/>
      </c>
      <c r="AZ340" s="73" t="str">
        <f aca="false">IF(ISBLANK($C340),"",IF($AF340&lt;&gt;Constants!$B$7,$AF340,AP340))</f>
        <v/>
      </c>
      <c r="BA340" s="74" t="str">
        <f aca="false">IF(ISBLANK($C340),"",IF($AF340&lt;&gt;Constants!$B$7,$AF340,AG340))</f>
        <v/>
      </c>
      <c r="BB340" s="75" t="str">
        <f aca="false">IF(ISBLANK($C340),"",AU340)</f>
        <v/>
      </c>
      <c r="BC340" s="75" t="str">
        <f aca="false">IF(ISBLANK($C340),"",AT340)</f>
        <v/>
      </c>
      <c r="BD340" s="76" t="str">
        <f aca="false">IF(ISBLANK($C340),"",IFERROR(_xlfn.SWITCH(BC340,Constants!$B$4,COUNTA($C$8:$C$507)+2,Constants!$B$5,COUNTA($C$8:$C$507)+1,Constants!$B$6,COUNTA($C$8:$C$507)),BC340))</f>
        <v/>
      </c>
      <c r="BE340" s="5"/>
      <c r="BF340" s="77" t="n">
        <f aca="false">IF(OR(ISNUMBER(BC340),BC340=Constants!$B$4,BC340=Constants!$B$6,BC340=Constants!$B$5),1,0)</f>
        <v>0</v>
      </c>
      <c r="BG340" s="77" t="n">
        <v>333</v>
      </c>
      <c r="BH340" s="77" t="str">
        <f aca="false">IF(ISBLANK($C340),"",IF(ISNUMBER(BD340),BD340+ROW($B340)/1000,""))</f>
        <v/>
      </c>
      <c r="BI340" s="77" t="str">
        <f aca="false">IF(ISNUMBER(BH340),RANK(BH340,$BH$8:$BH$507,1),"")</f>
        <v/>
      </c>
      <c r="BJ340" s="77" t="str">
        <f aca="false">IF(ISBLANK($C340),"",$B340)</f>
        <v/>
      </c>
      <c r="BK340" s="77" t="str">
        <f aca="false">IF(ISBLANK($C340),"",$C340)</f>
        <v/>
      </c>
      <c r="BL340" s="77" t="str">
        <f aca="false">IF(ISBLANK($C340),"",$D340)</f>
        <v/>
      </c>
      <c r="BM340" s="78" t="str">
        <f aca="false">BA340</f>
        <v/>
      </c>
      <c r="BN340" s="79" t="str">
        <f aca="false">AZ340</f>
        <v/>
      </c>
      <c r="BO340" s="77" t="str">
        <f aca="false">IF(ISBLANK($C340),"",BC340)</f>
        <v/>
      </c>
      <c r="BP340" s="80" t="str">
        <f aca="false">IF($BG340&gt;$BF$7,"",VLOOKUP($BG340,$BI$8:$BO$507,7,FALSE()))</f>
        <v/>
      </c>
      <c r="BQ340" s="81" t="str">
        <f aca="false">IF($BG340&gt;$BF$7,"",VLOOKUP($BG340,$BI$8:$BO$507,2,FALSE()))</f>
        <v/>
      </c>
      <c r="BR340" s="81" t="str">
        <f aca="false">IF($BG340&gt;$BF$7,"",VLOOKUP($BG340,$BI$8:$BO$507,3,FALSE()))</f>
        <v/>
      </c>
      <c r="BS340" s="81" t="str">
        <f aca="false">IF($BG340&gt;$BF$7,"",VLOOKUP($BG340,$BI$8:$BO$507,4,FALSE()))</f>
        <v/>
      </c>
      <c r="BT340" s="81" t="str">
        <f aca="false">IF($BG340&gt;$BF$7,"",VLOOKUP($BG340,$BI$8:$BO$507,5,FALSE()))</f>
        <v/>
      </c>
      <c r="BU340" s="82" t="str">
        <f aca="false">IF($BG340&gt;$BF$7,"",VLOOKUP($BG340,$BI$8:$BO$507,6,FALSE()))</f>
        <v/>
      </c>
      <c r="BV340" s="54"/>
    </row>
    <row r="341" customFormat="false" ht="15.75" hidden="false" customHeight="false" outlineLevel="0" collapsed="false">
      <c r="A341" s="5"/>
      <c r="B341" s="128"/>
      <c r="C341" s="129"/>
      <c r="D341" s="114"/>
      <c r="E341" s="134"/>
      <c r="F341" s="139"/>
      <c r="G341" s="93"/>
      <c r="H341" s="140"/>
      <c r="I341" s="95"/>
      <c r="J341" s="95"/>
      <c r="K341" s="93"/>
      <c r="L341" s="141"/>
      <c r="M341" s="95"/>
      <c r="N341" s="95"/>
      <c r="O341" s="93"/>
      <c r="P341" s="134"/>
      <c r="Q341" s="98"/>
      <c r="R341" s="99" t="str">
        <f aca="false">IF(ISBLANK($C341),"",IF(E341=Constants!$B$2, TRUE(), IF(E341=Constants!$B$3, FALSE(), TRUE())))</f>
        <v/>
      </c>
      <c r="S341" s="99" t="str">
        <f aca="false">IF(ISBLANK($C341),"",IF(F341=Constants!$B$2, TRUE(), IF(F341=Constants!$B$3, FALSE(), TRUE())))</f>
        <v/>
      </c>
      <c r="T341" s="99" t="str">
        <f aca="false">IF(ISBLANK($C341),"",IF(G341=Constants!$B$16,Constants!$B$9,IF(G341=Constants!$B$17,Constants!$B$10,Constants!$B$8)))</f>
        <v/>
      </c>
      <c r="U341" s="99" t="str">
        <f aca="false">IF(ISBLANK($C341),"",IF(H341=Constants!$B$19,Constants!$B$19,Constants!$B$18))</f>
        <v/>
      </c>
      <c r="V341" s="99" t="str">
        <f aca="false">IF(ISBLANK($C341),"",IF(ISNUMBER(I341),IF(I341&gt;=0,I341,""),""))</f>
        <v/>
      </c>
      <c r="W341" s="99" t="str">
        <f aca="false">IF(ISBLANK($C341),"",IF(J341=Constants!$B$2, TRUE(), IF(J341=Constants!$B$3, FALSE(), TRUE())))</f>
        <v/>
      </c>
      <c r="X341" s="99" t="str">
        <f aca="false">IF(ISBLANK($C341),"",IF(K341=Constants!$B$2, TRUE(), IF(K341=Constants!$B$3, FALSE(), TRUE())))</f>
        <v/>
      </c>
      <c r="Y341" s="99" t="str">
        <f aca="false">IF(ISBLANK($C341),"",IF(L341=Constants!$B$19,Constants!$B$19,Constants!$B$18))</f>
        <v/>
      </c>
      <c r="Z341" s="99" t="str">
        <f aca="false">IF(ISBLANK($C341),"",IF(ISNUMBER(M341),IF(M341&gt;=0,M341,""),""))</f>
        <v/>
      </c>
      <c r="AA341" s="99" t="str">
        <f aca="false">IF(ISBLANK($C341),"",IF(N341=Constants!$B$2, TRUE(), IF(N341=Constants!$B$3, FALSE(), TRUE())))</f>
        <v/>
      </c>
      <c r="AB341" s="99" t="str">
        <f aca="false">IF(ISBLANK($C341),"",IF(O341=Constants!$B$2, TRUE(), IF(O341=Constants!$B$3, FALSE(), TRUE())))</f>
        <v/>
      </c>
      <c r="AC341" s="99" t="str">
        <f aca="false">IF(ISBLANK($C341),"",IF(P341=Constants!$B$2, TRUE(), IF(P341=Constants!$B$3, FALSE(), FALSE())))</f>
        <v/>
      </c>
      <c r="AD341" s="99" t="str">
        <f aca="false">IF(ISBLANK($C341),"",AND(V341&lt;&gt;"",IF(U341=Constants!$B$19,S341,R341)))</f>
        <v/>
      </c>
      <c r="AE341" s="99" t="str">
        <f aca="false">IF(ISBLANK($C341),"",AND(Z341&lt;&gt;"",IF(Y341=Constants!$B$19,S341,R341)))</f>
        <v/>
      </c>
      <c r="AF341" s="99" t="str">
        <f aca="false">IF(ISBLANK($C341),"",IF(AC341,Constants!$B$4,IF(COUNTA(E341:O341)=0,Constants!$B$5,IF(AND(NOT(AD341),NOT(AE341)),Constants!$B$6,Constants!$B$7))))</f>
        <v/>
      </c>
      <c r="AG341" s="99" t="str">
        <f aca="false">IF(ISBLANK($C341),"",IF($AF341&lt;&gt;Constants!$B$7,$AF341,Constants!$B$20))</f>
        <v/>
      </c>
      <c r="AH341" s="99" t="str">
        <f aca="false">IF($AF341=Constants!$B$7,IF(AD341,V341,Constants!$B$13),"")</f>
        <v/>
      </c>
      <c r="AI341" s="99" t="str">
        <f aca="false">IF($AF341=Constants!$B$7,IF(AD341,T341*IF(W341, 1, Constants!$B$11)*IF(X341, 1, Constants!$B$12),Constants!$B$13),"")</f>
        <v/>
      </c>
      <c r="AJ341" s="99" t="str">
        <f aca="false">IF($AF341=Constants!$B$7,AH341*AI341,"")</f>
        <v/>
      </c>
      <c r="AK341" s="99" t="str">
        <f aca="false">IF($AF341=Constants!$B$7,IF(AE341,Z341,Constants!$B$13),"")</f>
        <v/>
      </c>
      <c r="AL341" s="99" t="str">
        <f aca="false">IF($AF341=Constants!$B$7,IF(AE341,T341*IF(AA341, 1, Constants!$B$11)*IF(AB341, 1, Constants!$B$12),Constants!$B$13),"")</f>
        <v/>
      </c>
      <c r="AM341" s="99" t="str">
        <f aca="false">IF($AF341=Constants!$B$7,AK341*AL341,"")</f>
        <v/>
      </c>
      <c r="AN341" s="99" t="str">
        <f aca="false">IF($AF341=Constants!$B$7,IF(AM341&gt;AJ341,2,1),"")</f>
        <v/>
      </c>
      <c r="AO341" s="99" t="str">
        <f aca="false">IF($AF341=Constants!$B$7,IF(AN341=1,2,1),"")</f>
        <v/>
      </c>
      <c r="AP341" s="99" t="str">
        <f aca="false">IF(ISBLANK($C341),"",IF($AF341&lt;&gt;Constants!$B$7,$AF341,IF(AN341=1,AJ341,AM341)))</f>
        <v/>
      </c>
      <c r="AQ341" s="99" t="str">
        <f aca="false">IF(ISBLANK($C341),"",IF($AF341=Constants!$B$7,IF(ISNUMBER(AP341),RANK(AP341,$AP$8:$AP$507),Constants!$B$14),$AF341))</f>
        <v/>
      </c>
      <c r="AR341" s="99" t="str">
        <f aca="false">IF(ISBLANK($C341),"",IF($AF341=Constants!$B$7,IF(AO341=1,AJ341,AM341),""))</f>
        <v/>
      </c>
      <c r="AS341" s="99" t="str">
        <f aca="false">IF(ISBLANK($C341),"",IF($AF341=Constants!$B$7,RANK(AR341,$AR$8:$AR$507),$AF341))</f>
        <v/>
      </c>
      <c r="AT341" s="99" t="str">
        <f aca="false">IF(ISBLANK($C341),"",IF($AF341=Constants!$B$7,IF(ISNUMBER(AQ341),COUNTIFS($AQ$8:$AQ$507,"&lt;"&amp;$AQ341)+COUNTIFS($AQ$8:$AQ$507,$AQ341,$AS$8:$AS$507,"&lt;"&amp;$AS341)+1,Constants!$B$14),$AF341))</f>
        <v/>
      </c>
      <c r="AU341" s="99" t="str">
        <f aca="false">IF(ISBLANK($C341),"",IF($AF341=Constants!$B$7,IF(ISNUMBER(AQ341),AQ341-AT341,Constants!$B$14),$AF341))</f>
        <v/>
      </c>
      <c r="AV341" s="100"/>
      <c r="AW341" s="101" t="str">
        <f aca="false">IF(ISBLANK($C341),"",IF($AF341&lt;&gt;Constants!$B$7,"",AN341))</f>
        <v/>
      </c>
      <c r="AX341" s="102" t="str">
        <f aca="false">IF(ISBLANK($C341),"",IF($AF341&lt;&gt;Constants!$B$7,"",IF(AN341=1,AH341,AK341)))</f>
        <v/>
      </c>
      <c r="AY341" s="103" t="str">
        <f aca="false">IF(ISBLANK($C341),"",IF($AF341&lt;&gt;Constants!$B$7,"",IF(AN341=1,AI341,AL341)))</f>
        <v/>
      </c>
      <c r="AZ341" s="104" t="str">
        <f aca="false">IF(ISBLANK($C341),"",IF($AF341&lt;&gt;Constants!$B$7,$AF341,AP341))</f>
        <v/>
      </c>
      <c r="BA341" s="105" t="str">
        <f aca="false">IF(ISBLANK($C341),"",IF($AF341&lt;&gt;Constants!$B$7,$AF341,AG341))</f>
        <v/>
      </c>
      <c r="BB341" s="106" t="str">
        <f aca="false">IF(ISBLANK($C341),"",AU341)</f>
        <v/>
      </c>
      <c r="BC341" s="106" t="str">
        <f aca="false">IF(ISBLANK($C341),"",AT341)</f>
        <v/>
      </c>
      <c r="BD341" s="107" t="str">
        <f aca="false">IF(ISBLANK($C341),"",IFERROR(_xlfn.SWITCH(BC341,Constants!$B$4,COUNTA($C$8:$C$507)+2,Constants!$B$5,COUNTA($C$8:$C$507)+1,Constants!$B$6,COUNTA($C$8:$C$507)),BC341))</f>
        <v/>
      </c>
      <c r="BE341" s="5"/>
      <c r="BF341" s="108" t="n">
        <f aca="false">IF(OR(ISNUMBER(BC341),BC341=Constants!$B$4,BC341=Constants!$B$6,BC341=Constants!$B$5),1,0)</f>
        <v>0</v>
      </c>
      <c r="BG341" s="108" t="n">
        <v>334</v>
      </c>
      <c r="BH341" s="108" t="str">
        <f aca="false">IF(ISBLANK($C341),"",IF(ISNUMBER(BD341),BD341+ROW($B341)/1000,""))</f>
        <v/>
      </c>
      <c r="BI341" s="108" t="str">
        <f aca="false">IF(ISNUMBER(BH341),RANK(BH341,$BH$8:$BH$507,1),"")</f>
        <v/>
      </c>
      <c r="BJ341" s="108" t="str">
        <f aca="false">IF(ISBLANK($C341),"",$B341)</f>
        <v/>
      </c>
      <c r="BK341" s="108" t="str">
        <f aca="false">IF(ISBLANK($C341),"",$C341)</f>
        <v/>
      </c>
      <c r="BL341" s="108" t="str">
        <f aca="false">IF(ISBLANK($C341),"",$D341)</f>
        <v/>
      </c>
      <c r="BM341" s="109" t="str">
        <f aca="false">BA341</f>
        <v/>
      </c>
      <c r="BN341" s="110" t="str">
        <f aca="false">AZ341</f>
        <v/>
      </c>
      <c r="BO341" s="108" t="str">
        <f aca="false">IF(ISBLANK($C341),"",BC341)</f>
        <v/>
      </c>
      <c r="BP341" s="111" t="str">
        <f aca="false">IF($BG341&gt;$BF$7,"",VLOOKUP($BG341,$BI$8:$BO$507,7,FALSE()))</f>
        <v/>
      </c>
      <c r="BQ341" s="112" t="str">
        <f aca="false">IF($BG341&gt;$BF$7,"",VLOOKUP($BG341,$BI$8:$BO$507,2,FALSE()))</f>
        <v/>
      </c>
      <c r="BR341" s="112" t="str">
        <f aca="false">IF($BG341&gt;$BF$7,"",VLOOKUP($BG341,$BI$8:$BO$507,3,FALSE()))</f>
        <v/>
      </c>
      <c r="BS341" s="112" t="str">
        <f aca="false">IF($BG341&gt;$BF$7,"",VLOOKUP($BG341,$BI$8:$BO$507,4,FALSE()))</f>
        <v/>
      </c>
      <c r="BT341" s="112" t="str">
        <f aca="false">IF($BG341&gt;$BF$7,"",VLOOKUP($BG341,$BI$8:$BO$507,5,FALSE()))</f>
        <v/>
      </c>
      <c r="BU341" s="113" t="str">
        <f aca="false">IF($BG341&gt;$BF$7,"",VLOOKUP($BG341,$BI$8:$BO$507,6,FALSE()))</f>
        <v/>
      </c>
      <c r="BV341" s="54"/>
    </row>
    <row r="342" customFormat="false" ht="15.75" hidden="false" customHeight="false" outlineLevel="0" collapsed="false">
      <c r="A342" s="5"/>
      <c r="B342" s="128"/>
      <c r="C342" s="129"/>
      <c r="D342" s="114"/>
      <c r="E342" s="134"/>
      <c r="F342" s="139"/>
      <c r="G342" s="93"/>
      <c r="H342" s="140"/>
      <c r="I342" s="95"/>
      <c r="J342" s="95"/>
      <c r="K342" s="93"/>
      <c r="L342" s="141"/>
      <c r="M342" s="95"/>
      <c r="N342" s="95"/>
      <c r="O342" s="93"/>
      <c r="P342" s="134"/>
      <c r="Q342" s="98"/>
      <c r="R342" s="99" t="str">
        <f aca="false">IF(ISBLANK($C342),"",IF(E342=Constants!$B$2, TRUE(), IF(E342=Constants!$B$3, FALSE(), TRUE())))</f>
        <v/>
      </c>
      <c r="S342" s="99" t="str">
        <f aca="false">IF(ISBLANK($C342),"",IF(F342=Constants!$B$2, TRUE(), IF(F342=Constants!$B$3, FALSE(), TRUE())))</f>
        <v/>
      </c>
      <c r="T342" s="99" t="str">
        <f aca="false">IF(ISBLANK($C342),"",IF(G342=Constants!$B$16,Constants!$B$9,IF(G342=Constants!$B$17,Constants!$B$10,Constants!$B$8)))</f>
        <v/>
      </c>
      <c r="U342" s="99" t="str">
        <f aca="false">IF(ISBLANK($C342),"",IF(H342=Constants!$B$19,Constants!$B$19,Constants!$B$18))</f>
        <v/>
      </c>
      <c r="V342" s="99" t="str">
        <f aca="false">IF(ISBLANK($C342),"",IF(ISNUMBER(I342),IF(I342&gt;=0,I342,""),""))</f>
        <v/>
      </c>
      <c r="W342" s="99" t="str">
        <f aca="false">IF(ISBLANK($C342),"",IF(J342=Constants!$B$2, TRUE(), IF(J342=Constants!$B$3, FALSE(), TRUE())))</f>
        <v/>
      </c>
      <c r="X342" s="99" t="str">
        <f aca="false">IF(ISBLANK($C342),"",IF(K342=Constants!$B$2, TRUE(), IF(K342=Constants!$B$3, FALSE(), TRUE())))</f>
        <v/>
      </c>
      <c r="Y342" s="99" t="str">
        <f aca="false">IF(ISBLANK($C342),"",IF(L342=Constants!$B$19,Constants!$B$19,Constants!$B$18))</f>
        <v/>
      </c>
      <c r="Z342" s="99" t="str">
        <f aca="false">IF(ISBLANK($C342),"",IF(ISNUMBER(M342),IF(M342&gt;=0,M342,""),""))</f>
        <v/>
      </c>
      <c r="AA342" s="99" t="str">
        <f aca="false">IF(ISBLANK($C342),"",IF(N342=Constants!$B$2, TRUE(), IF(N342=Constants!$B$3, FALSE(), TRUE())))</f>
        <v/>
      </c>
      <c r="AB342" s="99" t="str">
        <f aca="false">IF(ISBLANK($C342),"",IF(O342=Constants!$B$2, TRUE(), IF(O342=Constants!$B$3, FALSE(), TRUE())))</f>
        <v/>
      </c>
      <c r="AC342" s="99" t="str">
        <f aca="false">IF(ISBLANK($C342),"",IF(P342=Constants!$B$2, TRUE(), IF(P342=Constants!$B$3, FALSE(), FALSE())))</f>
        <v/>
      </c>
      <c r="AD342" s="99" t="str">
        <f aca="false">IF(ISBLANK($C342),"",AND(V342&lt;&gt;"",IF(U342=Constants!$B$19,S342,R342)))</f>
        <v/>
      </c>
      <c r="AE342" s="99" t="str">
        <f aca="false">IF(ISBLANK($C342),"",AND(Z342&lt;&gt;"",IF(Y342=Constants!$B$19,S342,R342)))</f>
        <v/>
      </c>
      <c r="AF342" s="99" t="str">
        <f aca="false">IF(ISBLANK($C342),"",IF(AC342,Constants!$B$4,IF(COUNTA(E342:O342)=0,Constants!$B$5,IF(AND(NOT(AD342),NOT(AE342)),Constants!$B$6,Constants!$B$7))))</f>
        <v/>
      </c>
      <c r="AG342" s="99" t="str">
        <f aca="false">IF(ISBLANK($C342),"",IF($AF342&lt;&gt;Constants!$B$7,$AF342,Constants!$B$20))</f>
        <v/>
      </c>
      <c r="AH342" s="99" t="str">
        <f aca="false">IF($AF342=Constants!$B$7,IF(AD342,V342,Constants!$B$13),"")</f>
        <v/>
      </c>
      <c r="AI342" s="99" t="str">
        <f aca="false">IF($AF342=Constants!$B$7,IF(AD342,T342*IF(W342, 1, Constants!$B$11)*IF(X342, 1, Constants!$B$12),Constants!$B$13),"")</f>
        <v/>
      </c>
      <c r="AJ342" s="99" t="str">
        <f aca="false">IF($AF342=Constants!$B$7,AH342*AI342,"")</f>
        <v/>
      </c>
      <c r="AK342" s="99" t="str">
        <f aca="false">IF($AF342=Constants!$B$7,IF(AE342,Z342,Constants!$B$13),"")</f>
        <v/>
      </c>
      <c r="AL342" s="99" t="str">
        <f aca="false">IF($AF342=Constants!$B$7,IF(AE342,T342*IF(AA342, 1, Constants!$B$11)*IF(AB342, 1, Constants!$B$12),Constants!$B$13),"")</f>
        <v/>
      </c>
      <c r="AM342" s="99" t="str">
        <f aca="false">IF($AF342=Constants!$B$7,AK342*AL342,"")</f>
        <v/>
      </c>
      <c r="AN342" s="99" t="str">
        <f aca="false">IF($AF342=Constants!$B$7,IF(AM342&gt;AJ342,2,1),"")</f>
        <v/>
      </c>
      <c r="AO342" s="99" t="str">
        <f aca="false">IF($AF342=Constants!$B$7,IF(AN342=1,2,1),"")</f>
        <v/>
      </c>
      <c r="AP342" s="99" t="str">
        <f aca="false">IF(ISBLANK($C342),"",IF($AF342&lt;&gt;Constants!$B$7,$AF342,IF(AN342=1,AJ342,AM342)))</f>
        <v/>
      </c>
      <c r="AQ342" s="99" t="str">
        <f aca="false">IF(ISBLANK($C342),"",IF($AF342=Constants!$B$7,IF(ISNUMBER(AP342),RANK(AP342,$AP$8:$AP$507),Constants!$B$14),$AF342))</f>
        <v/>
      </c>
      <c r="AR342" s="99" t="str">
        <f aca="false">IF(ISBLANK($C342),"",IF($AF342=Constants!$B$7,IF(AO342=1,AJ342,AM342),""))</f>
        <v/>
      </c>
      <c r="AS342" s="99" t="str">
        <f aca="false">IF(ISBLANK($C342),"",IF($AF342=Constants!$B$7,RANK(AR342,$AR$8:$AR$507),$AF342))</f>
        <v/>
      </c>
      <c r="AT342" s="99" t="str">
        <f aca="false">IF(ISBLANK($C342),"",IF($AF342=Constants!$B$7,IF(ISNUMBER(AQ342),COUNTIFS($AQ$8:$AQ$507,"&lt;"&amp;$AQ342)+COUNTIFS($AQ$8:$AQ$507,$AQ342,$AS$8:$AS$507,"&lt;"&amp;$AS342)+1,Constants!$B$14),$AF342))</f>
        <v/>
      </c>
      <c r="AU342" s="99" t="str">
        <f aca="false">IF(ISBLANK($C342),"",IF($AF342=Constants!$B$7,IF(ISNUMBER(AQ342),AQ342-AT342,Constants!$B$14),$AF342))</f>
        <v/>
      </c>
      <c r="AV342" s="100"/>
      <c r="AW342" s="101" t="str">
        <f aca="false">IF(ISBLANK($C342),"",IF($AF342&lt;&gt;Constants!$B$7,"",AN342))</f>
        <v/>
      </c>
      <c r="AX342" s="102" t="str">
        <f aca="false">IF(ISBLANK($C342),"",IF($AF342&lt;&gt;Constants!$B$7,"",IF(AN342=1,AH342,AK342)))</f>
        <v/>
      </c>
      <c r="AY342" s="103" t="str">
        <f aca="false">IF(ISBLANK($C342),"",IF($AF342&lt;&gt;Constants!$B$7,"",IF(AN342=1,AI342,AL342)))</f>
        <v/>
      </c>
      <c r="AZ342" s="104" t="str">
        <f aca="false">IF(ISBLANK($C342),"",IF($AF342&lt;&gt;Constants!$B$7,$AF342,AP342))</f>
        <v/>
      </c>
      <c r="BA342" s="105" t="str">
        <f aca="false">IF(ISBLANK($C342),"",IF($AF342&lt;&gt;Constants!$B$7,$AF342,AG342))</f>
        <v/>
      </c>
      <c r="BB342" s="106" t="str">
        <f aca="false">IF(ISBLANK($C342),"",AU342)</f>
        <v/>
      </c>
      <c r="BC342" s="106" t="str">
        <f aca="false">IF(ISBLANK($C342),"",AT342)</f>
        <v/>
      </c>
      <c r="BD342" s="107" t="str">
        <f aca="false">IF(ISBLANK($C342),"",IFERROR(_xlfn.SWITCH(BC342,Constants!$B$4,COUNTA($C$8:$C$507)+2,Constants!$B$5,COUNTA($C$8:$C$507)+1,Constants!$B$6,COUNTA($C$8:$C$507)),BC342))</f>
        <v/>
      </c>
      <c r="BE342" s="5"/>
      <c r="BF342" s="108" t="n">
        <f aca="false">IF(OR(ISNUMBER(BC342),BC342=Constants!$B$4,BC342=Constants!$B$6,BC342=Constants!$B$5),1,0)</f>
        <v>0</v>
      </c>
      <c r="BG342" s="108" t="n">
        <v>335</v>
      </c>
      <c r="BH342" s="108" t="str">
        <f aca="false">IF(ISBLANK($C342),"",IF(ISNUMBER(BD342),BD342+ROW($B342)/1000,""))</f>
        <v/>
      </c>
      <c r="BI342" s="108" t="str">
        <f aca="false">IF(ISNUMBER(BH342),RANK(BH342,$BH$8:$BH$507,1),"")</f>
        <v/>
      </c>
      <c r="BJ342" s="108" t="str">
        <f aca="false">IF(ISBLANK($C342),"",$B342)</f>
        <v/>
      </c>
      <c r="BK342" s="108" t="str">
        <f aca="false">IF(ISBLANK($C342),"",$C342)</f>
        <v/>
      </c>
      <c r="BL342" s="108" t="str">
        <f aca="false">IF(ISBLANK($C342),"",$D342)</f>
        <v/>
      </c>
      <c r="BM342" s="109" t="str">
        <f aca="false">BA342</f>
        <v/>
      </c>
      <c r="BN342" s="110" t="str">
        <f aca="false">AZ342</f>
        <v/>
      </c>
      <c r="BO342" s="108" t="str">
        <f aca="false">IF(ISBLANK($C342),"",BC342)</f>
        <v/>
      </c>
      <c r="BP342" s="111" t="str">
        <f aca="false">IF($BG342&gt;$BF$7,"",VLOOKUP($BG342,$BI$8:$BO$507,7,FALSE()))</f>
        <v/>
      </c>
      <c r="BQ342" s="112" t="str">
        <f aca="false">IF($BG342&gt;$BF$7,"",VLOOKUP($BG342,$BI$8:$BO$507,2,FALSE()))</f>
        <v/>
      </c>
      <c r="BR342" s="112" t="str">
        <f aca="false">IF($BG342&gt;$BF$7,"",VLOOKUP($BG342,$BI$8:$BO$507,3,FALSE()))</f>
        <v/>
      </c>
      <c r="BS342" s="112" t="str">
        <f aca="false">IF($BG342&gt;$BF$7,"",VLOOKUP($BG342,$BI$8:$BO$507,4,FALSE()))</f>
        <v/>
      </c>
      <c r="BT342" s="112" t="str">
        <f aca="false">IF($BG342&gt;$BF$7,"",VLOOKUP($BG342,$BI$8:$BO$507,5,FALSE()))</f>
        <v/>
      </c>
      <c r="BU342" s="113" t="str">
        <f aca="false">IF($BG342&gt;$BF$7,"",VLOOKUP($BG342,$BI$8:$BO$507,6,FALSE()))</f>
        <v/>
      </c>
      <c r="BV342" s="54"/>
    </row>
    <row r="343" customFormat="false" ht="15.75" hidden="false" customHeight="false" outlineLevel="0" collapsed="false">
      <c r="A343" s="5"/>
      <c r="B343" s="128"/>
      <c r="C343" s="129"/>
      <c r="D343" s="114"/>
      <c r="E343" s="134"/>
      <c r="F343" s="139"/>
      <c r="G343" s="93"/>
      <c r="H343" s="140"/>
      <c r="I343" s="95"/>
      <c r="J343" s="95"/>
      <c r="K343" s="93"/>
      <c r="L343" s="141"/>
      <c r="M343" s="95"/>
      <c r="N343" s="95"/>
      <c r="O343" s="93"/>
      <c r="P343" s="134"/>
      <c r="Q343" s="98"/>
      <c r="R343" s="99" t="str">
        <f aca="false">IF(ISBLANK($C343),"",IF(E343=Constants!$B$2, TRUE(), IF(E343=Constants!$B$3, FALSE(), TRUE())))</f>
        <v/>
      </c>
      <c r="S343" s="99" t="str">
        <f aca="false">IF(ISBLANK($C343),"",IF(F343=Constants!$B$2, TRUE(), IF(F343=Constants!$B$3, FALSE(), TRUE())))</f>
        <v/>
      </c>
      <c r="T343" s="99" t="str">
        <f aca="false">IF(ISBLANK($C343),"",IF(G343=Constants!$B$16,Constants!$B$9,IF(G343=Constants!$B$17,Constants!$B$10,Constants!$B$8)))</f>
        <v/>
      </c>
      <c r="U343" s="99" t="str">
        <f aca="false">IF(ISBLANK($C343),"",IF(H343=Constants!$B$19,Constants!$B$19,Constants!$B$18))</f>
        <v/>
      </c>
      <c r="V343" s="99" t="str">
        <f aca="false">IF(ISBLANK($C343),"",IF(ISNUMBER(I343),IF(I343&gt;=0,I343,""),""))</f>
        <v/>
      </c>
      <c r="W343" s="99" t="str">
        <f aca="false">IF(ISBLANK($C343),"",IF(J343=Constants!$B$2, TRUE(), IF(J343=Constants!$B$3, FALSE(), TRUE())))</f>
        <v/>
      </c>
      <c r="X343" s="99" t="str">
        <f aca="false">IF(ISBLANK($C343),"",IF(K343=Constants!$B$2, TRUE(), IF(K343=Constants!$B$3, FALSE(), TRUE())))</f>
        <v/>
      </c>
      <c r="Y343" s="99" t="str">
        <f aca="false">IF(ISBLANK($C343),"",IF(L343=Constants!$B$19,Constants!$B$19,Constants!$B$18))</f>
        <v/>
      </c>
      <c r="Z343" s="99" t="str">
        <f aca="false">IF(ISBLANK($C343),"",IF(ISNUMBER(M343),IF(M343&gt;=0,M343,""),""))</f>
        <v/>
      </c>
      <c r="AA343" s="99" t="str">
        <f aca="false">IF(ISBLANK($C343),"",IF(N343=Constants!$B$2, TRUE(), IF(N343=Constants!$B$3, FALSE(), TRUE())))</f>
        <v/>
      </c>
      <c r="AB343" s="99" t="str">
        <f aca="false">IF(ISBLANK($C343),"",IF(O343=Constants!$B$2, TRUE(), IF(O343=Constants!$B$3, FALSE(), TRUE())))</f>
        <v/>
      </c>
      <c r="AC343" s="99" t="str">
        <f aca="false">IF(ISBLANK($C343),"",IF(P343=Constants!$B$2, TRUE(), IF(P343=Constants!$B$3, FALSE(), FALSE())))</f>
        <v/>
      </c>
      <c r="AD343" s="99" t="str">
        <f aca="false">IF(ISBLANK($C343),"",AND(V343&lt;&gt;"",IF(U343=Constants!$B$19,S343,R343)))</f>
        <v/>
      </c>
      <c r="AE343" s="99" t="str">
        <f aca="false">IF(ISBLANK($C343),"",AND(Z343&lt;&gt;"",IF(Y343=Constants!$B$19,S343,R343)))</f>
        <v/>
      </c>
      <c r="AF343" s="99" t="str">
        <f aca="false">IF(ISBLANK($C343),"",IF(AC343,Constants!$B$4,IF(COUNTA(E343:O343)=0,Constants!$B$5,IF(AND(NOT(AD343),NOT(AE343)),Constants!$B$6,Constants!$B$7))))</f>
        <v/>
      </c>
      <c r="AG343" s="99" t="str">
        <f aca="false">IF(ISBLANK($C343),"",IF($AF343&lt;&gt;Constants!$B$7,$AF343,Constants!$B$20))</f>
        <v/>
      </c>
      <c r="AH343" s="99" t="str">
        <f aca="false">IF($AF343=Constants!$B$7,IF(AD343,V343,Constants!$B$13),"")</f>
        <v/>
      </c>
      <c r="AI343" s="99" t="str">
        <f aca="false">IF($AF343=Constants!$B$7,IF(AD343,T343*IF(W343, 1, Constants!$B$11)*IF(X343, 1, Constants!$B$12),Constants!$B$13),"")</f>
        <v/>
      </c>
      <c r="AJ343" s="99" t="str">
        <f aca="false">IF($AF343=Constants!$B$7,AH343*AI343,"")</f>
        <v/>
      </c>
      <c r="AK343" s="99" t="str">
        <f aca="false">IF($AF343=Constants!$B$7,IF(AE343,Z343,Constants!$B$13),"")</f>
        <v/>
      </c>
      <c r="AL343" s="99" t="str">
        <f aca="false">IF($AF343=Constants!$B$7,IF(AE343,T343*IF(AA343, 1, Constants!$B$11)*IF(AB343, 1, Constants!$B$12),Constants!$B$13),"")</f>
        <v/>
      </c>
      <c r="AM343" s="99" t="str">
        <f aca="false">IF($AF343=Constants!$B$7,AK343*AL343,"")</f>
        <v/>
      </c>
      <c r="AN343" s="99" t="str">
        <f aca="false">IF($AF343=Constants!$B$7,IF(AM343&gt;AJ343,2,1),"")</f>
        <v/>
      </c>
      <c r="AO343" s="99" t="str">
        <f aca="false">IF($AF343=Constants!$B$7,IF(AN343=1,2,1),"")</f>
        <v/>
      </c>
      <c r="AP343" s="99" t="str">
        <f aca="false">IF(ISBLANK($C343),"",IF($AF343&lt;&gt;Constants!$B$7,$AF343,IF(AN343=1,AJ343,AM343)))</f>
        <v/>
      </c>
      <c r="AQ343" s="99" t="str">
        <f aca="false">IF(ISBLANK($C343),"",IF($AF343=Constants!$B$7,IF(ISNUMBER(AP343),RANK(AP343,$AP$8:$AP$507),Constants!$B$14),$AF343))</f>
        <v/>
      </c>
      <c r="AR343" s="99" t="str">
        <f aca="false">IF(ISBLANK($C343),"",IF($AF343=Constants!$B$7,IF(AO343=1,AJ343,AM343),""))</f>
        <v/>
      </c>
      <c r="AS343" s="99" t="str">
        <f aca="false">IF(ISBLANK($C343),"",IF($AF343=Constants!$B$7,RANK(AR343,$AR$8:$AR$507),$AF343))</f>
        <v/>
      </c>
      <c r="AT343" s="99" t="str">
        <f aca="false">IF(ISBLANK($C343),"",IF($AF343=Constants!$B$7,IF(ISNUMBER(AQ343),COUNTIFS($AQ$8:$AQ$507,"&lt;"&amp;$AQ343)+COUNTIFS($AQ$8:$AQ$507,$AQ343,$AS$8:$AS$507,"&lt;"&amp;$AS343)+1,Constants!$B$14),$AF343))</f>
        <v/>
      </c>
      <c r="AU343" s="99" t="str">
        <f aca="false">IF(ISBLANK($C343),"",IF($AF343=Constants!$B$7,IF(ISNUMBER(AQ343),AQ343-AT343,Constants!$B$14),$AF343))</f>
        <v/>
      </c>
      <c r="AV343" s="100"/>
      <c r="AW343" s="101" t="str">
        <f aca="false">IF(ISBLANK($C343),"",IF($AF343&lt;&gt;Constants!$B$7,"",AN343))</f>
        <v/>
      </c>
      <c r="AX343" s="102" t="str">
        <f aca="false">IF(ISBLANK($C343),"",IF($AF343&lt;&gt;Constants!$B$7,"",IF(AN343=1,AH343,AK343)))</f>
        <v/>
      </c>
      <c r="AY343" s="103" t="str">
        <f aca="false">IF(ISBLANK($C343),"",IF($AF343&lt;&gt;Constants!$B$7,"",IF(AN343=1,AI343,AL343)))</f>
        <v/>
      </c>
      <c r="AZ343" s="104" t="str">
        <f aca="false">IF(ISBLANK($C343),"",IF($AF343&lt;&gt;Constants!$B$7,$AF343,AP343))</f>
        <v/>
      </c>
      <c r="BA343" s="105" t="str">
        <f aca="false">IF(ISBLANK($C343),"",IF($AF343&lt;&gt;Constants!$B$7,$AF343,AG343))</f>
        <v/>
      </c>
      <c r="BB343" s="106" t="str">
        <f aca="false">IF(ISBLANK($C343),"",AU343)</f>
        <v/>
      </c>
      <c r="BC343" s="106" t="str">
        <f aca="false">IF(ISBLANK($C343),"",AT343)</f>
        <v/>
      </c>
      <c r="BD343" s="107" t="str">
        <f aca="false">IF(ISBLANK($C343),"",IFERROR(_xlfn.SWITCH(BC343,Constants!$B$4,COUNTA($C$8:$C$507)+2,Constants!$B$5,COUNTA($C$8:$C$507)+1,Constants!$B$6,COUNTA($C$8:$C$507)),BC343))</f>
        <v/>
      </c>
      <c r="BE343" s="5"/>
      <c r="BF343" s="108" t="n">
        <f aca="false">IF(OR(ISNUMBER(BC343),BC343=Constants!$B$4,BC343=Constants!$B$6,BC343=Constants!$B$5),1,0)</f>
        <v>0</v>
      </c>
      <c r="BG343" s="108" t="n">
        <v>336</v>
      </c>
      <c r="BH343" s="108" t="str">
        <f aca="false">IF(ISBLANK($C343),"",IF(ISNUMBER(BD343),BD343+ROW($B343)/1000,""))</f>
        <v/>
      </c>
      <c r="BI343" s="108" t="str">
        <f aca="false">IF(ISNUMBER(BH343),RANK(BH343,$BH$8:$BH$507,1),"")</f>
        <v/>
      </c>
      <c r="BJ343" s="108" t="str">
        <f aca="false">IF(ISBLANK($C343),"",$B343)</f>
        <v/>
      </c>
      <c r="BK343" s="108" t="str">
        <f aca="false">IF(ISBLANK($C343),"",$C343)</f>
        <v/>
      </c>
      <c r="BL343" s="108" t="str">
        <f aca="false">IF(ISBLANK($C343),"",$D343)</f>
        <v/>
      </c>
      <c r="BM343" s="109" t="str">
        <f aca="false">BA343</f>
        <v/>
      </c>
      <c r="BN343" s="110" t="str">
        <f aca="false">AZ343</f>
        <v/>
      </c>
      <c r="BO343" s="108" t="str">
        <f aca="false">IF(ISBLANK($C343),"",BC343)</f>
        <v/>
      </c>
      <c r="BP343" s="111" t="str">
        <f aca="false">IF($BG343&gt;$BF$7,"",VLOOKUP($BG343,$BI$8:$BO$507,7,FALSE()))</f>
        <v/>
      </c>
      <c r="BQ343" s="112" t="str">
        <f aca="false">IF($BG343&gt;$BF$7,"",VLOOKUP($BG343,$BI$8:$BO$507,2,FALSE()))</f>
        <v/>
      </c>
      <c r="BR343" s="112" t="str">
        <f aca="false">IF($BG343&gt;$BF$7,"",VLOOKUP($BG343,$BI$8:$BO$507,3,FALSE()))</f>
        <v/>
      </c>
      <c r="BS343" s="112" t="str">
        <f aca="false">IF($BG343&gt;$BF$7,"",VLOOKUP($BG343,$BI$8:$BO$507,4,FALSE()))</f>
        <v/>
      </c>
      <c r="BT343" s="112" t="str">
        <f aca="false">IF($BG343&gt;$BF$7,"",VLOOKUP($BG343,$BI$8:$BO$507,5,FALSE()))</f>
        <v/>
      </c>
      <c r="BU343" s="113" t="str">
        <f aca="false">IF($BG343&gt;$BF$7,"",VLOOKUP($BG343,$BI$8:$BO$507,6,FALSE()))</f>
        <v/>
      </c>
      <c r="BV343" s="54"/>
    </row>
    <row r="344" customFormat="false" ht="15.75" hidden="false" customHeight="false" outlineLevel="0" collapsed="false">
      <c r="A344" s="5"/>
      <c r="B344" s="135"/>
      <c r="C344" s="56"/>
      <c r="D344" s="57"/>
      <c r="E344" s="84"/>
      <c r="F344" s="136"/>
      <c r="G344" s="60"/>
      <c r="H344" s="137"/>
      <c r="I344" s="62"/>
      <c r="J344" s="62"/>
      <c r="K344" s="60"/>
      <c r="L344" s="138"/>
      <c r="M344" s="62"/>
      <c r="N344" s="62"/>
      <c r="O344" s="60"/>
      <c r="P344" s="84"/>
      <c r="Q344" s="65"/>
      <c r="R344" s="67" t="str">
        <f aca="false">IF(ISBLANK($C344),"",IF(E344=Constants!$B$2, TRUE(), IF(E344=Constants!$B$3, FALSE(), TRUE())))</f>
        <v/>
      </c>
      <c r="S344" s="67" t="str">
        <f aca="false">IF(ISBLANK($C344),"",IF(F344=Constants!$B$2, TRUE(), IF(F344=Constants!$B$3, FALSE(), TRUE())))</f>
        <v/>
      </c>
      <c r="T344" s="67" t="str">
        <f aca="false">IF(ISBLANK($C344),"",IF(G344=Constants!$B$16,Constants!$B$9,IF(G344=Constants!$B$17,Constants!$B$10,Constants!$B$8)))</f>
        <v/>
      </c>
      <c r="U344" s="67" t="str">
        <f aca="false">IF(ISBLANK($C344),"",IF(H344=Constants!$B$19,Constants!$B$19,Constants!$B$18))</f>
        <v/>
      </c>
      <c r="V344" s="67" t="str">
        <f aca="false">IF(ISBLANK($C344),"",IF(ISNUMBER(I344),IF(I344&gt;=0,I344,""),""))</f>
        <v/>
      </c>
      <c r="W344" s="67" t="str">
        <f aca="false">IF(ISBLANK($C344),"",IF(J344=Constants!$B$2, TRUE(), IF(J344=Constants!$B$3, FALSE(), TRUE())))</f>
        <v/>
      </c>
      <c r="X344" s="67" t="str">
        <f aca="false">IF(ISBLANK($C344),"",IF(K344=Constants!$B$2, TRUE(), IF(K344=Constants!$B$3, FALSE(), TRUE())))</f>
        <v/>
      </c>
      <c r="Y344" s="67" t="str">
        <f aca="false">IF(ISBLANK($C344),"",IF(L344=Constants!$B$19,Constants!$B$19,Constants!$B$18))</f>
        <v/>
      </c>
      <c r="Z344" s="67" t="str">
        <f aca="false">IF(ISBLANK($C344),"",IF(ISNUMBER(M344),IF(M344&gt;=0,M344,""),""))</f>
        <v/>
      </c>
      <c r="AA344" s="67" t="str">
        <f aca="false">IF(ISBLANK($C344),"",IF(N344=Constants!$B$2, TRUE(), IF(N344=Constants!$B$3, FALSE(), TRUE())))</f>
        <v/>
      </c>
      <c r="AB344" s="67" t="str">
        <f aca="false">IF(ISBLANK($C344),"",IF(O344=Constants!$B$2, TRUE(), IF(O344=Constants!$B$3, FALSE(), TRUE())))</f>
        <v/>
      </c>
      <c r="AC344" s="67" t="str">
        <f aca="false">IF(ISBLANK($C344),"",IF(P344=Constants!$B$2, TRUE(), IF(P344=Constants!$B$3, FALSE(), FALSE())))</f>
        <v/>
      </c>
      <c r="AD344" s="67" t="str">
        <f aca="false">IF(ISBLANK($C344),"",AND(V344&lt;&gt;"",IF(U344=Constants!$B$19,S344,R344)))</f>
        <v/>
      </c>
      <c r="AE344" s="67" t="str">
        <f aca="false">IF(ISBLANK($C344),"",AND(Z344&lt;&gt;"",IF(Y344=Constants!$B$19,S344,R344)))</f>
        <v/>
      </c>
      <c r="AF344" s="67" t="str">
        <f aca="false">IF(ISBLANK($C344),"",IF(AC344,Constants!$B$4,IF(COUNTA(E344:O344)=0,Constants!$B$5,IF(AND(NOT(AD344),NOT(AE344)),Constants!$B$6,Constants!$B$7))))</f>
        <v/>
      </c>
      <c r="AG344" s="67" t="str">
        <f aca="false">IF(ISBLANK($C344),"",IF($AF344&lt;&gt;Constants!$B$7,$AF344,Constants!$B$20))</f>
        <v/>
      </c>
      <c r="AH344" s="67" t="str">
        <f aca="false">IF($AF344=Constants!$B$7,IF(AD344,V344,Constants!$B$13),"")</f>
        <v/>
      </c>
      <c r="AI344" s="67" t="str">
        <f aca="false">IF($AF344=Constants!$B$7,IF(AD344,T344*IF(W344, 1, Constants!$B$11)*IF(X344, 1, Constants!$B$12),Constants!$B$13),"")</f>
        <v/>
      </c>
      <c r="AJ344" s="67" t="str">
        <f aca="false">IF($AF344=Constants!$B$7,AH344*AI344,"")</f>
        <v/>
      </c>
      <c r="AK344" s="67" t="str">
        <f aca="false">IF($AF344=Constants!$B$7,IF(AE344,Z344,Constants!$B$13),"")</f>
        <v/>
      </c>
      <c r="AL344" s="67" t="str">
        <f aca="false">IF($AF344=Constants!$B$7,IF(AE344,T344*IF(AA344, 1, Constants!$B$11)*IF(AB344, 1, Constants!$B$12),Constants!$B$13),"")</f>
        <v/>
      </c>
      <c r="AM344" s="67" t="str">
        <f aca="false">IF($AF344=Constants!$B$7,AK344*AL344,"")</f>
        <v/>
      </c>
      <c r="AN344" s="67" t="str">
        <f aca="false">IF($AF344=Constants!$B$7,IF(AM344&gt;AJ344,2,1),"")</f>
        <v/>
      </c>
      <c r="AO344" s="67" t="str">
        <f aca="false">IF($AF344=Constants!$B$7,IF(AN344=1,2,1),"")</f>
        <v/>
      </c>
      <c r="AP344" s="67" t="str">
        <f aca="false">IF(ISBLANK($C344),"",IF($AF344&lt;&gt;Constants!$B$7,$AF344,IF(AN344=1,AJ344,AM344)))</f>
        <v/>
      </c>
      <c r="AQ344" s="67" t="str">
        <f aca="false">IF(ISBLANK($C344),"",IF($AF344=Constants!$B$7,IF(ISNUMBER(AP344),RANK(AP344,$AP$8:$AP$507),Constants!$B$14),$AF344))</f>
        <v/>
      </c>
      <c r="AR344" s="67" t="str">
        <f aca="false">IF(ISBLANK($C344),"",IF($AF344=Constants!$B$7,IF(AO344=1,AJ344,AM344),""))</f>
        <v/>
      </c>
      <c r="AS344" s="67" t="str">
        <f aca="false">IF(ISBLANK($C344),"",IF($AF344=Constants!$B$7,RANK(AR344,$AR$8:$AR$507),$AF344))</f>
        <v/>
      </c>
      <c r="AT344" s="67" t="str">
        <f aca="false">IF(ISBLANK($C344),"",IF($AF344=Constants!$B$7,IF(ISNUMBER(AQ344),COUNTIFS($AQ$8:$AQ$507,"&lt;"&amp;$AQ344)+COUNTIFS($AQ$8:$AQ$507,$AQ344,$AS$8:$AS$507,"&lt;"&amp;$AS344)+1,Constants!$B$14),$AF344))</f>
        <v/>
      </c>
      <c r="AU344" s="67" t="str">
        <f aca="false">IF(ISBLANK($C344),"",IF($AF344=Constants!$B$7,IF(ISNUMBER(AQ344),AQ344-AT344,Constants!$B$14),$AF344))</f>
        <v/>
      </c>
      <c r="AV344" s="69"/>
      <c r="AW344" s="70" t="str">
        <f aca="false">IF(ISBLANK($C344),"",IF($AF344&lt;&gt;Constants!$B$7,"",AN344))</f>
        <v/>
      </c>
      <c r="AX344" s="85" t="str">
        <f aca="false">IF(ISBLANK($C344),"",IF($AF344&lt;&gt;Constants!$B$7,"",IF(AN344=1,AH344,AK344)))</f>
        <v/>
      </c>
      <c r="AY344" s="72" t="str">
        <f aca="false">IF(ISBLANK($C344),"",IF($AF344&lt;&gt;Constants!$B$7,"",IF(AN344=1,AI344,AL344)))</f>
        <v/>
      </c>
      <c r="AZ344" s="73" t="str">
        <f aca="false">IF(ISBLANK($C344),"",IF($AF344&lt;&gt;Constants!$B$7,$AF344,AP344))</f>
        <v/>
      </c>
      <c r="BA344" s="74" t="str">
        <f aca="false">IF(ISBLANK($C344),"",IF($AF344&lt;&gt;Constants!$B$7,$AF344,AG344))</f>
        <v/>
      </c>
      <c r="BB344" s="75" t="str">
        <f aca="false">IF(ISBLANK($C344),"",AU344)</f>
        <v/>
      </c>
      <c r="BC344" s="75" t="str">
        <f aca="false">IF(ISBLANK($C344),"",AT344)</f>
        <v/>
      </c>
      <c r="BD344" s="76" t="str">
        <f aca="false">IF(ISBLANK($C344),"",IFERROR(_xlfn.SWITCH(BC344,Constants!$B$4,COUNTA($C$8:$C$507)+2,Constants!$B$5,COUNTA($C$8:$C$507)+1,Constants!$B$6,COUNTA($C$8:$C$507)),BC344))</f>
        <v/>
      </c>
      <c r="BE344" s="5"/>
      <c r="BF344" s="77" t="n">
        <f aca="false">IF(OR(ISNUMBER(BC344),BC344=Constants!$B$4,BC344=Constants!$B$6,BC344=Constants!$B$5),1,0)</f>
        <v>0</v>
      </c>
      <c r="BG344" s="77" t="n">
        <v>337</v>
      </c>
      <c r="BH344" s="77" t="str">
        <f aca="false">IF(ISBLANK($C344),"",IF(ISNUMBER(BD344),BD344+ROW($B344)/1000,""))</f>
        <v/>
      </c>
      <c r="BI344" s="77" t="str">
        <f aca="false">IF(ISNUMBER(BH344),RANK(BH344,$BH$8:$BH$507,1),"")</f>
        <v/>
      </c>
      <c r="BJ344" s="77" t="str">
        <f aca="false">IF(ISBLANK($C344),"",$B344)</f>
        <v/>
      </c>
      <c r="BK344" s="77" t="str">
        <f aca="false">IF(ISBLANK($C344),"",$C344)</f>
        <v/>
      </c>
      <c r="BL344" s="77" t="str">
        <f aca="false">IF(ISBLANK($C344),"",$D344)</f>
        <v/>
      </c>
      <c r="BM344" s="78" t="str">
        <f aca="false">BA344</f>
        <v/>
      </c>
      <c r="BN344" s="79" t="str">
        <f aca="false">AZ344</f>
        <v/>
      </c>
      <c r="BO344" s="77" t="str">
        <f aca="false">IF(ISBLANK($C344),"",BC344)</f>
        <v/>
      </c>
      <c r="BP344" s="80" t="str">
        <f aca="false">IF($BG344&gt;$BF$7,"",VLOOKUP($BG344,$BI$8:$BO$507,7,FALSE()))</f>
        <v/>
      </c>
      <c r="BQ344" s="81" t="str">
        <f aca="false">IF($BG344&gt;$BF$7,"",VLOOKUP($BG344,$BI$8:$BO$507,2,FALSE()))</f>
        <v/>
      </c>
      <c r="BR344" s="81" t="str">
        <f aca="false">IF($BG344&gt;$BF$7,"",VLOOKUP($BG344,$BI$8:$BO$507,3,FALSE()))</f>
        <v/>
      </c>
      <c r="BS344" s="81" t="str">
        <f aca="false">IF($BG344&gt;$BF$7,"",VLOOKUP($BG344,$BI$8:$BO$507,4,FALSE()))</f>
        <v/>
      </c>
      <c r="BT344" s="81" t="str">
        <f aca="false">IF($BG344&gt;$BF$7,"",VLOOKUP($BG344,$BI$8:$BO$507,5,FALSE()))</f>
        <v/>
      </c>
      <c r="BU344" s="82" t="str">
        <f aca="false">IF($BG344&gt;$BF$7,"",VLOOKUP($BG344,$BI$8:$BO$507,6,FALSE()))</f>
        <v/>
      </c>
      <c r="BV344" s="54"/>
    </row>
    <row r="345" customFormat="false" ht="15.75" hidden="false" customHeight="false" outlineLevel="0" collapsed="false">
      <c r="A345" s="5"/>
      <c r="B345" s="135"/>
      <c r="C345" s="56"/>
      <c r="D345" s="57"/>
      <c r="E345" s="84"/>
      <c r="F345" s="136"/>
      <c r="G345" s="60"/>
      <c r="H345" s="137"/>
      <c r="I345" s="62"/>
      <c r="J345" s="62"/>
      <c r="K345" s="60"/>
      <c r="L345" s="138"/>
      <c r="M345" s="62"/>
      <c r="N345" s="62"/>
      <c r="O345" s="60"/>
      <c r="P345" s="84"/>
      <c r="Q345" s="65"/>
      <c r="R345" s="67" t="str">
        <f aca="false">IF(ISBLANK($C345),"",IF(E345=Constants!$B$2, TRUE(), IF(E345=Constants!$B$3, FALSE(), TRUE())))</f>
        <v/>
      </c>
      <c r="S345" s="67" t="str">
        <f aca="false">IF(ISBLANK($C345),"",IF(F345=Constants!$B$2, TRUE(), IF(F345=Constants!$B$3, FALSE(), TRUE())))</f>
        <v/>
      </c>
      <c r="T345" s="67" t="str">
        <f aca="false">IF(ISBLANK($C345),"",IF(G345=Constants!$B$16,Constants!$B$9,IF(G345=Constants!$B$17,Constants!$B$10,Constants!$B$8)))</f>
        <v/>
      </c>
      <c r="U345" s="67" t="str">
        <f aca="false">IF(ISBLANK($C345),"",IF(H345=Constants!$B$19,Constants!$B$19,Constants!$B$18))</f>
        <v/>
      </c>
      <c r="V345" s="67" t="str">
        <f aca="false">IF(ISBLANK($C345),"",IF(ISNUMBER(I345),IF(I345&gt;=0,I345,""),""))</f>
        <v/>
      </c>
      <c r="W345" s="67" t="str">
        <f aca="false">IF(ISBLANK($C345),"",IF(J345=Constants!$B$2, TRUE(), IF(J345=Constants!$B$3, FALSE(), TRUE())))</f>
        <v/>
      </c>
      <c r="X345" s="67" t="str">
        <f aca="false">IF(ISBLANK($C345),"",IF(K345=Constants!$B$2, TRUE(), IF(K345=Constants!$B$3, FALSE(), TRUE())))</f>
        <v/>
      </c>
      <c r="Y345" s="67" t="str">
        <f aca="false">IF(ISBLANK($C345),"",IF(L345=Constants!$B$19,Constants!$B$19,Constants!$B$18))</f>
        <v/>
      </c>
      <c r="Z345" s="67" t="str">
        <f aca="false">IF(ISBLANK($C345),"",IF(ISNUMBER(M345),IF(M345&gt;=0,M345,""),""))</f>
        <v/>
      </c>
      <c r="AA345" s="67" t="str">
        <f aca="false">IF(ISBLANK($C345),"",IF(N345=Constants!$B$2, TRUE(), IF(N345=Constants!$B$3, FALSE(), TRUE())))</f>
        <v/>
      </c>
      <c r="AB345" s="67" t="str">
        <f aca="false">IF(ISBLANK($C345),"",IF(O345=Constants!$B$2, TRUE(), IF(O345=Constants!$B$3, FALSE(), TRUE())))</f>
        <v/>
      </c>
      <c r="AC345" s="67" t="str">
        <f aca="false">IF(ISBLANK($C345),"",IF(P345=Constants!$B$2, TRUE(), IF(P345=Constants!$B$3, FALSE(), FALSE())))</f>
        <v/>
      </c>
      <c r="AD345" s="67" t="str">
        <f aca="false">IF(ISBLANK($C345),"",AND(V345&lt;&gt;"",IF(U345=Constants!$B$19,S345,R345)))</f>
        <v/>
      </c>
      <c r="AE345" s="67" t="str">
        <f aca="false">IF(ISBLANK($C345),"",AND(Z345&lt;&gt;"",IF(Y345=Constants!$B$19,S345,R345)))</f>
        <v/>
      </c>
      <c r="AF345" s="67" t="str">
        <f aca="false">IF(ISBLANK($C345),"",IF(AC345,Constants!$B$4,IF(COUNTA(E345:O345)=0,Constants!$B$5,IF(AND(NOT(AD345),NOT(AE345)),Constants!$B$6,Constants!$B$7))))</f>
        <v/>
      </c>
      <c r="AG345" s="67" t="str">
        <f aca="false">IF(ISBLANK($C345),"",IF($AF345&lt;&gt;Constants!$B$7,$AF345,Constants!$B$20))</f>
        <v/>
      </c>
      <c r="AH345" s="67" t="str">
        <f aca="false">IF($AF345=Constants!$B$7,IF(AD345,V345,Constants!$B$13),"")</f>
        <v/>
      </c>
      <c r="AI345" s="67" t="str">
        <f aca="false">IF($AF345=Constants!$B$7,IF(AD345,T345*IF(W345, 1, Constants!$B$11)*IF(X345, 1, Constants!$B$12),Constants!$B$13),"")</f>
        <v/>
      </c>
      <c r="AJ345" s="67" t="str">
        <f aca="false">IF($AF345=Constants!$B$7,AH345*AI345,"")</f>
        <v/>
      </c>
      <c r="AK345" s="67" t="str">
        <f aca="false">IF($AF345=Constants!$B$7,IF(AE345,Z345,Constants!$B$13),"")</f>
        <v/>
      </c>
      <c r="AL345" s="67" t="str">
        <f aca="false">IF($AF345=Constants!$B$7,IF(AE345,T345*IF(AA345, 1, Constants!$B$11)*IF(AB345, 1, Constants!$B$12),Constants!$B$13),"")</f>
        <v/>
      </c>
      <c r="AM345" s="67" t="str">
        <f aca="false">IF($AF345=Constants!$B$7,AK345*AL345,"")</f>
        <v/>
      </c>
      <c r="AN345" s="67" t="str">
        <f aca="false">IF($AF345=Constants!$B$7,IF(AM345&gt;AJ345,2,1),"")</f>
        <v/>
      </c>
      <c r="AO345" s="67" t="str">
        <f aca="false">IF($AF345=Constants!$B$7,IF(AN345=1,2,1),"")</f>
        <v/>
      </c>
      <c r="AP345" s="67" t="str">
        <f aca="false">IF(ISBLANK($C345),"",IF($AF345&lt;&gt;Constants!$B$7,$AF345,IF(AN345=1,AJ345,AM345)))</f>
        <v/>
      </c>
      <c r="AQ345" s="67" t="str">
        <f aca="false">IF(ISBLANK($C345),"",IF($AF345=Constants!$B$7,IF(ISNUMBER(AP345),RANK(AP345,$AP$8:$AP$507),Constants!$B$14),$AF345))</f>
        <v/>
      </c>
      <c r="AR345" s="67" t="str">
        <f aca="false">IF(ISBLANK($C345),"",IF($AF345=Constants!$B$7,IF(AO345=1,AJ345,AM345),""))</f>
        <v/>
      </c>
      <c r="AS345" s="67" t="str">
        <f aca="false">IF(ISBLANK($C345),"",IF($AF345=Constants!$B$7,RANK(AR345,$AR$8:$AR$507),$AF345))</f>
        <v/>
      </c>
      <c r="AT345" s="67" t="str">
        <f aca="false">IF(ISBLANK($C345),"",IF($AF345=Constants!$B$7,IF(ISNUMBER(AQ345),COUNTIFS($AQ$8:$AQ$507,"&lt;"&amp;$AQ345)+COUNTIFS($AQ$8:$AQ$507,$AQ345,$AS$8:$AS$507,"&lt;"&amp;$AS345)+1,Constants!$B$14),$AF345))</f>
        <v/>
      </c>
      <c r="AU345" s="67" t="str">
        <f aca="false">IF(ISBLANK($C345),"",IF($AF345=Constants!$B$7,IF(ISNUMBER(AQ345),AQ345-AT345,Constants!$B$14),$AF345))</f>
        <v/>
      </c>
      <c r="AV345" s="69"/>
      <c r="AW345" s="70" t="str">
        <f aca="false">IF(ISBLANK($C345),"",IF($AF345&lt;&gt;Constants!$B$7,"",AN345))</f>
        <v/>
      </c>
      <c r="AX345" s="85" t="str">
        <f aca="false">IF(ISBLANK($C345),"",IF($AF345&lt;&gt;Constants!$B$7,"",IF(AN345=1,AH345,AK345)))</f>
        <v/>
      </c>
      <c r="AY345" s="72" t="str">
        <f aca="false">IF(ISBLANK($C345),"",IF($AF345&lt;&gt;Constants!$B$7,"",IF(AN345=1,AI345,AL345)))</f>
        <v/>
      </c>
      <c r="AZ345" s="73" t="str">
        <f aca="false">IF(ISBLANK($C345),"",IF($AF345&lt;&gt;Constants!$B$7,$AF345,AP345))</f>
        <v/>
      </c>
      <c r="BA345" s="74" t="str">
        <f aca="false">IF(ISBLANK($C345),"",IF($AF345&lt;&gt;Constants!$B$7,$AF345,AG345))</f>
        <v/>
      </c>
      <c r="BB345" s="75" t="str">
        <f aca="false">IF(ISBLANK($C345),"",AU345)</f>
        <v/>
      </c>
      <c r="BC345" s="75" t="str">
        <f aca="false">IF(ISBLANK($C345),"",AT345)</f>
        <v/>
      </c>
      <c r="BD345" s="76" t="str">
        <f aca="false">IF(ISBLANK($C345),"",IFERROR(_xlfn.SWITCH(BC345,Constants!$B$4,COUNTA($C$8:$C$507)+2,Constants!$B$5,COUNTA($C$8:$C$507)+1,Constants!$B$6,COUNTA($C$8:$C$507)),BC345))</f>
        <v/>
      </c>
      <c r="BE345" s="5"/>
      <c r="BF345" s="77" t="n">
        <f aca="false">IF(OR(ISNUMBER(BC345),BC345=Constants!$B$4,BC345=Constants!$B$6,BC345=Constants!$B$5),1,0)</f>
        <v>0</v>
      </c>
      <c r="BG345" s="77" t="n">
        <v>338</v>
      </c>
      <c r="BH345" s="77" t="str">
        <f aca="false">IF(ISBLANK($C345),"",IF(ISNUMBER(BD345),BD345+ROW($B345)/1000,""))</f>
        <v/>
      </c>
      <c r="BI345" s="77" t="str">
        <f aca="false">IF(ISNUMBER(BH345),RANK(BH345,$BH$8:$BH$507,1),"")</f>
        <v/>
      </c>
      <c r="BJ345" s="77" t="str">
        <f aca="false">IF(ISBLANK($C345),"",$B345)</f>
        <v/>
      </c>
      <c r="BK345" s="77" t="str">
        <f aca="false">IF(ISBLANK($C345),"",$C345)</f>
        <v/>
      </c>
      <c r="BL345" s="77" t="str">
        <f aca="false">IF(ISBLANK($C345),"",$D345)</f>
        <v/>
      </c>
      <c r="BM345" s="78" t="str">
        <f aca="false">BA345</f>
        <v/>
      </c>
      <c r="BN345" s="79" t="str">
        <f aca="false">AZ345</f>
        <v/>
      </c>
      <c r="BO345" s="77" t="str">
        <f aca="false">IF(ISBLANK($C345),"",BC345)</f>
        <v/>
      </c>
      <c r="BP345" s="80" t="str">
        <f aca="false">IF($BG345&gt;$BF$7,"",VLOOKUP($BG345,$BI$8:$BO$507,7,FALSE()))</f>
        <v/>
      </c>
      <c r="BQ345" s="81" t="str">
        <f aca="false">IF($BG345&gt;$BF$7,"",VLOOKUP($BG345,$BI$8:$BO$507,2,FALSE()))</f>
        <v/>
      </c>
      <c r="BR345" s="81" t="str">
        <f aca="false">IF($BG345&gt;$BF$7,"",VLOOKUP($BG345,$BI$8:$BO$507,3,FALSE()))</f>
        <v/>
      </c>
      <c r="BS345" s="81" t="str">
        <f aca="false">IF($BG345&gt;$BF$7,"",VLOOKUP($BG345,$BI$8:$BO$507,4,FALSE()))</f>
        <v/>
      </c>
      <c r="BT345" s="81" t="str">
        <f aca="false">IF($BG345&gt;$BF$7,"",VLOOKUP($BG345,$BI$8:$BO$507,5,FALSE()))</f>
        <v/>
      </c>
      <c r="BU345" s="82" t="str">
        <f aca="false">IF($BG345&gt;$BF$7,"",VLOOKUP($BG345,$BI$8:$BO$507,6,FALSE()))</f>
        <v/>
      </c>
      <c r="BV345" s="54"/>
    </row>
    <row r="346" customFormat="false" ht="15.75" hidden="false" customHeight="false" outlineLevel="0" collapsed="false">
      <c r="A346" s="5"/>
      <c r="B346" s="135"/>
      <c r="C346" s="56"/>
      <c r="D346" s="57"/>
      <c r="E346" s="84"/>
      <c r="F346" s="136"/>
      <c r="G346" s="60"/>
      <c r="H346" s="137"/>
      <c r="I346" s="62"/>
      <c r="J346" s="62"/>
      <c r="K346" s="60"/>
      <c r="L346" s="138"/>
      <c r="M346" s="62"/>
      <c r="N346" s="62"/>
      <c r="O346" s="60"/>
      <c r="P346" s="84"/>
      <c r="Q346" s="65"/>
      <c r="R346" s="67" t="str">
        <f aca="false">IF(ISBLANK($C346),"",IF(E346=Constants!$B$2, TRUE(), IF(E346=Constants!$B$3, FALSE(), TRUE())))</f>
        <v/>
      </c>
      <c r="S346" s="67" t="str">
        <f aca="false">IF(ISBLANK($C346),"",IF(F346=Constants!$B$2, TRUE(), IF(F346=Constants!$B$3, FALSE(), TRUE())))</f>
        <v/>
      </c>
      <c r="T346" s="67" t="str">
        <f aca="false">IF(ISBLANK($C346),"",IF(G346=Constants!$B$16,Constants!$B$9,IF(G346=Constants!$B$17,Constants!$B$10,Constants!$B$8)))</f>
        <v/>
      </c>
      <c r="U346" s="67" t="str">
        <f aca="false">IF(ISBLANK($C346),"",IF(H346=Constants!$B$19,Constants!$B$19,Constants!$B$18))</f>
        <v/>
      </c>
      <c r="V346" s="67" t="str">
        <f aca="false">IF(ISBLANK($C346),"",IF(ISNUMBER(I346),IF(I346&gt;=0,I346,""),""))</f>
        <v/>
      </c>
      <c r="W346" s="67" t="str">
        <f aca="false">IF(ISBLANK($C346),"",IF(J346=Constants!$B$2, TRUE(), IF(J346=Constants!$B$3, FALSE(), TRUE())))</f>
        <v/>
      </c>
      <c r="X346" s="67" t="str">
        <f aca="false">IF(ISBLANK($C346),"",IF(K346=Constants!$B$2, TRUE(), IF(K346=Constants!$B$3, FALSE(), TRUE())))</f>
        <v/>
      </c>
      <c r="Y346" s="67" t="str">
        <f aca="false">IF(ISBLANK($C346),"",IF(L346=Constants!$B$19,Constants!$B$19,Constants!$B$18))</f>
        <v/>
      </c>
      <c r="Z346" s="67" t="str">
        <f aca="false">IF(ISBLANK($C346),"",IF(ISNUMBER(M346),IF(M346&gt;=0,M346,""),""))</f>
        <v/>
      </c>
      <c r="AA346" s="67" t="str">
        <f aca="false">IF(ISBLANK($C346),"",IF(N346=Constants!$B$2, TRUE(), IF(N346=Constants!$B$3, FALSE(), TRUE())))</f>
        <v/>
      </c>
      <c r="AB346" s="67" t="str">
        <f aca="false">IF(ISBLANK($C346),"",IF(O346=Constants!$B$2, TRUE(), IF(O346=Constants!$B$3, FALSE(), TRUE())))</f>
        <v/>
      </c>
      <c r="AC346" s="67" t="str">
        <f aca="false">IF(ISBLANK($C346),"",IF(P346=Constants!$B$2, TRUE(), IF(P346=Constants!$B$3, FALSE(), FALSE())))</f>
        <v/>
      </c>
      <c r="AD346" s="67" t="str">
        <f aca="false">IF(ISBLANK($C346),"",AND(V346&lt;&gt;"",IF(U346=Constants!$B$19,S346,R346)))</f>
        <v/>
      </c>
      <c r="AE346" s="67" t="str">
        <f aca="false">IF(ISBLANK($C346),"",AND(Z346&lt;&gt;"",IF(Y346=Constants!$B$19,S346,R346)))</f>
        <v/>
      </c>
      <c r="AF346" s="67" t="str">
        <f aca="false">IF(ISBLANK($C346),"",IF(AC346,Constants!$B$4,IF(COUNTA(E346:O346)=0,Constants!$B$5,IF(AND(NOT(AD346),NOT(AE346)),Constants!$B$6,Constants!$B$7))))</f>
        <v/>
      </c>
      <c r="AG346" s="67" t="str">
        <f aca="false">IF(ISBLANK($C346),"",IF($AF346&lt;&gt;Constants!$B$7,$AF346,Constants!$B$20))</f>
        <v/>
      </c>
      <c r="AH346" s="67" t="str">
        <f aca="false">IF($AF346=Constants!$B$7,IF(AD346,V346,Constants!$B$13),"")</f>
        <v/>
      </c>
      <c r="AI346" s="67" t="str">
        <f aca="false">IF($AF346=Constants!$B$7,IF(AD346,T346*IF(W346, 1, Constants!$B$11)*IF(X346, 1, Constants!$B$12),Constants!$B$13),"")</f>
        <v/>
      </c>
      <c r="AJ346" s="67" t="str">
        <f aca="false">IF($AF346=Constants!$B$7,AH346*AI346,"")</f>
        <v/>
      </c>
      <c r="AK346" s="67" t="str">
        <f aca="false">IF($AF346=Constants!$B$7,IF(AE346,Z346,Constants!$B$13),"")</f>
        <v/>
      </c>
      <c r="AL346" s="67" t="str">
        <f aca="false">IF($AF346=Constants!$B$7,IF(AE346,T346*IF(AA346, 1, Constants!$B$11)*IF(AB346, 1, Constants!$B$12),Constants!$B$13),"")</f>
        <v/>
      </c>
      <c r="AM346" s="67" t="str">
        <f aca="false">IF($AF346=Constants!$B$7,AK346*AL346,"")</f>
        <v/>
      </c>
      <c r="AN346" s="67" t="str">
        <f aca="false">IF($AF346=Constants!$B$7,IF(AM346&gt;AJ346,2,1),"")</f>
        <v/>
      </c>
      <c r="AO346" s="67" t="str">
        <f aca="false">IF($AF346=Constants!$B$7,IF(AN346=1,2,1),"")</f>
        <v/>
      </c>
      <c r="AP346" s="67" t="str">
        <f aca="false">IF(ISBLANK($C346),"",IF($AF346&lt;&gt;Constants!$B$7,$AF346,IF(AN346=1,AJ346,AM346)))</f>
        <v/>
      </c>
      <c r="AQ346" s="67" t="str">
        <f aca="false">IF(ISBLANK($C346),"",IF($AF346=Constants!$B$7,IF(ISNUMBER(AP346),RANK(AP346,$AP$8:$AP$507),Constants!$B$14),$AF346))</f>
        <v/>
      </c>
      <c r="AR346" s="67" t="str">
        <f aca="false">IF(ISBLANK($C346),"",IF($AF346=Constants!$B$7,IF(AO346=1,AJ346,AM346),""))</f>
        <v/>
      </c>
      <c r="AS346" s="67" t="str">
        <f aca="false">IF(ISBLANK($C346),"",IF($AF346=Constants!$B$7,RANK(AR346,$AR$8:$AR$507),$AF346))</f>
        <v/>
      </c>
      <c r="AT346" s="67" t="str">
        <f aca="false">IF(ISBLANK($C346),"",IF($AF346=Constants!$B$7,IF(ISNUMBER(AQ346),COUNTIFS($AQ$8:$AQ$507,"&lt;"&amp;$AQ346)+COUNTIFS($AQ$8:$AQ$507,$AQ346,$AS$8:$AS$507,"&lt;"&amp;$AS346)+1,Constants!$B$14),$AF346))</f>
        <v/>
      </c>
      <c r="AU346" s="67" t="str">
        <f aca="false">IF(ISBLANK($C346),"",IF($AF346=Constants!$B$7,IF(ISNUMBER(AQ346),AQ346-AT346,Constants!$B$14),$AF346))</f>
        <v/>
      </c>
      <c r="AV346" s="69"/>
      <c r="AW346" s="70" t="str">
        <f aca="false">IF(ISBLANK($C346),"",IF($AF346&lt;&gt;Constants!$B$7,"",AN346))</f>
        <v/>
      </c>
      <c r="AX346" s="85" t="str">
        <f aca="false">IF(ISBLANK($C346),"",IF($AF346&lt;&gt;Constants!$B$7,"",IF(AN346=1,AH346,AK346)))</f>
        <v/>
      </c>
      <c r="AY346" s="72" t="str">
        <f aca="false">IF(ISBLANK($C346),"",IF($AF346&lt;&gt;Constants!$B$7,"",IF(AN346=1,AI346,AL346)))</f>
        <v/>
      </c>
      <c r="AZ346" s="73" t="str">
        <f aca="false">IF(ISBLANK($C346),"",IF($AF346&lt;&gt;Constants!$B$7,$AF346,AP346))</f>
        <v/>
      </c>
      <c r="BA346" s="74" t="str">
        <f aca="false">IF(ISBLANK($C346),"",IF($AF346&lt;&gt;Constants!$B$7,$AF346,AG346))</f>
        <v/>
      </c>
      <c r="BB346" s="75" t="str">
        <f aca="false">IF(ISBLANK($C346),"",AU346)</f>
        <v/>
      </c>
      <c r="BC346" s="75" t="str">
        <f aca="false">IF(ISBLANK($C346),"",AT346)</f>
        <v/>
      </c>
      <c r="BD346" s="76" t="str">
        <f aca="false">IF(ISBLANK($C346),"",IFERROR(_xlfn.SWITCH(BC346,Constants!$B$4,COUNTA($C$8:$C$507)+2,Constants!$B$5,COUNTA($C$8:$C$507)+1,Constants!$B$6,COUNTA($C$8:$C$507)),BC346))</f>
        <v/>
      </c>
      <c r="BE346" s="5"/>
      <c r="BF346" s="77" t="n">
        <f aca="false">IF(OR(ISNUMBER(BC346),BC346=Constants!$B$4,BC346=Constants!$B$6,BC346=Constants!$B$5),1,0)</f>
        <v>0</v>
      </c>
      <c r="BG346" s="77" t="n">
        <v>339</v>
      </c>
      <c r="BH346" s="77" t="str">
        <f aca="false">IF(ISBLANK($C346),"",IF(ISNUMBER(BD346),BD346+ROW($B346)/1000,""))</f>
        <v/>
      </c>
      <c r="BI346" s="77" t="str">
        <f aca="false">IF(ISNUMBER(BH346),RANK(BH346,$BH$8:$BH$507,1),"")</f>
        <v/>
      </c>
      <c r="BJ346" s="77" t="str">
        <f aca="false">IF(ISBLANK($C346),"",$B346)</f>
        <v/>
      </c>
      <c r="BK346" s="77" t="str">
        <f aca="false">IF(ISBLANK($C346),"",$C346)</f>
        <v/>
      </c>
      <c r="BL346" s="77" t="str">
        <f aca="false">IF(ISBLANK($C346),"",$D346)</f>
        <v/>
      </c>
      <c r="BM346" s="78" t="str">
        <f aca="false">BA346</f>
        <v/>
      </c>
      <c r="BN346" s="79" t="str">
        <f aca="false">AZ346</f>
        <v/>
      </c>
      <c r="BO346" s="77" t="str">
        <f aca="false">IF(ISBLANK($C346),"",BC346)</f>
        <v/>
      </c>
      <c r="BP346" s="80" t="str">
        <f aca="false">IF($BG346&gt;$BF$7,"",VLOOKUP($BG346,$BI$8:$BO$507,7,FALSE()))</f>
        <v/>
      </c>
      <c r="BQ346" s="81" t="str">
        <f aca="false">IF($BG346&gt;$BF$7,"",VLOOKUP($BG346,$BI$8:$BO$507,2,FALSE()))</f>
        <v/>
      </c>
      <c r="BR346" s="81" t="str">
        <f aca="false">IF($BG346&gt;$BF$7,"",VLOOKUP($BG346,$BI$8:$BO$507,3,FALSE()))</f>
        <v/>
      </c>
      <c r="BS346" s="81" t="str">
        <f aca="false">IF($BG346&gt;$BF$7,"",VLOOKUP($BG346,$BI$8:$BO$507,4,FALSE()))</f>
        <v/>
      </c>
      <c r="BT346" s="81" t="str">
        <f aca="false">IF($BG346&gt;$BF$7,"",VLOOKUP($BG346,$BI$8:$BO$507,5,FALSE()))</f>
        <v/>
      </c>
      <c r="BU346" s="82" t="str">
        <f aca="false">IF($BG346&gt;$BF$7,"",VLOOKUP($BG346,$BI$8:$BO$507,6,FALSE()))</f>
        <v/>
      </c>
      <c r="BV346" s="54"/>
    </row>
    <row r="347" customFormat="false" ht="15.75" hidden="false" customHeight="false" outlineLevel="0" collapsed="false">
      <c r="A347" s="5"/>
      <c r="B347" s="128"/>
      <c r="C347" s="129"/>
      <c r="D347" s="114"/>
      <c r="E347" s="134"/>
      <c r="F347" s="139"/>
      <c r="G347" s="93"/>
      <c r="H347" s="140"/>
      <c r="I347" s="95"/>
      <c r="J347" s="95"/>
      <c r="K347" s="93"/>
      <c r="L347" s="141"/>
      <c r="M347" s="95"/>
      <c r="N347" s="95"/>
      <c r="O347" s="93"/>
      <c r="P347" s="134"/>
      <c r="Q347" s="98"/>
      <c r="R347" s="99" t="str">
        <f aca="false">IF(ISBLANK($C347),"",IF(E347=Constants!$B$2, TRUE(), IF(E347=Constants!$B$3, FALSE(), TRUE())))</f>
        <v/>
      </c>
      <c r="S347" s="99" t="str">
        <f aca="false">IF(ISBLANK($C347),"",IF(F347=Constants!$B$2, TRUE(), IF(F347=Constants!$B$3, FALSE(), TRUE())))</f>
        <v/>
      </c>
      <c r="T347" s="99" t="str">
        <f aca="false">IF(ISBLANK($C347),"",IF(G347=Constants!$B$16,Constants!$B$9,IF(G347=Constants!$B$17,Constants!$B$10,Constants!$B$8)))</f>
        <v/>
      </c>
      <c r="U347" s="99" t="str">
        <f aca="false">IF(ISBLANK($C347),"",IF(H347=Constants!$B$19,Constants!$B$19,Constants!$B$18))</f>
        <v/>
      </c>
      <c r="V347" s="99" t="str">
        <f aca="false">IF(ISBLANK($C347),"",IF(ISNUMBER(I347),IF(I347&gt;=0,I347,""),""))</f>
        <v/>
      </c>
      <c r="W347" s="99" t="str">
        <f aca="false">IF(ISBLANK($C347),"",IF(J347=Constants!$B$2, TRUE(), IF(J347=Constants!$B$3, FALSE(), TRUE())))</f>
        <v/>
      </c>
      <c r="X347" s="99" t="str">
        <f aca="false">IF(ISBLANK($C347),"",IF(K347=Constants!$B$2, TRUE(), IF(K347=Constants!$B$3, FALSE(), TRUE())))</f>
        <v/>
      </c>
      <c r="Y347" s="99" t="str">
        <f aca="false">IF(ISBLANK($C347),"",IF(L347=Constants!$B$19,Constants!$B$19,Constants!$B$18))</f>
        <v/>
      </c>
      <c r="Z347" s="99" t="str">
        <f aca="false">IF(ISBLANK($C347),"",IF(ISNUMBER(M347),IF(M347&gt;=0,M347,""),""))</f>
        <v/>
      </c>
      <c r="AA347" s="99" t="str">
        <f aca="false">IF(ISBLANK($C347),"",IF(N347=Constants!$B$2, TRUE(), IF(N347=Constants!$B$3, FALSE(), TRUE())))</f>
        <v/>
      </c>
      <c r="AB347" s="99" t="str">
        <f aca="false">IF(ISBLANK($C347),"",IF(O347=Constants!$B$2, TRUE(), IF(O347=Constants!$B$3, FALSE(), TRUE())))</f>
        <v/>
      </c>
      <c r="AC347" s="99" t="str">
        <f aca="false">IF(ISBLANK($C347),"",IF(P347=Constants!$B$2, TRUE(), IF(P347=Constants!$B$3, FALSE(), FALSE())))</f>
        <v/>
      </c>
      <c r="AD347" s="99" t="str">
        <f aca="false">IF(ISBLANK($C347),"",AND(V347&lt;&gt;"",IF(U347=Constants!$B$19,S347,R347)))</f>
        <v/>
      </c>
      <c r="AE347" s="99" t="str">
        <f aca="false">IF(ISBLANK($C347),"",AND(Z347&lt;&gt;"",IF(Y347=Constants!$B$19,S347,R347)))</f>
        <v/>
      </c>
      <c r="AF347" s="99" t="str">
        <f aca="false">IF(ISBLANK($C347),"",IF(AC347,Constants!$B$4,IF(COUNTA(E347:O347)=0,Constants!$B$5,IF(AND(NOT(AD347),NOT(AE347)),Constants!$B$6,Constants!$B$7))))</f>
        <v/>
      </c>
      <c r="AG347" s="99" t="str">
        <f aca="false">IF(ISBLANK($C347),"",IF($AF347&lt;&gt;Constants!$B$7,$AF347,Constants!$B$20))</f>
        <v/>
      </c>
      <c r="AH347" s="99" t="str">
        <f aca="false">IF($AF347=Constants!$B$7,IF(AD347,V347,Constants!$B$13),"")</f>
        <v/>
      </c>
      <c r="AI347" s="99" t="str">
        <f aca="false">IF($AF347=Constants!$B$7,IF(AD347,T347*IF(W347, 1, Constants!$B$11)*IF(X347, 1, Constants!$B$12),Constants!$B$13),"")</f>
        <v/>
      </c>
      <c r="AJ347" s="99" t="str">
        <f aca="false">IF($AF347=Constants!$B$7,AH347*AI347,"")</f>
        <v/>
      </c>
      <c r="AK347" s="99" t="str">
        <f aca="false">IF($AF347=Constants!$B$7,IF(AE347,Z347,Constants!$B$13),"")</f>
        <v/>
      </c>
      <c r="AL347" s="99" t="str">
        <f aca="false">IF($AF347=Constants!$B$7,IF(AE347,T347*IF(AA347, 1, Constants!$B$11)*IF(AB347, 1, Constants!$B$12),Constants!$B$13),"")</f>
        <v/>
      </c>
      <c r="AM347" s="99" t="str">
        <f aca="false">IF($AF347=Constants!$B$7,AK347*AL347,"")</f>
        <v/>
      </c>
      <c r="AN347" s="99" t="str">
        <f aca="false">IF($AF347=Constants!$B$7,IF(AM347&gt;AJ347,2,1),"")</f>
        <v/>
      </c>
      <c r="AO347" s="99" t="str">
        <f aca="false">IF($AF347=Constants!$B$7,IF(AN347=1,2,1),"")</f>
        <v/>
      </c>
      <c r="AP347" s="99" t="str">
        <f aca="false">IF(ISBLANK($C347),"",IF($AF347&lt;&gt;Constants!$B$7,$AF347,IF(AN347=1,AJ347,AM347)))</f>
        <v/>
      </c>
      <c r="AQ347" s="99" t="str">
        <f aca="false">IF(ISBLANK($C347),"",IF($AF347=Constants!$B$7,IF(ISNUMBER(AP347),RANK(AP347,$AP$8:$AP$507),Constants!$B$14),$AF347))</f>
        <v/>
      </c>
      <c r="AR347" s="99" t="str">
        <f aca="false">IF(ISBLANK($C347),"",IF($AF347=Constants!$B$7,IF(AO347=1,AJ347,AM347),""))</f>
        <v/>
      </c>
      <c r="AS347" s="99" t="str">
        <f aca="false">IF(ISBLANK($C347),"",IF($AF347=Constants!$B$7,RANK(AR347,$AR$8:$AR$507),$AF347))</f>
        <v/>
      </c>
      <c r="AT347" s="99" t="str">
        <f aca="false">IF(ISBLANK($C347),"",IF($AF347=Constants!$B$7,IF(ISNUMBER(AQ347),COUNTIFS($AQ$8:$AQ$507,"&lt;"&amp;$AQ347)+COUNTIFS($AQ$8:$AQ$507,$AQ347,$AS$8:$AS$507,"&lt;"&amp;$AS347)+1,Constants!$B$14),$AF347))</f>
        <v/>
      </c>
      <c r="AU347" s="99" t="str">
        <f aca="false">IF(ISBLANK($C347),"",IF($AF347=Constants!$B$7,IF(ISNUMBER(AQ347),AQ347-AT347,Constants!$B$14),$AF347))</f>
        <v/>
      </c>
      <c r="AV347" s="100"/>
      <c r="AW347" s="101" t="str">
        <f aca="false">IF(ISBLANK($C347),"",IF($AF347&lt;&gt;Constants!$B$7,"",AN347))</f>
        <v/>
      </c>
      <c r="AX347" s="102" t="str">
        <f aca="false">IF(ISBLANK($C347),"",IF($AF347&lt;&gt;Constants!$B$7,"",IF(AN347=1,AH347,AK347)))</f>
        <v/>
      </c>
      <c r="AY347" s="103" t="str">
        <f aca="false">IF(ISBLANK($C347),"",IF($AF347&lt;&gt;Constants!$B$7,"",IF(AN347=1,AI347,AL347)))</f>
        <v/>
      </c>
      <c r="AZ347" s="104" t="str">
        <f aca="false">IF(ISBLANK($C347),"",IF($AF347&lt;&gt;Constants!$B$7,$AF347,AP347))</f>
        <v/>
      </c>
      <c r="BA347" s="105" t="str">
        <f aca="false">IF(ISBLANK($C347),"",IF($AF347&lt;&gt;Constants!$B$7,$AF347,AG347))</f>
        <v/>
      </c>
      <c r="BB347" s="106" t="str">
        <f aca="false">IF(ISBLANK($C347),"",AU347)</f>
        <v/>
      </c>
      <c r="BC347" s="106" t="str">
        <f aca="false">IF(ISBLANK($C347),"",AT347)</f>
        <v/>
      </c>
      <c r="BD347" s="107" t="str">
        <f aca="false">IF(ISBLANK($C347),"",IFERROR(_xlfn.SWITCH(BC347,Constants!$B$4,COUNTA($C$8:$C$507)+2,Constants!$B$5,COUNTA($C$8:$C$507)+1,Constants!$B$6,COUNTA($C$8:$C$507)),BC347))</f>
        <v/>
      </c>
      <c r="BE347" s="5"/>
      <c r="BF347" s="108" t="n">
        <f aca="false">IF(OR(ISNUMBER(BC347),BC347=Constants!$B$4,BC347=Constants!$B$6,BC347=Constants!$B$5),1,0)</f>
        <v>0</v>
      </c>
      <c r="BG347" s="108" t="n">
        <v>340</v>
      </c>
      <c r="BH347" s="108" t="str">
        <f aca="false">IF(ISBLANK($C347),"",IF(ISNUMBER(BD347),BD347+ROW($B347)/1000,""))</f>
        <v/>
      </c>
      <c r="BI347" s="108" t="str">
        <f aca="false">IF(ISNUMBER(BH347),RANK(BH347,$BH$8:$BH$507,1),"")</f>
        <v/>
      </c>
      <c r="BJ347" s="108" t="str">
        <f aca="false">IF(ISBLANK($C347),"",$B347)</f>
        <v/>
      </c>
      <c r="BK347" s="108" t="str">
        <f aca="false">IF(ISBLANK($C347),"",$C347)</f>
        <v/>
      </c>
      <c r="BL347" s="108" t="str">
        <f aca="false">IF(ISBLANK($C347),"",$D347)</f>
        <v/>
      </c>
      <c r="BM347" s="109" t="str">
        <f aca="false">BA347</f>
        <v/>
      </c>
      <c r="BN347" s="110" t="str">
        <f aca="false">AZ347</f>
        <v/>
      </c>
      <c r="BO347" s="108" t="str">
        <f aca="false">IF(ISBLANK($C347),"",BC347)</f>
        <v/>
      </c>
      <c r="BP347" s="111" t="str">
        <f aca="false">IF($BG347&gt;$BF$7,"",VLOOKUP($BG347,$BI$8:$BO$507,7,FALSE()))</f>
        <v/>
      </c>
      <c r="BQ347" s="112" t="str">
        <f aca="false">IF($BG347&gt;$BF$7,"",VLOOKUP($BG347,$BI$8:$BO$507,2,FALSE()))</f>
        <v/>
      </c>
      <c r="BR347" s="112" t="str">
        <f aca="false">IF($BG347&gt;$BF$7,"",VLOOKUP($BG347,$BI$8:$BO$507,3,FALSE()))</f>
        <v/>
      </c>
      <c r="BS347" s="112" t="str">
        <f aca="false">IF($BG347&gt;$BF$7,"",VLOOKUP($BG347,$BI$8:$BO$507,4,FALSE()))</f>
        <v/>
      </c>
      <c r="BT347" s="112" t="str">
        <f aca="false">IF($BG347&gt;$BF$7,"",VLOOKUP($BG347,$BI$8:$BO$507,5,FALSE()))</f>
        <v/>
      </c>
      <c r="BU347" s="113" t="str">
        <f aca="false">IF($BG347&gt;$BF$7,"",VLOOKUP($BG347,$BI$8:$BO$507,6,FALSE()))</f>
        <v/>
      </c>
      <c r="BV347" s="54"/>
    </row>
    <row r="348" customFormat="false" ht="15.75" hidden="false" customHeight="false" outlineLevel="0" collapsed="false">
      <c r="A348" s="5"/>
      <c r="B348" s="128"/>
      <c r="C348" s="129"/>
      <c r="D348" s="114"/>
      <c r="E348" s="134"/>
      <c r="F348" s="139"/>
      <c r="G348" s="93"/>
      <c r="H348" s="140"/>
      <c r="I348" s="95"/>
      <c r="J348" s="95"/>
      <c r="K348" s="93"/>
      <c r="L348" s="141"/>
      <c r="M348" s="95"/>
      <c r="N348" s="95"/>
      <c r="O348" s="93"/>
      <c r="P348" s="134"/>
      <c r="Q348" s="98"/>
      <c r="R348" s="99" t="str">
        <f aca="false">IF(ISBLANK($C348),"",IF(E348=Constants!$B$2, TRUE(), IF(E348=Constants!$B$3, FALSE(), TRUE())))</f>
        <v/>
      </c>
      <c r="S348" s="99" t="str">
        <f aca="false">IF(ISBLANK($C348),"",IF(F348=Constants!$B$2, TRUE(), IF(F348=Constants!$B$3, FALSE(), TRUE())))</f>
        <v/>
      </c>
      <c r="T348" s="99" t="str">
        <f aca="false">IF(ISBLANK($C348),"",IF(G348=Constants!$B$16,Constants!$B$9,IF(G348=Constants!$B$17,Constants!$B$10,Constants!$B$8)))</f>
        <v/>
      </c>
      <c r="U348" s="99" t="str">
        <f aca="false">IF(ISBLANK($C348),"",IF(H348=Constants!$B$19,Constants!$B$19,Constants!$B$18))</f>
        <v/>
      </c>
      <c r="V348" s="99" t="str">
        <f aca="false">IF(ISBLANK($C348),"",IF(ISNUMBER(I348),IF(I348&gt;=0,I348,""),""))</f>
        <v/>
      </c>
      <c r="W348" s="99" t="str">
        <f aca="false">IF(ISBLANK($C348),"",IF(J348=Constants!$B$2, TRUE(), IF(J348=Constants!$B$3, FALSE(), TRUE())))</f>
        <v/>
      </c>
      <c r="X348" s="99" t="str">
        <f aca="false">IF(ISBLANK($C348),"",IF(K348=Constants!$B$2, TRUE(), IF(K348=Constants!$B$3, FALSE(), TRUE())))</f>
        <v/>
      </c>
      <c r="Y348" s="99" t="str">
        <f aca="false">IF(ISBLANK($C348),"",IF(L348=Constants!$B$19,Constants!$B$19,Constants!$B$18))</f>
        <v/>
      </c>
      <c r="Z348" s="99" t="str">
        <f aca="false">IF(ISBLANK($C348),"",IF(ISNUMBER(M348),IF(M348&gt;=0,M348,""),""))</f>
        <v/>
      </c>
      <c r="AA348" s="99" t="str">
        <f aca="false">IF(ISBLANK($C348),"",IF(N348=Constants!$B$2, TRUE(), IF(N348=Constants!$B$3, FALSE(), TRUE())))</f>
        <v/>
      </c>
      <c r="AB348" s="99" t="str">
        <f aca="false">IF(ISBLANK($C348),"",IF(O348=Constants!$B$2, TRUE(), IF(O348=Constants!$B$3, FALSE(), TRUE())))</f>
        <v/>
      </c>
      <c r="AC348" s="99" t="str">
        <f aca="false">IF(ISBLANK($C348),"",IF(P348=Constants!$B$2, TRUE(), IF(P348=Constants!$B$3, FALSE(), FALSE())))</f>
        <v/>
      </c>
      <c r="AD348" s="99" t="str">
        <f aca="false">IF(ISBLANK($C348),"",AND(V348&lt;&gt;"",IF(U348=Constants!$B$19,S348,R348)))</f>
        <v/>
      </c>
      <c r="AE348" s="99" t="str">
        <f aca="false">IF(ISBLANK($C348),"",AND(Z348&lt;&gt;"",IF(Y348=Constants!$B$19,S348,R348)))</f>
        <v/>
      </c>
      <c r="AF348" s="99" t="str">
        <f aca="false">IF(ISBLANK($C348),"",IF(AC348,Constants!$B$4,IF(COUNTA(E348:O348)=0,Constants!$B$5,IF(AND(NOT(AD348),NOT(AE348)),Constants!$B$6,Constants!$B$7))))</f>
        <v/>
      </c>
      <c r="AG348" s="99" t="str">
        <f aca="false">IF(ISBLANK($C348),"",IF($AF348&lt;&gt;Constants!$B$7,$AF348,Constants!$B$20))</f>
        <v/>
      </c>
      <c r="AH348" s="99" t="str">
        <f aca="false">IF($AF348=Constants!$B$7,IF(AD348,V348,Constants!$B$13),"")</f>
        <v/>
      </c>
      <c r="AI348" s="99" t="str">
        <f aca="false">IF($AF348=Constants!$B$7,IF(AD348,T348*IF(W348, 1, Constants!$B$11)*IF(X348, 1, Constants!$B$12),Constants!$B$13),"")</f>
        <v/>
      </c>
      <c r="AJ348" s="99" t="str">
        <f aca="false">IF($AF348=Constants!$B$7,AH348*AI348,"")</f>
        <v/>
      </c>
      <c r="AK348" s="99" t="str">
        <f aca="false">IF($AF348=Constants!$B$7,IF(AE348,Z348,Constants!$B$13),"")</f>
        <v/>
      </c>
      <c r="AL348" s="99" t="str">
        <f aca="false">IF($AF348=Constants!$B$7,IF(AE348,T348*IF(AA348, 1, Constants!$B$11)*IF(AB348, 1, Constants!$B$12),Constants!$B$13),"")</f>
        <v/>
      </c>
      <c r="AM348" s="99" t="str">
        <f aca="false">IF($AF348=Constants!$B$7,AK348*AL348,"")</f>
        <v/>
      </c>
      <c r="AN348" s="99" t="str">
        <f aca="false">IF($AF348=Constants!$B$7,IF(AM348&gt;AJ348,2,1),"")</f>
        <v/>
      </c>
      <c r="AO348" s="99" t="str">
        <f aca="false">IF($AF348=Constants!$B$7,IF(AN348=1,2,1),"")</f>
        <v/>
      </c>
      <c r="AP348" s="99" t="str">
        <f aca="false">IF(ISBLANK($C348),"",IF($AF348&lt;&gt;Constants!$B$7,$AF348,IF(AN348=1,AJ348,AM348)))</f>
        <v/>
      </c>
      <c r="AQ348" s="99" t="str">
        <f aca="false">IF(ISBLANK($C348),"",IF($AF348=Constants!$B$7,IF(ISNUMBER(AP348),RANK(AP348,$AP$8:$AP$507),Constants!$B$14),$AF348))</f>
        <v/>
      </c>
      <c r="AR348" s="99" t="str">
        <f aca="false">IF(ISBLANK($C348),"",IF($AF348=Constants!$B$7,IF(AO348=1,AJ348,AM348),""))</f>
        <v/>
      </c>
      <c r="AS348" s="99" t="str">
        <f aca="false">IF(ISBLANK($C348),"",IF($AF348=Constants!$B$7,RANK(AR348,$AR$8:$AR$507),$AF348))</f>
        <v/>
      </c>
      <c r="AT348" s="99" t="str">
        <f aca="false">IF(ISBLANK($C348),"",IF($AF348=Constants!$B$7,IF(ISNUMBER(AQ348),COUNTIFS($AQ$8:$AQ$507,"&lt;"&amp;$AQ348)+COUNTIFS($AQ$8:$AQ$507,$AQ348,$AS$8:$AS$507,"&lt;"&amp;$AS348)+1,Constants!$B$14),$AF348))</f>
        <v/>
      </c>
      <c r="AU348" s="99" t="str">
        <f aca="false">IF(ISBLANK($C348),"",IF($AF348=Constants!$B$7,IF(ISNUMBER(AQ348),AQ348-AT348,Constants!$B$14),$AF348))</f>
        <v/>
      </c>
      <c r="AV348" s="100"/>
      <c r="AW348" s="101" t="str">
        <f aca="false">IF(ISBLANK($C348),"",IF($AF348&lt;&gt;Constants!$B$7,"",AN348))</f>
        <v/>
      </c>
      <c r="AX348" s="102" t="str">
        <f aca="false">IF(ISBLANK($C348),"",IF($AF348&lt;&gt;Constants!$B$7,"",IF(AN348=1,AH348,AK348)))</f>
        <v/>
      </c>
      <c r="AY348" s="103" t="str">
        <f aca="false">IF(ISBLANK($C348),"",IF($AF348&lt;&gt;Constants!$B$7,"",IF(AN348=1,AI348,AL348)))</f>
        <v/>
      </c>
      <c r="AZ348" s="104" t="str">
        <f aca="false">IF(ISBLANK($C348),"",IF($AF348&lt;&gt;Constants!$B$7,$AF348,AP348))</f>
        <v/>
      </c>
      <c r="BA348" s="105" t="str">
        <f aca="false">IF(ISBLANK($C348),"",IF($AF348&lt;&gt;Constants!$B$7,$AF348,AG348))</f>
        <v/>
      </c>
      <c r="BB348" s="106" t="str">
        <f aca="false">IF(ISBLANK($C348),"",AU348)</f>
        <v/>
      </c>
      <c r="BC348" s="106" t="str">
        <f aca="false">IF(ISBLANK($C348),"",AT348)</f>
        <v/>
      </c>
      <c r="BD348" s="107" t="str">
        <f aca="false">IF(ISBLANK($C348),"",IFERROR(_xlfn.SWITCH(BC348,Constants!$B$4,COUNTA($C$8:$C$507)+2,Constants!$B$5,COUNTA($C$8:$C$507)+1,Constants!$B$6,COUNTA($C$8:$C$507)),BC348))</f>
        <v/>
      </c>
      <c r="BE348" s="5"/>
      <c r="BF348" s="108" t="n">
        <f aca="false">IF(OR(ISNUMBER(BC348),BC348=Constants!$B$4,BC348=Constants!$B$6,BC348=Constants!$B$5),1,0)</f>
        <v>0</v>
      </c>
      <c r="BG348" s="108" t="n">
        <v>341</v>
      </c>
      <c r="BH348" s="108" t="str">
        <f aca="false">IF(ISBLANK($C348),"",IF(ISNUMBER(BD348),BD348+ROW($B348)/1000,""))</f>
        <v/>
      </c>
      <c r="BI348" s="108" t="str">
        <f aca="false">IF(ISNUMBER(BH348),RANK(BH348,$BH$8:$BH$507,1),"")</f>
        <v/>
      </c>
      <c r="BJ348" s="108" t="str">
        <f aca="false">IF(ISBLANK($C348),"",$B348)</f>
        <v/>
      </c>
      <c r="BK348" s="108" t="str">
        <f aca="false">IF(ISBLANK($C348),"",$C348)</f>
        <v/>
      </c>
      <c r="BL348" s="108" t="str">
        <f aca="false">IF(ISBLANK($C348),"",$D348)</f>
        <v/>
      </c>
      <c r="BM348" s="109" t="str">
        <f aca="false">BA348</f>
        <v/>
      </c>
      <c r="BN348" s="110" t="str">
        <f aca="false">AZ348</f>
        <v/>
      </c>
      <c r="BO348" s="108" t="str">
        <f aca="false">IF(ISBLANK($C348),"",BC348)</f>
        <v/>
      </c>
      <c r="BP348" s="111" t="str">
        <f aca="false">IF($BG348&gt;$BF$7,"",VLOOKUP($BG348,$BI$8:$BO$507,7,FALSE()))</f>
        <v/>
      </c>
      <c r="BQ348" s="112" t="str">
        <f aca="false">IF($BG348&gt;$BF$7,"",VLOOKUP($BG348,$BI$8:$BO$507,2,FALSE()))</f>
        <v/>
      </c>
      <c r="BR348" s="112" t="str">
        <f aca="false">IF($BG348&gt;$BF$7,"",VLOOKUP($BG348,$BI$8:$BO$507,3,FALSE()))</f>
        <v/>
      </c>
      <c r="BS348" s="112" t="str">
        <f aca="false">IF($BG348&gt;$BF$7,"",VLOOKUP($BG348,$BI$8:$BO$507,4,FALSE()))</f>
        <v/>
      </c>
      <c r="BT348" s="112" t="str">
        <f aca="false">IF($BG348&gt;$BF$7,"",VLOOKUP($BG348,$BI$8:$BO$507,5,FALSE()))</f>
        <v/>
      </c>
      <c r="BU348" s="113" t="str">
        <f aca="false">IF($BG348&gt;$BF$7,"",VLOOKUP($BG348,$BI$8:$BO$507,6,FALSE()))</f>
        <v/>
      </c>
      <c r="BV348" s="54"/>
    </row>
    <row r="349" customFormat="false" ht="15.75" hidden="false" customHeight="false" outlineLevel="0" collapsed="false">
      <c r="A349" s="5"/>
      <c r="B349" s="128"/>
      <c r="C349" s="129"/>
      <c r="D349" s="114"/>
      <c r="E349" s="134"/>
      <c r="F349" s="139"/>
      <c r="G349" s="93"/>
      <c r="H349" s="140"/>
      <c r="I349" s="95"/>
      <c r="J349" s="95"/>
      <c r="K349" s="93"/>
      <c r="L349" s="141"/>
      <c r="M349" s="95"/>
      <c r="N349" s="95"/>
      <c r="O349" s="93"/>
      <c r="P349" s="134"/>
      <c r="Q349" s="98"/>
      <c r="R349" s="99" t="str">
        <f aca="false">IF(ISBLANK($C349),"",IF(E349=Constants!$B$2, TRUE(), IF(E349=Constants!$B$3, FALSE(), TRUE())))</f>
        <v/>
      </c>
      <c r="S349" s="99" t="str">
        <f aca="false">IF(ISBLANK($C349),"",IF(F349=Constants!$B$2, TRUE(), IF(F349=Constants!$B$3, FALSE(), TRUE())))</f>
        <v/>
      </c>
      <c r="T349" s="99" t="str">
        <f aca="false">IF(ISBLANK($C349),"",IF(G349=Constants!$B$16,Constants!$B$9,IF(G349=Constants!$B$17,Constants!$B$10,Constants!$B$8)))</f>
        <v/>
      </c>
      <c r="U349" s="99" t="str">
        <f aca="false">IF(ISBLANK($C349),"",IF(H349=Constants!$B$19,Constants!$B$19,Constants!$B$18))</f>
        <v/>
      </c>
      <c r="V349" s="99" t="str">
        <f aca="false">IF(ISBLANK($C349),"",IF(ISNUMBER(I349),IF(I349&gt;=0,I349,""),""))</f>
        <v/>
      </c>
      <c r="W349" s="99" t="str">
        <f aca="false">IF(ISBLANK($C349),"",IF(J349=Constants!$B$2, TRUE(), IF(J349=Constants!$B$3, FALSE(), TRUE())))</f>
        <v/>
      </c>
      <c r="X349" s="99" t="str">
        <f aca="false">IF(ISBLANK($C349),"",IF(K349=Constants!$B$2, TRUE(), IF(K349=Constants!$B$3, FALSE(), TRUE())))</f>
        <v/>
      </c>
      <c r="Y349" s="99" t="str">
        <f aca="false">IF(ISBLANK($C349),"",IF(L349=Constants!$B$19,Constants!$B$19,Constants!$B$18))</f>
        <v/>
      </c>
      <c r="Z349" s="99" t="str">
        <f aca="false">IF(ISBLANK($C349),"",IF(ISNUMBER(M349),IF(M349&gt;=0,M349,""),""))</f>
        <v/>
      </c>
      <c r="AA349" s="99" t="str">
        <f aca="false">IF(ISBLANK($C349),"",IF(N349=Constants!$B$2, TRUE(), IF(N349=Constants!$B$3, FALSE(), TRUE())))</f>
        <v/>
      </c>
      <c r="AB349" s="99" t="str">
        <f aca="false">IF(ISBLANK($C349),"",IF(O349=Constants!$B$2, TRUE(), IF(O349=Constants!$B$3, FALSE(), TRUE())))</f>
        <v/>
      </c>
      <c r="AC349" s="99" t="str">
        <f aca="false">IF(ISBLANK($C349),"",IF(P349=Constants!$B$2, TRUE(), IF(P349=Constants!$B$3, FALSE(), FALSE())))</f>
        <v/>
      </c>
      <c r="AD349" s="99" t="str">
        <f aca="false">IF(ISBLANK($C349),"",AND(V349&lt;&gt;"",IF(U349=Constants!$B$19,S349,R349)))</f>
        <v/>
      </c>
      <c r="AE349" s="99" t="str">
        <f aca="false">IF(ISBLANK($C349),"",AND(Z349&lt;&gt;"",IF(Y349=Constants!$B$19,S349,R349)))</f>
        <v/>
      </c>
      <c r="AF349" s="99" t="str">
        <f aca="false">IF(ISBLANK($C349),"",IF(AC349,Constants!$B$4,IF(COUNTA(E349:O349)=0,Constants!$B$5,IF(AND(NOT(AD349),NOT(AE349)),Constants!$B$6,Constants!$B$7))))</f>
        <v/>
      </c>
      <c r="AG349" s="99" t="str">
        <f aca="false">IF(ISBLANK($C349),"",IF($AF349&lt;&gt;Constants!$B$7,$AF349,Constants!$B$20))</f>
        <v/>
      </c>
      <c r="AH349" s="99" t="str">
        <f aca="false">IF($AF349=Constants!$B$7,IF(AD349,V349,Constants!$B$13),"")</f>
        <v/>
      </c>
      <c r="AI349" s="99" t="str">
        <f aca="false">IF($AF349=Constants!$B$7,IF(AD349,T349*IF(W349, 1, Constants!$B$11)*IF(X349, 1, Constants!$B$12),Constants!$B$13),"")</f>
        <v/>
      </c>
      <c r="AJ349" s="99" t="str">
        <f aca="false">IF($AF349=Constants!$B$7,AH349*AI349,"")</f>
        <v/>
      </c>
      <c r="AK349" s="99" t="str">
        <f aca="false">IF($AF349=Constants!$B$7,IF(AE349,Z349,Constants!$B$13),"")</f>
        <v/>
      </c>
      <c r="AL349" s="99" t="str">
        <f aca="false">IF($AF349=Constants!$B$7,IF(AE349,T349*IF(AA349, 1, Constants!$B$11)*IF(AB349, 1, Constants!$B$12),Constants!$B$13),"")</f>
        <v/>
      </c>
      <c r="AM349" s="99" t="str">
        <f aca="false">IF($AF349=Constants!$B$7,AK349*AL349,"")</f>
        <v/>
      </c>
      <c r="AN349" s="99" t="str">
        <f aca="false">IF($AF349=Constants!$B$7,IF(AM349&gt;AJ349,2,1),"")</f>
        <v/>
      </c>
      <c r="AO349" s="99" t="str">
        <f aca="false">IF($AF349=Constants!$B$7,IF(AN349=1,2,1),"")</f>
        <v/>
      </c>
      <c r="AP349" s="99" t="str">
        <f aca="false">IF(ISBLANK($C349),"",IF($AF349&lt;&gt;Constants!$B$7,$AF349,IF(AN349=1,AJ349,AM349)))</f>
        <v/>
      </c>
      <c r="AQ349" s="99" t="str">
        <f aca="false">IF(ISBLANK($C349),"",IF($AF349=Constants!$B$7,IF(ISNUMBER(AP349),RANK(AP349,$AP$8:$AP$507),Constants!$B$14),$AF349))</f>
        <v/>
      </c>
      <c r="AR349" s="99" t="str">
        <f aca="false">IF(ISBLANK($C349),"",IF($AF349=Constants!$B$7,IF(AO349=1,AJ349,AM349),""))</f>
        <v/>
      </c>
      <c r="AS349" s="99" t="str">
        <f aca="false">IF(ISBLANK($C349),"",IF($AF349=Constants!$B$7,RANK(AR349,$AR$8:$AR$507),$AF349))</f>
        <v/>
      </c>
      <c r="AT349" s="99" t="str">
        <f aca="false">IF(ISBLANK($C349),"",IF($AF349=Constants!$B$7,IF(ISNUMBER(AQ349),COUNTIFS($AQ$8:$AQ$507,"&lt;"&amp;$AQ349)+COUNTIFS($AQ$8:$AQ$507,$AQ349,$AS$8:$AS$507,"&lt;"&amp;$AS349)+1,Constants!$B$14),$AF349))</f>
        <v/>
      </c>
      <c r="AU349" s="99" t="str">
        <f aca="false">IF(ISBLANK($C349),"",IF($AF349=Constants!$B$7,IF(ISNUMBER(AQ349),AQ349-AT349,Constants!$B$14),$AF349))</f>
        <v/>
      </c>
      <c r="AV349" s="100"/>
      <c r="AW349" s="101" t="str">
        <f aca="false">IF(ISBLANK($C349),"",IF($AF349&lt;&gt;Constants!$B$7,"",AN349))</f>
        <v/>
      </c>
      <c r="AX349" s="102" t="str">
        <f aca="false">IF(ISBLANK($C349),"",IF($AF349&lt;&gt;Constants!$B$7,"",IF(AN349=1,AH349,AK349)))</f>
        <v/>
      </c>
      <c r="AY349" s="103" t="str">
        <f aca="false">IF(ISBLANK($C349),"",IF($AF349&lt;&gt;Constants!$B$7,"",IF(AN349=1,AI349,AL349)))</f>
        <v/>
      </c>
      <c r="AZ349" s="104" t="str">
        <f aca="false">IF(ISBLANK($C349),"",IF($AF349&lt;&gt;Constants!$B$7,$AF349,AP349))</f>
        <v/>
      </c>
      <c r="BA349" s="105" t="str">
        <f aca="false">IF(ISBLANK($C349),"",IF($AF349&lt;&gt;Constants!$B$7,$AF349,AG349))</f>
        <v/>
      </c>
      <c r="BB349" s="106" t="str">
        <f aca="false">IF(ISBLANK($C349),"",AU349)</f>
        <v/>
      </c>
      <c r="BC349" s="106" t="str">
        <f aca="false">IF(ISBLANK($C349),"",AT349)</f>
        <v/>
      </c>
      <c r="BD349" s="107" t="str">
        <f aca="false">IF(ISBLANK($C349),"",IFERROR(_xlfn.SWITCH(BC349,Constants!$B$4,COUNTA($C$8:$C$507)+2,Constants!$B$5,COUNTA($C$8:$C$507)+1,Constants!$B$6,COUNTA($C$8:$C$507)),BC349))</f>
        <v/>
      </c>
      <c r="BE349" s="5"/>
      <c r="BF349" s="108" t="n">
        <f aca="false">IF(OR(ISNUMBER(BC349),BC349=Constants!$B$4,BC349=Constants!$B$6,BC349=Constants!$B$5),1,0)</f>
        <v>0</v>
      </c>
      <c r="BG349" s="108" t="n">
        <v>342</v>
      </c>
      <c r="BH349" s="108" t="str">
        <f aca="false">IF(ISBLANK($C349),"",IF(ISNUMBER(BD349),BD349+ROW($B349)/1000,""))</f>
        <v/>
      </c>
      <c r="BI349" s="108" t="str">
        <f aca="false">IF(ISNUMBER(BH349),RANK(BH349,$BH$8:$BH$507,1),"")</f>
        <v/>
      </c>
      <c r="BJ349" s="108" t="str">
        <f aca="false">IF(ISBLANK($C349),"",$B349)</f>
        <v/>
      </c>
      <c r="BK349" s="108" t="str">
        <f aca="false">IF(ISBLANK($C349),"",$C349)</f>
        <v/>
      </c>
      <c r="BL349" s="108" t="str">
        <f aca="false">IF(ISBLANK($C349),"",$D349)</f>
        <v/>
      </c>
      <c r="BM349" s="109" t="str">
        <f aca="false">BA349</f>
        <v/>
      </c>
      <c r="BN349" s="110" t="str">
        <f aca="false">AZ349</f>
        <v/>
      </c>
      <c r="BO349" s="108" t="str">
        <f aca="false">IF(ISBLANK($C349),"",BC349)</f>
        <v/>
      </c>
      <c r="BP349" s="111" t="str">
        <f aca="false">IF($BG349&gt;$BF$7,"",VLOOKUP($BG349,$BI$8:$BO$507,7,FALSE()))</f>
        <v/>
      </c>
      <c r="BQ349" s="112" t="str">
        <f aca="false">IF($BG349&gt;$BF$7,"",VLOOKUP($BG349,$BI$8:$BO$507,2,FALSE()))</f>
        <v/>
      </c>
      <c r="BR349" s="112" t="str">
        <f aca="false">IF($BG349&gt;$BF$7,"",VLOOKUP($BG349,$BI$8:$BO$507,3,FALSE()))</f>
        <v/>
      </c>
      <c r="BS349" s="112" t="str">
        <f aca="false">IF($BG349&gt;$BF$7,"",VLOOKUP($BG349,$BI$8:$BO$507,4,FALSE()))</f>
        <v/>
      </c>
      <c r="BT349" s="112" t="str">
        <f aca="false">IF($BG349&gt;$BF$7,"",VLOOKUP($BG349,$BI$8:$BO$507,5,FALSE()))</f>
        <v/>
      </c>
      <c r="BU349" s="113" t="str">
        <f aca="false">IF($BG349&gt;$BF$7,"",VLOOKUP($BG349,$BI$8:$BO$507,6,FALSE()))</f>
        <v/>
      </c>
      <c r="BV349" s="54"/>
    </row>
    <row r="350" customFormat="false" ht="15.75" hidden="false" customHeight="false" outlineLevel="0" collapsed="false">
      <c r="A350" s="5"/>
      <c r="B350" s="135"/>
      <c r="C350" s="56"/>
      <c r="D350" s="57"/>
      <c r="E350" s="84"/>
      <c r="F350" s="136"/>
      <c r="G350" s="60"/>
      <c r="H350" s="137"/>
      <c r="I350" s="62"/>
      <c r="J350" s="62"/>
      <c r="K350" s="60"/>
      <c r="L350" s="138"/>
      <c r="M350" s="62"/>
      <c r="N350" s="62"/>
      <c r="O350" s="60"/>
      <c r="P350" s="84"/>
      <c r="Q350" s="65"/>
      <c r="R350" s="67" t="str">
        <f aca="false">IF(ISBLANK($C350),"",IF(E350=Constants!$B$2, TRUE(), IF(E350=Constants!$B$3, FALSE(), TRUE())))</f>
        <v/>
      </c>
      <c r="S350" s="67" t="str">
        <f aca="false">IF(ISBLANK($C350),"",IF(F350=Constants!$B$2, TRUE(), IF(F350=Constants!$B$3, FALSE(), TRUE())))</f>
        <v/>
      </c>
      <c r="T350" s="67" t="str">
        <f aca="false">IF(ISBLANK($C350),"",IF(G350=Constants!$B$16,Constants!$B$9,IF(G350=Constants!$B$17,Constants!$B$10,Constants!$B$8)))</f>
        <v/>
      </c>
      <c r="U350" s="67" t="str">
        <f aca="false">IF(ISBLANK($C350),"",IF(H350=Constants!$B$19,Constants!$B$19,Constants!$B$18))</f>
        <v/>
      </c>
      <c r="V350" s="67" t="str">
        <f aca="false">IF(ISBLANK($C350),"",IF(ISNUMBER(I350),IF(I350&gt;=0,I350,""),""))</f>
        <v/>
      </c>
      <c r="W350" s="67" t="str">
        <f aca="false">IF(ISBLANK($C350),"",IF(J350=Constants!$B$2, TRUE(), IF(J350=Constants!$B$3, FALSE(), TRUE())))</f>
        <v/>
      </c>
      <c r="X350" s="67" t="str">
        <f aca="false">IF(ISBLANK($C350),"",IF(K350=Constants!$B$2, TRUE(), IF(K350=Constants!$B$3, FALSE(), TRUE())))</f>
        <v/>
      </c>
      <c r="Y350" s="67" t="str">
        <f aca="false">IF(ISBLANK($C350),"",IF(L350=Constants!$B$19,Constants!$B$19,Constants!$B$18))</f>
        <v/>
      </c>
      <c r="Z350" s="67" t="str">
        <f aca="false">IF(ISBLANK($C350),"",IF(ISNUMBER(M350),IF(M350&gt;=0,M350,""),""))</f>
        <v/>
      </c>
      <c r="AA350" s="67" t="str">
        <f aca="false">IF(ISBLANK($C350),"",IF(N350=Constants!$B$2, TRUE(), IF(N350=Constants!$B$3, FALSE(), TRUE())))</f>
        <v/>
      </c>
      <c r="AB350" s="67" t="str">
        <f aca="false">IF(ISBLANK($C350),"",IF(O350=Constants!$B$2, TRUE(), IF(O350=Constants!$B$3, FALSE(), TRUE())))</f>
        <v/>
      </c>
      <c r="AC350" s="67" t="str">
        <f aca="false">IF(ISBLANK($C350),"",IF(P350=Constants!$B$2, TRUE(), IF(P350=Constants!$B$3, FALSE(), FALSE())))</f>
        <v/>
      </c>
      <c r="AD350" s="67" t="str">
        <f aca="false">IF(ISBLANK($C350),"",AND(V350&lt;&gt;"",IF(U350=Constants!$B$19,S350,R350)))</f>
        <v/>
      </c>
      <c r="AE350" s="67" t="str">
        <f aca="false">IF(ISBLANK($C350),"",AND(Z350&lt;&gt;"",IF(Y350=Constants!$B$19,S350,R350)))</f>
        <v/>
      </c>
      <c r="AF350" s="67" t="str">
        <f aca="false">IF(ISBLANK($C350),"",IF(AC350,Constants!$B$4,IF(COUNTA(E350:O350)=0,Constants!$B$5,IF(AND(NOT(AD350),NOT(AE350)),Constants!$B$6,Constants!$B$7))))</f>
        <v/>
      </c>
      <c r="AG350" s="67" t="str">
        <f aca="false">IF(ISBLANK($C350),"",IF($AF350&lt;&gt;Constants!$B$7,$AF350,Constants!$B$20))</f>
        <v/>
      </c>
      <c r="AH350" s="67" t="str">
        <f aca="false">IF($AF350=Constants!$B$7,IF(AD350,V350,Constants!$B$13),"")</f>
        <v/>
      </c>
      <c r="AI350" s="67" t="str">
        <f aca="false">IF($AF350=Constants!$B$7,IF(AD350,T350*IF(W350, 1, Constants!$B$11)*IF(X350, 1, Constants!$B$12),Constants!$B$13),"")</f>
        <v/>
      </c>
      <c r="AJ350" s="67" t="str">
        <f aca="false">IF($AF350=Constants!$B$7,AH350*AI350,"")</f>
        <v/>
      </c>
      <c r="AK350" s="67" t="str">
        <f aca="false">IF($AF350=Constants!$B$7,IF(AE350,Z350,Constants!$B$13),"")</f>
        <v/>
      </c>
      <c r="AL350" s="67" t="str">
        <f aca="false">IF($AF350=Constants!$B$7,IF(AE350,T350*IF(AA350, 1, Constants!$B$11)*IF(AB350, 1, Constants!$B$12),Constants!$B$13),"")</f>
        <v/>
      </c>
      <c r="AM350" s="67" t="str">
        <f aca="false">IF($AF350=Constants!$B$7,AK350*AL350,"")</f>
        <v/>
      </c>
      <c r="AN350" s="67" t="str">
        <f aca="false">IF($AF350=Constants!$B$7,IF(AM350&gt;AJ350,2,1),"")</f>
        <v/>
      </c>
      <c r="AO350" s="67" t="str">
        <f aca="false">IF($AF350=Constants!$B$7,IF(AN350=1,2,1),"")</f>
        <v/>
      </c>
      <c r="AP350" s="67" t="str">
        <f aca="false">IF(ISBLANK($C350),"",IF($AF350&lt;&gt;Constants!$B$7,$AF350,IF(AN350=1,AJ350,AM350)))</f>
        <v/>
      </c>
      <c r="AQ350" s="67" t="str">
        <f aca="false">IF(ISBLANK($C350),"",IF($AF350=Constants!$B$7,IF(ISNUMBER(AP350),RANK(AP350,$AP$8:$AP$507),Constants!$B$14),$AF350))</f>
        <v/>
      </c>
      <c r="AR350" s="67" t="str">
        <f aca="false">IF(ISBLANK($C350),"",IF($AF350=Constants!$B$7,IF(AO350=1,AJ350,AM350),""))</f>
        <v/>
      </c>
      <c r="AS350" s="67" t="str">
        <f aca="false">IF(ISBLANK($C350),"",IF($AF350=Constants!$B$7,RANK(AR350,$AR$8:$AR$507),$AF350))</f>
        <v/>
      </c>
      <c r="AT350" s="67" t="str">
        <f aca="false">IF(ISBLANK($C350),"",IF($AF350=Constants!$B$7,IF(ISNUMBER(AQ350),COUNTIFS($AQ$8:$AQ$507,"&lt;"&amp;$AQ350)+COUNTIFS($AQ$8:$AQ$507,$AQ350,$AS$8:$AS$507,"&lt;"&amp;$AS350)+1,Constants!$B$14),$AF350))</f>
        <v/>
      </c>
      <c r="AU350" s="67" t="str">
        <f aca="false">IF(ISBLANK($C350),"",IF($AF350=Constants!$B$7,IF(ISNUMBER(AQ350),AQ350-AT350,Constants!$B$14),$AF350))</f>
        <v/>
      </c>
      <c r="AV350" s="69"/>
      <c r="AW350" s="70" t="str">
        <f aca="false">IF(ISBLANK($C350),"",IF($AF350&lt;&gt;Constants!$B$7,"",AN350))</f>
        <v/>
      </c>
      <c r="AX350" s="85" t="str">
        <f aca="false">IF(ISBLANK($C350),"",IF($AF350&lt;&gt;Constants!$B$7,"",IF(AN350=1,AH350,AK350)))</f>
        <v/>
      </c>
      <c r="AY350" s="72" t="str">
        <f aca="false">IF(ISBLANK($C350),"",IF($AF350&lt;&gt;Constants!$B$7,"",IF(AN350=1,AI350,AL350)))</f>
        <v/>
      </c>
      <c r="AZ350" s="73" t="str">
        <f aca="false">IF(ISBLANK($C350),"",IF($AF350&lt;&gt;Constants!$B$7,$AF350,AP350))</f>
        <v/>
      </c>
      <c r="BA350" s="74" t="str">
        <f aca="false">IF(ISBLANK($C350),"",IF($AF350&lt;&gt;Constants!$B$7,$AF350,AG350))</f>
        <v/>
      </c>
      <c r="BB350" s="75" t="str">
        <f aca="false">IF(ISBLANK($C350),"",AU350)</f>
        <v/>
      </c>
      <c r="BC350" s="75" t="str">
        <f aca="false">IF(ISBLANK($C350),"",AT350)</f>
        <v/>
      </c>
      <c r="BD350" s="76" t="str">
        <f aca="false">IF(ISBLANK($C350),"",IFERROR(_xlfn.SWITCH(BC350,Constants!$B$4,COUNTA($C$8:$C$507)+2,Constants!$B$5,COUNTA($C$8:$C$507)+1,Constants!$B$6,COUNTA($C$8:$C$507)),BC350))</f>
        <v/>
      </c>
      <c r="BE350" s="5"/>
      <c r="BF350" s="77" t="n">
        <f aca="false">IF(OR(ISNUMBER(BC350),BC350=Constants!$B$4,BC350=Constants!$B$6,BC350=Constants!$B$5),1,0)</f>
        <v>0</v>
      </c>
      <c r="BG350" s="77" t="n">
        <v>343</v>
      </c>
      <c r="BH350" s="77" t="str">
        <f aca="false">IF(ISBLANK($C350),"",IF(ISNUMBER(BD350),BD350+ROW($B350)/1000,""))</f>
        <v/>
      </c>
      <c r="BI350" s="77" t="str">
        <f aca="false">IF(ISNUMBER(BH350),RANK(BH350,$BH$8:$BH$507,1),"")</f>
        <v/>
      </c>
      <c r="BJ350" s="77" t="str">
        <f aca="false">IF(ISBLANK($C350),"",$B350)</f>
        <v/>
      </c>
      <c r="BK350" s="77" t="str">
        <f aca="false">IF(ISBLANK($C350),"",$C350)</f>
        <v/>
      </c>
      <c r="BL350" s="77" t="str">
        <f aca="false">IF(ISBLANK($C350),"",$D350)</f>
        <v/>
      </c>
      <c r="BM350" s="78" t="str">
        <f aca="false">BA350</f>
        <v/>
      </c>
      <c r="BN350" s="79" t="str">
        <f aca="false">AZ350</f>
        <v/>
      </c>
      <c r="BO350" s="77" t="str">
        <f aca="false">IF(ISBLANK($C350),"",BC350)</f>
        <v/>
      </c>
      <c r="BP350" s="80" t="str">
        <f aca="false">IF($BG350&gt;$BF$7,"",VLOOKUP($BG350,$BI$8:$BO$507,7,FALSE()))</f>
        <v/>
      </c>
      <c r="BQ350" s="81" t="str">
        <f aca="false">IF($BG350&gt;$BF$7,"",VLOOKUP($BG350,$BI$8:$BO$507,2,FALSE()))</f>
        <v/>
      </c>
      <c r="BR350" s="81" t="str">
        <f aca="false">IF($BG350&gt;$BF$7,"",VLOOKUP($BG350,$BI$8:$BO$507,3,FALSE()))</f>
        <v/>
      </c>
      <c r="BS350" s="81" t="str">
        <f aca="false">IF($BG350&gt;$BF$7,"",VLOOKUP($BG350,$BI$8:$BO$507,4,FALSE()))</f>
        <v/>
      </c>
      <c r="BT350" s="81" t="str">
        <f aca="false">IF($BG350&gt;$BF$7,"",VLOOKUP($BG350,$BI$8:$BO$507,5,FALSE()))</f>
        <v/>
      </c>
      <c r="BU350" s="82" t="str">
        <f aca="false">IF($BG350&gt;$BF$7,"",VLOOKUP($BG350,$BI$8:$BO$507,6,FALSE()))</f>
        <v/>
      </c>
      <c r="BV350" s="54"/>
    </row>
    <row r="351" customFormat="false" ht="15.75" hidden="false" customHeight="false" outlineLevel="0" collapsed="false">
      <c r="A351" s="5"/>
      <c r="B351" s="135"/>
      <c r="C351" s="56"/>
      <c r="D351" s="57"/>
      <c r="E351" s="84"/>
      <c r="F351" s="136"/>
      <c r="G351" s="60"/>
      <c r="H351" s="137"/>
      <c r="I351" s="62"/>
      <c r="J351" s="62"/>
      <c r="K351" s="60"/>
      <c r="L351" s="138"/>
      <c r="M351" s="62"/>
      <c r="N351" s="62"/>
      <c r="O351" s="60"/>
      <c r="P351" s="84"/>
      <c r="Q351" s="65"/>
      <c r="R351" s="67" t="str">
        <f aca="false">IF(ISBLANK($C351),"",IF(E351=Constants!$B$2, TRUE(), IF(E351=Constants!$B$3, FALSE(), TRUE())))</f>
        <v/>
      </c>
      <c r="S351" s="67" t="str">
        <f aca="false">IF(ISBLANK($C351),"",IF(F351=Constants!$B$2, TRUE(), IF(F351=Constants!$B$3, FALSE(), TRUE())))</f>
        <v/>
      </c>
      <c r="T351" s="67" t="str">
        <f aca="false">IF(ISBLANK($C351),"",IF(G351=Constants!$B$16,Constants!$B$9,IF(G351=Constants!$B$17,Constants!$B$10,Constants!$B$8)))</f>
        <v/>
      </c>
      <c r="U351" s="67" t="str">
        <f aca="false">IF(ISBLANK($C351),"",IF(H351=Constants!$B$19,Constants!$B$19,Constants!$B$18))</f>
        <v/>
      </c>
      <c r="V351" s="67" t="str">
        <f aca="false">IF(ISBLANK($C351),"",IF(ISNUMBER(I351),IF(I351&gt;=0,I351,""),""))</f>
        <v/>
      </c>
      <c r="W351" s="67" t="str">
        <f aca="false">IF(ISBLANK($C351),"",IF(J351=Constants!$B$2, TRUE(), IF(J351=Constants!$B$3, FALSE(), TRUE())))</f>
        <v/>
      </c>
      <c r="X351" s="67" t="str">
        <f aca="false">IF(ISBLANK($C351),"",IF(K351=Constants!$B$2, TRUE(), IF(K351=Constants!$B$3, FALSE(), TRUE())))</f>
        <v/>
      </c>
      <c r="Y351" s="67" t="str">
        <f aca="false">IF(ISBLANK($C351),"",IF(L351=Constants!$B$19,Constants!$B$19,Constants!$B$18))</f>
        <v/>
      </c>
      <c r="Z351" s="67" t="str">
        <f aca="false">IF(ISBLANK($C351),"",IF(ISNUMBER(M351),IF(M351&gt;=0,M351,""),""))</f>
        <v/>
      </c>
      <c r="AA351" s="67" t="str">
        <f aca="false">IF(ISBLANK($C351),"",IF(N351=Constants!$B$2, TRUE(), IF(N351=Constants!$B$3, FALSE(), TRUE())))</f>
        <v/>
      </c>
      <c r="AB351" s="67" t="str">
        <f aca="false">IF(ISBLANK($C351),"",IF(O351=Constants!$B$2, TRUE(), IF(O351=Constants!$B$3, FALSE(), TRUE())))</f>
        <v/>
      </c>
      <c r="AC351" s="67" t="str">
        <f aca="false">IF(ISBLANK($C351),"",IF(P351=Constants!$B$2, TRUE(), IF(P351=Constants!$B$3, FALSE(), FALSE())))</f>
        <v/>
      </c>
      <c r="AD351" s="67" t="str">
        <f aca="false">IF(ISBLANK($C351),"",AND(V351&lt;&gt;"",IF(U351=Constants!$B$19,S351,R351)))</f>
        <v/>
      </c>
      <c r="AE351" s="67" t="str">
        <f aca="false">IF(ISBLANK($C351),"",AND(Z351&lt;&gt;"",IF(Y351=Constants!$B$19,S351,R351)))</f>
        <v/>
      </c>
      <c r="AF351" s="67" t="str">
        <f aca="false">IF(ISBLANK($C351),"",IF(AC351,Constants!$B$4,IF(COUNTA(E351:O351)=0,Constants!$B$5,IF(AND(NOT(AD351),NOT(AE351)),Constants!$B$6,Constants!$B$7))))</f>
        <v/>
      </c>
      <c r="AG351" s="67" t="str">
        <f aca="false">IF(ISBLANK($C351),"",IF($AF351&lt;&gt;Constants!$B$7,$AF351,Constants!$B$20))</f>
        <v/>
      </c>
      <c r="AH351" s="67" t="str">
        <f aca="false">IF($AF351=Constants!$B$7,IF(AD351,V351,Constants!$B$13),"")</f>
        <v/>
      </c>
      <c r="AI351" s="67" t="str">
        <f aca="false">IF($AF351=Constants!$B$7,IF(AD351,T351*IF(W351, 1, Constants!$B$11)*IF(X351, 1, Constants!$B$12),Constants!$B$13),"")</f>
        <v/>
      </c>
      <c r="AJ351" s="67" t="str">
        <f aca="false">IF($AF351=Constants!$B$7,AH351*AI351,"")</f>
        <v/>
      </c>
      <c r="AK351" s="67" t="str">
        <f aca="false">IF($AF351=Constants!$B$7,IF(AE351,Z351,Constants!$B$13),"")</f>
        <v/>
      </c>
      <c r="AL351" s="67" t="str">
        <f aca="false">IF($AF351=Constants!$B$7,IF(AE351,T351*IF(AA351, 1, Constants!$B$11)*IF(AB351, 1, Constants!$B$12),Constants!$B$13),"")</f>
        <v/>
      </c>
      <c r="AM351" s="67" t="str">
        <f aca="false">IF($AF351=Constants!$B$7,AK351*AL351,"")</f>
        <v/>
      </c>
      <c r="AN351" s="67" t="str">
        <f aca="false">IF($AF351=Constants!$B$7,IF(AM351&gt;AJ351,2,1),"")</f>
        <v/>
      </c>
      <c r="AO351" s="67" t="str">
        <f aca="false">IF($AF351=Constants!$B$7,IF(AN351=1,2,1),"")</f>
        <v/>
      </c>
      <c r="AP351" s="67" t="str">
        <f aca="false">IF(ISBLANK($C351),"",IF($AF351&lt;&gt;Constants!$B$7,$AF351,IF(AN351=1,AJ351,AM351)))</f>
        <v/>
      </c>
      <c r="AQ351" s="67" t="str">
        <f aca="false">IF(ISBLANK($C351),"",IF($AF351=Constants!$B$7,IF(ISNUMBER(AP351),RANK(AP351,$AP$8:$AP$507),Constants!$B$14),$AF351))</f>
        <v/>
      </c>
      <c r="AR351" s="67" t="str">
        <f aca="false">IF(ISBLANK($C351),"",IF($AF351=Constants!$B$7,IF(AO351=1,AJ351,AM351),""))</f>
        <v/>
      </c>
      <c r="AS351" s="67" t="str">
        <f aca="false">IF(ISBLANK($C351),"",IF($AF351=Constants!$B$7,RANK(AR351,$AR$8:$AR$507),$AF351))</f>
        <v/>
      </c>
      <c r="AT351" s="67" t="str">
        <f aca="false">IF(ISBLANK($C351),"",IF($AF351=Constants!$B$7,IF(ISNUMBER(AQ351),COUNTIFS($AQ$8:$AQ$507,"&lt;"&amp;$AQ351)+COUNTIFS($AQ$8:$AQ$507,$AQ351,$AS$8:$AS$507,"&lt;"&amp;$AS351)+1,Constants!$B$14),$AF351))</f>
        <v/>
      </c>
      <c r="AU351" s="67" t="str">
        <f aca="false">IF(ISBLANK($C351),"",IF($AF351=Constants!$B$7,IF(ISNUMBER(AQ351),AQ351-AT351,Constants!$B$14),$AF351))</f>
        <v/>
      </c>
      <c r="AV351" s="69"/>
      <c r="AW351" s="70" t="str">
        <f aca="false">IF(ISBLANK($C351),"",IF($AF351&lt;&gt;Constants!$B$7,"",AN351))</f>
        <v/>
      </c>
      <c r="AX351" s="85" t="str">
        <f aca="false">IF(ISBLANK($C351),"",IF($AF351&lt;&gt;Constants!$B$7,"",IF(AN351=1,AH351,AK351)))</f>
        <v/>
      </c>
      <c r="AY351" s="72" t="str">
        <f aca="false">IF(ISBLANK($C351),"",IF($AF351&lt;&gt;Constants!$B$7,"",IF(AN351=1,AI351,AL351)))</f>
        <v/>
      </c>
      <c r="AZ351" s="73" t="str">
        <f aca="false">IF(ISBLANK($C351),"",IF($AF351&lt;&gt;Constants!$B$7,$AF351,AP351))</f>
        <v/>
      </c>
      <c r="BA351" s="74" t="str">
        <f aca="false">IF(ISBLANK($C351),"",IF($AF351&lt;&gt;Constants!$B$7,$AF351,AG351))</f>
        <v/>
      </c>
      <c r="BB351" s="75" t="str">
        <f aca="false">IF(ISBLANK($C351),"",AU351)</f>
        <v/>
      </c>
      <c r="BC351" s="75" t="str">
        <f aca="false">IF(ISBLANK($C351),"",AT351)</f>
        <v/>
      </c>
      <c r="BD351" s="76" t="str">
        <f aca="false">IF(ISBLANK($C351),"",IFERROR(_xlfn.SWITCH(BC351,Constants!$B$4,COUNTA($C$8:$C$507)+2,Constants!$B$5,COUNTA($C$8:$C$507)+1,Constants!$B$6,COUNTA($C$8:$C$507)),BC351))</f>
        <v/>
      </c>
      <c r="BE351" s="5"/>
      <c r="BF351" s="77" t="n">
        <f aca="false">IF(OR(ISNUMBER(BC351),BC351=Constants!$B$4,BC351=Constants!$B$6,BC351=Constants!$B$5),1,0)</f>
        <v>0</v>
      </c>
      <c r="BG351" s="77" t="n">
        <v>344</v>
      </c>
      <c r="BH351" s="77" t="str">
        <f aca="false">IF(ISBLANK($C351),"",IF(ISNUMBER(BD351),BD351+ROW($B351)/1000,""))</f>
        <v/>
      </c>
      <c r="BI351" s="77" t="str">
        <f aca="false">IF(ISNUMBER(BH351),RANK(BH351,$BH$8:$BH$507,1),"")</f>
        <v/>
      </c>
      <c r="BJ351" s="77" t="str">
        <f aca="false">IF(ISBLANK($C351),"",$B351)</f>
        <v/>
      </c>
      <c r="BK351" s="77" t="str">
        <f aca="false">IF(ISBLANK($C351),"",$C351)</f>
        <v/>
      </c>
      <c r="BL351" s="77" t="str">
        <f aca="false">IF(ISBLANK($C351),"",$D351)</f>
        <v/>
      </c>
      <c r="BM351" s="78" t="str">
        <f aca="false">BA351</f>
        <v/>
      </c>
      <c r="BN351" s="79" t="str">
        <f aca="false">AZ351</f>
        <v/>
      </c>
      <c r="BO351" s="77" t="str">
        <f aca="false">IF(ISBLANK($C351),"",BC351)</f>
        <v/>
      </c>
      <c r="BP351" s="80" t="str">
        <f aca="false">IF($BG351&gt;$BF$7,"",VLOOKUP($BG351,$BI$8:$BO$507,7,FALSE()))</f>
        <v/>
      </c>
      <c r="BQ351" s="81" t="str">
        <f aca="false">IF($BG351&gt;$BF$7,"",VLOOKUP($BG351,$BI$8:$BO$507,2,FALSE()))</f>
        <v/>
      </c>
      <c r="BR351" s="81" t="str">
        <f aca="false">IF($BG351&gt;$BF$7,"",VLOOKUP($BG351,$BI$8:$BO$507,3,FALSE()))</f>
        <v/>
      </c>
      <c r="BS351" s="81" t="str">
        <f aca="false">IF($BG351&gt;$BF$7,"",VLOOKUP($BG351,$BI$8:$BO$507,4,FALSE()))</f>
        <v/>
      </c>
      <c r="BT351" s="81" t="str">
        <f aca="false">IF($BG351&gt;$BF$7,"",VLOOKUP($BG351,$BI$8:$BO$507,5,FALSE()))</f>
        <v/>
      </c>
      <c r="BU351" s="82" t="str">
        <f aca="false">IF($BG351&gt;$BF$7,"",VLOOKUP($BG351,$BI$8:$BO$507,6,FALSE()))</f>
        <v/>
      </c>
      <c r="BV351" s="54"/>
    </row>
    <row r="352" customFormat="false" ht="15.75" hidden="false" customHeight="false" outlineLevel="0" collapsed="false">
      <c r="A352" s="5"/>
      <c r="B352" s="135"/>
      <c r="C352" s="56"/>
      <c r="D352" s="57"/>
      <c r="E352" s="84"/>
      <c r="F352" s="136"/>
      <c r="G352" s="60"/>
      <c r="H352" s="137"/>
      <c r="I352" s="62"/>
      <c r="J352" s="62"/>
      <c r="K352" s="60"/>
      <c r="L352" s="138"/>
      <c r="M352" s="62"/>
      <c r="N352" s="62"/>
      <c r="O352" s="60"/>
      <c r="P352" s="84"/>
      <c r="Q352" s="65"/>
      <c r="R352" s="67" t="str">
        <f aca="false">IF(ISBLANK($C352),"",IF(E352=Constants!$B$2, TRUE(), IF(E352=Constants!$B$3, FALSE(), TRUE())))</f>
        <v/>
      </c>
      <c r="S352" s="67" t="str">
        <f aca="false">IF(ISBLANK($C352),"",IF(F352=Constants!$B$2, TRUE(), IF(F352=Constants!$B$3, FALSE(), TRUE())))</f>
        <v/>
      </c>
      <c r="T352" s="67" t="str">
        <f aca="false">IF(ISBLANK($C352),"",IF(G352=Constants!$B$16,Constants!$B$9,IF(G352=Constants!$B$17,Constants!$B$10,Constants!$B$8)))</f>
        <v/>
      </c>
      <c r="U352" s="67" t="str">
        <f aca="false">IF(ISBLANK($C352),"",IF(H352=Constants!$B$19,Constants!$B$19,Constants!$B$18))</f>
        <v/>
      </c>
      <c r="V352" s="67" t="str">
        <f aca="false">IF(ISBLANK($C352),"",IF(ISNUMBER(I352),IF(I352&gt;=0,I352,""),""))</f>
        <v/>
      </c>
      <c r="W352" s="67" t="str">
        <f aca="false">IF(ISBLANK($C352),"",IF(J352=Constants!$B$2, TRUE(), IF(J352=Constants!$B$3, FALSE(), TRUE())))</f>
        <v/>
      </c>
      <c r="X352" s="67" t="str">
        <f aca="false">IF(ISBLANK($C352),"",IF(K352=Constants!$B$2, TRUE(), IF(K352=Constants!$B$3, FALSE(), TRUE())))</f>
        <v/>
      </c>
      <c r="Y352" s="67" t="str">
        <f aca="false">IF(ISBLANK($C352),"",IF(L352=Constants!$B$19,Constants!$B$19,Constants!$B$18))</f>
        <v/>
      </c>
      <c r="Z352" s="67" t="str">
        <f aca="false">IF(ISBLANK($C352),"",IF(ISNUMBER(M352),IF(M352&gt;=0,M352,""),""))</f>
        <v/>
      </c>
      <c r="AA352" s="67" t="str">
        <f aca="false">IF(ISBLANK($C352),"",IF(N352=Constants!$B$2, TRUE(), IF(N352=Constants!$B$3, FALSE(), TRUE())))</f>
        <v/>
      </c>
      <c r="AB352" s="67" t="str">
        <f aca="false">IF(ISBLANK($C352),"",IF(O352=Constants!$B$2, TRUE(), IF(O352=Constants!$B$3, FALSE(), TRUE())))</f>
        <v/>
      </c>
      <c r="AC352" s="67" t="str">
        <f aca="false">IF(ISBLANK($C352),"",IF(P352=Constants!$B$2, TRUE(), IF(P352=Constants!$B$3, FALSE(), FALSE())))</f>
        <v/>
      </c>
      <c r="AD352" s="67" t="str">
        <f aca="false">IF(ISBLANK($C352),"",AND(V352&lt;&gt;"",IF(U352=Constants!$B$19,S352,R352)))</f>
        <v/>
      </c>
      <c r="AE352" s="67" t="str">
        <f aca="false">IF(ISBLANK($C352),"",AND(Z352&lt;&gt;"",IF(Y352=Constants!$B$19,S352,R352)))</f>
        <v/>
      </c>
      <c r="AF352" s="67" t="str">
        <f aca="false">IF(ISBLANK($C352),"",IF(AC352,Constants!$B$4,IF(COUNTA(E352:O352)=0,Constants!$B$5,IF(AND(NOT(AD352),NOT(AE352)),Constants!$B$6,Constants!$B$7))))</f>
        <v/>
      </c>
      <c r="AG352" s="67" t="str">
        <f aca="false">IF(ISBLANK($C352),"",IF($AF352&lt;&gt;Constants!$B$7,$AF352,Constants!$B$20))</f>
        <v/>
      </c>
      <c r="AH352" s="67" t="str">
        <f aca="false">IF($AF352=Constants!$B$7,IF(AD352,V352,Constants!$B$13),"")</f>
        <v/>
      </c>
      <c r="AI352" s="67" t="str">
        <f aca="false">IF($AF352=Constants!$B$7,IF(AD352,T352*IF(W352, 1, Constants!$B$11)*IF(X352, 1, Constants!$B$12),Constants!$B$13),"")</f>
        <v/>
      </c>
      <c r="AJ352" s="67" t="str">
        <f aca="false">IF($AF352=Constants!$B$7,AH352*AI352,"")</f>
        <v/>
      </c>
      <c r="AK352" s="67" t="str">
        <f aca="false">IF($AF352=Constants!$B$7,IF(AE352,Z352,Constants!$B$13),"")</f>
        <v/>
      </c>
      <c r="AL352" s="67" t="str">
        <f aca="false">IF($AF352=Constants!$B$7,IF(AE352,T352*IF(AA352, 1, Constants!$B$11)*IF(AB352, 1, Constants!$B$12),Constants!$B$13),"")</f>
        <v/>
      </c>
      <c r="AM352" s="67" t="str">
        <f aca="false">IF($AF352=Constants!$B$7,AK352*AL352,"")</f>
        <v/>
      </c>
      <c r="AN352" s="67" t="str">
        <f aca="false">IF($AF352=Constants!$B$7,IF(AM352&gt;AJ352,2,1),"")</f>
        <v/>
      </c>
      <c r="AO352" s="67" t="str">
        <f aca="false">IF($AF352=Constants!$B$7,IF(AN352=1,2,1),"")</f>
        <v/>
      </c>
      <c r="AP352" s="67" t="str">
        <f aca="false">IF(ISBLANK($C352),"",IF($AF352&lt;&gt;Constants!$B$7,$AF352,IF(AN352=1,AJ352,AM352)))</f>
        <v/>
      </c>
      <c r="AQ352" s="67" t="str">
        <f aca="false">IF(ISBLANK($C352),"",IF($AF352=Constants!$B$7,IF(ISNUMBER(AP352),RANK(AP352,$AP$8:$AP$507),Constants!$B$14),$AF352))</f>
        <v/>
      </c>
      <c r="AR352" s="67" t="str">
        <f aca="false">IF(ISBLANK($C352),"",IF($AF352=Constants!$B$7,IF(AO352=1,AJ352,AM352),""))</f>
        <v/>
      </c>
      <c r="AS352" s="67" t="str">
        <f aca="false">IF(ISBLANK($C352),"",IF($AF352=Constants!$B$7,RANK(AR352,$AR$8:$AR$507),$AF352))</f>
        <v/>
      </c>
      <c r="AT352" s="67" t="str">
        <f aca="false">IF(ISBLANK($C352),"",IF($AF352=Constants!$B$7,IF(ISNUMBER(AQ352),COUNTIFS($AQ$8:$AQ$507,"&lt;"&amp;$AQ352)+COUNTIFS($AQ$8:$AQ$507,$AQ352,$AS$8:$AS$507,"&lt;"&amp;$AS352)+1,Constants!$B$14),$AF352))</f>
        <v/>
      </c>
      <c r="AU352" s="67" t="str">
        <f aca="false">IF(ISBLANK($C352),"",IF($AF352=Constants!$B$7,IF(ISNUMBER(AQ352),AQ352-AT352,Constants!$B$14),$AF352))</f>
        <v/>
      </c>
      <c r="AV352" s="69"/>
      <c r="AW352" s="70" t="str">
        <f aca="false">IF(ISBLANK($C352),"",IF($AF352&lt;&gt;Constants!$B$7,"",AN352))</f>
        <v/>
      </c>
      <c r="AX352" s="85" t="str">
        <f aca="false">IF(ISBLANK($C352),"",IF($AF352&lt;&gt;Constants!$B$7,"",IF(AN352=1,AH352,AK352)))</f>
        <v/>
      </c>
      <c r="AY352" s="72" t="str">
        <f aca="false">IF(ISBLANK($C352),"",IF($AF352&lt;&gt;Constants!$B$7,"",IF(AN352=1,AI352,AL352)))</f>
        <v/>
      </c>
      <c r="AZ352" s="73" t="str">
        <f aca="false">IF(ISBLANK($C352),"",IF($AF352&lt;&gt;Constants!$B$7,$AF352,AP352))</f>
        <v/>
      </c>
      <c r="BA352" s="74" t="str">
        <f aca="false">IF(ISBLANK($C352),"",IF($AF352&lt;&gt;Constants!$B$7,$AF352,AG352))</f>
        <v/>
      </c>
      <c r="BB352" s="75" t="str">
        <f aca="false">IF(ISBLANK($C352),"",AU352)</f>
        <v/>
      </c>
      <c r="BC352" s="75" t="str">
        <f aca="false">IF(ISBLANK($C352),"",AT352)</f>
        <v/>
      </c>
      <c r="BD352" s="76" t="str">
        <f aca="false">IF(ISBLANK($C352),"",IFERROR(_xlfn.SWITCH(BC352,Constants!$B$4,COUNTA($C$8:$C$507)+2,Constants!$B$5,COUNTA($C$8:$C$507)+1,Constants!$B$6,COUNTA($C$8:$C$507)),BC352))</f>
        <v/>
      </c>
      <c r="BE352" s="5"/>
      <c r="BF352" s="77" t="n">
        <f aca="false">IF(OR(ISNUMBER(BC352),BC352=Constants!$B$4,BC352=Constants!$B$6,BC352=Constants!$B$5),1,0)</f>
        <v>0</v>
      </c>
      <c r="BG352" s="77" t="n">
        <v>345</v>
      </c>
      <c r="BH352" s="77" t="str">
        <f aca="false">IF(ISBLANK($C352),"",IF(ISNUMBER(BD352),BD352+ROW($B352)/1000,""))</f>
        <v/>
      </c>
      <c r="BI352" s="77" t="str">
        <f aca="false">IF(ISNUMBER(BH352),RANK(BH352,$BH$8:$BH$507,1),"")</f>
        <v/>
      </c>
      <c r="BJ352" s="77" t="str">
        <f aca="false">IF(ISBLANK($C352),"",$B352)</f>
        <v/>
      </c>
      <c r="BK352" s="77" t="str">
        <f aca="false">IF(ISBLANK($C352),"",$C352)</f>
        <v/>
      </c>
      <c r="BL352" s="77" t="str">
        <f aca="false">IF(ISBLANK($C352),"",$D352)</f>
        <v/>
      </c>
      <c r="BM352" s="78" t="str">
        <f aca="false">BA352</f>
        <v/>
      </c>
      <c r="BN352" s="79" t="str">
        <f aca="false">AZ352</f>
        <v/>
      </c>
      <c r="BO352" s="77" t="str">
        <f aca="false">IF(ISBLANK($C352),"",BC352)</f>
        <v/>
      </c>
      <c r="BP352" s="80" t="str">
        <f aca="false">IF($BG352&gt;$BF$7,"",VLOOKUP($BG352,$BI$8:$BO$507,7,FALSE()))</f>
        <v/>
      </c>
      <c r="BQ352" s="81" t="str">
        <f aca="false">IF($BG352&gt;$BF$7,"",VLOOKUP($BG352,$BI$8:$BO$507,2,FALSE()))</f>
        <v/>
      </c>
      <c r="BR352" s="81" t="str">
        <f aca="false">IF($BG352&gt;$BF$7,"",VLOOKUP($BG352,$BI$8:$BO$507,3,FALSE()))</f>
        <v/>
      </c>
      <c r="BS352" s="81" t="str">
        <f aca="false">IF($BG352&gt;$BF$7,"",VLOOKUP($BG352,$BI$8:$BO$507,4,FALSE()))</f>
        <v/>
      </c>
      <c r="BT352" s="81" t="str">
        <f aca="false">IF($BG352&gt;$BF$7,"",VLOOKUP($BG352,$BI$8:$BO$507,5,FALSE()))</f>
        <v/>
      </c>
      <c r="BU352" s="82" t="str">
        <f aca="false">IF($BG352&gt;$BF$7,"",VLOOKUP($BG352,$BI$8:$BO$507,6,FALSE()))</f>
        <v/>
      </c>
      <c r="BV352" s="54"/>
    </row>
    <row r="353" customFormat="false" ht="15.75" hidden="false" customHeight="false" outlineLevel="0" collapsed="false">
      <c r="A353" s="5"/>
      <c r="B353" s="128"/>
      <c r="C353" s="129"/>
      <c r="D353" s="114"/>
      <c r="E353" s="134"/>
      <c r="F353" s="139"/>
      <c r="G353" s="93"/>
      <c r="H353" s="140"/>
      <c r="I353" s="95"/>
      <c r="J353" s="95"/>
      <c r="K353" s="93"/>
      <c r="L353" s="141"/>
      <c r="M353" s="95"/>
      <c r="N353" s="95"/>
      <c r="O353" s="93"/>
      <c r="P353" s="134"/>
      <c r="Q353" s="98"/>
      <c r="R353" s="99" t="str">
        <f aca="false">IF(ISBLANK($C353),"",IF(E353=Constants!$B$2, TRUE(), IF(E353=Constants!$B$3, FALSE(), TRUE())))</f>
        <v/>
      </c>
      <c r="S353" s="99" t="str">
        <f aca="false">IF(ISBLANK($C353),"",IF(F353=Constants!$B$2, TRUE(), IF(F353=Constants!$B$3, FALSE(), TRUE())))</f>
        <v/>
      </c>
      <c r="T353" s="99" t="str">
        <f aca="false">IF(ISBLANK($C353),"",IF(G353=Constants!$B$16,Constants!$B$9,IF(G353=Constants!$B$17,Constants!$B$10,Constants!$B$8)))</f>
        <v/>
      </c>
      <c r="U353" s="99" t="str">
        <f aca="false">IF(ISBLANK($C353),"",IF(H353=Constants!$B$19,Constants!$B$19,Constants!$B$18))</f>
        <v/>
      </c>
      <c r="V353" s="99" t="str">
        <f aca="false">IF(ISBLANK($C353),"",IF(ISNUMBER(I353),IF(I353&gt;=0,I353,""),""))</f>
        <v/>
      </c>
      <c r="W353" s="99" t="str">
        <f aca="false">IF(ISBLANK($C353),"",IF(J353=Constants!$B$2, TRUE(), IF(J353=Constants!$B$3, FALSE(), TRUE())))</f>
        <v/>
      </c>
      <c r="X353" s="99" t="str">
        <f aca="false">IF(ISBLANK($C353),"",IF(K353=Constants!$B$2, TRUE(), IF(K353=Constants!$B$3, FALSE(), TRUE())))</f>
        <v/>
      </c>
      <c r="Y353" s="99" t="str">
        <f aca="false">IF(ISBLANK($C353),"",IF(L353=Constants!$B$19,Constants!$B$19,Constants!$B$18))</f>
        <v/>
      </c>
      <c r="Z353" s="99" t="str">
        <f aca="false">IF(ISBLANK($C353),"",IF(ISNUMBER(M353),IF(M353&gt;=0,M353,""),""))</f>
        <v/>
      </c>
      <c r="AA353" s="99" t="str">
        <f aca="false">IF(ISBLANK($C353),"",IF(N353=Constants!$B$2, TRUE(), IF(N353=Constants!$B$3, FALSE(), TRUE())))</f>
        <v/>
      </c>
      <c r="AB353" s="99" t="str">
        <f aca="false">IF(ISBLANK($C353),"",IF(O353=Constants!$B$2, TRUE(), IF(O353=Constants!$B$3, FALSE(), TRUE())))</f>
        <v/>
      </c>
      <c r="AC353" s="99" t="str">
        <f aca="false">IF(ISBLANK($C353),"",IF(P353=Constants!$B$2, TRUE(), IF(P353=Constants!$B$3, FALSE(), FALSE())))</f>
        <v/>
      </c>
      <c r="AD353" s="99" t="str">
        <f aca="false">IF(ISBLANK($C353),"",AND(V353&lt;&gt;"",IF(U353=Constants!$B$19,S353,R353)))</f>
        <v/>
      </c>
      <c r="AE353" s="99" t="str">
        <f aca="false">IF(ISBLANK($C353),"",AND(Z353&lt;&gt;"",IF(Y353=Constants!$B$19,S353,R353)))</f>
        <v/>
      </c>
      <c r="AF353" s="99" t="str">
        <f aca="false">IF(ISBLANK($C353),"",IF(AC353,Constants!$B$4,IF(COUNTA(E353:O353)=0,Constants!$B$5,IF(AND(NOT(AD353),NOT(AE353)),Constants!$B$6,Constants!$B$7))))</f>
        <v/>
      </c>
      <c r="AG353" s="99" t="str">
        <f aca="false">IF(ISBLANK($C353),"",IF($AF353&lt;&gt;Constants!$B$7,$AF353,Constants!$B$20))</f>
        <v/>
      </c>
      <c r="AH353" s="99" t="str">
        <f aca="false">IF($AF353=Constants!$B$7,IF(AD353,V353,Constants!$B$13),"")</f>
        <v/>
      </c>
      <c r="AI353" s="99" t="str">
        <f aca="false">IF($AF353=Constants!$B$7,IF(AD353,T353*IF(W353, 1, Constants!$B$11)*IF(X353, 1, Constants!$B$12),Constants!$B$13),"")</f>
        <v/>
      </c>
      <c r="AJ353" s="99" t="str">
        <f aca="false">IF($AF353=Constants!$B$7,AH353*AI353,"")</f>
        <v/>
      </c>
      <c r="AK353" s="99" t="str">
        <f aca="false">IF($AF353=Constants!$B$7,IF(AE353,Z353,Constants!$B$13),"")</f>
        <v/>
      </c>
      <c r="AL353" s="99" t="str">
        <f aca="false">IF($AF353=Constants!$B$7,IF(AE353,T353*IF(AA353, 1, Constants!$B$11)*IF(AB353, 1, Constants!$B$12),Constants!$B$13),"")</f>
        <v/>
      </c>
      <c r="AM353" s="99" t="str">
        <f aca="false">IF($AF353=Constants!$B$7,AK353*AL353,"")</f>
        <v/>
      </c>
      <c r="AN353" s="99" t="str">
        <f aca="false">IF($AF353=Constants!$B$7,IF(AM353&gt;AJ353,2,1),"")</f>
        <v/>
      </c>
      <c r="AO353" s="99" t="str">
        <f aca="false">IF($AF353=Constants!$B$7,IF(AN353=1,2,1),"")</f>
        <v/>
      </c>
      <c r="AP353" s="99" t="str">
        <f aca="false">IF(ISBLANK($C353),"",IF($AF353&lt;&gt;Constants!$B$7,$AF353,IF(AN353=1,AJ353,AM353)))</f>
        <v/>
      </c>
      <c r="AQ353" s="99" t="str">
        <f aca="false">IF(ISBLANK($C353),"",IF($AF353=Constants!$B$7,IF(ISNUMBER(AP353),RANK(AP353,$AP$8:$AP$507),Constants!$B$14),$AF353))</f>
        <v/>
      </c>
      <c r="AR353" s="99" t="str">
        <f aca="false">IF(ISBLANK($C353),"",IF($AF353=Constants!$B$7,IF(AO353=1,AJ353,AM353),""))</f>
        <v/>
      </c>
      <c r="AS353" s="99" t="str">
        <f aca="false">IF(ISBLANK($C353),"",IF($AF353=Constants!$B$7,RANK(AR353,$AR$8:$AR$507),$AF353))</f>
        <v/>
      </c>
      <c r="AT353" s="99" t="str">
        <f aca="false">IF(ISBLANK($C353),"",IF($AF353=Constants!$B$7,IF(ISNUMBER(AQ353),COUNTIFS($AQ$8:$AQ$507,"&lt;"&amp;$AQ353)+COUNTIFS($AQ$8:$AQ$507,$AQ353,$AS$8:$AS$507,"&lt;"&amp;$AS353)+1,Constants!$B$14),$AF353))</f>
        <v/>
      </c>
      <c r="AU353" s="99" t="str">
        <f aca="false">IF(ISBLANK($C353),"",IF($AF353=Constants!$B$7,IF(ISNUMBER(AQ353),AQ353-AT353,Constants!$B$14),$AF353))</f>
        <v/>
      </c>
      <c r="AV353" s="100"/>
      <c r="AW353" s="101" t="str">
        <f aca="false">IF(ISBLANK($C353),"",IF($AF353&lt;&gt;Constants!$B$7,"",AN353))</f>
        <v/>
      </c>
      <c r="AX353" s="102" t="str">
        <f aca="false">IF(ISBLANK($C353),"",IF($AF353&lt;&gt;Constants!$B$7,"",IF(AN353=1,AH353,AK353)))</f>
        <v/>
      </c>
      <c r="AY353" s="103" t="str">
        <f aca="false">IF(ISBLANK($C353),"",IF($AF353&lt;&gt;Constants!$B$7,"",IF(AN353=1,AI353,AL353)))</f>
        <v/>
      </c>
      <c r="AZ353" s="104" t="str">
        <f aca="false">IF(ISBLANK($C353),"",IF($AF353&lt;&gt;Constants!$B$7,$AF353,AP353))</f>
        <v/>
      </c>
      <c r="BA353" s="105" t="str">
        <f aca="false">IF(ISBLANK($C353),"",IF($AF353&lt;&gt;Constants!$B$7,$AF353,AG353))</f>
        <v/>
      </c>
      <c r="BB353" s="106" t="str">
        <f aca="false">IF(ISBLANK($C353),"",AU353)</f>
        <v/>
      </c>
      <c r="BC353" s="106" t="str">
        <f aca="false">IF(ISBLANK($C353),"",AT353)</f>
        <v/>
      </c>
      <c r="BD353" s="107" t="str">
        <f aca="false">IF(ISBLANK($C353),"",IFERROR(_xlfn.SWITCH(BC353,Constants!$B$4,COUNTA($C$8:$C$507)+2,Constants!$B$5,COUNTA($C$8:$C$507)+1,Constants!$B$6,COUNTA($C$8:$C$507)),BC353))</f>
        <v/>
      </c>
      <c r="BE353" s="5"/>
      <c r="BF353" s="108" t="n">
        <f aca="false">IF(OR(ISNUMBER(BC353),BC353=Constants!$B$4,BC353=Constants!$B$6,BC353=Constants!$B$5),1,0)</f>
        <v>0</v>
      </c>
      <c r="BG353" s="108" t="n">
        <v>346</v>
      </c>
      <c r="BH353" s="108" t="str">
        <f aca="false">IF(ISBLANK($C353),"",IF(ISNUMBER(BD353),BD353+ROW($B353)/1000,""))</f>
        <v/>
      </c>
      <c r="BI353" s="108" t="str">
        <f aca="false">IF(ISNUMBER(BH353),RANK(BH353,$BH$8:$BH$507,1),"")</f>
        <v/>
      </c>
      <c r="BJ353" s="108" t="str">
        <f aca="false">IF(ISBLANK($C353),"",$B353)</f>
        <v/>
      </c>
      <c r="BK353" s="108" t="str">
        <f aca="false">IF(ISBLANK($C353),"",$C353)</f>
        <v/>
      </c>
      <c r="BL353" s="108" t="str">
        <f aca="false">IF(ISBLANK($C353),"",$D353)</f>
        <v/>
      </c>
      <c r="BM353" s="109" t="str">
        <f aca="false">BA353</f>
        <v/>
      </c>
      <c r="BN353" s="110" t="str">
        <f aca="false">AZ353</f>
        <v/>
      </c>
      <c r="BO353" s="108" t="str">
        <f aca="false">IF(ISBLANK($C353),"",BC353)</f>
        <v/>
      </c>
      <c r="BP353" s="111" t="str">
        <f aca="false">IF($BG353&gt;$BF$7,"",VLOOKUP($BG353,$BI$8:$BO$507,7,FALSE()))</f>
        <v/>
      </c>
      <c r="BQ353" s="112" t="str">
        <f aca="false">IF($BG353&gt;$BF$7,"",VLOOKUP($BG353,$BI$8:$BO$507,2,FALSE()))</f>
        <v/>
      </c>
      <c r="BR353" s="112" t="str">
        <f aca="false">IF($BG353&gt;$BF$7,"",VLOOKUP($BG353,$BI$8:$BO$507,3,FALSE()))</f>
        <v/>
      </c>
      <c r="BS353" s="112" t="str">
        <f aca="false">IF($BG353&gt;$BF$7,"",VLOOKUP($BG353,$BI$8:$BO$507,4,FALSE()))</f>
        <v/>
      </c>
      <c r="BT353" s="112" t="str">
        <f aca="false">IF($BG353&gt;$BF$7,"",VLOOKUP($BG353,$BI$8:$BO$507,5,FALSE()))</f>
        <v/>
      </c>
      <c r="BU353" s="113" t="str">
        <f aca="false">IF($BG353&gt;$BF$7,"",VLOOKUP($BG353,$BI$8:$BO$507,6,FALSE()))</f>
        <v/>
      </c>
      <c r="BV353" s="54"/>
    </row>
    <row r="354" customFormat="false" ht="15.75" hidden="false" customHeight="false" outlineLevel="0" collapsed="false">
      <c r="A354" s="5"/>
      <c r="B354" s="128"/>
      <c r="C354" s="129"/>
      <c r="D354" s="114"/>
      <c r="E354" s="134"/>
      <c r="F354" s="139"/>
      <c r="G354" s="93"/>
      <c r="H354" s="140"/>
      <c r="I354" s="95"/>
      <c r="J354" s="95"/>
      <c r="K354" s="93"/>
      <c r="L354" s="141"/>
      <c r="M354" s="95"/>
      <c r="N354" s="95"/>
      <c r="O354" s="93"/>
      <c r="P354" s="134"/>
      <c r="Q354" s="98"/>
      <c r="R354" s="99" t="str">
        <f aca="false">IF(ISBLANK($C354),"",IF(E354=Constants!$B$2, TRUE(), IF(E354=Constants!$B$3, FALSE(), TRUE())))</f>
        <v/>
      </c>
      <c r="S354" s="99" t="str">
        <f aca="false">IF(ISBLANK($C354),"",IF(F354=Constants!$B$2, TRUE(), IF(F354=Constants!$B$3, FALSE(), TRUE())))</f>
        <v/>
      </c>
      <c r="T354" s="99" t="str">
        <f aca="false">IF(ISBLANK($C354),"",IF(G354=Constants!$B$16,Constants!$B$9,IF(G354=Constants!$B$17,Constants!$B$10,Constants!$B$8)))</f>
        <v/>
      </c>
      <c r="U354" s="99" t="str">
        <f aca="false">IF(ISBLANK($C354),"",IF(H354=Constants!$B$19,Constants!$B$19,Constants!$B$18))</f>
        <v/>
      </c>
      <c r="V354" s="99" t="str">
        <f aca="false">IF(ISBLANK($C354),"",IF(ISNUMBER(I354),IF(I354&gt;=0,I354,""),""))</f>
        <v/>
      </c>
      <c r="W354" s="99" t="str">
        <f aca="false">IF(ISBLANK($C354),"",IF(J354=Constants!$B$2, TRUE(), IF(J354=Constants!$B$3, FALSE(), TRUE())))</f>
        <v/>
      </c>
      <c r="X354" s="99" t="str">
        <f aca="false">IF(ISBLANK($C354),"",IF(K354=Constants!$B$2, TRUE(), IF(K354=Constants!$B$3, FALSE(), TRUE())))</f>
        <v/>
      </c>
      <c r="Y354" s="99" t="str">
        <f aca="false">IF(ISBLANK($C354),"",IF(L354=Constants!$B$19,Constants!$B$19,Constants!$B$18))</f>
        <v/>
      </c>
      <c r="Z354" s="99" t="str">
        <f aca="false">IF(ISBLANK($C354),"",IF(ISNUMBER(M354),IF(M354&gt;=0,M354,""),""))</f>
        <v/>
      </c>
      <c r="AA354" s="99" t="str">
        <f aca="false">IF(ISBLANK($C354),"",IF(N354=Constants!$B$2, TRUE(), IF(N354=Constants!$B$3, FALSE(), TRUE())))</f>
        <v/>
      </c>
      <c r="AB354" s="99" t="str">
        <f aca="false">IF(ISBLANK($C354),"",IF(O354=Constants!$B$2, TRUE(), IF(O354=Constants!$B$3, FALSE(), TRUE())))</f>
        <v/>
      </c>
      <c r="AC354" s="99" t="str">
        <f aca="false">IF(ISBLANK($C354),"",IF(P354=Constants!$B$2, TRUE(), IF(P354=Constants!$B$3, FALSE(), FALSE())))</f>
        <v/>
      </c>
      <c r="AD354" s="99" t="str">
        <f aca="false">IF(ISBLANK($C354),"",AND(V354&lt;&gt;"",IF(U354=Constants!$B$19,S354,R354)))</f>
        <v/>
      </c>
      <c r="AE354" s="99" t="str">
        <f aca="false">IF(ISBLANK($C354),"",AND(Z354&lt;&gt;"",IF(Y354=Constants!$B$19,S354,R354)))</f>
        <v/>
      </c>
      <c r="AF354" s="99" t="str">
        <f aca="false">IF(ISBLANK($C354),"",IF(AC354,Constants!$B$4,IF(COUNTA(E354:O354)=0,Constants!$B$5,IF(AND(NOT(AD354),NOT(AE354)),Constants!$B$6,Constants!$B$7))))</f>
        <v/>
      </c>
      <c r="AG354" s="99" t="str">
        <f aca="false">IF(ISBLANK($C354),"",IF($AF354&lt;&gt;Constants!$B$7,$AF354,Constants!$B$20))</f>
        <v/>
      </c>
      <c r="AH354" s="99" t="str">
        <f aca="false">IF($AF354=Constants!$B$7,IF(AD354,V354,Constants!$B$13),"")</f>
        <v/>
      </c>
      <c r="AI354" s="99" t="str">
        <f aca="false">IF($AF354=Constants!$B$7,IF(AD354,T354*IF(W354, 1, Constants!$B$11)*IF(X354, 1, Constants!$B$12),Constants!$B$13),"")</f>
        <v/>
      </c>
      <c r="AJ354" s="99" t="str">
        <f aca="false">IF($AF354=Constants!$B$7,AH354*AI354,"")</f>
        <v/>
      </c>
      <c r="AK354" s="99" t="str">
        <f aca="false">IF($AF354=Constants!$B$7,IF(AE354,Z354,Constants!$B$13),"")</f>
        <v/>
      </c>
      <c r="AL354" s="99" t="str">
        <f aca="false">IF($AF354=Constants!$B$7,IF(AE354,T354*IF(AA354, 1, Constants!$B$11)*IF(AB354, 1, Constants!$B$12),Constants!$B$13),"")</f>
        <v/>
      </c>
      <c r="AM354" s="99" t="str">
        <f aca="false">IF($AF354=Constants!$B$7,AK354*AL354,"")</f>
        <v/>
      </c>
      <c r="AN354" s="99" t="str">
        <f aca="false">IF($AF354=Constants!$B$7,IF(AM354&gt;AJ354,2,1),"")</f>
        <v/>
      </c>
      <c r="AO354" s="99" t="str">
        <f aca="false">IF($AF354=Constants!$B$7,IF(AN354=1,2,1),"")</f>
        <v/>
      </c>
      <c r="AP354" s="99" t="str">
        <f aca="false">IF(ISBLANK($C354),"",IF($AF354&lt;&gt;Constants!$B$7,$AF354,IF(AN354=1,AJ354,AM354)))</f>
        <v/>
      </c>
      <c r="AQ354" s="99" t="str">
        <f aca="false">IF(ISBLANK($C354),"",IF($AF354=Constants!$B$7,IF(ISNUMBER(AP354),RANK(AP354,$AP$8:$AP$507),Constants!$B$14),$AF354))</f>
        <v/>
      </c>
      <c r="AR354" s="99" t="str">
        <f aca="false">IF(ISBLANK($C354),"",IF($AF354=Constants!$B$7,IF(AO354=1,AJ354,AM354),""))</f>
        <v/>
      </c>
      <c r="AS354" s="99" t="str">
        <f aca="false">IF(ISBLANK($C354),"",IF($AF354=Constants!$B$7,RANK(AR354,$AR$8:$AR$507),$AF354))</f>
        <v/>
      </c>
      <c r="AT354" s="99" t="str">
        <f aca="false">IF(ISBLANK($C354),"",IF($AF354=Constants!$B$7,IF(ISNUMBER(AQ354),COUNTIFS($AQ$8:$AQ$507,"&lt;"&amp;$AQ354)+COUNTIFS($AQ$8:$AQ$507,$AQ354,$AS$8:$AS$507,"&lt;"&amp;$AS354)+1,Constants!$B$14),$AF354))</f>
        <v/>
      </c>
      <c r="AU354" s="99" t="str">
        <f aca="false">IF(ISBLANK($C354),"",IF($AF354=Constants!$B$7,IF(ISNUMBER(AQ354),AQ354-AT354,Constants!$B$14),$AF354))</f>
        <v/>
      </c>
      <c r="AV354" s="100"/>
      <c r="AW354" s="101" t="str">
        <f aca="false">IF(ISBLANK($C354),"",IF($AF354&lt;&gt;Constants!$B$7,"",AN354))</f>
        <v/>
      </c>
      <c r="AX354" s="102" t="str">
        <f aca="false">IF(ISBLANK($C354),"",IF($AF354&lt;&gt;Constants!$B$7,"",IF(AN354=1,AH354,AK354)))</f>
        <v/>
      </c>
      <c r="AY354" s="103" t="str">
        <f aca="false">IF(ISBLANK($C354),"",IF($AF354&lt;&gt;Constants!$B$7,"",IF(AN354=1,AI354,AL354)))</f>
        <v/>
      </c>
      <c r="AZ354" s="104" t="str">
        <f aca="false">IF(ISBLANK($C354),"",IF($AF354&lt;&gt;Constants!$B$7,$AF354,AP354))</f>
        <v/>
      </c>
      <c r="BA354" s="105" t="str">
        <f aca="false">IF(ISBLANK($C354),"",IF($AF354&lt;&gt;Constants!$B$7,$AF354,AG354))</f>
        <v/>
      </c>
      <c r="BB354" s="106" t="str">
        <f aca="false">IF(ISBLANK($C354),"",AU354)</f>
        <v/>
      </c>
      <c r="BC354" s="106" t="str">
        <f aca="false">IF(ISBLANK($C354),"",AT354)</f>
        <v/>
      </c>
      <c r="BD354" s="107" t="str">
        <f aca="false">IF(ISBLANK($C354),"",IFERROR(_xlfn.SWITCH(BC354,Constants!$B$4,COUNTA($C$8:$C$507)+2,Constants!$B$5,COUNTA($C$8:$C$507)+1,Constants!$B$6,COUNTA($C$8:$C$507)),BC354))</f>
        <v/>
      </c>
      <c r="BE354" s="5"/>
      <c r="BF354" s="108" t="n">
        <f aca="false">IF(OR(ISNUMBER(BC354),BC354=Constants!$B$4,BC354=Constants!$B$6,BC354=Constants!$B$5),1,0)</f>
        <v>0</v>
      </c>
      <c r="BG354" s="108" t="n">
        <v>347</v>
      </c>
      <c r="BH354" s="108" t="str">
        <f aca="false">IF(ISBLANK($C354),"",IF(ISNUMBER(BD354),BD354+ROW($B354)/1000,""))</f>
        <v/>
      </c>
      <c r="BI354" s="108" t="str">
        <f aca="false">IF(ISNUMBER(BH354),RANK(BH354,$BH$8:$BH$507,1),"")</f>
        <v/>
      </c>
      <c r="BJ354" s="108" t="str">
        <f aca="false">IF(ISBLANK($C354),"",$B354)</f>
        <v/>
      </c>
      <c r="BK354" s="108" t="str">
        <f aca="false">IF(ISBLANK($C354),"",$C354)</f>
        <v/>
      </c>
      <c r="BL354" s="108" t="str">
        <f aca="false">IF(ISBLANK($C354),"",$D354)</f>
        <v/>
      </c>
      <c r="BM354" s="109" t="str">
        <f aca="false">BA354</f>
        <v/>
      </c>
      <c r="BN354" s="110" t="str">
        <f aca="false">AZ354</f>
        <v/>
      </c>
      <c r="BO354" s="108" t="str">
        <f aca="false">IF(ISBLANK($C354),"",BC354)</f>
        <v/>
      </c>
      <c r="BP354" s="111" t="str">
        <f aca="false">IF($BG354&gt;$BF$7,"",VLOOKUP($BG354,$BI$8:$BO$507,7,FALSE()))</f>
        <v/>
      </c>
      <c r="BQ354" s="112" t="str">
        <f aca="false">IF($BG354&gt;$BF$7,"",VLOOKUP($BG354,$BI$8:$BO$507,2,FALSE()))</f>
        <v/>
      </c>
      <c r="BR354" s="112" t="str">
        <f aca="false">IF($BG354&gt;$BF$7,"",VLOOKUP($BG354,$BI$8:$BO$507,3,FALSE()))</f>
        <v/>
      </c>
      <c r="BS354" s="112" t="str">
        <f aca="false">IF($BG354&gt;$BF$7,"",VLOOKUP($BG354,$BI$8:$BO$507,4,FALSE()))</f>
        <v/>
      </c>
      <c r="BT354" s="112" t="str">
        <f aca="false">IF($BG354&gt;$BF$7,"",VLOOKUP($BG354,$BI$8:$BO$507,5,FALSE()))</f>
        <v/>
      </c>
      <c r="BU354" s="113" t="str">
        <f aca="false">IF($BG354&gt;$BF$7,"",VLOOKUP($BG354,$BI$8:$BO$507,6,FALSE()))</f>
        <v/>
      </c>
      <c r="BV354" s="54"/>
    </row>
    <row r="355" customFormat="false" ht="15.75" hidden="false" customHeight="false" outlineLevel="0" collapsed="false">
      <c r="A355" s="5"/>
      <c r="B355" s="128"/>
      <c r="C355" s="129"/>
      <c r="D355" s="114"/>
      <c r="E355" s="134"/>
      <c r="F355" s="139"/>
      <c r="G355" s="93"/>
      <c r="H355" s="140"/>
      <c r="I355" s="95"/>
      <c r="J355" s="95"/>
      <c r="K355" s="93"/>
      <c r="L355" s="141"/>
      <c r="M355" s="95"/>
      <c r="N355" s="95"/>
      <c r="O355" s="93"/>
      <c r="P355" s="134"/>
      <c r="Q355" s="98"/>
      <c r="R355" s="99" t="str">
        <f aca="false">IF(ISBLANK($C355),"",IF(E355=Constants!$B$2, TRUE(), IF(E355=Constants!$B$3, FALSE(), TRUE())))</f>
        <v/>
      </c>
      <c r="S355" s="99" t="str">
        <f aca="false">IF(ISBLANK($C355),"",IF(F355=Constants!$B$2, TRUE(), IF(F355=Constants!$B$3, FALSE(), TRUE())))</f>
        <v/>
      </c>
      <c r="T355" s="99" t="str">
        <f aca="false">IF(ISBLANK($C355),"",IF(G355=Constants!$B$16,Constants!$B$9,IF(G355=Constants!$B$17,Constants!$B$10,Constants!$B$8)))</f>
        <v/>
      </c>
      <c r="U355" s="99" t="str">
        <f aca="false">IF(ISBLANK($C355),"",IF(H355=Constants!$B$19,Constants!$B$19,Constants!$B$18))</f>
        <v/>
      </c>
      <c r="V355" s="99" t="str">
        <f aca="false">IF(ISBLANK($C355),"",IF(ISNUMBER(I355),IF(I355&gt;=0,I355,""),""))</f>
        <v/>
      </c>
      <c r="W355" s="99" t="str">
        <f aca="false">IF(ISBLANK($C355),"",IF(J355=Constants!$B$2, TRUE(), IF(J355=Constants!$B$3, FALSE(), TRUE())))</f>
        <v/>
      </c>
      <c r="X355" s="99" t="str">
        <f aca="false">IF(ISBLANK($C355),"",IF(K355=Constants!$B$2, TRUE(), IF(K355=Constants!$B$3, FALSE(), TRUE())))</f>
        <v/>
      </c>
      <c r="Y355" s="99" t="str">
        <f aca="false">IF(ISBLANK($C355),"",IF(L355=Constants!$B$19,Constants!$B$19,Constants!$B$18))</f>
        <v/>
      </c>
      <c r="Z355" s="99" t="str">
        <f aca="false">IF(ISBLANK($C355),"",IF(ISNUMBER(M355),IF(M355&gt;=0,M355,""),""))</f>
        <v/>
      </c>
      <c r="AA355" s="99" t="str">
        <f aca="false">IF(ISBLANK($C355),"",IF(N355=Constants!$B$2, TRUE(), IF(N355=Constants!$B$3, FALSE(), TRUE())))</f>
        <v/>
      </c>
      <c r="AB355" s="99" t="str">
        <f aca="false">IF(ISBLANK($C355),"",IF(O355=Constants!$B$2, TRUE(), IF(O355=Constants!$B$3, FALSE(), TRUE())))</f>
        <v/>
      </c>
      <c r="AC355" s="99" t="str">
        <f aca="false">IF(ISBLANK($C355),"",IF(P355=Constants!$B$2, TRUE(), IF(P355=Constants!$B$3, FALSE(), FALSE())))</f>
        <v/>
      </c>
      <c r="AD355" s="99" t="str">
        <f aca="false">IF(ISBLANK($C355),"",AND(V355&lt;&gt;"",IF(U355=Constants!$B$19,S355,R355)))</f>
        <v/>
      </c>
      <c r="AE355" s="99" t="str">
        <f aca="false">IF(ISBLANK($C355),"",AND(Z355&lt;&gt;"",IF(Y355=Constants!$B$19,S355,R355)))</f>
        <v/>
      </c>
      <c r="AF355" s="99" t="str">
        <f aca="false">IF(ISBLANK($C355),"",IF(AC355,Constants!$B$4,IF(COUNTA(E355:O355)=0,Constants!$B$5,IF(AND(NOT(AD355),NOT(AE355)),Constants!$B$6,Constants!$B$7))))</f>
        <v/>
      </c>
      <c r="AG355" s="99" t="str">
        <f aca="false">IF(ISBLANK($C355),"",IF($AF355&lt;&gt;Constants!$B$7,$AF355,Constants!$B$20))</f>
        <v/>
      </c>
      <c r="AH355" s="99" t="str">
        <f aca="false">IF($AF355=Constants!$B$7,IF(AD355,V355,Constants!$B$13),"")</f>
        <v/>
      </c>
      <c r="AI355" s="99" t="str">
        <f aca="false">IF($AF355=Constants!$B$7,IF(AD355,T355*IF(W355, 1, Constants!$B$11)*IF(X355, 1, Constants!$B$12),Constants!$B$13),"")</f>
        <v/>
      </c>
      <c r="AJ355" s="99" t="str">
        <f aca="false">IF($AF355=Constants!$B$7,AH355*AI355,"")</f>
        <v/>
      </c>
      <c r="AK355" s="99" t="str">
        <f aca="false">IF($AF355=Constants!$B$7,IF(AE355,Z355,Constants!$B$13),"")</f>
        <v/>
      </c>
      <c r="AL355" s="99" t="str">
        <f aca="false">IF($AF355=Constants!$B$7,IF(AE355,T355*IF(AA355, 1, Constants!$B$11)*IF(AB355, 1, Constants!$B$12),Constants!$B$13),"")</f>
        <v/>
      </c>
      <c r="AM355" s="99" t="str">
        <f aca="false">IF($AF355=Constants!$B$7,AK355*AL355,"")</f>
        <v/>
      </c>
      <c r="AN355" s="99" t="str">
        <f aca="false">IF($AF355=Constants!$B$7,IF(AM355&gt;AJ355,2,1),"")</f>
        <v/>
      </c>
      <c r="AO355" s="99" t="str">
        <f aca="false">IF($AF355=Constants!$B$7,IF(AN355=1,2,1),"")</f>
        <v/>
      </c>
      <c r="AP355" s="99" t="str">
        <f aca="false">IF(ISBLANK($C355),"",IF($AF355&lt;&gt;Constants!$B$7,$AF355,IF(AN355=1,AJ355,AM355)))</f>
        <v/>
      </c>
      <c r="AQ355" s="99" t="str">
        <f aca="false">IF(ISBLANK($C355),"",IF($AF355=Constants!$B$7,IF(ISNUMBER(AP355),RANK(AP355,$AP$8:$AP$507),Constants!$B$14),$AF355))</f>
        <v/>
      </c>
      <c r="AR355" s="99" t="str">
        <f aca="false">IF(ISBLANK($C355),"",IF($AF355=Constants!$B$7,IF(AO355=1,AJ355,AM355),""))</f>
        <v/>
      </c>
      <c r="AS355" s="99" t="str">
        <f aca="false">IF(ISBLANK($C355),"",IF($AF355=Constants!$B$7,RANK(AR355,$AR$8:$AR$507),$AF355))</f>
        <v/>
      </c>
      <c r="AT355" s="99" t="str">
        <f aca="false">IF(ISBLANK($C355),"",IF($AF355=Constants!$B$7,IF(ISNUMBER(AQ355),COUNTIFS($AQ$8:$AQ$507,"&lt;"&amp;$AQ355)+COUNTIFS($AQ$8:$AQ$507,$AQ355,$AS$8:$AS$507,"&lt;"&amp;$AS355)+1,Constants!$B$14),$AF355))</f>
        <v/>
      </c>
      <c r="AU355" s="99" t="str">
        <f aca="false">IF(ISBLANK($C355),"",IF($AF355=Constants!$B$7,IF(ISNUMBER(AQ355),AQ355-AT355,Constants!$B$14),$AF355))</f>
        <v/>
      </c>
      <c r="AV355" s="100"/>
      <c r="AW355" s="101" t="str">
        <f aca="false">IF(ISBLANK($C355),"",IF($AF355&lt;&gt;Constants!$B$7,"",AN355))</f>
        <v/>
      </c>
      <c r="AX355" s="102" t="str">
        <f aca="false">IF(ISBLANK($C355),"",IF($AF355&lt;&gt;Constants!$B$7,"",IF(AN355=1,AH355,AK355)))</f>
        <v/>
      </c>
      <c r="AY355" s="103" t="str">
        <f aca="false">IF(ISBLANK($C355),"",IF($AF355&lt;&gt;Constants!$B$7,"",IF(AN355=1,AI355,AL355)))</f>
        <v/>
      </c>
      <c r="AZ355" s="104" t="str">
        <f aca="false">IF(ISBLANK($C355),"",IF($AF355&lt;&gt;Constants!$B$7,$AF355,AP355))</f>
        <v/>
      </c>
      <c r="BA355" s="105" t="str">
        <f aca="false">IF(ISBLANK($C355),"",IF($AF355&lt;&gt;Constants!$B$7,$AF355,AG355))</f>
        <v/>
      </c>
      <c r="BB355" s="106" t="str">
        <f aca="false">IF(ISBLANK($C355),"",AU355)</f>
        <v/>
      </c>
      <c r="BC355" s="106" t="str">
        <f aca="false">IF(ISBLANK($C355),"",AT355)</f>
        <v/>
      </c>
      <c r="BD355" s="107" t="str">
        <f aca="false">IF(ISBLANK($C355),"",IFERROR(_xlfn.SWITCH(BC355,Constants!$B$4,COUNTA($C$8:$C$507)+2,Constants!$B$5,COUNTA($C$8:$C$507)+1,Constants!$B$6,COUNTA($C$8:$C$507)),BC355))</f>
        <v/>
      </c>
      <c r="BE355" s="5"/>
      <c r="BF355" s="108" t="n">
        <f aca="false">IF(OR(ISNUMBER(BC355),BC355=Constants!$B$4,BC355=Constants!$B$6,BC355=Constants!$B$5),1,0)</f>
        <v>0</v>
      </c>
      <c r="BG355" s="108" t="n">
        <v>348</v>
      </c>
      <c r="BH355" s="108" t="str">
        <f aca="false">IF(ISBLANK($C355),"",IF(ISNUMBER(BD355),BD355+ROW($B355)/1000,""))</f>
        <v/>
      </c>
      <c r="BI355" s="108" t="str">
        <f aca="false">IF(ISNUMBER(BH355),RANK(BH355,$BH$8:$BH$507,1),"")</f>
        <v/>
      </c>
      <c r="BJ355" s="108" t="str">
        <f aca="false">IF(ISBLANK($C355),"",$B355)</f>
        <v/>
      </c>
      <c r="BK355" s="108" t="str">
        <f aca="false">IF(ISBLANK($C355),"",$C355)</f>
        <v/>
      </c>
      <c r="BL355" s="108" t="str">
        <f aca="false">IF(ISBLANK($C355),"",$D355)</f>
        <v/>
      </c>
      <c r="BM355" s="109" t="str">
        <f aca="false">BA355</f>
        <v/>
      </c>
      <c r="BN355" s="110" t="str">
        <f aca="false">AZ355</f>
        <v/>
      </c>
      <c r="BO355" s="108" t="str">
        <f aca="false">IF(ISBLANK($C355),"",BC355)</f>
        <v/>
      </c>
      <c r="BP355" s="111" t="str">
        <f aca="false">IF($BG355&gt;$BF$7,"",VLOOKUP($BG355,$BI$8:$BO$507,7,FALSE()))</f>
        <v/>
      </c>
      <c r="BQ355" s="112" t="str">
        <f aca="false">IF($BG355&gt;$BF$7,"",VLOOKUP($BG355,$BI$8:$BO$507,2,FALSE()))</f>
        <v/>
      </c>
      <c r="BR355" s="112" t="str">
        <f aca="false">IF($BG355&gt;$BF$7,"",VLOOKUP($BG355,$BI$8:$BO$507,3,FALSE()))</f>
        <v/>
      </c>
      <c r="BS355" s="112" t="str">
        <f aca="false">IF($BG355&gt;$BF$7,"",VLOOKUP($BG355,$BI$8:$BO$507,4,FALSE()))</f>
        <v/>
      </c>
      <c r="BT355" s="112" t="str">
        <f aca="false">IF($BG355&gt;$BF$7,"",VLOOKUP($BG355,$BI$8:$BO$507,5,FALSE()))</f>
        <v/>
      </c>
      <c r="BU355" s="113" t="str">
        <f aca="false">IF($BG355&gt;$BF$7,"",VLOOKUP($BG355,$BI$8:$BO$507,6,FALSE()))</f>
        <v/>
      </c>
      <c r="BV355" s="54"/>
    </row>
    <row r="356" customFormat="false" ht="15.75" hidden="false" customHeight="false" outlineLevel="0" collapsed="false">
      <c r="A356" s="5"/>
      <c r="B356" s="135"/>
      <c r="C356" s="56"/>
      <c r="D356" s="57"/>
      <c r="E356" s="84"/>
      <c r="F356" s="136"/>
      <c r="G356" s="60"/>
      <c r="H356" s="137"/>
      <c r="I356" s="62"/>
      <c r="J356" s="62"/>
      <c r="K356" s="60"/>
      <c r="L356" s="138"/>
      <c r="M356" s="62"/>
      <c r="N356" s="62"/>
      <c r="O356" s="60"/>
      <c r="P356" s="84"/>
      <c r="Q356" s="65"/>
      <c r="R356" s="67" t="str">
        <f aca="false">IF(ISBLANK($C356),"",IF(E356=Constants!$B$2, TRUE(), IF(E356=Constants!$B$3, FALSE(), TRUE())))</f>
        <v/>
      </c>
      <c r="S356" s="67" t="str">
        <f aca="false">IF(ISBLANK($C356),"",IF(F356=Constants!$B$2, TRUE(), IF(F356=Constants!$B$3, FALSE(), TRUE())))</f>
        <v/>
      </c>
      <c r="T356" s="67" t="str">
        <f aca="false">IF(ISBLANK($C356),"",IF(G356=Constants!$B$16,Constants!$B$9,IF(G356=Constants!$B$17,Constants!$B$10,Constants!$B$8)))</f>
        <v/>
      </c>
      <c r="U356" s="67" t="str">
        <f aca="false">IF(ISBLANK($C356),"",IF(H356=Constants!$B$19,Constants!$B$19,Constants!$B$18))</f>
        <v/>
      </c>
      <c r="V356" s="67" t="str">
        <f aca="false">IF(ISBLANK($C356),"",IF(ISNUMBER(I356),IF(I356&gt;=0,I356,""),""))</f>
        <v/>
      </c>
      <c r="W356" s="67" t="str">
        <f aca="false">IF(ISBLANK($C356),"",IF(J356=Constants!$B$2, TRUE(), IF(J356=Constants!$B$3, FALSE(), TRUE())))</f>
        <v/>
      </c>
      <c r="X356" s="67" t="str">
        <f aca="false">IF(ISBLANK($C356),"",IF(K356=Constants!$B$2, TRUE(), IF(K356=Constants!$B$3, FALSE(), TRUE())))</f>
        <v/>
      </c>
      <c r="Y356" s="67" t="str">
        <f aca="false">IF(ISBLANK($C356),"",IF(L356=Constants!$B$19,Constants!$B$19,Constants!$B$18))</f>
        <v/>
      </c>
      <c r="Z356" s="67" t="str">
        <f aca="false">IF(ISBLANK($C356),"",IF(ISNUMBER(M356),IF(M356&gt;=0,M356,""),""))</f>
        <v/>
      </c>
      <c r="AA356" s="67" t="str">
        <f aca="false">IF(ISBLANK($C356),"",IF(N356=Constants!$B$2, TRUE(), IF(N356=Constants!$B$3, FALSE(), TRUE())))</f>
        <v/>
      </c>
      <c r="AB356" s="67" t="str">
        <f aca="false">IF(ISBLANK($C356),"",IF(O356=Constants!$B$2, TRUE(), IF(O356=Constants!$B$3, FALSE(), TRUE())))</f>
        <v/>
      </c>
      <c r="AC356" s="67" t="str">
        <f aca="false">IF(ISBLANK($C356),"",IF(P356=Constants!$B$2, TRUE(), IF(P356=Constants!$B$3, FALSE(), FALSE())))</f>
        <v/>
      </c>
      <c r="AD356" s="67" t="str">
        <f aca="false">IF(ISBLANK($C356),"",AND(V356&lt;&gt;"",IF(U356=Constants!$B$19,S356,R356)))</f>
        <v/>
      </c>
      <c r="AE356" s="67" t="str">
        <f aca="false">IF(ISBLANK($C356),"",AND(Z356&lt;&gt;"",IF(Y356=Constants!$B$19,S356,R356)))</f>
        <v/>
      </c>
      <c r="AF356" s="67" t="str">
        <f aca="false">IF(ISBLANK($C356),"",IF(AC356,Constants!$B$4,IF(COUNTA(E356:O356)=0,Constants!$B$5,IF(AND(NOT(AD356),NOT(AE356)),Constants!$B$6,Constants!$B$7))))</f>
        <v/>
      </c>
      <c r="AG356" s="67" t="str">
        <f aca="false">IF(ISBLANK($C356),"",IF($AF356&lt;&gt;Constants!$B$7,$AF356,Constants!$B$20))</f>
        <v/>
      </c>
      <c r="AH356" s="67" t="str">
        <f aca="false">IF($AF356=Constants!$B$7,IF(AD356,V356,Constants!$B$13),"")</f>
        <v/>
      </c>
      <c r="AI356" s="67" t="str">
        <f aca="false">IF($AF356=Constants!$B$7,IF(AD356,T356*IF(W356, 1, Constants!$B$11)*IF(X356, 1, Constants!$B$12),Constants!$B$13),"")</f>
        <v/>
      </c>
      <c r="AJ356" s="67" t="str">
        <f aca="false">IF($AF356=Constants!$B$7,AH356*AI356,"")</f>
        <v/>
      </c>
      <c r="AK356" s="67" t="str">
        <f aca="false">IF($AF356=Constants!$B$7,IF(AE356,Z356,Constants!$B$13),"")</f>
        <v/>
      </c>
      <c r="AL356" s="67" t="str">
        <f aca="false">IF($AF356=Constants!$B$7,IF(AE356,T356*IF(AA356, 1, Constants!$B$11)*IF(AB356, 1, Constants!$B$12),Constants!$B$13),"")</f>
        <v/>
      </c>
      <c r="AM356" s="67" t="str">
        <f aca="false">IF($AF356=Constants!$B$7,AK356*AL356,"")</f>
        <v/>
      </c>
      <c r="AN356" s="67" t="str">
        <f aca="false">IF($AF356=Constants!$B$7,IF(AM356&gt;AJ356,2,1),"")</f>
        <v/>
      </c>
      <c r="AO356" s="67" t="str">
        <f aca="false">IF($AF356=Constants!$B$7,IF(AN356=1,2,1),"")</f>
        <v/>
      </c>
      <c r="AP356" s="67" t="str">
        <f aca="false">IF(ISBLANK($C356),"",IF($AF356&lt;&gt;Constants!$B$7,$AF356,IF(AN356=1,AJ356,AM356)))</f>
        <v/>
      </c>
      <c r="AQ356" s="67" t="str">
        <f aca="false">IF(ISBLANK($C356),"",IF($AF356=Constants!$B$7,IF(ISNUMBER(AP356),RANK(AP356,$AP$8:$AP$507),Constants!$B$14),$AF356))</f>
        <v/>
      </c>
      <c r="AR356" s="67" t="str">
        <f aca="false">IF(ISBLANK($C356),"",IF($AF356=Constants!$B$7,IF(AO356=1,AJ356,AM356),""))</f>
        <v/>
      </c>
      <c r="AS356" s="67" t="str">
        <f aca="false">IF(ISBLANK($C356),"",IF($AF356=Constants!$B$7,RANK(AR356,$AR$8:$AR$507),$AF356))</f>
        <v/>
      </c>
      <c r="AT356" s="67" t="str">
        <f aca="false">IF(ISBLANK($C356),"",IF($AF356=Constants!$B$7,IF(ISNUMBER(AQ356),COUNTIFS($AQ$8:$AQ$507,"&lt;"&amp;$AQ356)+COUNTIFS($AQ$8:$AQ$507,$AQ356,$AS$8:$AS$507,"&lt;"&amp;$AS356)+1,Constants!$B$14),$AF356))</f>
        <v/>
      </c>
      <c r="AU356" s="67" t="str">
        <f aca="false">IF(ISBLANK($C356),"",IF($AF356=Constants!$B$7,IF(ISNUMBER(AQ356),AQ356-AT356,Constants!$B$14),$AF356))</f>
        <v/>
      </c>
      <c r="AV356" s="69"/>
      <c r="AW356" s="70" t="str">
        <f aca="false">IF(ISBLANK($C356),"",IF($AF356&lt;&gt;Constants!$B$7,"",AN356))</f>
        <v/>
      </c>
      <c r="AX356" s="85" t="str">
        <f aca="false">IF(ISBLANK($C356),"",IF($AF356&lt;&gt;Constants!$B$7,"",IF(AN356=1,AH356,AK356)))</f>
        <v/>
      </c>
      <c r="AY356" s="72" t="str">
        <f aca="false">IF(ISBLANK($C356),"",IF($AF356&lt;&gt;Constants!$B$7,"",IF(AN356=1,AI356,AL356)))</f>
        <v/>
      </c>
      <c r="AZ356" s="73" t="str">
        <f aca="false">IF(ISBLANK($C356),"",IF($AF356&lt;&gt;Constants!$B$7,$AF356,AP356))</f>
        <v/>
      </c>
      <c r="BA356" s="74" t="str">
        <f aca="false">IF(ISBLANK($C356),"",IF($AF356&lt;&gt;Constants!$B$7,$AF356,AG356))</f>
        <v/>
      </c>
      <c r="BB356" s="75" t="str">
        <f aca="false">IF(ISBLANK($C356),"",AU356)</f>
        <v/>
      </c>
      <c r="BC356" s="75" t="str">
        <f aca="false">IF(ISBLANK($C356),"",AT356)</f>
        <v/>
      </c>
      <c r="BD356" s="76" t="str">
        <f aca="false">IF(ISBLANK($C356),"",IFERROR(_xlfn.SWITCH(BC356,Constants!$B$4,COUNTA($C$8:$C$507)+2,Constants!$B$5,COUNTA($C$8:$C$507)+1,Constants!$B$6,COUNTA($C$8:$C$507)),BC356))</f>
        <v/>
      </c>
      <c r="BE356" s="5"/>
      <c r="BF356" s="77" t="n">
        <f aca="false">IF(OR(ISNUMBER(BC356),BC356=Constants!$B$4,BC356=Constants!$B$6,BC356=Constants!$B$5),1,0)</f>
        <v>0</v>
      </c>
      <c r="BG356" s="77" t="n">
        <v>349</v>
      </c>
      <c r="BH356" s="77" t="str">
        <f aca="false">IF(ISBLANK($C356),"",IF(ISNUMBER(BD356),BD356+ROW($B356)/1000,""))</f>
        <v/>
      </c>
      <c r="BI356" s="77" t="str">
        <f aca="false">IF(ISNUMBER(BH356),RANK(BH356,$BH$8:$BH$507,1),"")</f>
        <v/>
      </c>
      <c r="BJ356" s="77" t="str">
        <f aca="false">IF(ISBLANK($C356),"",$B356)</f>
        <v/>
      </c>
      <c r="BK356" s="77" t="str">
        <f aca="false">IF(ISBLANK($C356),"",$C356)</f>
        <v/>
      </c>
      <c r="BL356" s="77" t="str">
        <f aca="false">IF(ISBLANK($C356),"",$D356)</f>
        <v/>
      </c>
      <c r="BM356" s="78" t="str">
        <f aca="false">BA356</f>
        <v/>
      </c>
      <c r="BN356" s="79" t="str">
        <f aca="false">AZ356</f>
        <v/>
      </c>
      <c r="BO356" s="77" t="str">
        <f aca="false">IF(ISBLANK($C356),"",BC356)</f>
        <v/>
      </c>
      <c r="BP356" s="80" t="str">
        <f aca="false">IF($BG356&gt;$BF$7,"",VLOOKUP($BG356,$BI$8:$BO$507,7,FALSE()))</f>
        <v/>
      </c>
      <c r="BQ356" s="81" t="str">
        <f aca="false">IF($BG356&gt;$BF$7,"",VLOOKUP($BG356,$BI$8:$BO$507,2,FALSE()))</f>
        <v/>
      </c>
      <c r="BR356" s="81" t="str">
        <f aca="false">IF($BG356&gt;$BF$7,"",VLOOKUP($BG356,$BI$8:$BO$507,3,FALSE()))</f>
        <v/>
      </c>
      <c r="BS356" s="81" t="str">
        <f aca="false">IF($BG356&gt;$BF$7,"",VLOOKUP($BG356,$BI$8:$BO$507,4,FALSE()))</f>
        <v/>
      </c>
      <c r="BT356" s="81" t="str">
        <f aca="false">IF($BG356&gt;$BF$7,"",VLOOKUP($BG356,$BI$8:$BO$507,5,FALSE()))</f>
        <v/>
      </c>
      <c r="BU356" s="82" t="str">
        <f aca="false">IF($BG356&gt;$BF$7,"",VLOOKUP($BG356,$BI$8:$BO$507,6,FALSE()))</f>
        <v/>
      </c>
      <c r="BV356" s="54"/>
    </row>
    <row r="357" customFormat="false" ht="15.75" hidden="false" customHeight="false" outlineLevel="0" collapsed="false">
      <c r="A357" s="5"/>
      <c r="B357" s="135"/>
      <c r="C357" s="56"/>
      <c r="D357" s="57"/>
      <c r="E357" s="84"/>
      <c r="F357" s="136"/>
      <c r="G357" s="60"/>
      <c r="H357" s="137"/>
      <c r="I357" s="62"/>
      <c r="J357" s="62"/>
      <c r="K357" s="60"/>
      <c r="L357" s="138"/>
      <c r="M357" s="62"/>
      <c r="N357" s="62"/>
      <c r="O357" s="60"/>
      <c r="P357" s="84"/>
      <c r="Q357" s="65"/>
      <c r="R357" s="67" t="str">
        <f aca="false">IF(ISBLANK($C357),"",IF(E357=Constants!$B$2, TRUE(), IF(E357=Constants!$B$3, FALSE(), TRUE())))</f>
        <v/>
      </c>
      <c r="S357" s="67" t="str">
        <f aca="false">IF(ISBLANK($C357),"",IF(F357=Constants!$B$2, TRUE(), IF(F357=Constants!$B$3, FALSE(), TRUE())))</f>
        <v/>
      </c>
      <c r="T357" s="67" t="str">
        <f aca="false">IF(ISBLANK($C357),"",IF(G357=Constants!$B$16,Constants!$B$9,IF(G357=Constants!$B$17,Constants!$B$10,Constants!$B$8)))</f>
        <v/>
      </c>
      <c r="U357" s="67" t="str">
        <f aca="false">IF(ISBLANK($C357),"",IF(H357=Constants!$B$19,Constants!$B$19,Constants!$B$18))</f>
        <v/>
      </c>
      <c r="V357" s="67" t="str">
        <f aca="false">IF(ISBLANK($C357),"",IF(ISNUMBER(I357),IF(I357&gt;=0,I357,""),""))</f>
        <v/>
      </c>
      <c r="W357" s="67" t="str">
        <f aca="false">IF(ISBLANK($C357),"",IF(J357=Constants!$B$2, TRUE(), IF(J357=Constants!$B$3, FALSE(), TRUE())))</f>
        <v/>
      </c>
      <c r="X357" s="67" t="str">
        <f aca="false">IF(ISBLANK($C357),"",IF(K357=Constants!$B$2, TRUE(), IF(K357=Constants!$B$3, FALSE(), TRUE())))</f>
        <v/>
      </c>
      <c r="Y357" s="67" t="str">
        <f aca="false">IF(ISBLANK($C357),"",IF(L357=Constants!$B$19,Constants!$B$19,Constants!$B$18))</f>
        <v/>
      </c>
      <c r="Z357" s="67" t="str">
        <f aca="false">IF(ISBLANK($C357),"",IF(ISNUMBER(M357),IF(M357&gt;=0,M357,""),""))</f>
        <v/>
      </c>
      <c r="AA357" s="67" t="str">
        <f aca="false">IF(ISBLANK($C357),"",IF(N357=Constants!$B$2, TRUE(), IF(N357=Constants!$B$3, FALSE(), TRUE())))</f>
        <v/>
      </c>
      <c r="AB357" s="67" t="str">
        <f aca="false">IF(ISBLANK($C357),"",IF(O357=Constants!$B$2, TRUE(), IF(O357=Constants!$B$3, FALSE(), TRUE())))</f>
        <v/>
      </c>
      <c r="AC357" s="67" t="str">
        <f aca="false">IF(ISBLANK($C357),"",IF(P357=Constants!$B$2, TRUE(), IF(P357=Constants!$B$3, FALSE(), FALSE())))</f>
        <v/>
      </c>
      <c r="AD357" s="67" t="str">
        <f aca="false">IF(ISBLANK($C357),"",AND(V357&lt;&gt;"",IF(U357=Constants!$B$19,S357,R357)))</f>
        <v/>
      </c>
      <c r="AE357" s="67" t="str">
        <f aca="false">IF(ISBLANK($C357),"",AND(Z357&lt;&gt;"",IF(Y357=Constants!$B$19,S357,R357)))</f>
        <v/>
      </c>
      <c r="AF357" s="67" t="str">
        <f aca="false">IF(ISBLANK($C357),"",IF(AC357,Constants!$B$4,IF(COUNTA(E357:O357)=0,Constants!$B$5,IF(AND(NOT(AD357),NOT(AE357)),Constants!$B$6,Constants!$B$7))))</f>
        <v/>
      </c>
      <c r="AG357" s="67" t="str">
        <f aca="false">IF(ISBLANK($C357),"",IF($AF357&lt;&gt;Constants!$B$7,$AF357,Constants!$B$20))</f>
        <v/>
      </c>
      <c r="AH357" s="67" t="str">
        <f aca="false">IF($AF357=Constants!$B$7,IF(AD357,V357,Constants!$B$13),"")</f>
        <v/>
      </c>
      <c r="AI357" s="67" t="str">
        <f aca="false">IF($AF357=Constants!$B$7,IF(AD357,T357*IF(W357, 1, Constants!$B$11)*IF(X357, 1, Constants!$B$12),Constants!$B$13),"")</f>
        <v/>
      </c>
      <c r="AJ357" s="67" t="str">
        <f aca="false">IF($AF357=Constants!$B$7,AH357*AI357,"")</f>
        <v/>
      </c>
      <c r="AK357" s="67" t="str">
        <f aca="false">IF($AF357=Constants!$B$7,IF(AE357,Z357,Constants!$B$13),"")</f>
        <v/>
      </c>
      <c r="AL357" s="67" t="str">
        <f aca="false">IF($AF357=Constants!$B$7,IF(AE357,T357*IF(AA357, 1, Constants!$B$11)*IF(AB357, 1, Constants!$B$12),Constants!$B$13),"")</f>
        <v/>
      </c>
      <c r="AM357" s="67" t="str">
        <f aca="false">IF($AF357=Constants!$B$7,AK357*AL357,"")</f>
        <v/>
      </c>
      <c r="AN357" s="67" t="str">
        <f aca="false">IF($AF357=Constants!$B$7,IF(AM357&gt;AJ357,2,1),"")</f>
        <v/>
      </c>
      <c r="AO357" s="67" t="str">
        <f aca="false">IF($AF357=Constants!$B$7,IF(AN357=1,2,1),"")</f>
        <v/>
      </c>
      <c r="AP357" s="67" t="str">
        <f aca="false">IF(ISBLANK($C357),"",IF($AF357&lt;&gt;Constants!$B$7,$AF357,IF(AN357=1,AJ357,AM357)))</f>
        <v/>
      </c>
      <c r="AQ357" s="67" t="str">
        <f aca="false">IF(ISBLANK($C357),"",IF($AF357=Constants!$B$7,IF(ISNUMBER(AP357),RANK(AP357,$AP$8:$AP$507),Constants!$B$14),$AF357))</f>
        <v/>
      </c>
      <c r="AR357" s="67" t="str">
        <f aca="false">IF(ISBLANK($C357),"",IF($AF357=Constants!$B$7,IF(AO357=1,AJ357,AM357),""))</f>
        <v/>
      </c>
      <c r="AS357" s="67" t="str">
        <f aca="false">IF(ISBLANK($C357),"",IF($AF357=Constants!$B$7,RANK(AR357,$AR$8:$AR$507),$AF357))</f>
        <v/>
      </c>
      <c r="AT357" s="67" t="str">
        <f aca="false">IF(ISBLANK($C357),"",IF($AF357=Constants!$B$7,IF(ISNUMBER(AQ357),COUNTIFS($AQ$8:$AQ$507,"&lt;"&amp;$AQ357)+COUNTIFS($AQ$8:$AQ$507,$AQ357,$AS$8:$AS$507,"&lt;"&amp;$AS357)+1,Constants!$B$14),$AF357))</f>
        <v/>
      </c>
      <c r="AU357" s="67" t="str">
        <f aca="false">IF(ISBLANK($C357),"",IF($AF357=Constants!$B$7,IF(ISNUMBER(AQ357),AQ357-AT357,Constants!$B$14),$AF357))</f>
        <v/>
      </c>
      <c r="AV357" s="69"/>
      <c r="AW357" s="70" t="str">
        <f aca="false">IF(ISBLANK($C357),"",IF($AF357&lt;&gt;Constants!$B$7,"",AN357))</f>
        <v/>
      </c>
      <c r="AX357" s="85" t="str">
        <f aca="false">IF(ISBLANK($C357),"",IF($AF357&lt;&gt;Constants!$B$7,"",IF(AN357=1,AH357,AK357)))</f>
        <v/>
      </c>
      <c r="AY357" s="72" t="str">
        <f aca="false">IF(ISBLANK($C357),"",IF($AF357&lt;&gt;Constants!$B$7,"",IF(AN357=1,AI357,AL357)))</f>
        <v/>
      </c>
      <c r="AZ357" s="73" t="str">
        <f aca="false">IF(ISBLANK($C357),"",IF($AF357&lt;&gt;Constants!$B$7,$AF357,AP357))</f>
        <v/>
      </c>
      <c r="BA357" s="74" t="str">
        <f aca="false">IF(ISBLANK($C357),"",IF($AF357&lt;&gt;Constants!$B$7,$AF357,AG357))</f>
        <v/>
      </c>
      <c r="BB357" s="75" t="str">
        <f aca="false">IF(ISBLANK($C357),"",AU357)</f>
        <v/>
      </c>
      <c r="BC357" s="75" t="str">
        <f aca="false">IF(ISBLANK($C357),"",AT357)</f>
        <v/>
      </c>
      <c r="BD357" s="76" t="str">
        <f aca="false">IF(ISBLANK($C357),"",IFERROR(_xlfn.SWITCH(BC357,Constants!$B$4,COUNTA($C$8:$C$507)+2,Constants!$B$5,COUNTA($C$8:$C$507)+1,Constants!$B$6,COUNTA($C$8:$C$507)),BC357))</f>
        <v/>
      </c>
      <c r="BE357" s="5"/>
      <c r="BF357" s="77" t="n">
        <f aca="false">IF(OR(ISNUMBER(BC357),BC357=Constants!$B$4,BC357=Constants!$B$6,BC357=Constants!$B$5),1,0)</f>
        <v>0</v>
      </c>
      <c r="BG357" s="77" t="n">
        <v>350</v>
      </c>
      <c r="BH357" s="77" t="str">
        <f aca="false">IF(ISBLANK($C357),"",IF(ISNUMBER(BD357),BD357+ROW($B357)/1000,""))</f>
        <v/>
      </c>
      <c r="BI357" s="77" t="str">
        <f aca="false">IF(ISNUMBER(BH357),RANK(BH357,$BH$8:$BH$507,1),"")</f>
        <v/>
      </c>
      <c r="BJ357" s="77" t="str">
        <f aca="false">IF(ISBLANK($C357),"",$B357)</f>
        <v/>
      </c>
      <c r="BK357" s="77" t="str">
        <f aca="false">IF(ISBLANK($C357),"",$C357)</f>
        <v/>
      </c>
      <c r="BL357" s="77" t="str">
        <f aca="false">IF(ISBLANK($C357),"",$D357)</f>
        <v/>
      </c>
      <c r="BM357" s="78" t="str">
        <f aca="false">BA357</f>
        <v/>
      </c>
      <c r="BN357" s="79" t="str">
        <f aca="false">AZ357</f>
        <v/>
      </c>
      <c r="BO357" s="77" t="str">
        <f aca="false">IF(ISBLANK($C357),"",BC357)</f>
        <v/>
      </c>
      <c r="BP357" s="80" t="str">
        <f aca="false">IF($BG357&gt;$BF$7,"",VLOOKUP($BG357,$BI$8:$BO$507,7,FALSE()))</f>
        <v/>
      </c>
      <c r="BQ357" s="81" t="str">
        <f aca="false">IF($BG357&gt;$BF$7,"",VLOOKUP($BG357,$BI$8:$BO$507,2,FALSE()))</f>
        <v/>
      </c>
      <c r="BR357" s="81" t="str">
        <f aca="false">IF($BG357&gt;$BF$7,"",VLOOKUP($BG357,$BI$8:$BO$507,3,FALSE()))</f>
        <v/>
      </c>
      <c r="BS357" s="81" t="str">
        <f aca="false">IF($BG357&gt;$BF$7,"",VLOOKUP($BG357,$BI$8:$BO$507,4,FALSE()))</f>
        <v/>
      </c>
      <c r="BT357" s="81" t="str">
        <f aca="false">IF($BG357&gt;$BF$7,"",VLOOKUP($BG357,$BI$8:$BO$507,5,FALSE()))</f>
        <v/>
      </c>
      <c r="BU357" s="82" t="str">
        <f aca="false">IF($BG357&gt;$BF$7,"",VLOOKUP($BG357,$BI$8:$BO$507,6,FALSE()))</f>
        <v/>
      </c>
      <c r="BV357" s="54"/>
    </row>
    <row r="358" customFormat="false" ht="15.75" hidden="false" customHeight="false" outlineLevel="0" collapsed="false">
      <c r="A358" s="5"/>
      <c r="B358" s="135"/>
      <c r="C358" s="56"/>
      <c r="D358" s="57"/>
      <c r="E358" s="84"/>
      <c r="F358" s="136"/>
      <c r="G358" s="60"/>
      <c r="H358" s="137"/>
      <c r="I358" s="62"/>
      <c r="J358" s="62"/>
      <c r="K358" s="60"/>
      <c r="L358" s="138"/>
      <c r="M358" s="62"/>
      <c r="N358" s="62"/>
      <c r="O358" s="60"/>
      <c r="P358" s="84"/>
      <c r="Q358" s="65"/>
      <c r="R358" s="67" t="str">
        <f aca="false">IF(ISBLANK($C358),"",IF(E358=Constants!$B$2, TRUE(), IF(E358=Constants!$B$3, FALSE(), TRUE())))</f>
        <v/>
      </c>
      <c r="S358" s="67" t="str">
        <f aca="false">IF(ISBLANK($C358),"",IF(F358=Constants!$B$2, TRUE(), IF(F358=Constants!$B$3, FALSE(), TRUE())))</f>
        <v/>
      </c>
      <c r="T358" s="67" t="str">
        <f aca="false">IF(ISBLANK($C358),"",IF(G358=Constants!$B$16,Constants!$B$9,IF(G358=Constants!$B$17,Constants!$B$10,Constants!$B$8)))</f>
        <v/>
      </c>
      <c r="U358" s="67" t="str">
        <f aca="false">IF(ISBLANK($C358),"",IF(H358=Constants!$B$19,Constants!$B$19,Constants!$B$18))</f>
        <v/>
      </c>
      <c r="V358" s="67" t="str">
        <f aca="false">IF(ISBLANK($C358),"",IF(ISNUMBER(I358),IF(I358&gt;=0,I358,""),""))</f>
        <v/>
      </c>
      <c r="W358" s="67" t="str">
        <f aca="false">IF(ISBLANK($C358),"",IF(J358=Constants!$B$2, TRUE(), IF(J358=Constants!$B$3, FALSE(), TRUE())))</f>
        <v/>
      </c>
      <c r="X358" s="67" t="str">
        <f aca="false">IF(ISBLANK($C358),"",IF(K358=Constants!$B$2, TRUE(), IF(K358=Constants!$B$3, FALSE(), TRUE())))</f>
        <v/>
      </c>
      <c r="Y358" s="67" t="str">
        <f aca="false">IF(ISBLANK($C358),"",IF(L358=Constants!$B$19,Constants!$B$19,Constants!$B$18))</f>
        <v/>
      </c>
      <c r="Z358" s="67" t="str">
        <f aca="false">IF(ISBLANK($C358),"",IF(ISNUMBER(M358),IF(M358&gt;=0,M358,""),""))</f>
        <v/>
      </c>
      <c r="AA358" s="67" t="str">
        <f aca="false">IF(ISBLANK($C358),"",IF(N358=Constants!$B$2, TRUE(), IF(N358=Constants!$B$3, FALSE(), TRUE())))</f>
        <v/>
      </c>
      <c r="AB358" s="67" t="str">
        <f aca="false">IF(ISBLANK($C358),"",IF(O358=Constants!$B$2, TRUE(), IF(O358=Constants!$B$3, FALSE(), TRUE())))</f>
        <v/>
      </c>
      <c r="AC358" s="67" t="str">
        <f aca="false">IF(ISBLANK($C358),"",IF(P358=Constants!$B$2, TRUE(), IF(P358=Constants!$B$3, FALSE(), FALSE())))</f>
        <v/>
      </c>
      <c r="AD358" s="67" t="str">
        <f aca="false">IF(ISBLANK($C358),"",AND(V358&lt;&gt;"",IF(U358=Constants!$B$19,S358,R358)))</f>
        <v/>
      </c>
      <c r="AE358" s="67" t="str">
        <f aca="false">IF(ISBLANK($C358),"",AND(Z358&lt;&gt;"",IF(Y358=Constants!$B$19,S358,R358)))</f>
        <v/>
      </c>
      <c r="AF358" s="67" t="str">
        <f aca="false">IF(ISBLANK($C358),"",IF(AC358,Constants!$B$4,IF(COUNTA(E358:O358)=0,Constants!$B$5,IF(AND(NOT(AD358),NOT(AE358)),Constants!$B$6,Constants!$B$7))))</f>
        <v/>
      </c>
      <c r="AG358" s="67" t="str">
        <f aca="false">IF(ISBLANK($C358),"",IF($AF358&lt;&gt;Constants!$B$7,$AF358,Constants!$B$20))</f>
        <v/>
      </c>
      <c r="AH358" s="67" t="str">
        <f aca="false">IF($AF358=Constants!$B$7,IF(AD358,V358,Constants!$B$13),"")</f>
        <v/>
      </c>
      <c r="AI358" s="67" t="str">
        <f aca="false">IF($AF358=Constants!$B$7,IF(AD358,T358*IF(W358, 1, Constants!$B$11)*IF(X358, 1, Constants!$B$12),Constants!$B$13),"")</f>
        <v/>
      </c>
      <c r="AJ358" s="67" t="str">
        <f aca="false">IF($AF358=Constants!$B$7,AH358*AI358,"")</f>
        <v/>
      </c>
      <c r="AK358" s="67" t="str">
        <f aca="false">IF($AF358=Constants!$B$7,IF(AE358,Z358,Constants!$B$13),"")</f>
        <v/>
      </c>
      <c r="AL358" s="67" t="str">
        <f aca="false">IF($AF358=Constants!$B$7,IF(AE358,T358*IF(AA358, 1, Constants!$B$11)*IF(AB358, 1, Constants!$B$12),Constants!$B$13),"")</f>
        <v/>
      </c>
      <c r="AM358" s="67" t="str">
        <f aca="false">IF($AF358=Constants!$B$7,AK358*AL358,"")</f>
        <v/>
      </c>
      <c r="AN358" s="67" t="str">
        <f aca="false">IF($AF358=Constants!$B$7,IF(AM358&gt;AJ358,2,1),"")</f>
        <v/>
      </c>
      <c r="AO358" s="67" t="str">
        <f aca="false">IF($AF358=Constants!$B$7,IF(AN358=1,2,1),"")</f>
        <v/>
      </c>
      <c r="AP358" s="67" t="str">
        <f aca="false">IF(ISBLANK($C358),"",IF($AF358&lt;&gt;Constants!$B$7,$AF358,IF(AN358=1,AJ358,AM358)))</f>
        <v/>
      </c>
      <c r="AQ358" s="67" t="str">
        <f aca="false">IF(ISBLANK($C358),"",IF($AF358=Constants!$B$7,IF(ISNUMBER(AP358),RANK(AP358,$AP$8:$AP$507),Constants!$B$14),$AF358))</f>
        <v/>
      </c>
      <c r="AR358" s="67" t="str">
        <f aca="false">IF(ISBLANK($C358),"",IF($AF358=Constants!$B$7,IF(AO358=1,AJ358,AM358),""))</f>
        <v/>
      </c>
      <c r="AS358" s="67" t="str">
        <f aca="false">IF(ISBLANK($C358),"",IF($AF358=Constants!$B$7,RANK(AR358,$AR$8:$AR$507),$AF358))</f>
        <v/>
      </c>
      <c r="AT358" s="67" t="str">
        <f aca="false">IF(ISBLANK($C358),"",IF($AF358=Constants!$B$7,IF(ISNUMBER(AQ358),COUNTIFS($AQ$8:$AQ$507,"&lt;"&amp;$AQ358)+COUNTIFS($AQ$8:$AQ$507,$AQ358,$AS$8:$AS$507,"&lt;"&amp;$AS358)+1,Constants!$B$14),$AF358))</f>
        <v/>
      </c>
      <c r="AU358" s="67" t="str">
        <f aca="false">IF(ISBLANK($C358),"",IF($AF358=Constants!$B$7,IF(ISNUMBER(AQ358),AQ358-AT358,Constants!$B$14),$AF358))</f>
        <v/>
      </c>
      <c r="AV358" s="69"/>
      <c r="AW358" s="70" t="str">
        <f aca="false">IF(ISBLANK($C358),"",IF($AF358&lt;&gt;Constants!$B$7,"",AN358))</f>
        <v/>
      </c>
      <c r="AX358" s="85" t="str">
        <f aca="false">IF(ISBLANK($C358),"",IF($AF358&lt;&gt;Constants!$B$7,"",IF(AN358=1,AH358,AK358)))</f>
        <v/>
      </c>
      <c r="AY358" s="72" t="str">
        <f aca="false">IF(ISBLANK($C358),"",IF($AF358&lt;&gt;Constants!$B$7,"",IF(AN358=1,AI358,AL358)))</f>
        <v/>
      </c>
      <c r="AZ358" s="73" t="str">
        <f aca="false">IF(ISBLANK($C358),"",IF($AF358&lt;&gt;Constants!$B$7,$AF358,AP358))</f>
        <v/>
      </c>
      <c r="BA358" s="74" t="str">
        <f aca="false">IF(ISBLANK($C358),"",IF($AF358&lt;&gt;Constants!$B$7,$AF358,AG358))</f>
        <v/>
      </c>
      <c r="BB358" s="75" t="str">
        <f aca="false">IF(ISBLANK($C358),"",AU358)</f>
        <v/>
      </c>
      <c r="BC358" s="75" t="str">
        <f aca="false">IF(ISBLANK($C358),"",AT358)</f>
        <v/>
      </c>
      <c r="BD358" s="76" t="str">
        <f aca="false">IF(ISBLANK($C358),"",IFERROR(_xlfn.SWITCH(BC358,Constants!$B$4,COUNTA($C$8:$C$507)+2,Constants!$B$5,COUNTA($C$8:$C$507)+1,Constants!$B$6,COUNTA($C$8:$C$507)),BC358))</f>
        <v/>
      </c>
      <c r="BE358" s="5"/>
      <c r="BF358" s="77" t="n">
        <f aca="false">IF(OR(ISNUMBER(BC358),BC358=Constants!$B$4,BC358=Constants!$B$6,BC358=Constants!$B$5),1,0)</f>
        <v>0</v>
      </c>
      <c r="BG358" s="77" t="n">
        <v>351</v>
      </c>
      <c r="BH358" s="77" t="str">
        <f aca="false">IF(ISBLANK($C358),"",IF(ISNUMBER(BD358),BD358+ROW($B358)/1000,""))</f>
        <v/>
      </c>
      <c r="BI358" s="77" t="str">
        <f aca="false">IF(ISNUMBER(BH358),RANK(BH358,$BH$8:$BH$507,1),"")</f>
        <v/>
      </c>
      <c r="BJ358" s="77" t="str">
        <f aca="false">IF(ISBLANK($C358),"",$B358)</f>
        <v/>
      </c>
      <c r="BK358" s="77" t="str">
        <f aca="false">IF(ISBLANK($C358),"",$C358)</f>
        <v/>
      </c>
      <c r="BL358" s="77" t="str">
        <f aca="false">IF(ISBLANK($C358),"",$D358)</f>
        <v/>
      </c>
      <c r="BM358" s="78" t="str">
        <f aca="false">BA358</f>
        <v/>
      </c>
      <c r="BN358" s="79" t="str">
        <f aca="false">AZ358</f>
        <v/>
      </c>
      <c r="BO358" s="77" t="str">
        <f aca="false">IF(ISBLANK($C358),"",BC358)</f>
        <v/>
      </c>
      <c r="BP358" s="80" t="str">
        <f aca="false">IF($BG358&gt;$BF$7,"",VLOOKUP($BG358,$BI$8:$BO$507,7,FALSE()))</f>
        <v/>
      </c>
      <c r="BQ358" s="81" t="str">
        <f aca="false">IF($BG358&gt;$BF$7,"",VLOOKUP($BG358,$BI$8:$BO$507,2,FALSE()))</f>
        <v/>
      </c>
      <c r="BR358" s="81" t="str">
        <f aca="false">IF($BG358&gt;$BF$7,"",VLOOKUP($BG358,$BI$8:$BO$507,3,FALSE()))</f>
        <v/>
      </c>
      <c r="BS358" s="81" t="str">
        <f aca="false">IF($BG358&gt;$BF$7,"",VLOOKUP($BG358,$BI$8:$BO$507,4,FALSE()))</f>
        <v/>
      </c>
      <c r="BT358" s="81" t="str">
        <f aca="false">IF($BG358&gt;$BF$7,"",VLOOKUP($BG358,$BI$8:$BO$507,5,FALSE()))</f>
        <v/>
      </c>
      <c r="BU358" s="82" t="str">
        <f aca="false">IF($BG358&gt;$BF$7,"",VLOOKUP($BG358,$BI$8:$BO$507,6,FALSE()))</f>
        <v/>
      </c>
      <c r="BV358" s="54"/>
    </row>
    <row r="359" customFormat="false" ht="15.75" hidden="false" customHeight="false" outlineLevel="0" collapsed="false">
      <c r="A359" s="5"/>
      <c r="B359" s="128"/>
      <c r="C359" s="129"/>
      <c r="D359" s="114"/>
      <c r="E359" s="134"/>
      <c r="F359" s="139"/>
      <c r="G359" s="93"/>
      <c r="H359" s="140"/>
      <c r="I359" s="95"/>
      <c r="J359" s="95"/>
      <c r="K359" s="93"/>
      <c r="L359" s="141"/>
      <c r="M359" s="95"/>
      <c r="N359" s="95"/>
      <c r="O359" s="93"/>
      <c r="P359" s="134"/>
      <c r="Q359" s="98"/>
      <c r="R359" s="99" t="str">
        <f aca="false">IF(ISBLANK($C359),"",IF(E359=Constants!$B$2, TRUE(), IF(E359=Constants!$B$3, FALSE(), TRUE())))</f>
        <v/>
      </c>
      <c r="S359" s="99" t="str">
        <f aca="false">IF(ISBLANK($C359),"",IF(F359=Constants!$B$2, TRUE(), IF(F359=Constants!$B$3, FALSE(), TRUE())))</f>
        <v/>
      </c>
      <c r="T359" s="99" t="str">
        <f aca="false">IF(ISBLANK($C359),"",IF(G359=Constants!$B$16,Constants!$B$9,IF(G359=Constants!$B$17,Constants!$B$10,Constants!$B$8)))</f>
        <v/>
      </c>
      <c r="U359" s="99" t="str">
        <f aca="false">IF(ISBLANK($C359),"",IF(H359=Constants!$B$19,Constants!$B$19,Constants!$B$18))</f>
        <v/>
      </c>
      <c r="V359" s="99" t="str">
        <f aca="false">IF(ISBLANK($C359),"",IF(ISNUMBER(I359),IF(I359&gt;=0,I359,""),""))</f>
        <v/>
      </c>
      <c r="W359" s="99" t="str">
        <f aca="false">IF(ISBLANK($C359),"",IF(J359=Constants!$B$2, TRUE(), IF(J359=Constants!$B$3, FALSE(), TRUE())))</f>
        <v/>
      </c>
      <c r="X359" s="99" t="str">
        <f aca="false">IF(ISBLANK($C359),"",IF(K359=Constants!$B$2, TRUE(), IF(K359=Constants!$B$3, FALSE(), TRUE())))</f>
        <v/>
      </c>
      <c r="Y359" s="99" t="str">
        <f aca="false">IF(ISBLANK($C359),"",IF(L359=Constants!$B$19,Constants!$B$19,Constants!$B$18))</f>
        <v/>
      </c>
      <c r="Z359" s="99" t="str">
        <f aca="false">IF(ISBLANK($C359),"",IF(ISNUMBER(M359),IF(M359&gt;=0,M359,""),""))</f>
        <v/>
      </c>
      <c r="AA359" s="99" t="str">
        <f aca="false">IF(ISBLANK($C359),"",IF(N359=Constants!$B$2, TRUE(), IF(N359=Constants!$B$3, FALSE(), TRUE())))</f>
        <v/>
      </c>
      <c r="AB359" s="99" t="str">
        <f aca="false">IF(ISBLANK($C359),"",IF(O359=Constants!$B$2, TRUE(), IF(O359=Constants!$B$3, FALSE(), TRUE())))</f>
        <v/>
      </c>
      <c r="AC359" s="99" t="str">
        <f aca="false">IF(ISBLANK($C359),"",IF(P359=Constants!$B$2, TRUE(), IF(P359=Constants!$B$3, FALSE(), FALSE())))</f>
        <v/>
      </c>
      <c r="AD359" s="99" t="str">
        <f aca="false">IF(ISBLANK($C359),"",AND(V359&lt;&gt;"",IF(U359=Constants!$B$19,S359,R359)))</f>
        <v/>
      </c>
      <c r="AE359" s="99" t="str">
        <f aca="false">IF(ISBLANK($C359),"",AND(Z359&lt;&gt;"",IF(Y359=Constants!$B$19,S359,R359)))</f>
        <v/>
      </c>
      <c r="AF359" s="99" t="str">
        <f aca="false">IF(ISBLANK($C359),"",IF(AC359,Constants!$B$4,IF(COUNTA(E359:O359)=0,Constants!$B$5,IF(AND(NOT(AD359),NOT(AE359)),Constants!$B$6,Constants!$B$7))))</f>
        <v/>
      </c>
      <c r="AG359" s="99" t="str">
        <f aca="false">IF(ISBLANK($C359),"",IF($AF359&lt;&gt;Constants!$B$7,$AF359,Constants!$B$20))</f>
        <v/>
      </c>
      <c r="AH359" s="99" t="str">
        <f aca="false">IF($AF359=Constants!$B$7,IF(AD359,V359,Constants!$B$13),"")</f>
        <v/>
      </c>
      <c r="AI359" s="99" t="str">
        <f aca="false">IF($AF359=Constants!$B$7,IF(AD359,T359*IF(W359, 1, Constants!$B$11)*IF(X359, 1, Constants!$B$12),Constants!$B$13),"")</f>
        <v/>
      </c>
      <c r="AJ359" s="99" t="str">
        <f aca="false">IF($AF359=Constants!$B$7,AH359*AI359,"")</f>
        <v/>
      </c>
      <c r="AK359" s="99" t="str">
        <f aca="false">IF($AF359=Constants!$B$7,IF(AE359,Z359,Constants!$B$13),"")</f>
        <v/>
      </c>
      <c r="AL359" s="99" t="str">
        <f aca="false">IF($AF359=Constants!$B$7,IF(AE359,T359*IF(AA359, 1, Constants!$B$11)*IF(AB359, 1, Constants!$B$12),Constants!$B$13),"")</f>
        <v/>
      </c>
      <c r="AM359" s="99" t="str">
        <f aca="false">IF($AF359=Constants!$B$7,AK359*AL359,"")</f>
        <v/>
      </c>
      <c r="AN359" s="99" t="str">
        <f aca="false">IF($AF359=Constants!$B$7,IF(AM359&gt;AJ359,2,1),"")</f>
        <v/>
      </c>
      <c r="AO359" s="99" t="str">
        <f aca="false">IF($AF359=Constants!$B$7,IF(AN359=1,2,1),"")</f>
        <v/>
      </c>
      <c r="AP359" s="99" t="str">
        <f aca="false">IF(ISBLANK($C359),"",IF($AF359&lt;&gt;Constants!$B$7,$AF359,IF(AN359=1,AJ359,AM359)))</f>
        <v/>
      </c>
      <c r="AQ359" s="99" t="str">
        <f aca="false">IF(ISBLANK($C359),"",IF($AF359=Constants!$B$7,IF(ISNUMBER(AP359),RANK(AP359,$AP$8:$AP$507),Constants!$B$14),$AF359))</f>
        <v/>
      </c>
      <c r="AR359" s="99" t="str">
        <f aca="false">IF(ISBLANK($C359),"",IF($AF359=Constants!$B$7,IF(AO359=1,AJ359,AM359),""))</f>
        <v/>
      </c>
      <c r="AS359" s="99" t="str">
        <f aca="false">IF(ISBLANK($C359),"",IF($AF359=Constants!$B$7,RANK(AR359,$AR$8:$AR$507),$AF359))</f>
        <v/>
      </c>
      <c r="AT359" s="99" t="str">
        <f aca="false">IF(ISBLANK($C359),"",IF($AF359=Constants!$B$7,IF(ISNUMBER(AQ359),COUNTIFS($AQ$8:$AQ$507,"&lt;"&amp;$AQ359)+COUNTIFS($AQ$8:$AQ$507,$AQ359,$AS$8:$AS$507,"&lt;"&amp;$AS359)+1,Constants!$B$14),$AF359))</f>
        <v/>
      </c>
      <c r="AU359" s="99" t="str">
        <f aca="false">IF(ISBLANK($C359),"",IF($AF359=Constants!$B$7,IF(ISNUMBER(AQ359),AQ359-AT359,Constants!$B$14),$AF359))</f>
        <v/>
      </c>
      <c r="AV359" s="100"/>
      <c r="AW359" s="101" t="str">
        <f aca="false">IF(ISBLANK($C359),"",IF($AF359&lt;&gt;Constants!$B$7,"",AN359))</f>
        <v/>
      </c>
      <c r="AX359" s="102" t="str">
        <f aca="false">IF(ISBLANK($C359),"",IF($AF359&lt;&gt;Constants!$B$7,"",IF(AN359=1,AH359,AK359)))</f>
        <v/>
      </c>
      <c r="AY359" s="103" t="str">
        <f aca="false">IF(ISBLANK($C359),"",IF($AF359&lt;&gt;Constants!$B$7,"",IF(AN359=1,AI359,AL359)))</f>
        <v/>
      </c>
      <c r="AZ359" s="104" t="str">
        <f aca="false">IF(ISBLANK($C359),"",IF($AF359&lt;&gt;Constants!$B$7,$AF359,AP359))</f>
        <v/>
      </c>
      <c r="BA359" s="105" t="str">
        <f aca="false">IF(ISBLANK($C359),"",IF($AF359&lt;&gt;Constants!$B$7,$AF359,AG359))</f>
        <v/>
      </c>
      <c r="BB359" s="106" t="str">
        <f aca="false">IF(ISBLANK($C359),"",AU359)</f>
        <v/>
      </c>
      <c r="BC359" s="106" t="str">
        <f aca="false">IF(ISBLANK($C359),"",AT359)</f>
        <v/>
      </c>
      <c r="BD359" s="107" t="str">
        <f aca="false">IF(ISBLANK($C359),"",IFERROR(_xlfn.SWITCH(BC359,Constants!$B$4,COUNTA($C$8:$C$507)+2,Constants!$B$5,COUNTA($C$8:$C$507)+1,Constants!$B$6,COUNTA($C$8:$C$507)),BC359))</f>
        <v/>
      </c>
      <c r="BE359" s="5"/>
      <c r="BF359" s="108" t="n">
        <f aca="false">IF(OR(ISNUMBER(BC359),BC359=Constants!$B$4,BC359=Constants!$B$6,BC359=Constants!$B$5),1,0)</f>
        <v>0</v>
      </c>
      <c r="BG359" s="108" t="n">
        <v>352</v>
      </c>
      <c r="BH359" s="108" t="str">
        <f aca="false">IF(ISBLANK($C359),"",IF(ISNUMBER(BD359),BD359+ROW($B359)/1000,""))</f>
        <v/>
      </c>
      <c r="BI359" s="108" t="str">
        <f aca="false">IF(ISNUMBER(BH359),RANK(BH359,$BH$8:$BH$507,1),"")</f>
        <v/>
      </c>
      <c r="BJ359" s="108" t="str">
        <f aca="false">IF(ISBLANK($C359),"",$B359)</f>
        <v/>
      </c>
      <c r="BK359" s="108" t="str">
        <f aca="false">IF(ISBLANK($C359),"",$C359)</f>
        <v/>
      </c>
      <c r="BL359" s="108" t="str">
        <f aca="false">IF(ISBLANK($C359),"",$D359)</f>
        <v/>
      </c>
      <c r="BM359" s="109" t="str">
        <f aca="false">BA359</f>
        <v/>
      </c>
      <c r="BN359" s="110" t="str">
        <f aca="false">AZ359</f>
        <v/>
      </c>
      <c r="BO359" s="108" t="str">
        <f aca="false">IF(ISBLANK($C359),"",BC359)</f>
        <v/>
      </c>
      <c r="BP359" s="111" t="str">
        <f aca="false">IF($BG359&gt;$BF$7,"",VLOOKUP($BG359,$BI$8:$BO$507,7,FALSE()))</f>
        <v/>
      </c>
      <c r="BQ359" s="112" t="str">
        <f aca="false">IF($BG359&gt;$BF$7,"",VLOOKUP($BG359,$BI$8:$BO$507,2,FALSE()))</f>
        <v/>
      </c>
      <c r="BR359" s="112" t="str">
        <f aca="false">IF($BG359&gt;$BF$7,"",VLOOKUP($BG359,$BI$8:$BO$507,3,FALSE()))</f>
        <v/>
      </c>
      <c r="BS359" s="112" t="str">
        <f aca="false">IF($BG359&gt;$BF$7,"",VLOOKUP($BG359,$BI$8:$BO$507,4,FALSE()))</f>
        <v/>
      </c>
      <c r="BT359" s="112" t="str">
        <f aca="false">IF($BG359&gt;$BF$7,"",VLOOKUP($BG359,$BI$8:$BO$507,5,FALSE()))</f>
        <v/>
      </c>
      <c r="BU359" s="113" t="str">
        <f aca="false">IF($BG359&gt;$BF$7,"",VLOOKUP($BG359,$BI$8:$BO$507,6,FALSE()))</f>
        <v/>
      </c>
      <c r="BV359" s="54"/>
    </row>
    <row r="360" customFormat="false" ht="15.75" hidden="false" customHeight="false" outlineLevel="0" collapsed="false">
      <c r="A360" s="5"/>
      <c r="B360" s="128"/>
      <c r="C360" s="129"/>
      <c r="D360" s="114"/>
      <c r="E360" s="134"/>
      <c r="F360" s="139"/>
      <c r="G360" s="93"/>
      <c r="H360" s="140"/>
      <c r="I360" s="95"/>
      <c r="J360" s="95"/>
      <c r="K360" s="93"/>
      <c r="L360" s="141"/>
      <c r="M360" s="95"/>
      <c r="N360" s="95"/>
      <c r="O360" s="93"/>
      <c r="P360" s="134"/>
      <c r="Q360" s="98"/>
      <c r="R360" s="99" t="str">
        <f aca="false">IF(ISBLANK($C360),"",IF(E360=Constants!$B$2, TRUE(), IF(E360=Constants!$B$3, FALSE(), TRUE())))</f>
        <v/>
      </c>
      <c r="S360" s="99" t="str">
        <f aca="false">IF(ISBLANK($C360),"",IF(F360=Constants!$B$2, TRUE(), IF(F360=Constants!$B$3, FALSE(), TRUE())))</f>
        <v/>
      </c>
      <c r="T360" s="99" t="str">
        <f aca="false">IF(ISBLANK($C360),"",IF(G360=Constants!$B$16,Constants!$B$9,IF(G360=Constants!$B$17,Constants!$B$10,Constants!$B$8)))</f>
        <v/>
      </c>
      <c r="U360" s="99" t="str">
        <f aca="false">IF(ISBLANK($C360),"",IF(H360=Constants!$B$19,Constants!$B$19,Constants!$B$18))</f>
        <v/>
      </c>
      <c r="V360" s="99" t="str">
        <f aca="false">IF(ISBLANK($C360),"",IF(ISNUMBER(I360),IF(I360&gt;=0,I360,""),""))</f>
        <v/>
      </c>
      <c r="W360" s="99" t="str">
        <f aca="false">IF(ISBLANK($C360),"",IF(J360=Constants!$B$2, TRUE(), IF(J360=Constants!$B$3, FALSE(), TRUE())))</f>
        <v/>
      </c>
      <c r="X360" s="99" t="str">
        <f aca="false">IF(ISBLANK($C360),"",IF(K360=Constants!$B$2, TRUE(), IF(K360=Constants!$B$3, FALSE(), TRUE())))</f>
        <v/>
      </c>
      <c r="Y360" s="99" t="str">
        <f aca="false">IF(ISBLANK($C360),"",IF(L360=Constants!$B$19,Constants!$B$19,Constants!$B$18))</f>
        <v/>
      </c>
      <c r="Z360" s="99" t="str">
        <f aca="false">IF(ISBLANK($C360),"",IF(ISNUMBER(M360),IF(M360&gt;=0,M360,""),""))</f>
        <v/>
      </c>
      <c r="AA360" s="99" t="str">
        <f aca="false">IF(ISBLANK($C360),"",IF(N360=Constants!$B$2, TRUE(), IF(N360=Constants!$B$3, FALSE(), TRUE())))</f>
        <v/>
      </c>
      <c r="AB360" s="99" t="str">
        <f aca="false">IF(ISBLANK($C360),"",IF(O360=Constants!$B$2, TRUE(), IF(O360=Constants!$B$3, FALSE(), TRUE())))</f>
        <v/>
      </c>
      <c r="AC360" s="99" t="str">
        <f aca="false">IF(ISBLANK($C360),"",IF(P360=Constants!$B$2, TRUE(), IF(P360=Constants!$B$3, FALSE(), FALSE())))</f>
        <v/>
      </c>
      <c r="AD360" s="99" t="str">
        <f aca="false">IF(ISBLANK($C360),"",AND(V360&lt;&gt;"",IF(U360=Constants!$B$19,S360,R360)))</f>
        <v/>
      </c>
      <c r="AE360" s="99" t="str">
        <f aca="false">IF(ISBLANK($C360),"",AND(Z360&lt;&gt;"",IF(Y360=Constants!$B$19,S360,R360)))</f>
        <v/>
      </c>
      <c r="AF360" s="99" t="str">
        <f aca="false">IF(ISBLANK($C360),"",IF(AC360,Constants!$B$4,IF(COUNTA(E360:O360)=0,Constants!$B$5,IF(AND(NOT(AD360),NOT(AE360)),Constants!$B$6,Constants!$B$7))))</f>
        <v/>
      </c>
      <c r="AG360" s="99" t="str">
        <f aca="false">IF(ISBLANK($C360),"",IF($AF360&lt;&gt;Constants!$B$7,$AF360,Constants!$B$20))</f>
        <v/>
      </c>
      <c r="AH360" s="99" t="str">
        <f aca="false">IF($AF360=Constants!$B$7,IF(AD360,V360,Constants!$B$13),"")</f>
        <v/>
      </c>
      <c r="AI360" s="99" t="str">
        <f aca="false">IF($AF360=Constants!$B$7,IF(AD360,T360*IF(W360, 1, Constants!$B$11)*IF(X360, 1, Constants!$B$12),Constants!$B$13),"")</f>
        <v/>
      </c>
      <c r="AJ360" s="99" t="str">
        <f aca="false">IF($AF360=Constants!$B$7,AH360*AI360,"")</f>
        <v/>
      </c>
      <c r="AK360" s="99" t="str">
        <f aca="false">IF($AF360=Constants!$B$7,IF(AE360,Z360,Constants!$B$13),"")</f>
        <v/>
      </c>
      <c r="AL360" s="99" t="str">
        <f aca="false">IF($AF360=Constants!$B$7,IF(AE360,T360*IF(AA360, 1, Constants!$B$11)*IF(AB360, 1, Constants!$B$12),Constants!$B$13),"")</f>
        <v/>
      </c>
      <c r="AM360" s="99" t="str">
        <f aca="false">IF($AF360=Constants!$B$7,AK360*AL360,"")</f>
        <v/>
      </c>
      <c r="AN360" s="99" t="str">
        <f aca="false">IF($AF360=Constants!$B$7,IF(AM360&gt;AJ360,2,1),"")</f>
        <v/>
      </c>
      <c r="AO360" s="99" t="str">
        <f aca="false">IF($AF360=Constants!$B$7,IF(AN360=1,2,1),"")</f>
        <v/>
      </c>
      <c r="AP360" s="99" t="str">
        <f aca="false">IF(ISBLANK($C360),"",IF($AF360&lt;&gt;Constants!$B$7,$AF360,IF(AN360=1,AJ360,AM360)))</f>
        <v/>
      </c>
      <c r="AQ360" s="99" t="str">
        <f aca="false">IF(ISBLANK($C360),"",IF($AF360=Constants!$B$7,IF(ISNUMBER(AP360),RANK(AP360,$AP$8:$AP$507),Constants!$B$14),$AF360))</f>
        <v/>
      </c>
      <c r="AR360" s="99" t="str">
        <f aca="false">IF(ISBLANK($C360),"",IF($AF360=Constants!$B$7,IF(AO360=1,AJ360,AM360),""))</f>
        <v/>
      </c>
      <c r="AS360" s="99" t="str">
        <f aca="false">IF(ISBLANK($C360),"",IF($AF360=Constants!$B$7,RANK(AR360,$AR$8:$AR$507),$AF360))</f>
        <v/>
      </c>
      <c r="AT360" s="99" t="str">
        <f aca="false">IF(ISBLANK($C360),"",IF($AF360=Constants!$B$7,IF(ISNUMBER(AQ360),COUNTIFS($AQ$8:$AQ$507,"&lt;"&amp;$AQ360)+COUNTIFS($AQ$8:$AQ$507,$AQ360,$AS$8:$AS$507,"&lt;"&amp;$AS360)+1,Constants!$B$14),$AF360))</f>
        <v/>
      </c>
      <c r="AU360" s="99" t="str">
        <f aca="false">IF(ISBLANK($C360),"",IF($AF360=Constants!$B$7,IF(ISNUMBER(AQ360),AQ360-AT360,Constants!$B$14),$AF360))</f>
        <v/>
      </c>
      <c r="AV360" s="100"/>
      <c r="AW360" s="101" t="str">
        <f aca="false">IF(ISBLANK($C360),"",IF($AF360&lt;&gt;Constants!$B$7,"",AN360))</f>
        <v/>
      </c>
      <c r="AX360" s="102" t="str">
        <f aca="false">IF(ISBLANK($C360),"",IF($AF360&lt;&gt;Constants!$B$7,"",IF(AN360=1,AH360,AK360)))</f>
        <v/>
      </c>
      <c r="AY360" s="103" t="str">
        <f aca="false">IF(ISBLANK($C360),"",IF($AF360&lt;&gt;Constants!$B$7,"",IF(AN360=1,AI360,AL360)))</f>
        <v/>
      </c>
      <c r="AZ360" s="104" t="str">
        <f aca="false">IF(ISBLANK($C360),"",IF($AF360&lt;&gt;Constants!$B$7,$AF360,AP360))</f>
        <v/>
      </c>
      <c r="BA360" s="105" t="str">
        <f aca="false">IF(ISBLANK($C360),"",IF($AF360&lt;&gt;Constants!$B$7,$AF360,AG360))</f>
        <v/>
      </c>
      <c r="BB360" s="106" t="str">
        <f aca="false">IF(ISBLANK($C360),"",AU360)</f>
        <v/>
      </c>
      <c r="BC360" s="106" t="str">
        <f aca="false">IF(ISBLANK($C360),"",AT360)</f>
        <v/>
      </c>
      <c r="BD360" s="107" t="str">
        <f aca="false">IF(ISBLANK($C360),"",IFERROR(_xlfn.SWITCH(BC360,Constants!$B$4,COUNTA($C$8:$C$507)+2,Constants!$B$5,COUNTA($C$8:$C$507)+1,Constants!$B$6,COUNTA($C$8:$C$507)),BC360))</f>
        <v/>
      </c>
      <c r="BE360" s="5"/>
      <c r="BF360" s="108" t="n">
        <f aca="false">IF(OR(ISNUMBER(BC360),BC360=Constants!$B$4,BC360=Constants!$B$6,BC360=Constants!$B$5),1,0)</f>
        <v>0</v>
      </c>
      <c r="BG360" s="108" t="n">
        <v>353</v>
      </c>
      <c r="BH360" s="108" t="str">
        <f aca="false">IF(ISBLANK($C360),"",IF(ISNUMBER(BD360),BD360+ROW($B360)/1000,""))</f>
        <v/>
      </c>
      <c r="BI360" s="108" t="str">
        <f aca="false">IF(ISNUMBER(BH360),RANK(BH360,$BH$8:$BH$507,1),"")</f>
        <v/>
      </c>
      <c r="BJ360" s="108" t="str">
        <f aca="false">IF(ISBLANK($C360),"",$B360)</f>
        <v/>
      </c>
      <c r="BK360" s="108" t="str">
        <f aca="false">IF(ISBLANK($C360),"",$C360)</f>
        <v/>
      </c>
      <c r="BL360" s="108" t="str">
        <f aca="false">IF(ISBLANK($C360),"",$D360)</f>
        <v/>
      </c>
      <c r="BM360" s="109" t="str">
        <f aca="false">BA360</f>
        <v/>
      </c>
      <c r="BN360" s="110" t="str">
        <f aca="false">AZ360</f>
        <v/>
      </c>
      <c r="BO360" s="108" t="str">
        <f aca="false">IF(ISBLANK($C360),"",BC360)</f>
        <v/>
      </c>
      <c r="BP360" s="111" t="str">
        <f aca="false">IF($BG360&gt;$BF$7,"",VLOOKUP($BG360,$BI$8:$BO$507,7,FALSE()))</f>
        <v/>
      </c>
      <c r="BQ360" s="112" t="str">
        <f aca="false">IF($BG360&gt;$BF$7,"",VLOOKUP($BG360,$BI$8:$BO$507,2,FALSE()))</f>
        <v/>
      </c>
      <c r="BR360" s="112" t="str">
        <f aca="false">IF($BG360&gt;$BF$7,"",VLOOKUP($BG360,$BI$8:$BO$507,3,FALSE()))</f>
        <v/>
      </c>
      <c r="BS360" s="112" t="str">
        <f aca="false">IF($BG360&gt;$BF$7,"",VLOOKUP($BG360,$BI$8:$BO$507,4,FALSE()))</f>
        <v/>
      </c>
      <c r="BT360" s="112" t="str">
        <f aca="false">IF($BG360&gt;$BF$7,"",VLOOKUP($BG360,$BI$8:$BO$507,5,FALSE()))</f>
        <v/>
      </c>
      <c r="BU360" s="113" t="str">
        <f aca="false">IF($BG360&gt;$BF$7,"",VLOOKUP($BG360,$BI$8:$BO$507,6,FALSE()))</f>
        <v/>
      </c>
      <c r="BV360" s="54"/>
    </row>
    <row r="361" customFormat="false" ht="15.75" hidden="false" customHeight="false" outlineLevel="0" collapsed="false">
      <c r="A361" s="5"/>
      <c r="B361" s="128"/>
      <c r="C361" s="129"/>
      <c r="D361" s="114"/>
      <c r="E361" s="134"/>
      <c r="F361" s="139"/>
      <c r="G361" s="93"/>
      <c r="H361" s="140"/>
      <c r="I361" s="95"/>
      <c r="J361" s="95"/>
      <c r="K361" s="93"/>
      <c r="L361" s="141"/>
      <c r="M361" s="95"/>
      <c r="N361" s="95"/>
      <c r="O361" s="93"/>
      <c r="P361" s="134"/>
      <c r="Q361" s="98"/>
      <c r="R361" s="99" t="str">
        <f aca="false">IF(ISBLANK($C361),"",IF(E361=Constants!$B$2, TRUE(), IF(E361=Constants!$B$3, FALSE(), TRUE())))</f>
        <v/>
      </c>
      <c r="S361" s="99" t="str">
        <f aca="false">IF(ISBLANK($C361),"",IF(F361=Constants!$B$2, TRUE(), IF(F361=Constants!$B$3, FALSE(), TRUE())))</f>
        <v/>
      </c>
      <c r="T361" s="99" t="str">
        <f aca="false">IF(ISBLANK($C361),"",IF(G361=Constants!$B$16,Constants!$B$9,IF(G361=Constants!$B$17,Constants!$B$10,Constants!$B$8)))</f>
        <v/>
      </c>
      <c r="U361" s="99" t="str">
        <f aca="false">IF(ISBLANK($C361),"",IF(H361=Constants!$B$19,Constants!$B$19,Constants!$B$18))</f>
        <v/>
      </c>
      <c r="V361" s="99" t="str">
        <f aca="false">IF(ISBLANK($C361),"",IF(ISNUMBER(I361),IF(I361&gt;=0,I361,""),""))</f>
        <v/>
      </c>
      <c r="W361" s="99" t="str">
        <f aca="false">IF(ISBLANK($C361),"",IF(J361=Constants!$B$2, TRUE(), IF(J361=Constants!$B$3, FALSE(), TRUE())))</f>
        <v/>
      </c>
      <c r="X361" s="99" t="str">
        <f aca="false">IF(ISBLANK($C361),"",IF(K361=Constants!$B$2, TRUE(), IF(K361=Constants!$B$3, FALSE(), TRUE())))</f>
        <v/>
      </c>
      <c r="Y361" s="99" t="str">
        <f aca="false">IF(ISBLANK($C361),"",IF(L361=Constants!$B$19,Constants!$B$19,Constants!$B$18))</f>
        <v/>
      </c>
      <c r="Z361" s="99" t="str">
        <f aca="false">IF(ISBLANK($C361),"",IF(ISNUMBER(M361),IF(M361&gt;=0,M361,""),""))</f>
        <v/>
      </c>
      <c r="AA361" s="99" t="str">
        <f aca="false">IF(ISBLANK($C361),"",IF(N361=Constants!$B$2, TRUE(), IF(N361=Constants!$B$3, FALSE(), TRUE())))</f>
        <v/>
      </c>
      <c r="AB361" s="99" t="str">
        <f aca="false">IF(ISBLANK($C361),"",IF(O361=Constants!$B$2, TRUE(), IF(O361=Constants!$B$3, FALSE(), TRUE())))</f>
        <v/>
      </c>
      <c r="AC361" s="99" t="str">
        <f aca="false">IF(ISBLANK($C361),"",IF(P361=Constants!$B$2, TRUE(), IF(P361=Constants!$B$3, FALSE(), FALSE())))</f>
        <v/>
      </c>
      <c r="AD361" s="99" t="str">
        <f aca="false">IF(ISBLANK($C361),"",AND(V361&lt;&gt;"",IF(U361=Constants!$B$19,S361,R361)))</f>
        <v/>
      </c>
      <c r="AE361" s="99" t="str">
        <f aca="false">IF(ISBLANK($C361),"",AND(Z361&lt;&gt;"",IF(Y361=Constants!$B$19,S361,R361)))</f>
        <v/>
      </c>
      <c r="AF361" s="99" t="str">
        <f aca="false">IF(ISBLANK($C361),"",IF(AC361,Constants!$B$4,IF(COUNTA(E361:O361)=0,Constants!$B$5,IF(AND(NOT(AD361),NOT(AE361)),Constants!$B$6,Constants!$B$7))))</f>
        <v/>
      </c>
      <c r="AG361" s="99" t="str">
        <f aca="false">IF(ISBLANK($C361),"",IF($AF361&lt;&gt;Constants!$B$7,$AF361,Constants!$B$20))</f>
        <v/>
      </c>
      <c r="AH361" s="99" t="str">
        <f aca="false">IF($AF361=Constants!$B$7,IF(AD361,V361,Constants!$B$13),"")</f>
        <v/>
      </c>
      <c r="AI361" s="99" t="str">
        <f aca="false">IF($AF361=Constants!$B$7,IF(AD361,T361*IF(W361, 1, Constants!$B$11)*IF(X361, 1, Constants!$B$12),Constants!$B$13),"")</f>
        <v/>
      </c>
      <c r="AJ361" s="99" t="str">
        <f aca="false">IF($AF361=Constants!$B$7,AH361*AI361,"")</f>
        <v/>
      </c>
      <c r="AK361" s="99" t="str">
        <f aca="false">IF($AF361=Constants!$B$7,IF(AE361,Z361,Constants!$B$13),"")</f>
        <v/>
      </c>
      <c r="AL361" s="99" t="str">
        <f aca="false">IF($AF361=Constants!$B$7,IF(AE361,T361*IF(AA361, 1, Constants!$B$11)*IF(AB361, 1, Constants!$B$12),Constants!$B$13),"")</f>
        <v/>
      </c>
      <c r="AM361" s="99" t="str">
        <f aca="false">IF($AF361=Constants!$B$7,AK361*AL361,"")</f>
        <v/>
      </c>
      <c r="AN361" s="99" t="str">
        <f aca="false">IF($AF361=Constants!$B$7,IF(AM361&gt;AJ361,2,1),"")</f>
        <v/>
      </c>
      <c r="AO361" s="99" t="str">
        <f aca="false">IF($AF361=Constants!$B$7,IF(AN361=1,2,1),"")</f>
        <v/>
      </c>
      <c r="AP361" s="99" t="str">
        <f aca="false">IF(ISBLANK($C361),"",IF($AF361&lt;&gt;Constants!$B$7,$AF361,IF(AN361=1,AJ361,AM361)))</f>
        <v/>
      </c>
      <c r="AQ361" s="99" t="str">
        <f aca="false">IF(ISBLANK($C361),"",IF($AF361=Constants!$B$7,IF(ISNUMBER(AP361),RANK(AP361,$AP$8:$AP$507),Constants!$B$14),$AF361))</f>
        <v/>
      </c>
      <c r="AR361" s="99" t="str">
        <f aca="false">IF(ISBLANK($C361),"",IF($AF361=Constants!$B$7,IF(AO361=1,AJ361,AM361),""))</f>
        <v/>
      </c>
      <c r="AS361" s="99" t="str">
        <f aca="false">IF(ISBLANK($C361),"",IF($AF361=Constants!$B$7,RANK(AR361,$AR$8:$AR$507),$AF361))</f>
        <v/>
      </c>
      <c r="AT361" s="99" t="str">
        <f aca="false">IF(ISBLANK($C361),"",IF($AF361=Constants!$B$7,IF(ISNUMBER(AQ361),COUNTIFS($AQ$8:$AQ$507,"&lt;"&amp;$AQ361)+COUNTIFS($AQ$8:$AQ$507,$AQ361,$AS$8:$AS$507,"&lt;"&amp;$AS361)+1,Constants!$B$14),$AF361))</f>
        <v/>
      </c>
      <c r="AU361" s="99" t="str">
        <f aca="false">IF(ISBLANK($C361),"",IF($AF361=Constants!$B$7,IF(ISNUMBER(AQ361),AQ361-AT361,Constants!$B$14),$AF361))</f>
        <v/>
      </c>
      <c r="AV361" s="100"/>
      <c r="AW361" s="101" t="str">
        <f aca="false">IF(ISBLANK($C361),"",IF($AF361&lt;&gt;Constants!$B$7,"",AN361))</f>
        <v/>
      </c>
      <c r="AX361" s="102" t="str">
        <f aca="false">IF(ISBLANK($C361),"",IF($AF361&lt;&gt;Constants!$B$7,"",IF(AN361=1,AH361,AK361)))</f>
        <v/>
      </c>
      <c r="AY361" s="103" t="str">
        <f aca="false">IF(ISBLANK($C361),"",IF($AF361&lt;&gt;Constants!$B$7,"",IF(AN361=1,AI361,AL361)))</f>
        <v/>
      </c>
      <c r="AZ361" s="104" t="str">
        <f aca="false">IF(ISBLANK($C361),"",IF($AF361&lt;&gt;Constants!$B$7,$AF361,AP361))</f>
        <v/>
      </c>
      <c r="BA361" s="105" t="str">
        <f aca="false">IF(ISBLANK($C361),"",IF($AF361&lt;&gt;Constants!$B$7,$AF361,AG361))</f>
        <v/>
      </c>
      <c r="BB361" s="106" t="str">
        <f aca="false">IF(ISBLANK($C361),"",AU361)</f>
        <v/>
      </c>
      <c r="BC361" s="106" t="str">
        <f aca="false">IF(ISBLANK($C361),"",AT361)</f>
        <v/>
      </c>
      <c r="BD361" s="107" t="str">
        <f aca="false">IF(ISBLANK($C361),"",IFERROR(_xlfn.SWITCH(BC361,Constants!$B$4,COUNTA($C$8:$C$507)+2,Constants!$B$5,COUNTA($C$8:$C$507)+1,Constants!$B$6,COUNTA($C$8:$C$507)),BC361))</f>
        <v/>
      </c>
      <c r="BE361" s="5"/>
      <c r="BF361" s="108" t="n">
        <f aca="false">IF(OR(ISNUMBER(BC361),BC361=Constants!$B$4,BC361=Constants!$B$6,BC361=Constants!$B$5),1,0)</f>
        <v>0</v>
      </c>
      <c r="BG361" s="108" t="n">
        <v>354</v>
      </c>
      <c r="BH361" s="108" t="str">
        <f aca="false">IF(ISBLANK($C361),"",IF(ISNUMBER(BD361),BD361+ROW($B361)/1000,""))</f>
        <v/>
      </c>
      <c r="BI361" s="108" t="str">
        <f aca="false">IF(ISNUMBER(BH361),RANK(BH361,$BH$8:$BH$507,1),"")</f>
        <v/>
      </c>
      <c r="BJ361" s="108" t="str">
        <f aca="false">IF(ISBLANK($C361),"",$B361)</f>
        <v/>
      </c>
      <c r="BK361" s="108" t="str">
        <f aca="false">IF(ISBLANK($C361),"",$C361)</f>
        <v/>
      </c>
      <c r="BL361" s="108" t="str">
        <f aca="false">IF(ISBLANK($C361),"",$D361)</f>
        <v/>
      </c>
      <c r="BM361" s="109" t="str">
        <f aca="false">BA361</f>
        <v/>
      </c>
      <c r="BN361" s="110" t="str">
        <f aca="false">AZ361</f>
        <v/>
      </c>
      <c r="BO361" s="108" t="str">
        <f aca="false">IF(ISBLANK($C361),"",BC361)</f>
        <v/>
      </c>
      <c r="BP361" s="111" t="str">
        <f aca="false">IF($BG361&gt;$BF$7,"",VLOOKUP($BG361,$BI$8:$BO$507,7,FALSE()))</f>
        <v/>
      </c>
      <c r="BQ361" s="112" t="str">
        <f aca="false">IF($BG361&gt;$BF$7,"",VLOOKUP($BG361,$BI$8:$BO$507,2,FALSE()))</f>
        <v/>
      </c>
      <c r="BR361" s="112" t="str">
        <f aca="false">IF($BG361&gt;$BF$7,"",VLOOKUP($BG361,$BI$8:$BO$507,3,FALSE()))</f>
        <v/>
      </c>
      <c r="BS361" s="112" t="str">
        <f aca="false">IF($BG361&gt;$BF$7,"",VLOOKUP($BG361,$BI$8:$BO$507,4,FALSE()))</f>
        <v/>
      </c>
      <c r="BT361" s="112" t="str">
        <f aca="false">IF($BG361&gt;$BF$7,"",VLOOKUP($BG361,$BI$8:$BO$507,5,FALSE()))</f>
        <v/>
      </c>
      <c r="BU361" s="113" t="str">
        <f aca="false">IF($BG361&gt;$BF$7,"",VLOOKUP($BG361,$BI$8:$BO$507,6,FALSE()))</f>
        <v/>
      </c>
      <c r="BV361" s="54"/>
    </row>
    <row r="362" customFormat="false" ht="15.75" hidden="false" customHeight="false" outlineLevel="0" collapsed="false">
      <c r="A362" s="5"/>
      <c r="B362" s="135"/>
      <c r="C362" s="56"/>
      <c r="D362" s="57"/>
      <c r="E362" s="84"/>
      <c r="F362" s="136"/>
      <c r="G362" s="60"/>
      <c r="H362" s="137"/>
      <c r="I362" s="62"/>
      <c r="J362" s="62"/>
      <c r="K362" s="60"/>
      <c r="L362" s="138"/>
      <c r="M362" s="62"/>
      <c r="N362" s="62"/>
      <c r="O362" s="60"/>
      <c r="P362" s="84"/>
      <c r="Q362" s="65"/>
      <c r="R362" s="67" t="str">
        <f aca="false">IF(ISBLANK($C362),"",IF(E362=Constants!$B$2, TRUE(), IF(E362=Constants!$B$3, FALSE(), TRUE())))</f>
        <v/>
      </c>
      <c r="S362" s="67" t="str">
        <f aca="false">IF(ISBLANK($C362),"",IF(F362=Constants!$B$2, TRUE(), IF(F362=Constants!$B$3, FALSE(), TRUE())))</f>
        <v/>
      </c>
      <c r="T362" s="67" t="str">
        <f aca="false">IF(ISBLANK($C362),"",IF(G362=Constants!$B$16,Constants!$B$9,IF(G362=Constants!$B$17,Constants!$B$10,Constants!$B$8)))</f>
        <v/>
      </c>
      <c r="U362" s="67" t="str">
        <f aca="false">IF(ISBLANK($C362),"",IF(H362=Constants!$B$19,Constants!$B$19,Constants!$B$18))</f>
        <v/>
      </c>
      <c r="V362" s="67" t="str">
        <f aca="false">IF(ISBLANK($C362),"",IF(ISNUMBER(I362),IF(I362&gt;=0,I362,""),""))</f>
        <v/>
      </c>
      <c r="W362" s="67" t="str">
        <f aca="false">IF(ISBLANK($C362),"",IF(J362=Constants!$B$2, TRUE(), IF(J362=Constants!$B$3, FALSE(), TRUE())))</f>
        <v/>
      </c>
      <c r="X362" s="67" t="str">
        <f aca="false">IF(ISBLANK($C362),"",IF(K362=Constants!$B$2, TRUE(), IF(K362=Constants!$B$3, FALSE(), TRUE())))</f>
        <v/>
      </c>
      <c r="Y362" s="67" t="str">
        <f aca="false">IF(ISBLANK($C362),"",IF(L362=Constants!$B$19,Constants!$B$19,Constants!$B$18))</f>
        <v/>
      </c>
      <c r="Z362" s="67" t="str">
        <f aca="false">IF(ISBLANK($C362),"",IF(ISNUMBER(M362),IF(M362&gt;=0,M362,""),""))</f>
        <v/>
      </c>
      <c r="AA362" s="67" t="str">
        <f aca="false">IF(ISBLANK($C362),"",IF(N362=Constants!$B$2, TRUE(), IF(N362=Constants!$B$3, FALSE(), TRUE())))</f>
        <v/>
      </c>
      <c r="AB362" s="67" t="str">
        <f aca="false">IF(ISBLANK($C362),"",IF(O362=Constants!$B$2, TRUE(), IF(O362=Constants!$B$3, FALSE(), TRUE())))</f>
        <v/>
      </c>
      <c r="AC362" s="67" t="str">
        <f aca="false">IF(ISBLANK($C362),"",IF(P362=Constants!$B$2, TRUE(), IF(P362=Constants!$B$3, FALSE(), FALSE())))</f>
        <v/>
      </c>
      <c r="AD362" s="67" t="str">
        <f aca="false">IF(ISBLANK($C362),"",AND(V362&lt;&gt;"",IF(U362=Constants!$B$19,S362,R362)))</f>
        <v/>
      </c>
      <c r="AE362" s="67" t="str">
        <f aca="false">IF(ISBLANK($C362),"",AND(Z362&lt;&gt;"",IF(Y362=Constants!$B$19,S362,R362)))</f>
        <v/>
      </c>
      <c r="AF362" s="67" t="str">
        <f aca="false">IF(ISBLANK($C362),"",IF(AC362,Constants!$B$4,IF(COUNTA(E362:O362)=0,Constants!$B$5,IF(AND(NOT(AD362),NOT(AE362)),Constants!$B$6,Constants!$B$7))))</f>
        <v/>
      </c>
      <c r="AG362" s="67" t="str">
        <f aca="false">IF(ISBLANK($C362),"",IF($AF362&lt;&gt;Constants!$B$7,$AF362,Constants!$B$20))</f>
        <v/>
      </c>
      <c r="AH362" s="67" t="str">
        <f aca="false">IF($AF362=Constants!$B$7,IF(AD362,V362,Constants!$B$13),"")</f>
        <v/>
      </c>
      <c r="AI362" s="67" t="str">
        <f aca="false">IF($AF362=Constants!$B$7,IF(AD362,T362*IF(W362, 1, Constants!$B$11)*IF(X362, 1, Constants!$B$12),Constants!$B$13),"")</f>
        <v/>
      </c>
      <c r="AJ362" s="67" t="str">
        <f aca="false">IF($AF362=Constants!$B$7,AH362*AI362,"")</f>
        <v/>
      </c>
      <c r="AK362" s="67" t="str">
        <f aca="false">IF($AF362=Constants!$B$7,IF(AE362,Z362,Constants!$B$13),"")</f>
        <v/>
      </c>
      <c r="AL362" s="67" t="str">
        <f aca="false">IF($AF362=Constants!$B$7,IF(AE362,T362*IF(AA362, 1, Constants!$B$11)*IF(AB362, 1, Constants!$B$12),Constants!$B$13),"")</f>
        <v/>
      </c>
      <c r="AM362" s="67" t="str">
        <f aca="false">IF($AF362=Constants!$B$7,AK362*AL362,"")</f>
        <v/>
      </c>
      <c r="AN362" s="67" t="str">
        <f aca="false">IF($AF362=Constants!$B$7,IF(AM362&gt;AJ362,2,1),"")</f>
        <v/>
      </c>
      <c r="AO362" s="67" t="str">
        <f aca="false">IF($AF362=Constants!$B$7,IF(AN362=1,2,1),"")</f>
        <v/>
      </c>
      <c r="AP362" s="67" t="str">
        <f aca="false">IF(ISBLANK($C362),"",IF($AF362&lt;&gt;Constants!$B$7,$AF362,IF(AN362=1,AJ362,AM362)))</f>
        <v/>
      </c>
      <c r="AQ362" s="67" t="str">
        <f aca="false">IF(ISBLANK($C362),"",IF($AF362=Constants!$B$7,IF(ISNUMBER(AP362),RANK(AP362,$AP$8:$AP$507),Constants!$B$14),$AF362))</f>
        <v/>
      </c>
      <c r="AR362" s="67" t="str">
        <f aca="false">IF(ISBLANK($C362),"",IF($AF362=Constants!$B$7,IF(AO362=1,AJ362,AM362),""))</f>
        <v/>
      </c>
      <c r="AS362" s="67" t="str">
        <f aca="false">IF(ISBLANK($C362),"",IF($AF362=Constants!$B$7,RANK(AR362,$AR$8:$AR$507),$AF362))</f>
        <v/>
      </c>
      <c r="AT362" s="67" t="str">
        <f aca="false">IF(ISBLANK($C362),"",IF($AF362=Constants!$B$7,IF(ISNUMBER(AQ362),COUNTIFS($AQ$8:$AQ$507,"&lt;"&amp;$AQ362)+COUNTIFS($AQ$8:$AQ$507,$AQ362,$AS$8:$AS$507,"&lt;"&amp;$AS362)+1,Constants!$B$14),$AF362))</f>
        <v/>
      </c>
      <c r="AU362" s="67" t="str">
        <f aca="false">IF(ISBLANK($C362),"",IF($AF362=Constants!$B$7,IF(ISNUMBER(AQ362),AQ362-AT362,Constants!$B$14),$AF362))</f>
        <v/>
      </c>
      <c r="AV362" s="69"/>
      <c r="AW362" s="70" t="str">
        <f aca="false">IF(ISBLANK($C362),"",IF($AF362&lt;&gt;Constants!$B$7,"",AN362))</f>
        <v/>
      </c>
      <c r="AX362" s="85" t="str">
        <f aca="false">IF(ISBLANK($C362),"",IF($AF362&lt;&gt;Constants!$B$7,"",IF(AN362=1,AH362,AK362)))</f>
        <v/>
      </c>
      <c r="AY362" s="72" t="str">
        <f aca="false">IF(ISBLANK($C362),"",IF($AF362&lt;&gt;Constants!$B$7,"",IF(AN362=1,AI362,AL362)))</f>
        <v/>
      </c>
      <c r="AZ362" s="73" t="str">
        <f aca="false">IF(ISBLANK($C362),"",IF($AF362&lt;&gt;Constants!$B$7,$AF362,AP362))</f>
        <v/>
      </c>
      <c r="BA362" s="74" t="str">
        <f aca="false">IF(ISBLANK($C362),"",IF($AF362&lt;&gt;Constants!$B$7,$AF362,AG362))</f>
        <v/>
      </c>
      <c r="BB362" s="75" t="str">
        <f aca="false">IF(ISBLANK($C362),"",AU362)</f>
        <v/>
      </c>
      <c r="BC362" s="75" t="str">
        <f aca="false">IF(ISBLANK($C362),"",AT362)</f>
        <v/>
      </c>
      <c r="BD362" s="76" t="str">
        <f aca="false">IF(ISBLANK($C362),"",IFERROR(_xlfn.SWITCH(BC362,Constants!$B$4,COUNTA($C$8:$C$507)+2,Constants!$B$5,COUNTA($C$8:$C$507)+1,Constants!$B$6,COUNTA($C$8:$C$507)),BC362))</f>
        <v/>
      </c>
      <c r="BE362" s="5"/>
      <c r="BF362" s="77" t="n">
        <f aca="false">IF(OR(ISNUMBER(BC362),BC362=Constants!$B$4,BC362=Constants!$B$6,BC362=Constants!$B$5),1,0)</f>
        <v>0</v>
      </c>
      <c r="BG362" s="77" t="n">
        <v>355</v>
      </c>
      <c r="BH362" s="77" t="str">
        <f aca="false">IF(ISBLANK($C362),"",IF(ISNUMBER(BD362),BD362+ROW($B362)/1000,""))</f>
        <v/>
      </c>
      <c r="BI362" s="77" t="str">
        <f aca="false">IF(ISNUMBER(BH362),RANK(BH362,$BH$8:$BH$507,1),"")</f>
        <v/>
      </c>
      <c r="BJ362" s="77" t="str">
        <f aca="false">IF(ISBLANK($C362),"",$B362)</f>
        <v/>
      </c>
      <c r="BK362" s="77" t="str">
        <f aca="false">IF(ISBLANK($C362),"",$C362)</f>
        <v/>
      </c>
      <c r="BL362" s="77" t="str">
        <f aca="false">IF(ISBLANK($C362),"",$D362)</f>
        <v/>
      </c>
      <c r="BM362" s="78" t="str">
        <f aca="false">BA362</f>
        <v/>
      </c>
      <c r="BN362" s="79" t="str">
        <f aca="false">AZ362</f>
        <v/>
      </c>
      <c r="BO362" s="77" t="str">
        <f aca="false">IF(ISBLANK($C362),"",BC362)</f>
        <v/>
      </c>
      <c r="BP362" s="80" t="str">
        <f aca="false">IF($BG362&gt;$BF$7,"",VLOOKUP($BG362,$BI$8:$BO$507,7,FALSE()))</f>
        <v/>
      </c>
      <c r="BQ362" s="81" t="str">
        <f aca="false">IF($BG362&gt;$BF$7,"",VLOOKUP($BG362,$BI$8:$BO$507,2,FALSE()))</f>
        <v/>
      </c>
      <c r="BR362" s="81" t="str">
        <f aca="false">IF($BG362&gt;$BF$7,"",VLOOKUP($BG362,$BI$8:$BO$507,3,FALSE()))</f>
        <v/>
      </c>
      <c r="BS362" s="81" t="str">
        <f aca="false">IF($BG362&gt;$BF$7,"",VLOOKUP($BG362,$BI$8:$BO$507,4,FALSE()))</f>
        <v/>
      </c>
      <c r="BT362" s="81" t="str">
        <f aca="false">IF($BG362&gt;$BF$7,"",VLOOKUP($BG362,$BI$8:$BO$507,5,FALSE()))</f>
        <v/>
      </c>
      <c r="BU362" s="82" t="str">
        <f aca="false">IF($BG362&gt;$BF$7,"",VLOOKUP($BG362,$BI$8:$BO$507,6,FALSE()))</f>
        <v/>
      </c>
      <c r="BV362" s="54"/>
    </row>
    <row r="363" customFormat="false" ht="15.75" hidden="false" customHeight="false" outlineLevel="0" collapsed="false">
      <c r="A363" s="5"/>
      <c r="B363" s="135"/>
      <c r="C363" s="56"/>
      <c r="D363" s="57"/>
      <c r="E363" s="84"/>
      <c r="F363" s="136"/>
      <c r="G363" s="60"/>
      <c r="H363" s="137"/>
      <c r="I363" s="62"/>
      <c r="J363" s="62"/>
      <c r="K363" s="60"/>
      <c r="L363" s="138"/>
      <c r="M363" s="62"/>
      <c r="N363" s="62"/>
      <c r="O363" s="60"/>
      <c r="P363" s="84"/>
      <c r="Q363" s="65"/>
      <c r="R363" s="67" t="str">
        <f aca="false">IF(ISBLANK($C363),"",IF(E363=Constants!$B$2, TRUE(), IF(E363=Constants!$B$3, FALSE(), TRUE())))</f>
        <v/>
      </c>
      <c r="S363" s="67" t="str">
        <f aca="false">IF(ISBLANK($C363),"",IF(F363=Constants!$B$2, TRUE(), IF(F363=Constants!$B$3, FALSE(), TRUE())))</f>
        <v/>
      </c>
      <c r="T363" s="67" t="str">
        <f aca="false">IF(ISBLANK($C363),"",IF(G363=Constants!$B$16,Constants!$B$9,IF(G363=Constants!$B$17,Constants!$B$10,Constants!$B$8)))</f>
        <v/>
      </c>
      <c r="U363" s="67" t="str">
        <f aca="false">IF(ISBLANK($C363),"",IF(H363=Constants!$B$19,Constants!$B$19,Constants!$B$18))</f>
        <v/>
      </c>
      <c r="V363" s="67" t="str">
        <f aca="false">IF(ISBLANK($C363),"",IF(ISNUMBER(I363),IF(I363&gt;=0,I363,""),""))</f>
        <v/>
      </c>
      <c r="W363" s="67" t="str">
        <f aca="false">IF(ISBLANK($C363),"",IF(J363=Constants!$B$2, TRUE(), IF(J363=Constants!$B$3, FALSE(), TRUE())))</f>
        <v/>
      </c>
      <c r="X363" s="67" t="str">
        <f aca="false">IF(ISBLANK($C363),"",IF(K363=Constants!$B$2, TRUE(), IF(K363=Constants!$B$3, FALSE(), TRUE())))</f>
        <v/>
      </c>
      <c r="Y363" s="67" t="str">
        <f aca="false">IF(ISBLANK($C363),"",IF(L363=Constants!$B$19,Constants!$B$19,Constants!$B$18))</f>
        <v/>
      </c>
      <c r="Z363" s="67" t="str">
        <f aca="false">IF(ISBLANK($C363),"",IF(ISNUMBER(M363),IF(M363&gt;=0,M363,""),""))</f>
        <v/>
      </c>
      <c r="AA363" s="67" t="str">
        <f aca="false">IF(ISBLANK($C363),"",IF(N363=Constants!$B$2, TRUE(), IF(N363=Constants!$B$3, FALSE(), TRUE())))</f>
        <v/>
      </c>
      <c r="AB363" s="67" t="str">
        <f aca="false">IF(ISBLANK($C363),"",IF(O363=Constants!$B$2, TRUE(), IF(O363=Constants!$B$3, FALSE(), TRUE())))</f>
        <v/>
      </c>
      <c r="AC363" s="67" t="str">
        <f aca="false">IF(ISBLANK($C363),"",IF(P363=Constants!$B$2, TRUE(), IF(P363=Constants!$B$3, FALSE(), FALSE())))</f>
        <v/>
      </c>
      <c r="AD363" s="67" t="str">
        <f aca="false">IF(ISBLANK($C363),"",AND(V363&lt;&gt;"",IF(U363=Constants!$B$19,S363,R363)))</f>
        <v/>
      </c>
      <c r="AE363" s="67" t="str">
        <f aca="false">IF(ISBLANK($C363),"",AND(Z363&lt;&gt;"",IF(Y363=Constants!$B$19,S363,R363)))</f>
        <v/>
      </c>
      <c r="AF363" s="67" t="str">
        <f aca="false">IF(ISBLANK($C363),"",IF(AC363,Constants!$B$4,IF(COUNTA(E363:O363)=0,Constants!$B$5,IF(AND(NOT(AD363),NOT(AE363)),Constants!$B$6,Constants!$B$7))))</f>
        <v/>
      </c>
      <c r="AG363" s="67" t="str">
        <f aca="false">IF(ISBLANK($C363),"",IF($AF363&lt;&gt;Constants!$B$7,$AF363,Constants!$B$20))</f>
        <v/>
      </c>
      <c r="AH363" s="67" t="str">
        <f aca="false">IF($AF363=Constants!$B$7,IF(AD363,V363,Constants!$B$13),"")</f>
        <v/>
      </c>
      <c r="AI363" s="67" t="str">
        <f aca="false">IF($AF363=Constants!$B$7,IF(AD363,T363*IF(W363, 1, Constants!$B$11)*IF(X363, 1, Constants!$B$12),Constants!$B$13),"")</f>
        <v/>
      </c>
      <c r="AJ363" s="67" t="str">
        <f aca="false">IF($AF363=Constants!$B$7,AH363*AI363,"")</f>
        <v/>
      </c>
      <c r="AK363" s="67" t="str">
        <f aca="false">IF($AF363=Constants!$B$7,IF(AE363,Z363,Constants!$B$13),"")</f>
        <v/>
      </c>
      <c r="AL363" s="67" t="str">
        <f aca="false">IF($AF363=Constants!$B$7,IF(AE363,T363*IF(AA363, 1, Constants!$B$11)*IF(AB363, 1, Constants!$B$12),Constants!$B$13),"")</f>
        <v/>
      </c>
      <c r="AM363" s="67" t="str">
        <f aca="false">IF($AF363=Constants!$B$7,AK363*AL363,"")</f>
        <v/>
      </c>
      <c r="AN363" s="67" t="str">
        <f aca="false">IF($AF363=Constants!$B$7,IF(AM363&gt;AJ363,2,1),"")</f>
        <v/>
      </c>
      <c r="AO363" s="67" t="str">
        <f aca="false">IF($AF363=Constants!$B$7,IF(AN363=1,2,1),"")</f>
        <v/>
      </c>
      <c r="AP363" s="67" t="str">
        <f aca="false">IF(ISBLANK($C363),"",IF($AF363&lt;&gt;Constants!$B$7,$AF363,IF(AN363=1,AJ363,AM363)))</f>
        <v/>
      </c>
      <c r="AQ363" s="67" t="str">
        <f aca="false">IF(ISBLANK($C363),"",IF($AF363=Constants!$B$7,IF(ISNUMBER(AP363),RANK(AP363,$AP$8:$AP$507),Constants!$B$14),$AF363))</f>
        <v/>
      </c>
      <c r="AR363" s="67" t="str">
        <f aca="false">IF(ISBLANK($C363),"",IF($AF363=Constants!$B$7,IF(AO363=1,AJ363,AM363),""))</f>
        <v/>
      </c>
      <c r="AS363" s="67" t="str">
        <f aca="false">IF(ISBLANK($C363),"",IF($AF363=Constants!$B$7,RANK(AR363,$AR$8:$AR$507),$AF363))</f>
        <v/>
      </c>
      <c r="AT363" s="67" t="str">
        <f aca="false">IF(ISBLANK($C363),"",IF($AF363=Constants!$B$7,IF(ISNUMBER(AQ363),COUNTIFS($AQ$8:$AQ$507,"&lt;"&amp;$AQ363)+COUNTIFS($AQ$8:$AQ$507,$AQ363,$AS$8:$AS$507,"&lt;"&amp;$AS363)+1,Constants!$B$14),$AF363))</f>
        <v/>
      </c>
      <c r="AU363" s="67" t="str">
        <f aca="false">IF(ISBLANK($C363),"",IF($AF363=Constants!$B$7,IF(ISNUMBER(AQ363),AQ363-AT363,Constants!$B$14),$AF363))</f>
        <v/>
      </c>
      <c r="AV363" s="69"/>
      <c r="AW363" s="70" t="str">
        <f aca="false">IF(ISBLANK($C363),"",IF($AF363&lt;&gt;Constants!$B$7,"",AN363))</f>
        <v/>
      </c>
      <c r="AX363" s="85" t="str">
        <f aca="false">IF(ISBLANK($C363),"",IF($AF363&lt;&gt;Constants!$B$7,"",IF(AN363=1,AH363,AK363)))</f>
        <v/>
      </c>
      <c r="AY363" s="72" t="str">
        <f aca="false">IF(ISBLANK($C363),"",IF($AF363&lt;&gt;Constants!$B$7,"",IF(AN363=1,AI363,AL363)))</f>
        <v/>
      </c>
      <c r="AZ363" s="73" t="str">
        <f aca="false">IF(ISBLANK($C363),"",IF($AF363&lt;&gt;Constants!$B$7,$AF363,AP363))</f>
        <v/>
      </c>
      <c r="BA363" s="74" t="str">
        <f aca="false">IF(ISBLANK($C363),"",IF($AF363&lt;&gt;Constants!$B$7,$AF363,AG363))</f>
        <v/>
      </c>
      <c r="BB363" s="75" t="str">
        <f aca="false">IF(ISBLANK($C363),"",AU363)</f>
        <v/>
      </c>
      <c r="BC363" s="75" t="str">
        <f aca="false">IF(ISBLANK($C363),"",AT363)</f>
        <v/>
      </c>
      <c r="BD363" s="76" t="str">
        <f aca="false">IF(ISBLANK($C363),"",IFERROR(_xlfn.SWITCH(BC363,Constants!$B$4,COUNTA($C$8:$C$507)+2,Constants!$B$5,COUNTA($C$8:$C$507)+1,Constants!$B$6,COUNTA($C$8:$C$507)),BC363))</f>
        <v/>
      </c>
      <c r="BE363" s="5"/>
      <c r="BF363" s="77" t="n">
        <f aca="false">IF(OR(ISNUMBER(BC363),BC363=Constants!$B$4,BC363=Constants!$B$6,BC363=Constants!$B$5),1,0)</f>
        <v>0</v>
      </c>
      <c r="BG363" s="77" t="n">
        <v>356</v>
      </c>
      <c r="BH363" s="77" t="str">
        <f aca="false">IF(ISBLANK($C363),"",IF(ISNUMBER(BD363),BD363+ROW($B363)/1000,""))</f>
        <v/>
      </c>
      <c r="BI363" s="77" t="str">
        <f aca="false">IF(ISNUMBER(BH363),RANK(BH363,$BH$8:$BH$507,1),"")</f>
        <v/>
      </c>
      <c r="BJ363" s="77" t="str">
        <f aca="false">IF(ISBLANK($C363),"",$B363)</f>
        <v/>
      </c>
      <c r="BK363" s="77" t="str">
        <f aca="false">IF(ISBLANK($C363),"",$C363)</f>
        <v/>
      </c>
      <c r="BL363" s="77" t="str">
        <f aca="false">IF(ISBLANK($C363),"",$D363)</f>
        <v/>
      </c>
      <c r="BM363" s="78" t="str">
        <f aca="false">BA363</f>
        <v/>
      </c>
      <c r="BN363" s="79" t="str">
        <f aca="false">AZ363</f>
        <v/>
      </c>
      <c r="BO363" s="77" t="str">
        <f aca="false">IF(ISBLANK($C363),"",BC363)</f>
        <v/>
      </c>
      <c r="BP363" s="80" t="str">
        <f aca="false">IF($BG363&gt;$BF$7,"",VLOOKUP($BG363,$BI$8:$BO$507,7,FALSE()))</f>
        <v/>
      </c>
      <c r="BQ363" s="81" t="str">
        <f aca="false">IF($BG363&gt;$BF$7,"",VLOOKUP($BG363,$BI$8:$BO$507,2,FALSE()))</f>
        <v/>
      </c>
      <c r="BR363" s="81" t="str">
        <f aca="false">IF($BG363&gt;$BF$7,"",VLOOKUP($BG363,$BI$8:$BO$507,3,FALSE()))</f>
        <v/>
      </c>
      <c r="BS363" s="81" t="str">
        <f aca="false">IF($BG363&gt;$BF$7,"",VLOOKUP($BG363,$BI$8:$BO$507,4,FALSE()))</f>
        <v/>
      </c>
      <c r="BT363" s="81" t="str">
        <f aca="false">IF($BG363&gt;$BF$7,"",VLOOKUP($BG363,$BI$8:$BO$507,5,FALSE()))</f>
        <v/>
      </c>
      <c r="BU363" s="82" t="str">
        <f aca="false">IF($BG363&gt;$BF$7,"",VLOOKUP($BG363,$BI$8:$BO$507,6,FALSE()))</f>
        <v/>
      </c>
      <c r="BV363" s="54"/>
    </row>
    <row r="364" customFormat="false" ht="15.75" hidden="false" customHeight="false" outlineLevel="0" collapsed="false">
      <c r="A364" s="5"/>
      <c r="B364" s="135"/>
      <c r="C364" s="56"/>
      <c r="D364" s="57"/>
      <c r="E364" s="84"/>
      <c r="F364" s="136"/>
      <c r="G364" s="60"/>
      <c r="H364" s="137"/>
      <c r="I364" s="62"/>
      <c r="J364" s="62"/>
      <c r="K364" s="60"/>
      <c r="L364" s="138"/>
      <c r="M364" s="62"/>
      <c r="N364" s="62"/>
      <c r="O364" s="60"/>
      <c r="P364" s="84"/>
      <c r="Q364" s="65"/>
      <c r="R364" s="67" t="str">
        <f aca="false">IF(ISBLANK($C364),"",IF(E364=Constants!$B$2, TRUE(), IF(E364=Constants!$B$3, FALSE(), TRUE())))</f>
        <v/>
      </c>
      <c r="S364" s="67" t="str">
        <f aca="false">IF(ISBLANK($C364),"",IF(F364=Constants!$B$2, TRUE(), IF(F364=Constants!$B$3, FALSE(), TRUE())))</f>
        <v/>
      </c>
      <c r="T364" s="67" t="str">
        <f aca="false">IF(ISBLANK($C364),"",IF(G364=Constants!$B$16,Constants!$B$9,IF(G364=Constants!$B$17,Constants!$B$10,Constants!$B$8)))</f>
        <v/>
      </c>
      <c r="U364" s="67" t="str">
        <f aca="false">IF(ISBLANK($C364),"",IF(H364=Constants!$B$19,Constants!$B$19,Constants!$B$18))</f>
        <v/>
      </c>
      <c r="V364" s="67" t="str">
        <f aca="false">IF(ISBLANK($C364),"",IF(ISNUMBER(I364),IF(I364&gt;=0,I364,""),""))</f>
        <v/>
      </c>
      <c r="W364" s="67" t="str">
        <f aca="false">IF(ISBLANK($C364),"",IF(J364=Constants!$B$2, TRUE(), IF(J364=Constants!$B$3, FALSE(), TRUE())))</f>
        <v/>
      </c>
      <c r="X364" s="67" t="str">
        <f aca="false">IF(ISBLANK($C364),"",IF(K364=Constants!$B$2, TRUE(), IF(K364=Constants!$B$3, FALSE(), TRUE())))</f>
        <v/>
      </c>
      <c r="Y364" s="67" t="str">
        <f aca="false">IF(ISBLANK($C364),"",IF(L364=Constants!$B$19,Constants!$B$19,Constants!$B$18))</f>
        <v/>
      </c>
      <c r="Z364" s="67" t="str">
        <f aca="false">IF(ISBLANK($C364),"",IF(ISNUMBER(M364),IF(M364&gt;=0,M364,""),""))</f>
        <v/>
      </c>
      <c r="AA364" s="67" t="str">
        <f aca="false">IF(ISBLANK($C364),"",IF(N364=Constants!$B$2, TRUE(), IF(N364=Constants!$B$3, FALSE(), TRUE())))</f>
        <v/>
      </c>
      <c r="AB364" s="67" t="str">
        <f aca="false">IF(ISBLANK($C364),"",IF(O364=Constants!$B$2, TRUE(), IF(O364=Constants!$B$3, FALSE(), TRUE())))</f>
        <v/>
      </c>
      <c r="AC364" s="67" t="str">
        <f aca="false">IF(ISBLANK($C364),"",IF(P364=Constants!$B$2, TRUE(), IF(P364=Constants!$B$3, FALSE(), FALSE())))</f>
        <v/>
      </c>
      <c r="AD364" s="67" t="str">
        <f aca="false">IF(ISBLANK($C364),"",AND(V364&lt;&gt;"",IF(U364=Constants!$B$19,S364,R364)))</f>
        <v/>
      </c>
      <c r="AE364" s="67" t="str">
        <f aca="false">IF(ISBLANK($C364),"",AND(Z364&lt;&gt;"",IF(Y364=Constants!$B$19,S364,R364)))</f>
        <v/>
      </c>
      <c r="AF364" s="67" t="str">
        <f aca="false">IF(ISBLANK($C364),"",IF(AC364,Constants!$B$4,IF(COUNTA(E364:O364)=0,Constants!$B$5,IF(AND(NOT(AD364),NOT(AE364)),Constants!$B$6,Constants!$B$7))))</f>
        <v/>
      </c>
      <c r="AG364" s="67" t="str">
        <f aca="false">IF(ISBLANK($C364),"",IF($AF364&lt;&gt;Constants!$B$7,$AF364,Constants!$B$20))</f>
        <v/>
      </c>
      <c r="AH364" s="67" t="str">
        <f aca="false">IF($AF364=Constants!$B$7,IF(AD364,V364,Constants!$B$13),"")</f>
        <v/>
      </c>
      <c r="AI364" s="67" t="str">
        <f aca="false">IF($AF364=Constants!$B$7,IF(AD364,T364*IF(W364, 1, Constants!$B$11)*IF(X364, 1, Constants!$B$12),Constants!$B$13),"")</f>
        <v/>
      </c>
      <c r="AJ364" s="67" t="str">
        <f aca="false">IF($AF364=Constants!$B$7,AH364*AI364,"")</f>
        <v/>
      </c>
      <c r="AK364" s="67" t="str">
        <f aca="false">IF($AF364=Constants!$B$7,IF(AE364,Z364,Constants!$B$13),"")</f>
        <v/>
      </c>
      <c r="AL364" s="67" t="str">
        <f aca="false">IF($AF364=Constants!$B$7,IF(AE364,T364*IF(AA364, 1, Constants!$B$11)*IF(AB364, 1, Constants!$B$12),Constants!$B$13),"")</f>
        <v/>
      </c>
      <c r="AM364" s="67" t="str">
        <f aca="false">IF($AF364=Constants!$B$7,AK364*AL364,"")</f>
        <v/>
      </c>
      <c r="AN364" s="67" t="str">
        <f aca="false">IF($AF364=Constants!$B$7,IF(AM364&gt;AJ364,2,1),"")</f>
        <v/>
      </c>
      <c r="AO364" s="67" t="str">
        <f aca="false">IF($AF364=Constants!$B$7,IF(AN364=1,2,1),"")</f>
        <v/>
      </c>
      <c r="AP364" s="67" t="str">
        <f aca="false">IF(ISBLANK($C364),"",IF($AF364&lt;&gt;Constants!$B$7,$AF364,IF(AN364=1,AJ364,AM364)))</f>
        <v/>
      </c>
      <c r="AQ364" s="67" t="str">
        <f aca="false">IF(ISBLANK($C364),"",IF($AF364=Constants!$B$7,IF(ISNUMBER(AP364),RANK(AP364,$AP$8:$AP$507),Constants!$B$14),$AF364))</f>
        <v/>
      </c>
      <c r="AR364" s="67" t="str">
        <f aca="false">IF(ISBLANK($C364),"",IF($AF364=Constants!$B$7,IF(AO364=1,AJ364,AM364),""))</f>
        <v/>
      </c>
      <c r="AS364" s="67" t="str">
        <f aca="false">IF(ISBLANK($C364),"",IF($AF364=Constants!$B$7,RANK(AR364,$AR$8:$AR$507),$AF364))</f>
        <v/>
      </c>
      <c r="AT364" s="67" t="str">
        <f aca="false">IF(ISBLANK($C364),"",IF($AF364=Constants!$B$7,IF(ISNUMBER(AQ364),COUNTIFS($AQ$8:$AQ$507,"&lt;"&amp;$AQ364)+COUNTIFS($AQ$8:$AQ$507,$AQ364,$AS$8:$AS$507,"&lt;"&amp;$AS364)+1,Constants!$B$14),$AF364))</f>
        <v/>
      </c>
      <c r="AU364" s="67" t="str">
        <f aca="false">IF(ISBLANK($C364),"",IF($AF364=Constants!$B$7,IF(ISNUMBER(AQ364),AQ364-AT364,Constants!$B$14),$AF364))</f>
        <v/>
      </c>
      <c r="AV364" s="69"/>
      <c r="AW364" s="70" t="str">
        <f aca="false">IF(ISBLANK($C364),"",IF($AF364&lt;&gt;Constants!$B$7,"",AN364))</f>
        <v/>
      </c>
      <c r="AX364" s="85" t="str">
        <f aca="false">IF(ISBLANK($C364),"",IF($AF364&lt;&gt;Constants!$B$7,"",IF(AN364=1,AH364,AK364)))</f>
        <v/>
      </c>
      <c r="AY364" s="72" t="str">
        <f aca="false">IF(ISBLANK($C364),"",IF($AF364&lt;&gt;Constants!$B$7,"",IF(AN364=1,AI364,AL364)))</f>
        <v/>
      </c>
      <c r="AZ364" s="73" t="str">
        <f aca="false">IF(ISBLANK($C364),"",IF($AF364&lt;&gt;Constants!$B$7,$AF364,AP364))</f>
        <v/>
      </c>
      <c r="BA364" s="74" t="str">
        <f aca="false">IF(ISBLANK($C364),"",IF($AF364&lt;&gt;Constants!$B$7,$AF364,AG364))</f>
        <v/>
      </c>
      <c r="BB364" s="75" t="str">
        <f aca="false">IF(ISBLANK($C364),"",AU364)</f>
        <v/>
      </c>
      <c r="BC364" s="75" t="str">
        <f aca="false">IF(ISBLANK($C364),"",AT364)</f>
        <v/>
      </c>
      <c r="BD364" s="76" t="str">
        <f aca="false">IF(ISBLANK($C364),"",IFERROR(_xlfn.SWITCH(BC364,Constants!$B$4,COUNTA($C$8:$C$507)+2,Constants!$B$5,COUNTA($C$8:$C$507)+1,Constants!$B$6,COUNTA($C$8:$C$507)),BC364))</f>
        <v/>
      </c>
      <c r="BE364" s="5"/>
      <c r="BF364" s="77" t="n">
        <f aca="false">IF(OR(ISNUMBER(BC364),BC364=Constants!$B$4,BC364=Constants!$B$6,BC364=Constants!$B$5),1,0)</f>
        <v>0</v>
      </c>
      <c r="BG364" s="77" t="n">
        <v>357</v>
      </c>
      <c r="BH364" s="77" t="str">
        <f aca="false">IF(ISBLANK($C364),"",IF(ISNUMBER(BD364),BD364+ROW($B364)/1000,""))</f>
        <v/>
      </c>
      <c r="BI364" s="77" t="str">
        <f aca="false">IF(ISNUMBER(BH364),RANK(BH364,$BH$8:$BH$507,1),"")</f>
        <v/>
      </c>
      <c r="BJ364" s="77" t="str">
        <f aca="false">IF(ISBLANK($C364),"",$B364)</f>
        <v/>
      </c>
      <c r="BK364" s="77" t="str">
        <f aca="false">IF(ISBLANK($C364),"",$C364)</f>
        <v/>
      </c>
      <c r="BL364" s="77" t="str">
        <f aca="false">IF(ISBLANK($C364),"",$D364)</f>
        <v/>
      </c>
      <c r="BM364" s="78" t="str">
        <f aca="false">BA364</f>
        <v/>
      </c>
      <c r="BN364" s="79" t="str">
        <f aca="false">AZ364</f>
        <v/>
      </c>
      <c r="BO364" s="77" t="str">
        <f aca="false">IF(ISBLANK($C364),"",BC364)</f>
        <v/>
      </c>
      <c r="BP364" s="80" t="str">
        <f aca="false">IF($BG364&gt;$BF$7,"",VLOOKUP($BG364,$BI$8:$BO$507,7,FALSE()))</f>
        <v/>
      </c>
      <c r="BQ364" s="81" t="str">
        <f aca="false">IF($BG364&gt;$BF$7,"",VLOOKUP($BG364,$BI$8:$BO$507,2,FALSE()))</f>
        <v/>
      </c>
      <c r="BR364" s="81" t="str">
        <f aca="false">IF($BG364&gt;$BF$7,"",VLOOKUP($BG364,$BI$8:$BO$507,3,FALSE()))</f>
        <v/>
      </c>
      <c r="BS364" s="81" t="str">
        <f aca="false">IF($BG364&gt;$BF$7,"",VLOOKUP($BG364,$BI$8:$BO$507,4,FALSE()))</f>
        <v/>
      </c>
      <c r="BT364" s="81" t="str">
        <f aca="false">IF($BG364&gt;$BF$7,"",VLOOKUP($BG364,$BI$8:$BO$507,5,FALSE()))</f>
        <v/>
      </c>
      <c r="BU364" s="82" t="str">
        <f aca="false">IF($BG364&gt;$BF$7,"",VLOOKUP($BG364,$BI$8:$BO$507,6,FALSE()))</f>
        <v/>
      </c>
      <c r="BV364" s="54"/>
    </row>
    <row r="365" customFormat="false" ht="15.75" hidden="false" customHeight="false" outlineLevel="0" collapsed="false">
      <c r="A365" s="5"/>
      <c r="B365" s="128"/>
      <c r="C365" s="129"/>
      <c r="D365" s="114"/>
      <c r="E365" s="134"/>
      <c r="F365" s="139"/>
      <c r="G365" s="93"/>
      <c r="H365" s="140"/>
      <c r="I365" s="95"/>
      <c r="J365" s="95"/>
      <c r="K365" s="93"/>
      <c r="L365" s="141"/>
      <c r="M365" s="95"/>
      <c r="N365" s="95"/>
      <c r="O365" s="93"/>
      <c r="P365" s="134"/>
      <c r="Q365" s="98"/>
      <c r="R365" s="99" t="str">
        <f aca="false">IF(ISBLANK($C365),"",IF(E365=Constants!$B$2, TRUE(), IF(E365=Constants!$B$3, FALSE(), TRUE())))</f>
        <v/>
      </c>
      <c r="S365" s="99" t="str">
        <f aca="false">IF(ISBLANK($C365),"",IF(F365=Constants!$B$2, TRUE(), IF(F365=Constants!$B$3, FALSE(), TRUE())))</f>
        <v/>
      </c>
      <c r="T365" s="99" t="str">
        <f aca="false">IF(ISBLANK($C365),"",IF(G365=Constants!$B$16,Constants!$B$9,IF(G365=Constants!$B$17,Constants!$B$10,Constants!$B$8)))</f>
        <v/>
      </c>
      <c r="U365" s="99" t="str">
        <f aca="false">IF(ISBLANK($C365),"",IF(H365=Constants!$B$19,Constants!$B$19,Constants!$B$18))</f>
        <v/>
      </c>
      <c r="V365" s="99" t="str">
        <f aca="false">IF(ISBLANK($C365),"",IF(ISNUMBER(I365),IF(I365&gt;=0,I365,""),""))</f>
        <v/>
      </c>
      <c r="W365" s="99" t="str">
        <f aca="false">IF(ISBLANK($C365),"",IF(J365=Constants!$B$2, TRUE(), IF(J365=Constants!$B$3, FALSE(), TRUE())))</f>
        <v/>
      </c>
      <c r="X365" s="99" t="str">
        <f aca="false">IF(ISBLANK($C365),"",IF(K365=Constants!$B$2, TRUE(), IF(K365=Constants!$B$3, FALSE(), TRUE())))</f>
        <v/>
      </c>
      <c r="Y365" s="99" t="str">
        <f aca="false">IF(ISBLANK($C365),"",IF(L365=Constants!$B$19,Constants!$B$19,Constants!$B$18))</f>
        <v/>
      </c>
      <c r="Z365" s="99" t="str">
        <f aca="false">IF(ISBLANK($C365),"",IF(ISNUMBER(M365),IF(M365&gt;=0,M365,""),""))</f>
        <v/>
      </c>
      <c r="AA365" s="99" t="str">
        <f aca="false">IF(ISBLANK($C365),"",IF(N365=Constants!$B$2, TRUE(), IF(N365=Constants!$B$3, FALSE(), TRUE())))</f>
        <v/>
      </c>
      <c r="AB365" s="99" t="str">
        <f aca="false">IF(ISBLANK($C365),"",IF(O365=Constants!$B$2, TRUE(), IF(O365=Constants!$B$3, FALSE(), TRUE())))</f>
        <v/>
      </c>
      <c r="AC365" s="99" t="str">
        <f aca="false">IF(ISBLANK($C365),"",IF(P365=Constants!$B$2, TRUE(), IF(P365=Constants!$B$3, FALSE(), FALSE())))</f>
        <v/>
      </c>
      <c r="AD365" s="99" t="str">
        <f aca="false">IF(ISBLANK($C365),"",AND(V365&lt;&gt;"",IF(U365=Constants!$B$19,S365,R365)))</f>
        <v/>
      </c>
      <c r="AE365" s="99" t="str">
        <f aca="false">IF(ISBLANK($C365),"",AND(Z365&lt;&gt;"",IF(Y365=Constants!$B$19,S365,R365)))</f>
        <v/>
      </c>
      <c r="AF365" s="99" t="str">
        <f aca="false">IF(ISBLANK($C365),"",IF(AC365,Constants!$B$4,IF(COUNTA(E365:O365)=0,Constants!$B$5,IF(AND(NOT(AD365),NOT(AE365)),Constants!$B$6,Constants!$B$7))))</f>
        <v/>
      </c>
      <c r="AG365" s="99" t="str">
        <f aca="false">IF(ISBLANK($C365),"",IF($AF365&lt;&gt;Constants!$B$7,$AF365,Constants!$B$20))</f>
        <v/>
      </c>
      <c r="AH365" s="99" t="str">
        <f aca="false">IF($AF365=Constants!$B$7,IF(AD365,V365,Constants!$B$13),"")</f>
        <v/>
      </c>
      <c r="AI365" s="99" t="str">
        <f aca="false">IF($AF365=Constants!$B$7,IF(AD365,T365*IF(W365, 1, Constants!$B$11)*IF(X365, 1, Constants!$B$12),Constants!$B$13),"")</f>
        <v/>
      </c>
      <c r="AJ365" s="99" t="str">
        <f aca="false">IF($AF365=Constants!$B$7,AH365*AI365,"")</f>
        <v/>
      </c>
      <c r="AK365" s="99" t="str">
        <f aca="false">IF($AF365=Constants!$B$7,IF(AE365,Z365,Constants!$B$13),"")</f>
        <v/>
      </c>
      <c r="AL365" s="99" t="str">
        <f aca="false">IF($AF365=Constants!$B$7,IF(AE365,T365*IF(AA365, 1, Constants!$B$11)*IF(AB365, 1, Constants!$B$12),Constants!$B$13),"")</f>
        <v/>
      </c>
      <c r="AM365" s="99" t="str">
        <f aca="false">IF($AF365=Constants!$B$7,AK365*AL365,"")</f>
        <v/>
      </c>
      <c r="AN365" s="99" t="str">
        <f aca="false">IF($AF365=Constants!$B$7,IF(AM365&gt;AJ365,2,1),"")</f>
        <v/>
      </c>
      <c r="AO365" s="99" t="str">
        <f aca="false">IF($AF365=Constants!$B$7,IF(AN365=1,2,1),"")</f>
        <v/>
      </c>
      <c r="AP365" s="99" t="str">
        <f aca="false">IF(ISBLANK($C365),"",IF($AF365&lt;&gt;Constants!$B$7,$AF365,IF(AN365=1,AJ365,AM365)))</f>
        <v/>
      </c>
      <c r="AQ365" s="99" t="str">
        <f aca="false">IF(ISBLANK($C365),"",IF($AF365=Constants!$B$7,IF(ISNUMBER(AP365),RANK(AP365,$AP$8:$AP$507),Constants!$B$14),$AF365))</f>
        <v/>
      </c>
      <c r="AR365" s="99" t="str">
        <f aca="false">IF(ISBLANK($C365),"",IF($AF365=Constants!$B$7,IF(AO365=1,AJ365,AM365),""))</f>
        <v/>
      </c>
      <c r="AS365" s="99" t="str">
        <f aca="false">IF(ISBLANK($C365),"",IF($AF365=Constants!$B$7,RANK(AR365,$AR$8:$AR$507),$AF365))</f>
        <v/>
      </c>
      <c r="AT365" s="99" t="str">
        <f aca="false">IF(ISBLANK($C365),"",IF($AF365=Constants!$B$7,IF(ISNUMBER(AQ365),COUNTIFS($AQ$8:$AQ$507,"&lt;"&amp;$AQ365)+COUNTIFS($AQ$8:$AQ$507,$AQ365,$AS$8:$AS$507,"&lt;"&amp;$AS365)+1,Constants!$B$14),$AF365))</f>
        <v/>
      </c>
      <c r="AU365" s="99" t="str">
        <f aca="false">IF(ISBLANK($C365),"",IF($AF365=Constants!$B$7,IF(ISNUMBER(AQ365),AQ365-AT365,Constants!$B$14),$AF365))</f>
        <v/>
      </c>
      <c r="AV365" s="100"/>
      <c r="AW365" s="101" t="str">
        <f aca="false">IF(ISBLANK($C365),"",IF($AF365&lt;&gt;Constants!$B$7,"",AN365))</f>
        <v/>
      </c>
      <c r="AX365" s="102" t="str">
        <f aca="false">IF(ISBLANK($C365),"",IF($AF365&lt;&gt;Constants!$B$7,"",IF(AN365=1,AH365,AK365)))</f>
        <v/>
      </c>
      <c r="AY365" s="103" t="str">
        <f aca="false">IF(ISBLANK($C365),"",IF($AF365&lt;&gt;Constants!$B$7,"",IF(AN365=1,AI365,AL365)))</f>
        <v/>
      </c>
      <c r="AZ365" s="104" t="str">
        <f aca="false">IF(ISBLANK($C365),"",IF($AF365&lt;&gt;Constants!$B$7,$AF365,AP365))</f>
        <v/>
      </c>
      <c r="BA365" s="105" t="str">
        <f aca="false">IF(ISBLANK($C365),"",IF($AF365&lt;&gt;Constants!$B$7,$AF365,AG365))</f>
        <v/>
      </c>
      <c r="BB365" s="106" t="str">
        <f aca="false">IF(ISBLANK($C365),"",AU365)</f>
        <v/>
      </c>
      <c r="BC365" s="106" t="str">
        <f aca="false">IF(ISBLANK($C365),"",AT365)</f>
        <v/>
      </c>
      <c r="BD365" s="107" t="str">
        <f aca="false">IF(ISBLANK($C365),"",IFERROR(_xlfn.SWITCH(BC365,Constants!$B$4,COUNTA($C$8:$C$507)+2,Constants!$B$5,COUNTA($C$8:$C$507)+1,Constants!$B$6,COUNTA($C$8:$C$507)),BC365))</f>
        <v/>
      </c>
      <c r="BE365" s="5"/>
      <c r="BF365" s="108" t="n">
        <f aca="false">IF(OR(ISNUMBER(BC365),BC365=Constants!$B$4,BC365=Constants!$B$6,BC365=Constants!$B$5),1,0)</f>
        <v>0</v>
      </c>
      <c r="BG365" s="108" t="n">
        <v>358</v>
      </c>
      <c r="BH365" s="108" t="str">
        <f aca="false">IF(ISBLANK($C365),"",IF(ISNUMBER(BD365),BD365+ROW($B365)/1000,""))</f>
        <v/>
      </c>
      <c r="BI365" s="108" t="str">
        <f aca="false">IF(ISNUMBER(BH365),RANK(BH365,$BH$8:$BH$507,1),"")</f>
        <v/>
      </c>
      <c r="BJ365" s="108" t="str">
        <f aca="false">IF(ISBLANK($C365),"",$B365)</f>
        <v/>
      </c>
      <c r="BK365" s="108" t="str">
        <f aca="false">IF(ISBLANK($C365),"",$C365)</f>
        <v/>
      </c>
      <c r="BL365" s="108" t="str">
        <f aca="false">IF(ISBLANK($C365),"",$D365)</f>
        <v/>
      </c>
      <c r="BM365" s="109" t="str">
        <f aca="false">BA365</f>
        <v/>
      </c>
      <c r="BN365" s="110" t="str">
        <f aca="false">AZ365</f>
        <v/>
      </c>
      <c r="BO365" s="108" t="str">
        <f aca="false">IF(ISBLANK($C365),"",BC365)</f>
        <v/>
      </c>
      <c r="BP365" s="111" t="str">
        <f aca="false">IF($BG365&gt;$BF$7,"",VLOOKUP($BG365,$BI$8:$BO$507,7,FALSE()))</f>
        <v/>
      </c>
      <c r="BQ365" s="112" t="str">
        <f aca="false">IF($BG365&gt;$BF$7,"",VLOOKUP($BG365,$BI$8:$BO$507,2,FALSE()))</f>
        <v/>
      </c>
      <c r="BR365" s="112" t="str">
        <f aca="false">IF($BG365&gt;$BF$7,"",VLOOKUP($BG365,$BI$8:$BO$507,3,FALSE()))</f>
        <v/>
      </c>
      <c r="BS365" s="112" t="str">
        <f aca="false">IF($BG365&gt;$BF$7,"",VLOOKUP($BG365,$BI$8:$BO$507,4,FALSE()))</f>
        <v/>
      </c>
      <c r="BT365" s="112" t="str">
        <f aca="false">IF($BG365&gt;$BF$7,"",VLOOKUP($BG365,$BI$8:$BO$507,5,FALSE()))</f>
        <v/>
      </c>
      <c r="BU365" s="113" t="str">
        <f aca="false">IF($BG365&gt;$BF$7,"",VLOOKUP($BG365,$BI$8:$BO$507,6,FALSE()))</f>
        <v/>
      </c>
      <c r="BV365" s="54"/>
    </row>
    <row r="366" customFormat="false" ht="15.75" hidden="false" customHeight="false" outlineLevel="0" collapsed="false">
      <c r="A366" s="5"/>
      <c r="B366" s="128"/>
      <c r="C366" s="129"/>
      <c r="D366" s="114"/>
      <c r="E366" s="134"/>
      <c r="F366" s="139"/>
      <c r="G366" s="93"/>
      <c r="H366" s="140"/>
      <c r="I366" s="95"/>
      <c r="J366" s="95"/>
      <c r="K366" s="93"/>
      <c r="L366" s="141"/>
      <c r="M366" s="95"/>
      <c r="N366" s="95"/>
      <c r="O366" s="93"/>
      <c r="P366" s="134"/>
      <c r="Q366" s="98"/>
      <c r="R366" s="99" t="str">
        <f aca="false">IF(ISBLANK($C366),"",IF(E366=Constants!$B$2, TRUE(), IF(E366=Constants!$B$3, FALSE(), TRUE())))</f>
        <v/>
      </c>
      <c r="S366" s="99" t="str">
        <f aca="false">IF(ISBLANK($C366),"",IF(F366=Constants!$B$2, TRUE(), IF(F366=Constants!$B$3, FALSE(), TRUE())))</f>
        <v/>
      </c>
      <c r="T366" s="99" t="str">
        <f aca="false">IF(ISBLANK($C366),"",IF(G366=Constants!$B$16,Constants!$B$9,IF(G366=Constants!$B$17,Constants!$B$10,Constants!$B$8)))</f>
        <v/>
      </c>
      <c r="U366" s="99" t="str">
        <f aca="false">IF(ISBLANK($C366),"",IF(H366=Constants!$B$19,Constants!$B$19,Constants!$B$18))</f>
        <v/>
      </c>
      <c r="V366" s="99" t="str">
        <f aca="false">IF(ISBLANK($C366),"",IF(ISNUMBER(I366),IF(I366&gt;=0,I366,""),""))</f>
        <v/>
      </c>
      <c r="W366" s="99" t="str">
        <f aca="false">IF(ISBLANK($C366),"",IF(J366=Constants!$B$2, TRUE(), IF(J366=Constants!$B$3, FALSE(), TRUE())))</f>
        <v/>
      </c>
      <c r="X366" s="99" t="str">
        <f aca="false">IF(ISBLANK($C366),"",IF(K366=Constants!$B$2, TRUE(), IF(K366=Constants!$B$3, FALSE(), TRUE())))</f>
        <v/>
      </c>
      <c r="Y366" s="99" t="str">
        <f aca="false">IF(ISBLANK($C366),"",IF(L366=Constants!$B$19,Constants!$B$19,Constants!$B$18))</f>
        <v/>
      </c>
      <c r="Z366" s="99" t="str">
        <f aca="false">IF(ISBLANK($C366),"",IF(ISNUMBER(M366),IF(M366&gt;=0,M366,""),""))</f>
        <v/>
      </c>
      <c r="AA366" s="99" t="str">
        <f aca="false">IF(ISBLANK($C366),"",IF(N366=Constants!$B$2, TRUE(), IF(N366=Constants!$B$3, FALSE(), TRUE())))</f>
        <v/>
      </c>
      <c r="AB366" s="99" t="str">
        <f aca="false">IF(ISBLANK($C366),"",IF(O366=Constants!$B$2, TRUE(), IF(O366=Constants!$B$3, FALSE(), TRUE())))</f>
        <v/>
      </c>
      <c r="AC366" s="99" t="str">
        <f aca="false">IF(ISBLANK($C366),"",IF(P366=Constants!$B$2, TRUE(), IF(P366=Constants!$B$3, FALSE(), FALSE())))</f>
        <v/>
      </c>
      <c r="AD366" s="99" t="str">
        <f aca="false">IF(ISBLANK($C366),"",AND(V366&lt;&gt;"",IF(U366=Constants!$B$19,S366,R366)))</f>
        <v/>
      </c>
      <c r="AE366" s="99" t="str">
        <f aca="false">IF(ISBLANK($C366),"",AND(Z366&lt;&gt;"",IF(Y366=Constants!$B$19,S366,R366)))</f>
        <v/>
      </c>
      <c r="AF366" s="99" t="str">
        <f aca="false">IF(ISBLANK($C366),"",IF(AC366,Constants!$B$4,IF(COUNTA(E366:O366)=0,Constants!$B$5,IF(AND(NOT(AD366),NOT(AE366)),Constants!$B$6,Constants!$B$7))))</f>
        <v/>
      </c>
      <c r="AG366" s="99" t="str">
        <f aca="false">IF(ISBLANK($C366),"",IF($AF366&lt;&gt;Constants!$B$7,$AF366,Constants!$B$20))</f>
        <v/>
      </c>
      <c r="AH366" s="99" t="str">
        <f aca="false">IF($AF366=Constants!$B$7,IF(AD366,V366,Constants!$B$13),"")</f>
        <v/>
      </c>
      <c r="AI366" s="99" t="str">
        <f aca="false">IF($AF366=Constants!$B$7,IF(AD366,T366*IF(W366, 1, Constants!$B$11)*IF(X366, 1, Constants!$B$12),Constants!$B$13),"")</f>
        <v/>
      </c>
      <c r="AJ366" s="99" t="str">
        <f aca="false">IF($AF366=Constants!$B$7,AH366*AI366,"")</f>
        <v/>
      </c>
      <c r="AK366" s="99" t="str">
        <f aca="false">IF($AF366=Constants!$B$7,IF(AE366,Z366,Constants!$B$13),"")</f>
        <v/>
      </c>
      <c r="AL366" s="99" t="str">
        <f aca="false">IF($AF366=Constants!$B$7,IF(AE366,T366*IF(AA366, 1, Constants!$B$11)*IF(AB366, 1, Constants!$B$12),Constants!$B$13),"")</f>
        <v/>
      </c>
      <c r="AM366" s="99" t="str">
        <f aca="false">IF($AF366=Constants!$B$7,AK366*AL366,"")</f>
        <v/>
      </c>
      <c r="AN366" s="99" t="str">
        <f aca="false">IF($AF366=Constants!$B$7,IF(AM366&gt;AJ366,2,1),"")</f>
        <v/>
      </c>
      <c r="AO366" s="99" t="str">
        <f aca="false">IF($AF366=Constants!$B$7,IF(AN366=1,2,1),"")</f>
        <v/>
      </c>
      <c r="AP366" s="99" t="str">
        <f aca="false">IF(ISBLANK($C366),"",IF($AF366&lt;&gt;Constants!$B$7,$AF366,IF(AN366=1,AJ366,AM366)))</f>
        <v/>
      </c>
      <c r="AQ366" s="99" t="str">
        <f aca="false">IF(ISBLANK($C366),"",IF($AF366=Constants!$B$7,IF(ISNUMBER(AP366),RANK(AP366,$AP$8:$AP$507),Constants!$B$14),$AF366))</f>
        <v/>
      </c>
      <c r="AR366" s="99" t="str">
        <f aca="false">IF(ISBLANK($C366),"",IF($AF366=Constants!$B$7,IF(AO366=1,AJ366,AM366),""))</f>
        <v/>
      </c>
      <c r="AS366" s="99" t="str">
        <f aca="false">IF(ISBLANK($C366),"",IF($AF366=Constants!$B$7,RANK(AR366,$AR$8:$AR$507),$AF366))</f>
        <v/>
      </c>
      <c r="AT366" s="99" t="str">
        <f aca="false">IF(ISBLANK($C366),"",IF($AF366=Constants!$B$7,IF(ISNUMBER(AQ366),COUNTIFS($AQ$8:$AQ$507,"&lt;"&amp;$AQ366)+COUNTIFS($AQ$8:$AQ$507,$AQ366,$AS$8:$AS$507,"&lt;"&amp;$AS366)+1,Constants!$B$14),$AF366))</f>
        <v/>
      </c>
      <c r="AU366" s="99" t="str">
        <f aca="false">IF(ISBLANK($C366),"",IF($AF366=Constants!$B$7,IF(ISNUMBER(AQ366),AQ366-AT366,Constants!$B$14),$AF366))</f>
        <v/>
      </c>
      <c r="AV366" s="100"/>
      <c r="AW366" s="101" t="str">
        <f aca="false">IF(ISBLANK($C366),"",IF($AF366&lt;&gt;Constants!$B$7,"",AN366))</f>
        <v/>
      </c>
      <c r="AX366" s="102" t="str">
        <f aca="false">IF(ISBLANK($C366),"",IF($AF366&lt;&gt;Constants!$B$7,"",IF(AN366=1,AH366,AK366)))</f>
        <v/>
      </c>
      <c r="AY366" s="103" t="str">
        <f aca="false">IF(ISBLANK($C366),"",IF($AF366&lt;&gt;Constants!$B$7,"",IF(AN366=1,AI366,AL366)))</f>
        <v/>
      </c>
      <c r="AZ366" s="104" t="str">
        <f aca="false">IF(ISBLANK($C366),"",IF($AF366&lt;&gt;Constants!$B$7,$AF366,AP366))</f>
        <v/>
      </c>
      <c r="BA366" s="105" t="str">
        <f aca="false">IF(ISBLANK($C366),"",IF($AF366&lt;&gt;Constants!$B$7,$AF366,AG366))</f>
        <v/>
      </c>
      <c r="BB366" s="106" t="str">
        <f aca="false">IF(ISBLANK($C366),"",AU366)</f>
        <v/>
      </c>
      <c r="BC366" s="106" t="str">
        <f aca="false">IF(ISBLANK($C366),"",AT366)</f>
        <v/>
      </c>
      <c r="BD366" s="107" t="str">
        <f aca="false">IF(ISBLANK($C366),"",IFERROR(_xlfn.SWITCH(BC366,Constants!$B$4,COUNTA($C$8:$C$507)+2,Constants!$B$5,COUNTA($C$8:$C$507)+1,Constants!$B$6,COUNTA($C$8:$C$507)),BC366))</f>
        <v/>
      </c>
      <c r="BE366" s="5"/>
      <c r="BF366" s="108" t="n">
        <f aca="false">IF(OR(ISNUMBER(BC366),BC366=Constants!$B$4,BC366=Constants!$B$6,BC366=Constants!$B$5),1,0)</f>
        <v>0</v>
      </c>
      <c r="BG366" s="108" t="n">
        <v>359</v>
      </c>
      <c r="BH366" s="108" t="str">
        <f aca="false">IF(ISBLANK($C366),"",IF(ISNUMBER(BD366),BD366+ROW($B366)/1000,""))</f>
        <v/>
      </c>
      <c r="BI366" s="108" t="str">
        <f aca="false">IF(ISNUMBER(BH366),RANK(BH366,$BH$8:$BH$507,1),"")</f>
        <v/>
      </c>
      <c r="BJ366" s="108" t="str">
        <f aca="false">IF(ISBLANK($C366),"",$B366)</f>
        <v/>
      </c>
      <c r="BK366" s="108" t="str">
        <f aca="false">IF(ISBLANK($C366),"",$C366)</f>
        <v/>
      </c>
      <c r="BL366" s="108" t="str">
        <f aca="false">IF(ISBLANK($C366),"",$D366)</f>
        <v/>
      </c>
      <c r="BM366" s="109" t="str">
        <f aca="false">BA366</f>
        <v/>
      </c>
      <c r="BN366" s="110" t="str">
        <f aca="false">AZ366</f>
        <v/>
      </c>
      <c r="BO366" s="108" t="str">
        <f aca="false">IF(ISBLANK($C366),"",BC366)</f>
        <v/>
      </c>
      <c r="BP366" s="111" t="str">
        <f aca="false">IF($BG366&gt;$BF$7,"",VLOOKUP($BG366,$BI$8:$BO$507,7,FALSE()))</f>
        <v/>
      </c>
      <c r="BQ366" s="112" t="str">
        <f aca="false">IF($BG366&gt;$BF$7,"",VLOOKUP($BG366,$BI$8:$BO$507,2,FALSE()))</f>
        <v/>
      </c>
      <c r="BR366" s="112" t="str">
        <f aca="false">IF($BG366&gt;$BF$7,"",VLOOKUP($BG366,$BI$8:$BO$507,3,FALSE()))</f>
        <v/>
      </c>
      <c r="BS366" s="112" t="str">
        <f aca="false">IF($BG366&gt;$BF$7,"",VLOOKUP($BG366,$BI$8:$BO$507,4,FALSE()))</f>
        <v/>
      </c>
      <c r="BT366" s="112" t="str">
        <f aca="false">IF($BG366&gt;$BF$7,"",VLOOKUP($BG366,$BI$8:$BO$507,5,FALSE()))</f>
        <v/>
      </c>
      <c r="BU366" s="113" t="str">
        <f aca="false">IF($BG366&gt;$BF$7,"",VLOOKUP($BG366,$BI$8:$BO$507,6,FALSE()))</f>
        <v/>
      </c>
      <c r="BV366" s="54"/>
    </row>
    <row r="367" customFormat="false" ht="15.75" hidden="false" customHeight="false" outlineLevel="0" collapsed="false">
      <c r="A367" s="5"/>
      <c r="B367" s="128"/>
      <c r="C367" s="129"/>
      <c r="D367" s="114"/>
      <c r="E367" s="134"/>
      <c r="F367" s="139"/>
      <c r="G367" s="93"/>
      <c r="H367" s="140"/>
      <c r="I367" s="95"/>
      <c r="J367" s="95"/>
      <c r="K367" s="93"/>
      <c r="L367" s="141"/>
      <c r="M367" s="95"/>
      <c r="N367" s="95"/>
      <c r="O367" s="93"/>
      <c r="P367" s="134"/>
      <c r="Q367" s="98"/>
      <c r="R367" s="99" t="str">
        <f aca="false">IF(ISBLANK($C367),"",IF(E367=Constants!$B$2, TRUE(), IF(E367=Constants!$B$3, FALSE(), TRUE())))</f>
        <v/>
      </c>
      <c r="S367" s="99" t="str">
        <f aca="false">IF(ISBLANK($C367),"",IF(F367=Constants!$B$2, TRUE(), IF(F367=Constants!$B$3, FALSE(), TRUE())))</f>
        <v/>
      </c>
      <c r="T367" s="99" t="str">
        <f aca="false">IF(ISBLANK($C367),"",IF(G367=Constants!$B$16,Constants!$B$9,IF(G367=Constants!$B$17,Constants!$B$10,Constants!$B$8)))</f>
        <v/>
      </c>
      <c r="U367" s="99" t="str">
        <f aca="false">IF(ISBLANK($C367),"",IF(H367=Constants!$B$19,Constants!$B$19,Constants!$B$18))</f>
        <v/>
      </c>
      <c r="V367" s="99" t="str">
        <f aca="false">IF(ISBLANK($C367),"",IF(ISNUMBER(I367),IF(I367&gt;=0,I367,""),""))</f>
        <v/>
      </c>
      <c r="W367" s="99" t="str">
        <f aca="false">IF(ISBLANK($C367),"",IF(J367=Constants!$B$2, TRUE(), IF(J367=Constants!$B$3, FALSE(), TRUE())))</f>
        <v/>
      </c>
      <c r="X367" s="99" t="str">
        <f aca="false">IF(ISBLANK($C367),"",IF(K367=Constants!$B$2, TRUE(), IF(K367=Constants!$B$3, FALSE(), TRUE())))</f>
        <v/>
      </c>
      <c r="Y367" s="99" t="str">
        <f aca="false">IF(ISBLANK($C367),"",IF(L367=Constants!$B$19,Constants!$B$19,Constants!$B$18))</f>
        <v/>
      </c>
      <c r="Z367" s="99" t="str">
        <f aca="false">IF(ISBLANK($C367),"",IF(ISNUMBER(M367),IF(M367&gt;=0,M367,""),""))</f>
        <v/>
      </c>
      <c r="AA367" s="99" t="str">
        <f aca="false">IF(ISBLANK($C367),"",IF(N367=Constants!$B$2, TRUE(), IF(N367=Constants!$B$3, FALSE(), TRUE())))</f>
        <v/>
      </c>
      <c r="AB367" s="99" t="str">
        <f aca="false">IF(ISBLANK($C367),"",IF(O367=Constants!$B$2, TRUE(), IF(O367=Constants!$B$3, FALSE(), TRUE())))</f>
        <v/>
      </c>
      <c r="AC367" s="99" t="str">
        <f aca="false">IF(ISBLANK($C367),"",IF(P367=Constants!$B$2, TRUE(), IF(P367=Constants!$B$3, FALSE(), FALSE())))</f>
        <v/>
      </c>
      <c r="AD367" s="99" t="str">
        <f aca="false">IF(ISBLANK($C367),"",AND(V367&lt;&gt;"",IF(U367=Constants!$B$19,S367,R367)))</f>
        <v/>
      </c>
      <c r="AE367" s="99" t="str">
        <f aca="false">IF(ISBLANK($C367),"",AND(Z367&lt;&gt;"",IF(Y367=Constants!$B$19,S367,R367)))</f>
        <v/>
      </c>
      <c r="AF367" s="99" t="str">
        <f aca="false">IF(ISBLANK($C367),"",IF(AC367,Constants!$B$4,IF(COUNTA(E367:O367)=0,Constants!$B$5,IF(AND(NOT(AD367),NOT(AE367)),Constants!$B$6,Constants!$B$7))))</f>
        <v/>
      </c>
      <c r="AG367" s="99" t="str">
        <f aca="false">IF(ISBLANK($C367),"",IF($AF367&lt;&gt;Constants!$B$7,$AF367,Constants!$B$20))</f>
        <v/>
      </c>
      <c r="AH367" s="99" t="str">
        <f aca="false">IF($AF367=Constants!$B$7,IF(AD367,V367,Constants!$B$13),"")</f>
        <v/>
      </c>
      <c r="AI367" s="99" t="str">
        <f aca="false">IF($AF367=Constants!$B$7,IF(AD367,T367*IF(W367, 1, Constants!$B$11)*IF(X367, 1, Constants!$B$12),Constants!$B$13),"")</f>
        <v/>
      </c>
      <c r="AJ367" s="99" t="str">
        <f aca="false">IF($AF367=Constants!$B$7,AH367*AI367,"")</f>
        <v/>
      </c>
      <c r="AK367" s="99" t="str">
        <f aca="false">IF($AF367=Constants!$B$7,IF(AE367,Z367,Constants!$B$13),"")</f>
        <v/>
      </c>
      <c r="AL367" s="99" t="str">
        <f aca="false">IF($AF367=Constants!$B$7,IF(AE367,T367*IF(AA367, 1, Constants!$B$11)*IF(AB367, 1, Constants!$B$12),Constants!$B$13),"")</f>
        <v/>
      </c>
      <c r="AM367" s="99" t="str">
        <f aca="false">IF($AF367=Constants!$B$7,AK367*AL367,"")</f>
        <v/>
      </c>
      <c r="AN367" s="99" t="str">
        <f aca="false">IF($AF367=Constants!$B$7,IF(AM367&gt;AJ367,2,1),"")</f>
        <v/>
      </c>
      <c r="AO367" s="99" t="str">
        <f aca="false">IF($AF367=Constants!$B$7,IF(AN367=1,2,1),"")</f>
        <v/>
      </c>
      <c r="AP367" s="99" t="str">
        <f aca="false">IF(ISBLANK($C367),"",IF($AF367&lt;&gt;Constants!$B$7,$AF367,IF(AN367=1,AJ367,AM367)))</f>
        <v/>
      </c>
      <c r="AQ367" s="99" t="str">
        <f aca="false">IF(ISBLANK($C367),"",IF($AF367=Constants!$B$7,IF(ISNUMBER(AP367),RANK(AP367,$AP$8:$AP$507),Constants!$B$14),$AF367))</f>
        <v/>
      </c>
      <c r="AR367" s="99" t="str">
        <f aca="false">IF(ISBLANK($C367),"",IF($AF367=Constants!$B$7,IF(AO367=1,AJ367,AM367),""))</f>
        <v/>
      </c>
      <c r="AS367" s="99" t="str">
        <f aca="false">IF(ISBLANK($C367),"",IF($AF367=Constants!$B$7,RANK(AR367,$AR$8:$AR$507),$AF367))</f>
        <v/>
      </c>
      <c r="AT367" s="99" t="str">
        <f aca="false">IF(ISBLANK($C367),"",IF($AF367=Constants!$B$7,IF(ISNUMBER(AQ367),COUNTIFS($AQ$8:$AQ$507,"&lt;"&amp;$AQ367)+COUNTIFS($AQ$8:$AQ$507,$AQ367,$AS$8:$AS$507,"&lt;"&amp;$AS367)+1,Constants!$B$14),$AF367))</f>
        <v/>
      </c>
      <c r="AU367" s="99" t="str">
        <f aca="false">IF(ISBLANK($C367),"",IF($AF367=Constants!$B$7,IF(ISNUMBER(AQ367),AQ367-AT367,Constants!$B$14),$AF367))</f>
        <v/>
      </c>
      <c r="AV367" s="100"/>
      <c r="AW367" s="101" t="str">
        <f aca="false">IF(ISBLANK($C367),"",IF($AF367&lt;&gt;Constants!$B$7,"",AN367))</f>
        <v/>
      </c>
      <c r="AX367" s="102" t="str">
        <f aca="false">IF(ISBLANK($C367),"",IF($AF367&lt;&gt;Constants!$B$7,"",IF(AN367=1,AH367,AK367)))</f>
        <v/>
      </c>
      <c r="AY367" s="103" t="str">
        <f aca="false">IF(ISBLANK($C367),"",IF($AF367&lt;&gt;Constants!$B$7,"",IF(AN367=1,AI367,AL367)))</f>
        <v/>
      </c>
      <c r="AZ367" s="104" t="str">
        <f aca="false">IF(ISBLANK($C367),"",IF($AF367&lt;&gt;Constants!$B$7,$AF367,AP367))</f>
        <v/>
      </c>
      <c r="BA367" s="105" t="str">
        <f aca="false">IF(ISBLANK($C367),"",IF($AF367&lt;&gt;Constants!$B$7,$AF367,AG367))</f>
        <v/>
      </c>
      <c r="BB367" s="106" t="str">
        <f aca="false">IF(ISBLANK($C367),"",AU367)</f>
        <v/>
      </c>
      <c r="BC367" s="106" t="str">
        <f aca="false">IF(ISBLANK($C367),"",AT367)</f>
        <v/>
      </c>
      <c r="BD367" s="107" t="str">
        <f aca="false">IF(ISBLANK($C367),"",IFERROR(_xlfn.SWITCH(BC367,Constants!$B$4,COUNTA($C$8:$C$507)+2,Constants!$B$5,COUNTA($C$8:$C$507)+1,Constants!$B$6,COUNTA($C$8:$C$507)),BC367))</f>
        <v/>
      </c>
      <c r="BE367" s="5"/>
      <c r="BF367" s="108" t="n">
        <f aca="false">IF(OR(ISNUMBER(BC367),BC367=Constants!$B$4,BC367=Constants!$B$6,BC367=Constants!$B$5),1,0)</f>
        <v>0</v>
      </c>
      <c r="BG367" s="108" t="n">
        <v>360</v>
      </c>
      <c r="BH367" s="108" t="str">
        <f aca="false">IF(ISBLANK($C367),"",IF(ISNUMBER(BD367),BD367+ROW($B367)/1000,""))</f>
        <v/>
      </c>
      <c r="BI367" s="108" t="str">
        <f aca="false">IF(ISNUMBER(BH367),RANK(BH367,$BH$8:$BH$507,1),"")</f>
        <v/>
      </c>
      <c r="BJ367" s="108" t="str">
        <f aca="false">IF(ISBLANK($C367),"",$B367)</f>
        <v/>
      </c>
      <c r="BK367" s="108" t="str">
        <f aca="false">IF(ISBLANK($C367),"",$C367)</f>
        <v/>
      </c>
      <c r="BL367" s="108" t="str">
        <f aca="false">IF(ISBLANK($C367),"",$D367)</f>
        <v/>
      </c>
      <c r="BM367" s="109" t="str">
        <f aca="false">BA367</f>
        <v/>
      </c>
      <c r="BN367" s="110" t="str">
        <f aca="false">AZ367</f>
        <v/>
      </c>
      <c r="BO367" s="108" t="str">
        <f aca="false">IF(ISBLANK($C367),"",BC367)</f>
        <v/>
      </c>
      <c r="BP367" s="111" t="str">
        <f aca="false">IF($BG367&gt;$BF$7,"",VLOOKUP($BG367,$BI$8:$BO$507,7,FALSE()))</f>
        <v/>
      </c>
      <c r="BQ367" s="112" t="str">
        <f aca="false">IF($BG367&gt;$BF$7,"",VLOOKUP($BG367,$BI$8:$BO$507,2,FALSE()))</f>
        <v/>
      </c>
      <c r="BR367" s="112" t="str">
        <f aca="false">IF($BG367&gt;$BF$7,"",VLOOKUP($BG367,$BI$8:$BO$507,3,FALSE()))</f>
        <v/>
      </c>
      <c r="BS367" s="112" t="str">
        <f aca="false">IF($BG367&gt;$BF$7,"",VLOOKUP($BG367,$BI$8:$BO$507,4,FALSE()))</f>
        <v/>
      </c>
      <c r="BT367" s="112" t="str">
        <f aca="false">IF($BG367&gt;$BF$7,"",VLOOKUP($BG367,$BI$8:$BO$507,5,FALSE()))</f>
        <v/>
      </c>
      <c r="BU367" s="113" t="str">
        <f aca="false">IF($BG367&gt;$BF$7,"",VLOOKUP($BG367,$BI$8:$BO$507,6,FALSE()))</f>
        <v/>
      </c>
      <c r="BV367" s="54"/>
    </row>
    <row r="368" customFormat="false" ht="15.75" hidden="false" customHeight="false" outlineLevel="0" collapsed="false">
      <c r="A368" s="5"/>
      <c r="B368" s="135"/>
      <c r="C368" s="56"/>
      <c r="D368" s="57"/>
      <c r="E368" s="84"/>
      <c r="F368" s="136"/>
      <c r="G368" s="60"/>
      <c r="H368" s="137"/>
      <c r="I368" s="62"/>
      <c r="J368" s="62"/>
      <c r="K368" s="60"/>
      <c r="L368" s="138"/>
      <c r="M368" s="62"/>
      <c r="N368" s="62"/>
      <c r="O368" s="60"/>
      <c r="P368" s="84"/>
      <c r="Q368" s="65"/>
      <c r="R368" s="67" t="str">
        <f aca="false">IF(ISBLANK($C368),"",IF(E368=Constants!$B$2, TRUE(), IF(E368=Constants!$B$3, FALSE(), TRUE())))</f>
        <v/>
      </c>
      <c r="S368" s="67" t="str">
        <f aca="false">IF(ISBLANK($C368),"",IF(F368=Constants!$B$2, TRUE(), IF(F368=Constants!$B$3, FALSE(), TRUE())))</f>
        <v/>
      </c>
      <c r="T368" s="67" t="str">
        <f aca="false">IF(ISBLANK($C368),"",IF(G368=Constants!$B$16,Constants!$B$9,IF(G368=Constants!$B$17,Constants!$B$10,Constants!$B$8)))</f>
        <v/>
      </c>
      <c r="U368" s="67" t="str">
        <f aca="false">IF(ISBLANK($C368),"",IF(H368=Constants!$B$19,Constants!$B$19,Constants!$B$18))</f>
        <v/>
      </c>
      <c r="V368" s="67" t="str">
        <f aca="false">IF(ISBLANK($C368),"",IF(ISNUMBER(I368),IF(I368&gt;=0,I368,""),""))</f>
        <v/>
      </c>
      <c r="W368" s="67" t="str">
        <f aca="false">IF(ISBLANK($C368),"",IF(J368=Constants!$B$2, TRUE(), IF(J368=Constants!$B$3, FALSE(), TRUE())))</f>
        <v/>
      </c>
      <c r="X368" s="67" t="str">
        <f aca="false">IF(ISBLANK($C368),"",IF(K368=Constants!$B$2, TRUE(), IF(K368=Constants!$B$3, FALSE(), TRUE())))</f>
        <v/>
      </c>
      <c r="Y368" s="67" t="str">
        <f aca="false">IF(ISBLANK($C368),"",IF(L368=Constants!$B$19,Constants!$B$19,Constants!$B$18))</f>
        <v/>
      </c>
      <c r="Z368" s="67" t="str">
        <f aca="false">IF(ISBLANK($C368),"",IF(ISNUMBER(M368),IF(M368&gt;=0,M368,""),""))</f>
        <v/>
      </c>
      <c r="AA368" s="67" t="str">
        <f aca="false">IF(ISBLANK($C368),"",IF(N368=Constants!$B$2, TRUE(), IF(N368=Constants!$B$3, FALSE(), TRUE())))</f>
        <v/>
      </c>
      <c r="AB368" s="67" t="str">
        <f aca="false">IF(ISBLANK($C368),"",IF(O368=Constants!$B$2, TRUE(), IF(O368=Constants!$B$3, FALSE(), TRUE())))</f>
        <v/>
      </c>
      <c r="AC368" s="67" t="str">
        <f aca="false">IF(ISBLANK($C368),"",IF(P368=Constants!$B$2, TRUE(), IF(P368=Constants!$B$3, FALSE(), FALSE())))</f>
        <v/>
      </c>
      <c r="AD368" s="67" t="str">
        <f aca="false">IF(ISBLANK($C368),"",AND(V368&lt;&gt;"",IF(U368=Constants!$B$19,S368,R368)))</f>
        <v/>
      </c>
      <c r="AE368" s="67" t="str">
        <f aca="false">IF(ISBLANK($C368),"",AND(Z368&lt;&gt;"",IF(Y368=Constants!$B$19,S368,R368)))</f>
        <v/>
      </c>
      <c r="AF368" s="67" t="str">
        <f aca="false">IF(ISBLANK($C368),"",IF(AC368,Constants!$B$4,IF(COUNTA(E368:O368)=0,Constants!$B$5,IF(AND(NOT(AD368),NOT(AE368)),Constants!$B$6,Constants!$B$7))))</f>
        <v/>
      </c>
      <c r="AG368" s="67" t="str">
        <f aca="false">IF(ISBLANK($C368),"",IF($AF368&lt;&gt;Constants!$B$7,$AF368,Constants!$B$20))</f>
        <v/>
      </c>
      <c r="AH368" s="67" t="str">
        <f aca="false">IF($AF368=Constants!$B$7,IF(AD368,V368,Constants!$B$13),"")</f>
        <v/>
      </c>
      <c r="AI368" s="67" t="str">
        <f aca="false">IF($AF368=Constants!$B$7,IF(AD368,T368*IF(W368, 1, Constants!$B$11)*IF(X368, 1, Constants!$B$12),Constants!$B$13),"")</f>
        <v/>
      </c>
      <c r="AJ368" s="67" t="str">
        <f aca="false">IF($AF368=Constants!$B$7,AH368*AI368,"")</f>
        <v/>
      </c>
      <c r="AK368" s="67" t="str">
        <f aca="false">IF($AF368=Constants!$B$7,IF(AE368,Z368,Constants!$B$13),"")</f>
        <v/>
      </c>
      <c r="AL368" s="67" t="str">
        <f aca="false">IF($AF368=Constants!$B$7,IF(AE368,T368*IF(AA368, 1, Constants!$B$11)*IF(AB368, 1, Constants!$B$12),Constants!$B$13),"")</f>
        <v/>
      </c>
      <c r="AM368" s="67" t="str">
        <f aca="false">IF($AF368=Constants!$B$7,AK368*AL368,"")</f>
        <v/>
      </c>
      <c r="AN368" s="67" t="str">
        <f aca="false">IF($AF368=Constants!$B$7,IF(AM368&gt;AJ368,2,1),"")</f>
        <v/>
      </c>
      <c r="AO368" s="67" t="str">
        <f aca="false">IF($AF368=Constants!$B$7,IF(AN368=1,2,1),"")</f>
        <v/>
      </c>
      <c r="AP368" s="67" t="str">
        <f aca="false">IF(ISBLANK($C368),"",IF($AF368&lt;&gt;Constants!$B$7,$AF368,IF(AN368=1,AJ368,AM368)))</f>
        <v/>
      </c>
      <c r="AQ368" s="67" t="str">
        <f aca="false">IF(ISBLANK($C368),"",IF($AF368=Constants!$B$7,IF(ISNUMBER(AP368),RANK(AP368,$AP$8:$AP$507),Constants!$B$14),$AF368))</f>
        <v/>
      </c>
      <c r="AR368" s="67" t="str">
        <f aca="false">IF(ISBLANK($C368),"",IF($AF368=Constants!$B$7,IF(AO368=1,AJ368,AM368),""))</f>
        <v/>
      </c>
      <c r="AS368" s="67" t="str">
        <f aca="false">IF(ISBLANK($C368),"",IF($AF368=Constants!$B$7,RANK(AR368,$AR$8:$AR$507),$AF368))</f>
        <v/>
      </c>
      <c r="AT368" s="67" t="str">
        <f aca="false">IF(ISBLANK($C368),"",IF($AF368=Constants!$B$7,IF(ISNUMBER(AQ368),COUNTIFS($AQ$8:$AQ$507,"&lt;"&amp;$AQ368)+COUNTIFS($AQ$8:$AQ$507,$AQ368,$AS$8:$AS$507,"&lt;"&amp;$AS368)+1,Constants!$B$14),$AF368))</f>
        <v/>
      </c>
      <c r="AU368" s="67" t="str">
        <f aca="false">IF(ISBLANK($C368),"",IF($AF368=Constants!$B$7,IF(ISNUMBER(AQ368),AQ368-AT368,Constants!$B$14),$AF368))</f>
        <v/>
      </c>
      <c r="AV368" s="69"/>
      <c r="AW368" s="70" t="str">
        <f aca="false">IF(ISBLANK($C368),"",IF($AF368&lt;&gt;Constants!$B$7,"",AN368))</f>
        <v/>
      </c>
      <c r="AX368" s="85" t="str">
        <f aca="false">IF(ISBLANK($C368),"",IF($AF368&lt;&gt;Constants!$B$7,"",IF(AN368=1,AH368,AK368)))</f>
        <v/>
      </c>
      <c r="AY368" s="72" t="str">
        <f aca="false">IF(ISBLANK($C368),"",IF($AF368&lt;&gt;Constants!$B$7,"",IF(AN368=1,AI368,AL368)))</f>
        <v/>
      </c>
      <c r="AZ368" s="73" t="str">
        <f aca="false">IF(ISBLANK($C368),"",IF($AF368&lt;&gt;Constants!$B$7,$AF368,AP368))</f>
        <v/>
      </c>
      <c r="BA368" s="74" t="str">
        <f aca="false">IF(ISBLANK($C368),"",IF($AF368&lt;&gt;Constants!$B$7,$AF368,AG368))</f>
        <v/>
      </c>
      <c r="BB368" s="75" t="str">
        <f aca="false">IF(ISBLANK($C368),"",AU368)</f>
        <v/>
      </c>
      <c r="BC368" s="75" t="str">
        <f aca="false">IF(ISBLANK($C368),"",AT368)</f>
        <v/>
      </c>
      <c r="BD368" s="76" t="str">
        <f aca="false">IF(ISBLANK($C368),"",IFERROR(_xlfn.SWITCH(BC368,Constants!$B$4,COUNTA($C$8:$C$507)+2,Constants!$B$5,COUNTA($C$8:$C$507)+1,Constants!$B$6,COUNTA($C$8:$C$507)),BC368))</f>
        <v/>
      </c>
      <c r="BE368" s="5"/>
      <c r="BF368" s="77" t="n">
        <f aca="false">IF(OR(ISNUMBER(BC368),BC368=Constants!$B$4,BC368=Constants!$B$6,BC368=Constants!$B$5),1,0)</f>
        <v>0</v>
      </c>
      <c r="BG368" s="77" t="n">
        <v>361</v>
      </c>
      <c r="BH368" s="77" t="str">
        <f aca="false">IF(ISBLANK($C368),"",IF(ISNUMBER(BD368),BD368+ROW($B368)/1000,""))</f>
        <v/>
      </c>
      <c r="BI368" s="77" t="str">
        <f aca="false">IF(ISNUMBER(BH368),RANK(BH368,$BH$8:$BH$507,1),"")</f>
        <v/>
      </c>
      <c r="BJ368" s="77" t="str">
        <f aca="false">IF(ISBLANK($C368),"",$B368)</f>
        <v/>
      </c>
      <c r="BK368" s="77" t="str">
        <f aca="false">IF(ISBLANK($C368),"",$C368)</f>
        <v/>
      </c>
      <c r="BL368" s="77" t="str">
        <f aca="false">IF(ISBLANK($C368),"",$D368)</f>
        <v/>
      </c>
      <c r="BM368" s="78" t="str">
        <f aca="false">BA368</f>
        <v/>
      </c>
      <c r="BN368" s="79" t="str">
        <f aca="false">AZ368</f>
        <v/>
      </c>
      <c r="BO368" s="77" t="str">
        <f aca="false">IF(ISBLANK($C368),"",BC368)</f>
        <v/>
      </c>
      <c r="BP368" s="80" t="str">
        <f aca="false">IF($BG368&gt;$BF$7,"",VLOOKUP($BG368,$BI$8:$BO$507,7,FALSE()))</f>
        <v/>
      </c>
      <c r="BQ368" s="81" t="str">
        <f aca="false">IF($BG368&gt;$BF$7,"",VLOOKUP($BG368,$BI$8:$BO$507,2,FALSE()))</f>
        <v/>
      </c>
      <c r="BR368" s="81" t="str">
        <f aca="false">IF($BG368&gt;$BF$7,"",VLOOKUP($BG368,$BI$8:$BO$507,3,FALSE()))</f>
        <v/>
      </c>
      <c r="BS368" s="81" t="str">
        <f aca="false">IF($BG368&gt;$BF$7,"",VLOOKUP($BG368,$BI$8:$BO$507,4,FALSE()))</f>
        <v/>
      </c>
      <c r="BT368" s="81" t="str">
        <f aca="false">IF($BG368&gt;$BF$7,"",VLOOKUP($BG368,$BI$8:$BO$507,5,FALSE()))</f>
        <v/>
      </c>
      <c r="BU368" s="82" t="str">
        <f aca="false">IF($BG368&gt;$BF$7,"",VLOOKUP($BG368,$BI$8:$BO$507,6,FALSE()))</f>
        <v/>
      </c>
      <c r="BV368" s="54"/>
    </row>
    <row r="369" customFormat="false" ht="15.75" hidden="false" customHeight="false" outlineLevel="0" collapsed="false">
      <c r="A369" s="5"/>
      <c r="B369" s="135"/>
      <c r="C369" s="56"/>
      <c r="D369" s="57"/>
      <c r="E369" s="84"/>
      <c r="F369" s="136"/>
      <c r="G369" s="60"/>
      <c r="H369" s="137"/>
      <c r="I369" s="62"/>
      <c r="J369" s="62"/>
      <c r="K369" s="60"/>
      <c r="L369" s="138"/>
      <c r="M369" s="62"/>
      <c r="N369" s="62"/>
      <c r="O369" s="60"/>
      <c r="P369" s="84"/>
      <c r="Q369" s="65"/>
      <c r="R369" s="67" t="str">
        <f aca="false">IF(ISBLANK($C369),"",IF(E369=Constants!$B$2, TRUE(), IF(E369=Constants!$B$3, FALSE(), TRUE())))</f>
        <v/>
      </c>
      <c r="S369" s="67" t="str">
        <f aca="false">IF(ISBLANK($C369),"",IF(F369=Constants!$B$2, TRUE(), IF(F369=Constants!$B$3, FALSE(), TRUE())))</f>
        <v/>
      </c>
      <c r="T369" s="67" t="str">
        <f aca="false">IF(ISBLANK($C369),"",IF(G369=Constants!$B$16,Constants!$B$9,IF(G369=Constants!$B$17,Constants!$B$10,Constants!$B$8)))</f>
        <v/>
      </c>
      <c r="U369" s="67" t="str">
        <f aca="false">IF(ISBLANK($C369),"",IF(H369=Constants!$B$19,Constants!$B$19,Constants!$B$18))</f>
        <v/>
      </c>
      <c r="V369" s="67" t="str">
        <f aca="false">IF(ISBLANK($C369),"",IF(ISNUMBER(I369),IF(I369&gt;=0,I369,""),""))</f>
        <v/>
      </c>
      <c r="W369" s="67" t="str">
        <f aca="false">IF(ISBLANK($C369),"",IF(J369=Constants!$B$2, TRUE(), IF(J369=Constants!$B$3, FALSE(), TRUE())))</f>
        <v/>
      </c>
      <c r="X369" s="67" t="str">
        <f aca="false">IF(ISBLANK($C369),"",IF(K369=Constants!$B$2, TRUE(), IF(K369=Constants!$B$3, FALSE(), TRUE())))</f>
        <v/>
      </c>
      <c r="Y369" s="67" t="str">
        <f aca="false">IF(ISBLANK($C369),"",IF(L369=Constants!$B$19,Constants!$B$19,Constants!$B$18))</f>
        <v/>
      </c>
      <c r="Z369" s="67" t="str">
        <f aca="false">IF(ISBLANK($C369),"",IF(ISNUMBER(M369),IF(M369&gt;=0,M369,""),""))</f>
        <v/>
      </c>
      <c r="AA369" s="67" t="str">
        <f aca="false">IF(ISBLANK($C369),"",IF(N369=Constants!$B$2, TRUE(), IF(N369=Constants!$B$3, FALSE(), TRUE())))</f>
        <v/>
      </c>
      <c r="AB369" s="67" t="str">
        <f aca="false">IF(ISBLANK($C369),"",IF(O369=Constants!$B$2, TRUE(), IF(O369=Constants!$B$3, FALSE(), TRUE())))</f>
        <v/>
      </c>
      <c r="AC369" s="67" t="str">
        <f aca="false">IF(ISBLANK($C369),"",IF(P369=Constants!$B$2, TRUE(), IF(P369=Constants!$B$3, FALSE(), FALSE())))</f>
        <v/>
      </c>
      <c r="AD369" s="67" t="str">
        <f aca="false">IF(ISBLANK($C369),"",AND(V369&lt;&gt;"",IF(U369=Constants!$B$19,S369,R369)))</f>
        <v/>
      </c>
      <c r="AE369" s="67" t="str">
        <f aca="false">IF(ISBLANK($C369),"",AND(Z369&lt;&gt;"",IF(Y369=Constants!$B$19,S369,R369)))</f>
        <v/>
      </c>
      <c r="AF369" s="67" t="str">
        <f aca="false">IF(ISBLANK($C369),"",IF(AC369,Constants!$B$4,IF(COUNTA(E369:O369)=0,Constants!$B$5,IF(AND(NOT(AD369),NOT(AE369)),Constants!$B$6,Constants!$B$7))))</f>
        <v/>
      </c>
      <c r="AG369" s="67" t="str">
        <f aca="false">IF(ISBLANK($C369),"",IF($AF369&lt;&gt;Constants!$B$7,$AF369,Constants!$B$20))</f>
        <v/>
      </c>
      <c r="AH369" s="67" t="str">
        <f aca="false">IF($AF369=Constants!$B$7,IF(AD369,V369,Constants!$B$13),"")</f>
        <v/>
      </c>
      <c r="AI369" s="67" t="str">
        <f aca="false">IF($AF369=Constants!$B$7,IF(AD369,T369*IF(W369, 1, Constants!$B$11)*IF(X369, 1, Constants!$B$12),Constants!$B$13),"")</f>
        <v/>
      </c>
      <c r="AJ369" s="67" t="str">
        <f aca="false">IF($AF369=Constants!$B$7,AH369*AI369,"")</f>
        <v/>
      </c>
      <c r="AK369" s="67" t="str">
        <f aca="false">IF($AF369=Constants!$B$7,IF(AE369,Z369,Constants!$B$13),"")</f>
        <v/>
      </c>
      <c r="AL369" s="67" t="str">
        <f aca="false">IF($AF369=Constants!$B$7,IF(AE369,T369*IF(AA369, 1, Constants!$B$11)*IF(AB369, 1, Constants!$B$12),Constants!$B$13),"")</f>
        <v/>
      </c>
      <c r="AM369" s="67" t="str">
        <f aca="false">IF($AF369=Constants!$B$7,AK369*AL369,"")</f>
        <v/>
      </c>
      <c r="AN369" s="67" t="str">
        <f aca="false">IF($AF369=Constants!$B$7,IF(AM369&gt;AJ369,2,1),"")</f>
        <v/>
      </c>
      <c r="AO369" s="67" t="str">
        <f aca="false">IF($AF369=Constants!$B$7,IF(AN369=1,2,1),"")</f>
        <v/>
      </c>
      <c r="AP369" s="67" t="str">
        <f aca="false">IF(ISBLANK($C369),"",IF($AF369&lt;&gt;Constants!$B$7,$AF369,IF(AN369=1,AJ369,AM369)))</f>
        <v/>
      </c>
      <c r="AQ369" s="67" t="str">
        <f aca="false">IF(ISBLANK($C369),"",IF($AF369=Constants!$B$7,IF(ISNUMBER(AP369),RANK(AP369,$AP$8:$AP$507),Constants!$B$14),$AF369))</f>
        <v/>
      </c>
      <c r="AR369" s="67" t="str">
        <f aca="false">IF(ISBLANK($C369),"",IF($AF369=Constants!$B$7,IF(AO369=1,AJ369,AM369),""))</f>
        <v/>
      </c>
      <c r="AS369" s="67" t="str">
        <f aca="false">IF(ISBLANK($C369),"",IF($AF369=Constants!$B$7,RANK(AR369,$AR$8:$AR$507),$AF369))</f>
        <v/>
      </c>
      <c r="AT369" s="67" t="str">
        <f aca="false">IF(ISBLANK($C369),"",IF($AF369=Constants!$B$7,IF(ISNUMBER(AQ369),COUNTIFS($AQ$8:$AQ$507,"&lt;"&amp;$AQ369)+COUNTIFS($AQ$8:$AQ$507,$AQ369,$AS$8:$AS$507,"&lt;"&amp;$AS369)+1,Constants!$B$14),$AF369))</f>
        <v/>
      </c>
      <c r="AU369" s="67" t="str">
        <f aca="false">IF(ISBLANK($C369),"",IF($AF369=Constants!$B$7,IF(ISNUMBER(AQ369),AQ369-AT369,Constants!$B$14),$AF369))</f>
        <v/>
      </c>
      <c r="AV369" s="69"/>
      <c r="AW369" s="70" t="str">
        <f aca="false">IF(ISBLANK($C369),"",IF($AF369&lt;&gt;Constants!$B$7,"",AN369))</f>
        <v/>
      </c>
      <c r="AX369" s="85" t="str">
        <f aca="false">IF(ISBLANK($C369),"",IF($AF369&lt;&gt;Constants!$B$7,"",IF(AN369=1,AH369,AK369)))</f>
        <v/>
      </c>
      <c r="AY369" s="72" t="str">
        <f aca="false">IF(ISBLANK($C369),"",IF($AF369&lt;&gt;Constants!$B$7,"",IF(AN369=1,AI369,AL369)))</f>
        <v/>
      </c>
      <c r="AZ369" s="73" t="str">
        <f aca="false">IF(ISBLANK($C369),"",IF($AF369&lt;&gt;Constants!$B$7,$AF369,AP369))</f>
        <v/>
      </c>
      <c r="BA369" s="74" t="str">
        <f aca="false">IF(ISBLANK($C369),"",IF($AF369&lt;&gt;Constants!$B$7,$AF369,AG369))</f>
        <v/>
      </c>
      <c r="BB369" s="75" t="str">
        <f aca="false">IF(ISBLANK($C369),"",AU369)</f>
        <v/>
      </c>
      <c r="BC369" s="75" t="str">
        <f aca="false">IF(ISBLANK($C369),"",AT369)</f>
        <v/>
      </c>
      <c r="BD369" s="76" t="str">
        <f aca="false">IF(ISBLANK($C369),"",IFERROR(_xlfn.SWITCH(BC369,Constants!$B$4,COUNTA($C$8:$C$507)+2,Constants!$B$5,COUNTA($C$8:$C$507)+1,Constants!$B$6,COUNTA($C$8:$C$507)),BC369))</f>
        <v/>
      </c>
      <c r="BE369" s="5"/>
      <c r="BF369" s="77" t="n">
        <f aca="false">IF(OR(ISNUMBER(BC369),BC369=Constants!$B$4,BC369=Constants!$B$6,BC369=Constants!$B$5),1,0)</f>
        <v>0</v>
      </c>
      <c r="BG369" s="77" t="n">
        <v>362</v>
      </c>
      <c r="BH369" s="77" t="str">
        <f aca="false">IF(ISBLANK($C369),"",IF(ISNUMBER(BD369),BD369+ROW($B369)/1000,""))</f>
        <v/>
      </c>
      <c r="BI369" s="77" t="str">
        <f aca="false">IF(ISNUMBER(BH369),RANK(BH369,$BH$8:$BH$507,1),"")</f>
        <v/>
      </c>
      <c r="BJ369" s="77" t="str">
        <f aca="false">IF(ISBLANK($C369),"",$B369)</f>
        <v/>
      </c>
      <c r="BK369" s="77" t="str">
        <f aca="false">IF(ISBLANK($C369),"",$C369)</f>
        <v/>
      </c>
      <c r="BL369" s="77" t="str">
        <f aca="false">IF(ISBLANK($C369),"",$D369)</f>
        <v/>
      </c>
      <c r="BM369" s="78" t="str">
        <f aca="false">BA369</f>
        <v/>
      </c>
      <c r="BN369" s="79" t="str">
        <f aca="false">AZ369</f>
        <v/>
      </c>
      <c r="BO369" s="77" t="str">
        <f aca="false">IF(ISBLANK($C369),"",BC369)</f>
        <v/>
      </c>
      <c r="BP369" s="80" t="str">
        <f aca="false">IF($BG369&gt;$BF$7,"",VLOOKUP($BG369,$BI$8:$BO$507,7,FALSE()))</f>
        <v/>
      </c>
      <c r="BQ369" s="81" t="str">
        <f aca="false">IF($BG369&gt;$BF$7,"",VLOOKUP($BG369,$BI$8:$BO$507,2,FALSE()))</f>
        <v/>
      </c>
      <c r="BR369" s="81" t="str">
        <f aca="false">IF($BG369&gt;$BF$7,"",VLOOKUP($BG369,$BI$8:$BO$507,3,FALSE()))</f>
        <v/>
      </c>
      <c r="BS369" s="81" t="str">
        <f aca="false">IF($BG369&gt;$BF$7,"",VLOOKUP($BG369,$BI$8:$BO$507,4,FALSE()))</f>
        <v/>
      </c>
      <c r="BT369" s="81" t="str">
        <f aca="false">IF($BG369&gt;$BF$7,"",VLOOKUP($BG369,$BI$8:$BO$507,5,FALSE()))</f>
        <v/>
      </c>
      <c r="BU369" s="82" t="str">
        <f aca="false">IF($BG369&gt;$BF$7,"",VLOOKUP($BG369,$BI$8:$BO$507,6,FALSE()))</f>
        <v/>
      </c>
      <c r="BV369" s="54"/>
    </row>
    <row r="370" customFormat="false" ht="15.75" hidden="false" customHeight="false" outlineLevel="0" collapsed="false">
      <c r="A370" s="5"/>
      <c r="B370" s="135"/>
      <c r="C370" s="56"/>
      <c r="D370" s="57"/>
      <c r="E370" s="84"/>
      <c r="F370" s="136"/>
      <c r="G370" s="60"/>
      <c r="H370" s="137"/>
      <c r="I370" s="62"/>
      <c r="J370" s="62"/>
      <c r="K370" s="60"/>
      <c r="L370" s="138"/>
      <c r="M370" s="62"/>
      <c r="N370" s="62"/>
      <c r="O370" s="60"/>
      <c r="P370" s="84"/>
      <c r="Q370" s="65"/>
      <c r="R370" s="67" t="str">
        <f aca="false">IF(ISBLANK($C370),"",IF(E370=Constants!$B$2, TRUE(), IF(E370=Constants!$B$3, FALSE(), TRUE())))</f>
        <v/>
      </c>
      <c r="S370" s="67" t="str">
        <f aca="false">IF(ISBLANK($C370),"",IF(F370=Constants!$B$2, TRUE(), IF(F370=Constants!$B$3, FALSE(), TRUE())))</f>
        <v/>
      </c>
      <c r="T370" s="67" t="str">
        <f aca="false">IF(ISBLANK($C370),"",IF(G370=Constants!$B$16,Constants!$B$9,IF(G370=Constants!$B$17,Constants!$B$10,Constants!$B$8)))</f>
        <v/>
      </c>
      <c r="U370" s="67" t="str">
        <f aca="false">IF(ISBLANK($C370),"",IF(H370=Constants!$B$19,Constants!$B$19,Constants!$B$18))</f>
        <v/>
      </c>
      <c r="V370" s="67" t="str">
        <f aca="false">IF(ISBLANK($C370),"",IF(ISNUMBER(I370),IF(I370&gt;=0,I370,""),""))</f>
        <v/>
      </c>
      <c r="W370" s="67" t="str">
        <f aca="false">IF(ISBLANK($C370),"",IF(J370=Constants!$B$2, TRUE(), IF(J370=Constants!$B$3, FALSE(), TRUE())))</f>
        <v/>
      </c>
      <c r="X370" s="67" t="str">
        <f aca="false">IF(ISBLANK($C370),"",IF(K370=Constants!$B$2, TRUE(), IF(K370=Constants!$B$3, FALSE(), TRUE())))</f>
        <v/>
      </c>
      <c r="Y370" s="67" t="str">
        <f aca="false">IF(ISBLANK($C370),"",IF(L370=Constants!$B$19,Constants!$B$19,Constants!$B$18))</f>
        <v/>
      </c>
      <c r="Z370" s="67" t="str">
        <f aca="false">IF(ISBLANK($C370),"",IF(ISNUMBER(M370),IF(M370&gt;=0,M370,""),""))</f>
        <v/>
      </c>
      <c r="AA370" s="67" t="str">
        <f aca="false">IF(ISBLANK($C370),"",IF(N370=Constants!$B$2, TRUE(), IF(N370=Constants!$B$3, FALSE(), TRUE())))</f>
        <v/>
      </c>
      <c r="AB370" s="67" t="str">
        <f aca="false">IF(ISBLANK($C370),"",IF(O370=Constants!$B$2, TRUE(), IF(O370=Constants!$B$3, FALSE(), TRUE())))</f>
        <v/>
      </c>
      <c r="AC370" s="67" t="str">
        <f aca="false">IF(ISBLANK($C370),"",IF(P370=Constants!$B$2, TRUE(), IF(P370=Constants!$B$3, FALSE(), FALSE())))</f>
        <v/>
      </c>
      <c r="AD370" s="67" t="str">
        <f aca="false">IF(ISBLANK($C370),"",AND(V370&lt;&gt;"",IF(U370=Constants!$B$19,S370,R370)))</f>
        <v/>
      </c>
      <c r="AE370" s="67" t="str">
        <f aca="false">IF(ISBLANK($C370),"",AND(Z370&lt;&gt;"",IF(Y370=Constants!$B$19,S370,R370)))</f>
        <v/>
      </c>
      <c r="AF370" s="67" t="str">
        <f aca="false">IF(ISBLANK($C370),"",IF(AC370,Constants!$B$4,IF(COUNTA(E370:O370)=0,Constants!$B$5,IF(AND(NOT(AD370),NOT(AE370)),Constants!$B$6,Constants!$B$7))))</f>
        <v/>
      </c>
      <c r="AG370" s="67" t="str">
        <f aca="false">IF(ISBLANK($C370),"",IF($AF370&lt;&gt;Constants!$B$7,$AF370,Constants!$B$20))</f>
        <v/>
      </c>
      <c r="AH370" s="67" t="str">
        <f aca="false">IF($AF370=Constants!$B$7,IF(AD370,V370,Constants!$B$13),"")</f>
        <v/>
      </c>
      <c r="AI370" s="67" t="str">
        <f aca="false">IF($AF370=Constants!$B$7,IF(AD370,T370*IF(W370, 1, Constants!$B$11)*IF(X370, 1, Constants!$B$12),Constants!$B$13),"")</f>
        <v/>
      </c>
      <c r="AJ370" s="67" t="str">
        <f aca="false">IF($AF370=Constants!$B$7,AH370*AI370,"")</f>
        <v/>
      </c>
      <c r="AK370" s="67" t="str">
        <f aca="false">IF($AF370=Constants!$B$7,IF(AE370,Z370,Constants!$B$13),"")</f>
        <v/>
      </c>
      <c r="AL370" s="67" t="str">
        <f aca="false">IF($AF370=Constants!$B$7,IF(AE370,T370*IF(AA370, 1, Constants!$B$11)*IF(AB370, 1, Constants!$B$12),Constants!$B$13),"")</f>
        <v/>
      </c>
      <c r="AM370" s="67" t="str">
        <f aca="false">IF($AF370=Constants!$B$7,AK370*AL370,"")</f>
        <v/>
      </c>
      <c r="AN370" s="67" t="str">
        <f aca="false">IF($AF370=Constants!$B$7,IF(AM370&gt;AJ370,2,1),"")</f>
        <v/>
      </c>
      <c r="AO370" s="67" t="str">
        <f aca="false">IF($AF370=Constants!$B$7,IF(AN370=1,2,1),"")</f>
        <v/>
      </c>
      <c r="AP370" s="67" t="str">
        <f aca="false">IF(ISBLANK($C370),"",IF($AF370&lt;&gt;Constants!$B$7,$AF370,IF(AN370=1,AJ370,AM370)))</f>
        <v/>
      </c>
      <c r="AQ370" s="67" t="str">
        <f aca="false">IF(ISBLANK($C370),"",IF($AF370=Constants!$B$7,IF(ISNUMBER(AP370),RANK(AP370,$AP$8:$AP$507),Constants!$B$14),$AF370))</f>
        <v/>
      </c>
      <c r="AR370" s="67" t="str">
        <f aca="false">IF(ISBLANK($C370),"",IF($AF370=Constants!$B$7,IF(AO370=1,AJ370,AM370),""))</f>
        <v/>
      </c>
      <c r="AS370" s="67" t="str">
        <f aca="false">IF(ISBLANK($C370),"",IF($AF370=Constants!$B$7,RANK(AR370,$AR$8:$AR$507),$AF370))</f>
        <v/>
      </c>
      <c r="AT370" s="67" t="str">
        <f aca="false">IF(ISBLANK($C370),"",IF($AF370=Constants!$B$7,IF(ISNUMBER(AQ370),COUNTIFS($AQ$8:$AQ$507,"&lt;"&amp;$AQ370)+COUNTIFS($AQ$8:$AQ$507,$AQ370,$AS$8:$AS$507,"&lt;"&amp;$AS370)+1,Constants!$B$14),$AF370))</f>
        <v/>
      </c>
      <c r="AU370" s="67" t="str">
        <f aca="false">IF(ISBLANK($C370),"",IF($AF370=Constants!$B$7,IF(ISNUMBER(AQ370),AQ370-AT370,Constants!$B$14),$AF370))</f>
        <v/>
      </c>
      <c r="AV370" s="69"/>
      <c r="AW370" s="70" t="str">
        <f aca="false">IF(ISBLANK($C370),"",IF($AF370&lt;&gt;Constants!$B$7,"",AN370))</f>
        <v/>
      </c>
      <c r="AX370" s="85" t="str">
        <f aca="false">IF(ISBLANK($C370),"",IF($AF370&lt;&gt;Constants!$B$7,"",IF(AN370=1,AH370,AK370)))</f>
        <v/>
      </c>
      <c r="AY370" s="72" t="str">
        <f aca="false">IF(ISBLANK($C370),"",IF($AF370&lt;&gt;Constants!$B$7,"",IF(AN370=1,AI370,AL370)))</f>
        <v/>
      </c>
      <c r="AZ370" s="73" t="str">
        <f aca="false">IF(ISBLANK($C370),"",IF($AF370&lt;&gt;Constants!$B$7,$AF370,AP370))</f>
        <v/>
      </c>
      <c r="BA370" s="74" t="str">
        <f aca="false">IF(ISBLANK($C370),"",IF($AF370&lt;&gt;Constants!$B$7,$AF370,AG370))</f>
        <v/>
      </c>
      <c r="BB370" s="75" t="str">
        <f aca="false">IF(ISBLANK($C370),"",AU370)</f>
        <v/>
      </c>
      <c r="BC370" s="75" t="str">
        <f aca="false">IF(ISBLANK($C370),"",AT370)</f>
        <v/>
      </c>
      <c r="BD370" s="76" t="str">
        <f aca="false">IF(ISBLANK($C370),"",IFERROR(_xlfn.SWITCH(BC370,Constants!$B$4,COUNTA($C$8:$C$507)+2,Constants!$B$5,COUNTA($C$8:$C$507)+1,Constants!$B$6,COUNTA($C$8:$C$507)),BC370))</f>
        <v/>
      </c>
      <c r="BE370" s="5"/>
      <c r="BF370" s="77" t="n">
        <f aca="false">IF(OR(ISNUMBER(BC370),BC370=Constants!$B$4,BC370=Constants!$B$6,BC370=Constants!$B$5),1,0)</f>
        <v>0</v>
      </c>
      <c r="BG370" s="77" t="n">
        <v>363</v>
      </c>
      <c r="BH370" s="77" t="str">
        <f aca="false">IF(ISBLANK($C370),"",IF(ISNUMBER(BD370),BD370+ROW($B370)/1000,""))</f>
        <v/>
      </c>
      <c r="BI370" s="77" t="str">
        <f aca="false">IF(ISNUMBER(BH370),RANK(BH370,$BH$8:$BH$507,1),"")</f>
        <v/>
      </c>
      <c r="BJ370" s="77" t="str">
        <f aca="false">IF(ISBLANK($C370),"",$B370)</f>
        <v/>
      </c>
      <c r="BK370" s="77" t="str">
        <f aca="false">IF(ISBLANK($C370),"",$C370)</f>
        <v/>
      </c>
      <c r="BL370" s="77" t="str">
        <f aca="false">IF(ISBLANK($C370),"",$D370)</f>
        <v/>
      </c>
      <c r="BM370" s="78" t="str">
        <f aca="false">BA370</f>
        <v/>
      </c>
      <c r="BN370" s="79" t="str">
        <f aca="false">AZ370</f>
        <v/>
      </c>
      <c r="BO370" s="77" t="str">
        <f aca="false">IF(ISBLANK($C370),"",BC370)</f>
        <v/>
      </c>
      <c r="BP370" s="80" t="str">
        <f aca="false">IF($BG370&gt;$BF$7,"",VLOOKUP($BG370,$BI$8:$BO$507,7,FALSE()))</f>
        <v/>
      </c>
      <c r="BQ370" s="81" t="str">
        <f aca="false">IF($BG370&gt;$BF$7,"",VLOOKUP($BG370,$BI$8:$BO$507,2,FALSE()))</f>
        <v/>
      </c>
      <c r="BR370" s="81" t="str">
        <f aca="false">IF($BG370&gt;$BF$7,"",VLOOKUP($BG370,$BI$8:$BO$507,3,FALSE()))</f>
        <v/>
      </c>
      <c r="BS370" s="81" t="str">
        <f aca="false">IF($BG370&gt;$BF$7,"",VLOOKUP($BG370,$BI$8:$BO$507,4,FALSE()))</f>
        <v/>
      </c>
      <c r="BT370" s="81" t="str">
        <f aca="false">IF($BG370&gt;$BF$7,"",VLOOKUP($BG370,$BI$8:$BO$507,5,FALSE()))</f>
        <v/>
      </c>
      <c r="BU370" s="82" t="str">
        <f aca="false">IF($BG370&gt;$BF$7,"",VLOOKUP($BG370,$BI$8:$BO$507,6,FALSE()))</f>
        <v/>
      </c>
      <c r="BV370" s="54"/>
    </row>
    <row r="371" customFormat="false" ht="15.75" hidden="false" customHeight="false" outlineLevel="0" collapsed="false">
      <c r="A371" s="5"/>
      <c r="B371" s="128"/>
      <c r="C371" s="129"/>
      <c r="D371" s="114"/>
      <c r="E371" s="134"/>
      <c r="F371" s="139"/>
      <c r="G371" s="93"/>
      <c r="H371" s="140"/>
      <c r="I371" s="95"/>
      <c r="J371" s="95"/>
      <c r="K371" s="93"/>
      <c r="L371" s="141"/>
      <c r="M371" s="95"/>
      <c r="N371" s="95"/>
      <c r="O371" s="93"/>
      <c r="P371" s="134"/>
      <c r="Q371" s="98"/>
      <c r="R371" s="99" t="str">
        <f aca="false">IF(ISBLANK($C371),"",IF(E371=Constants!$B$2, TRUE(), IF(E371=Constants!$B$3, FALSE(), TRUE())))</f>
        <v/>
      </c>
      <c r="S371" s="99" t="str">
        <f aca="false">IF(ISBLANK($C371),"",IF(F371=Constants!$B$2, TRUE(), IF(F371=Constants!$B$3, FALSE(), TRUE())))</f>
        <v/>
      </c>
      <c r="T371" s="99" t="str">
        <f aca="false">IF(ISBLANK($C371),"",IF(G371=Constants!$B$16,Constants!$B$9,IF(G371=Constants!$B$17,Constants!$B$10,Constants!$B$8)))</f>
        <v/>
      </c>
      <c r="U371" s="99" t="str">
        <f aca="false">IF(ISBLANK($C371),"",IF(H371=Constants!$B$19,Constants!$B$19,Constants!$B$18))</f>
        <v/>
      </c>
      <c r="V371" s="99" t="str">
        <f aca="false">IF(ISBLANK($C371),"",IF(ISNUMBER(I371),IF(I371&gt;=0,I371,""),""))</f>
        <v/>
      </c>
      <c r="W371" s="99" t="str">
        <f aca="false">IF(ISBLANK($C371),"",IF(J371=Constants!$B$2, TRUE(), IF(J371=Constants!$B$3, FALSE(), TRUE())))</f>
        <v/>
      </c>
      <c r="X371" s="99" t="str">
        <f aca="false">IF(ISBLANK($C371),"",IF(K371=Constants!$B$2, TRUE(), IF(K371=Constants!$B$3, FALSE(), TRUE())))</f>
        <v/>
      </c>
      <c r="Y371" s="99" t="str">
        <f aca="false">IF(ISBLANK($C371),"",IF(L371=Constants!$B$19,Constants!$B$19,Constants!$B$18))</f>
        <v/>
      </c>
      <c r="Z371" s="99" t="str">
        <f aca="false">IF(ISBLANK($C371),"",IF(ISNUMBER(M371),IF(M371&gt;=0,M371,""),""))</f>
        <v/>
      </c>
      <c r="AA371" s="99" t="str">
        <f aca="false">IF(ISBLANK($C371),"",IF(N371=Constants!$B$2, TRUE(), IF(N371=Constants!$B$3, FALSE(), TRUE())))</f>
        <v/>
      </c>
      <c r="AB371" s="99" t="str">
        <f aca="false">IF(ISBLANK($C371),"",IF(O371=Constants!$B$2, TRUE(), IF(O371=Constants!$B$3, FALSE(), TRUE())))</f>
        <v/>
      </c>
      <c r="AC371" s="99" t="str">
        <f aca="false">IF(ISBLANK($C371),"",IF(P371=Constants!$B$2, TRUE(), IF(P371=Constants!$B$3, FALSE(), FALSE())))</f>
        <v/>
      </c>
      <c r="AD371" s="99" t="str">
        <f aca="false">IF(ISBLANK($C371),"",AND(V371&lt;&gt;"",IF(U371=Constants!$B$19,S371,R371)))</f>
        <v/>
      </c>
      <c r="AE371" s="99" t="str">
        <f aca="false">IF(ISBLANK($C371),"",AND(Z371&lt;&gt;"",IF(Y371=Constants!$B$19,S371,R371)))</f>
        <v/>
      </c>
      <c r="AF371" s="99" t="str">
        <f aca="false">IF(ISBLANK($C371),"",IF(AC371,Constants!$B$4,IF(COUNTA(E371:O371)=0,Constants!$B$5,IF(AND(NOT(AD371),NOT(AE371)),Constants!$B$6,Constants!$B$7))))</f>
        <v/>
      </c>
      <c r="AG371" s="99" t="str">
        <f aca="false">IF(ISBLANK($C371),"",IF($AF371&lt;&gt;Constants!$B$7,$AF371,Constants!$B$20))</f>
        <v/>
      </c>
      <c r="AH371" s="99" t="str">
        <f aca="false">IF($AF371=Constants!$B$7,IF(AD371,V371,Constants!$B$13),"")</f>
        <v/>
      </c>
      <c r="AI371" s="99" t="str">
        <f aca="false">IF($AF371=Constants!$B$7,IF(AD371,T371*IF(W371, 1, Constants!$B$11)*IF(X371, 1, Constants!$B$12),Constants!$B$13),"")</f>
        <v/>
      </c>
      <c r="AJ371" s="99" t="str">
        <f aca="false">IF($AF371=Constants!$B$7,AH371*AI371,"")</f>
        <v/>
      </c>
      <c r="AK371" s="99" t="str">
        <f aca="false">IF($AF371=Constants!$B$7,IF(AE371,Z371,Constants!$B$13),"")</f>
        <v/>
      </c>
      <c r="AL371" s="99" t="str">
        <f aca="false">IF($AF371=Constants!$B$7,IF(AE371,T371*IF(AA371, 1, Constants!$B$11)*IF(AB371, 1, Constants!$B$12),Constants!$B$13),"")</f>
        <v/>
      </c>
      <c r="AM371" s="99" t="str">
        <f aca="false">IF($AF371=Constants!$B$7,AK371*AL371,"")</f>
        <v/>
      </c>
      <c r="AN371" s="99" t="str">
        <f aca="false">IF($AF371=Constants!$B$7,IF(AM371&gt;AJ371,2,1),"")</f>
        <v/>
      </c>
      <c r="AO371" s="99" t="str">
        <f aca="false">IF($AF371=Constants!$B$7,IF(AN371=1,2,1),"")</f>
        <v/>
      </c>
      <c r="AP371" s="99" t="str">
        <f aca="false">IF(ISBLANK($C371),"",IF($AF371&lt;&gt;Constants!$B$7,$AF371,IF(AN371=1,AJ371,AM371)))</f>
        <v/>
      </c>
      <c r="AQ371" s="99" t="str">
        <f aca="false">IF(ISBLANK($C371),"",IF($AF371=Constants!$B$7,IF(ISNUMBER(AP371),RANK(AP371,$AP$8:$AP$507),Constants!$B$14),$AF371))</f>
        <v/>
      </c>
      <c r="AR371" s="99" t="str">
        <f aca="false">IF(ISBLANK($C371),"",IF($AF371=Constants!$B$7,IF(AO371=1,AJ371,AM371),""))</f>
        <v/>
      </c>
      <c r="AS371" s="99" t="str">
        <f aca="false">IF(ISBLANK($C371),"",IF($AF371=Constants!$B$7,RANK(AR371,$AR$8:$AR$507),$AF371))</f>
        <v/>
      </c>
      <c r="AT371" s="99" t="str">
        <f aca="false">IF(ISBLANK($C371),"",IF($AF371=Constants!$B$7,IF(ISNUMBER(AQ371),COUNTIFS($AQ$8:$AQ$507,"&lt;"&amp;$AQ371)+COUNTIFS($AQ$8:$AQ$507,$AQ371,$AS$8:$AS$507,"&lt;"&amp;$AS371)+1,Constants!$B$14),$AF371))</f>
        <v/>
      </c>
      <c r="AU371" s="99" t="str">
        <f aca="false">IF(ISBLANK($C371),"",IF($AF371=Constants!$B$7,IF(ISNUMBER(AQ371),AQ371-AT371,Constants!$B$14),$AF371))</f>
        <v/>
      </c>
      <c r="AV371" s="100"/>
      <c r="AW371" s="101" t="str">
        <f aca="false">IF(ISBLANK($C371),"",IF($AF371&lt;&gt;Constants!$B$7,"",AN371))</f>
        <v/>
      </c>
      <c r="AX371" s="102" t="str">
        <f aca="false">IF(ISBLANK($C371),"",IF($AF371&lt;&gt;Constants!$B$7,"",IF(AN371=1,AH371,AK371)))</f>
        <v/>
      </c>
      <c r="AY371" s="103" t="str">
        <f aca="false">IF(ISBLANK($C371),"",IF($AF371&lt;&gt;Constants!$B$7,"",IF(AN371=1,AI371,AL371)))</f>
        <v/>
      </c>
      <c r="AZ371" s="104" t="str">
        <f aca="false">IF(ISBLANK($C371),"",IF($AF371&lt;&gt;Constants!$B$7,$AF371,AP371))</f>
        <v/>
      </c>
      <c r="BA371" s="105" t="str">
        <f aca="false">IF(ISBLANK($C371),"",IF($AF371&lt;&gt;Constants!$B$7,$AF371,AG371))</f>
        <v/>
      </c>
      <c r="BB371" s="106" t="str">
        <f aca="false">IF(ISBLANK($C371),"",AU371)</f>
        <v/>
      </c>
      <c r="BC371" s="106" t="str">
        <f aca="false">IF(ISBLANK($C371),"",AT371)</f>
        <v/>
      </c>
      <c r="BD371" s="107" t="str">
        <f aca="false">IF(ISBLANK($C371),"",IFERROR(_xlfn.SWITCH(BC371,Constants!$B$4,COUNTA($C$8:$C$507)+2,Constants!$B$5,COUNTA($C$8:$C$507)+1,Constants!$B$6,COUNTA($C$8:$C$507)),BC371))</f>
        <v/>
      </c>
      <c r="BE371" s="5"/>
      <c r="BF371" s="108" t="n">
        <f aca="false">IF(OR(ISNUMBER(BC371),BC371=Constants!$B$4,BC371=Constants!$B$6,BC371=Constants!$B$5),1,0)</f>
        <v>0</v>
      </c>
      <c r="BG371" s="108" t="n">
        <v>364</v>
      </c>
      <c r="BH371" s="108" t="str">
        <f aca="false">IF(ISBLANK($C371),"",IF(ISNUMBER(BD371),BD371+ROW($B371)/1000,""))</f>
        <v/>
      </c>
      <c r="BI371" s="108" t="str">
        <f aca="false">IF(ISNUMBER(BH371),RANK(BH371,$BH$8:$BH$507,1),"")</f>
        <v/>
      </c>
      <c r="BJ371" s="108" t="str">
        <f aca="false">IF(ISBLANK($C371),"",$B371)</f>
        <v/>
      </c>
      <c r="BK371" s="108" t="str">
        <f aca="false">IF(ISBLANK($C371),"",$C371)</f>
        <v/>
      </c>
      <c r="BL371" s="108" t="str">
        <f aca="false">IF(ISBLANK($C371),"",$D371)</f>
        <v/>
      </c>
      <c r="BM371" s="109" t="str">
        <f aca="false">BA371</f>
        <v/>
      </c>
      <c r="BN371" s="110" t="str">
        <f aca="false">AZ371</f>
        <v/>
      </c>
      <c r="BO371" s="108" t="str">
        <f aca="false">IF(ISBLANK($C371),"",BC371)</f>
        <v/>
      </c>
      <c r="BP371" s="111" t="str">
        <f aca="false">IF($BG371&gt;$BF$7,"",VLOOKUP($BG371,$BI$8:$BO$507,7,FALSE()))</f>
        <v/>
      </c>
      <c r="BQ371" s="112" t="str">
        <f aca="false">IF($BG371&gt;$BF$7,"",VLOOKUP($BG371,$BI$8:$BO$507,2,FALSE()))</f>
        <v/>
      </c>
      <c r="BR371" s="112" t="str">
        <f aca="false">IF($BG371&gt;$BF$7,"",VLOOKUP($BG371,$BI$8:$BO$507,3,FALSE()))</f>
        <v/>
      </c>
      <c r="BS371" s="112" t="str">
        <f aca="false">IF($BG371&gt;$BF$7,"",VLOOKUP($BG371,$BI$8:$BO$507,4,FALSE()))</f>
        <v/>
      </c>
      <c r="BT371" s="112" t="str">
        <f aca="false">IF($BG371&gt;$BF$7,"",VLOOKUP($BG371,$BI$8:$BO$507,5,FALSE()))</f>
        <v/>
      </c>
      <c r="BU371" s="113" t="str">
        <f aca="false">IF($BG371&gt;$BF$7,"",VLOOKUP($BG371,$BI$8:$BO$507,6,FALSE()))</f>
        <v/>
      </c>
      <c r="BV371" s="54"/>
    </row>
    <row r="372" customFormat="false" ht="15.75" hidden="false" customHeight="false" outlineLevel="0" collapsed="false">
      <c r="A372" s="5"/>
      <c r="B372" s="128"/>
      <c r="C372" s="129"/>
      <c r="D372" s="114"/>
      <c r="E372" s="134"/>
      <c r="F372" s="139"/>
      <c r="G372" s="93"/>
      <c r="H372" s="140"/>
      <c r="I372" s="95"/>
      <c r="J372" s="95"/>
      <c r="K372" s="93"/>
      <c r="L372" s="141"/>
      <c r="M372" s="95"/>
      <c r="N372" s="95"/>
      <c r="O372" s="93"/>
      <c r="P372" s="134"/>
      <c r="Q372" s="98"/>
      <c r="R372" s="99" t="str">
        <f aca="false">IF(ISBLANK($C372),"",IF(E372=Constants!$B$2, TRUE(), IF(E372=Constants!$B$3, FALSE(), TRUE())))</f>
        <v/>
      </c>
      <c r="S372" s="99" t="str">
        <f aca="false">IF(ISBLANK($C372),"",IF(F372=Constants!$B$2, TRUE(), IF(F372=Constants!$B$3, FALSE(), TRUE())))</f>
        <v/>
      </c>
      <c r="T372" s="99" t="str">
        <f aca="false">IF(ISBLANK($C372),"",IF(G372=Constants!$B$16,Constants!$B$9,IF(G372=Constants!$B$17,Constants!$B$10,Constants!$B$8)))</f>
        <v/>
      </c>
      <c r="U372" s="99" t="str">
        <f aca="false">IF(ISBLANK($C372),"",IF(H372=Constants!$B$19,Constants!$B$19,Constants!$B$18))</f>
        <v/>
      </c>
      <c r="V372" s="99" t="str">
        <f aca="false">IF(ISBLANK($C372),"",IF(ISNUMBER(I372),IF(I372&gt;=0,I372,""),""))</f>
        <v/>
      </c>
      <c r="W372" s="99" t="str">
        <f aca="false">IF(ISBLANK($C372),"",IF(J372=Constants!$B$2, TRUE(), IF(J372=Constants!$B$3, FALSE(), TRUE())))</f>
        <v/>
      </c>
      <c r="X372" s="99" t="str">
        <f aca="false">IF(ISBLANK($C372),"",IF(K372=Constants!$B$2, TRUE(), IF(K372=Constants!$B$3, FALSE(), TRUE())))</f>
        <v/>
      </c>
      <c r="Y372" s="99" t="str">
        <f aca="false">IF(ISBLANK($C372),"",IF(L372=Constants!$B$19,Constants!$B$19,Constants!$B$18))</f>
        <v/>
      </c>
      <c r="Z372" s="99" t="str">
        <f aca="false">IF(ISBLANK($C372),"",IF(ISNUMBER(M372),IF(M372&gt;=0,M372,""),""))</f>
        <v/>
      </c>
      <c r="AA372" s="99" t="str">
        <f aca="false">IF(ISBLANK($C372),"",IF(N372=Constants!$B$2, TRUE(), IF(N372=Constants!$B$3, FALSE(), TRUE())))</f>
        <v/>
      </c>
      <c r="AB372" s="99" t="str">
        <f aca="false">IF(ISBLANK($C372),"",IF(O372=Constants!$B$2, TRUE(), IF(O372=Constants!$B$3, FALSE(), TRUE())))</f>
        <v/>
      </c>
      <c r="AC372" s="99" t="str">
        <f aca="false">IF(ISBLANK($C372),"",IF(P372=Constants!$B$2, TRUE(), IF(P372=Constants!$B$3, FALSE(), FALSE())))</f>
        <v/>
      </c>
      <c r="AD372" s="99" t="str">
        <f aca="false">IF(ISBLANK($C372),"",AND(V372&lt;&gt;"",IF(U372=Constants!$B$19,S372,R372)))</f>
        <v/>
      </c>
      <c r="AE372" s="99" t="str">
        <f aca="false">IF(ISBLANK($C372),"",AND(Z372&lt;&gt;"",IF(Y372=Constants!$B$19,S372,R372)))</f>
        <v/>
      </c>
      <c r="AF372" s="99" t="str">
        <f aca="false">IF(ISBLANK($C372),"",IF(AC372,Constants!$B$4,IF(COUNTA(E372:O372)=0,Constants!$B$5,IF(AND(NOT(AD372),NOT(AE372)),Constants!$B$6,Constants!$B$7))))</f>
        <v/>
      </c>
      <c r="AG372" s="99" t="str">
        <f aca="false">IF(ISBLANK($C372),"",IF($AF372&lt;&gt;Constants!$B$7,$AF372,Constants!$B$20))</f>
        <v/>
      </c>
      <c r="AH372" s="99" t="str">
        <f aca="false">IF($AF372=Constants!$B$7,IF(AD372,V372,Constants!$B$13),"")</f>
        <v/>
      </c>
      <c r="AI372" s="99" t="str">
        <f aca="false">IF($AF372=Constants!$B$7,IF(AD372,T372*IF(W372, 1, Constants!$B$11)*IF(X372, 1, Constants!$B$12),Constants!$B$13),"")</f>
        <v/>
      </c>
      <c r="AJ372" s="99" t="str">
        <f aca="false">IF($AF372=Constants!$B$7,AH372*AI372,"")</f>
        <v/>
      </c>
      <c r="AK372" s="99" t="str">
        <f aca="false">IF($AF372=Constants!$B$7,IF(AE372,Z372,Constants!$B$13),"")</f>
        <v/>
      </c>
      <c r="AL372" s="99" t="str">
        <f aca="false">IF($AF372=Constants!$B$7,IF(AE372,T372*IF(AA372, 1, Constants!$B$11)*IF(AB372, 1, Constants!$B$12),Constants!$B$13),"")</f>
        <v/>
      </c>
      <c r="AM372" s="99" t="str">
        <f aca="false">IF($AF372=Constants!$B$7,AK372*AL372,"")</f>
        <v/>
      </c>
      <c r="AN372" s="99" t="str">
        <f aca="false">IF($AF372=Constants!$B$7,IF(AM372&gt;AJ372,2,1),"")</f>
        <v/>
      </c>
      <c r="AO372" s="99" t="str">
        <f aca="false">IF($AF372=Constants!$B$7,IF(AN372=1,2,1),"")</f>
        <v/>
      </c>
      <c r="AP372" s="99" t="str">
        <f aca="false">IF(ISBLANK($C372),"",IF($AF372&lt;&gt;Constants!$B$7,$AF372,IF(AN372=1,AJ372,AM372)))</f>
        <v/>
      </c>
      <c r="AQ372" s="99" t="str">
        <f aca="false">IF(ISBLANK($C372),"",IF($AF372=Constants!$B$7,IF(ISNUMBER(AP372),RANK(AP372,$AP$8:$AP$507),Constants!$B$14),$AF372))</f>
        <v/>
      </c>
      <c r="AR372" s="99" t="str">
        <f aca="false">IF(ISBLANK($C372),"",IF($AF372=Constants!$B$7,IF(AO372=1,AJ372,AM372),""))</f>
        <v/>
      </c>
      <c r="AS372" s="99" t="str">
        <f aca="false">IF(ISBLANK($C372),"",IF($AF372=Constants!$B$7,RANK(AR372,$AR$8:$AR$507),$AF372))</f>
        <v/>
      </c>
      <c r="AT372" s="99" t="str">
        <f aca="false">IF(ISBLANK($C372),"",IF($AF372=Constants!$B$7,IF(ISNUMBER(AQ372),COUNTIFS($AQ$8:$AQ$507,"&lt;"&amp;$AQ372)+COUNTIFS($AQ$8:$AQ$507,$AQ372,$AS$8:$AS$507,"&lt;"&amp;$AS372)+1,Constants!$B$14),$AF372))</f>
        <v/>
      </c>
      <c r="AU372" s="99" t="str">
        <f aca="false">IF(ISBLANK($C372),"",IF($AF372=Constants!$B$7,IF(ISNUMBER(AQ372),AQ372-AT372,Constants!$B$14),$AF372))</f>
        <v/>
      </c>
      <c r="AV372" s="100"/>
      <c r="AW372" s="101" t="str">
        <f aca="false">IF(ISBLANK($C372),"",IF($AF372&lt;&gt;Constants!$B$7,"",AN372))</f>
        <v/>
      </c>
      <c r="AX372" s="102" t="str">
        <f aca="false">IF(ISBLANK($C372),"",IF($AF372&lt;&gt;Constants!$B$7,"",IF(AN372=1,AH372,AK372)))</f>
        <v/>
      </c>
      <c r="AY372" s="103" t="str">
        <f aca="false">IF(ISBLANK($C372),"",IF($AF372&lt;&gt;Constants!$B$7,"",IF(AN372=1,AI372,AL372)))</f>
        <v/>
      </c>
      <c r="AZ372" s="104" t="str">
        <f aca="false">IF(ISBLANK($C372),"",IF($AF372&lt;&gt;Constants!$B$7,$AF372,AP372))</f>
        <v/>
      </c>
      <c r="BA372" s="105" t="str">
        <f aca="false">IF(ISBLANK($C372),"",IF($AF372&lt;&gt;Constants!$B$7,$AF372,AG372))</f>
        <v/>
      </c>
      <c r="BB372" s="106" t="str">
        <f aca="false">IF(ISBLANK($C372),"",AU372)</f>
        <v/>
      </c>
      <c r="BC372" s="106" t="str">
        <f aca="false">IF(ISBLANK($C372),"",AT372)</f>
        <v/>
      </c>
      <c r="BD372" s="107" t="str">
        <f aca="false">IF(ISBLANK($C372),"",IFERROR(_xlfn.SWITCH(BC372,Constants!$B$4,COUNTA($C$8:$C$507)+2,Constants!$B$5,COUNTA($C$8:$C$507)+1,Constants!$B$6,COUNTA($C$8:$C$507)),BC372))</f>
        <v/>
      </c>
      <c r="BE372" s="5"/>
      <c r="BF372" s="108" t="n">
        <f aca="false">IF(OR(ISNUMBER(BC372),BC372=Constants!$B$4,BC372=Constants!$B$6,BC372=Constants!$B$5),1,0)</f>
        <v>0</v>
      </c>
      <c r="BG372" s="108" t="n">
        <v>365</v>
      </c>
      <c r="BH372" s="108" t="str">
        <f aca="false">IF(ISBLANK($C372),"",IF(ISNUMBER(BD372),BD372+ROW($B372)/1000,""))</f>
        <v/>
      </c>
      <c r="BI372" s="108" t="str">
        <f aca="false">IF(ISNUMBER(BH372),RANK(BH372,$BH$8:$BH$507,1),"")</f>
        <v/>
      </c>
      <c r="BJ372" s="108" t="str">
        <f aca="false">IF(ISBLANK($C372),"",$B372)</f>
        <v/>
      </c>
      <c r="BK372" s="108" t="str">
        <f aca="false">IF(ISBLANK($C372),"",$C372)</f>
        <v/>
      </c>
      <c r="BL372" s="108" t="str">
        <f aca="false">IF(ISBLANK($C372),"",$D372)</f>
        <v/>
      </c>
      <c r="BM372" s="109" t="str">
        <f aca="false">BA372</f>
        <v/>
      </c>
      <c r="BN372" s="110" t="str">
        <f aca="false">AZ372</f>
        <v/>
      </c>
      <c r="BO372" s="108" t="str">
        <f aca="false">IF(ISBLANK($C372),"",BC372)</f>
        <v/>
      </c>
      <c r="BP372" s="111" t="str">
        <f aca="false">IF($BG372&gt;$BF$7,"",VLOOKUP($BG372,$BI$8:$BO$507,7,FALSE()))</f>
        <v/>
      </c>
      <c r="BQ372" s="112" t="str">
        <f aca="false">IF($BG372&gt;$BF$7,"",VLOOKUP($BG372,$BI$8:$BO$507,2,FALSE()))</f>
        <v/>
      </c>
      <c r="BR372" s="112" t="str">
        <f aca="false">IF($BG372&gt;$BF$7,"",VLOOKUP($BG372,$BI$8:$BO$507,3,FALSE()))</f>
        <v/>
      </c>
      <c r="BS372" s="112" t="str">
        <f aca="false">IF($BG372&gt;$BF$7,"",VLOOKUP($BG372,$BI$8:$BO$507,4,FALSE()))</f>
        <v/>
      </c>
      <c r="BT372" s="112" t="str">
        <f aca="false">IF($BG372&gt;$BF$7,"",VLOOKUP($BG372,$BI$8:$BO$507,5,FALSE()))</f>
        <v/>
      </c>
      <c r="BU372" s="113" t="str">
        <f aca="false">IF($BG372&gt;$BF$7,"",VLOOKUP($BG372,$BI$8:$BO$507,6,FALSE()))</f>
        <v/>
      </c>
      <c r="BV372" s="54"/>
    </row>
    <row r="373" customFormat="false" ht="15.75" hidden="false" customHeight="false" outlineLevel="0" collapsed="false">
      <c r="A373" s="5"/>
      <c r="B373" s="128"/>
      <c r="C373" s="129"/>
      <c r="D373" s="114"/>
      <c r="E373" s="134"/>
      <c r="F373" s="139"/>
      <c r="G373" s="93"/>
      <c r="H373" s="140"/>
      <c r="I373" s="95"/>
      <c r="J373" s="95"/>
      <c r="K373" s="93"/>
      <c r="L373" s="141"/>
      <c r="M373" s="95"/>
      <c r="N373" s="95"/>
      <c r="O373" s="93"/>
      <c r="P373" s="134"/>
      <c r="Q373" s="98"/>
      <c r="R373" s="99" t="str">
        <f aca="false">IF(ISBLANK($C373),"",IF(E373=Constants!$B$2, TRUE(), IF(E373=Constants!$B$3, FALSE(), TRUE())))</f>
        <v/>
      </c>
      <c r="S373" s="99" t="str">
        <f aca="false">IF(ISBLANK($C373),"",IF(F373=Constants!$B$2, TRUE(), IF(F373=Constants!$B$3, FALSE(), TRUE())))</f>
        <v/>
      </c>
      <c r="T373" s="99" t="str">
        <f aca="false">IF(ISBLANK($C373),"",IF(G373=Constants!$B$16,Constants!$B$9,IF(G373=Constants!$B$17,Constants!$B$10,Constants!$B$8)))</f>
        <v/>
      </c>
      <c r="U373" s="99" t="str">
        <f aca="false">IF(ISBLANK($C373),"",IF(H373=Constants!$B$19,Constants!$B$19,Constants!$B$18))</f>
        <v/>
      </c>
      <c r="V373" s="99" t="str">
        <f aca="false">IF(ISBLANK($C373),"",IF(ISNUMBER(I373),IF(I373&gt;=0,I373,""),""))</f>
        <v/>
      </c>
      <c r="W373" s="99" t="str">
        <f aca="false">IF(ISBLANK($C373),"",IF(J373=Constants!$B$2, TRUE(), IF(J373=Constants!$B$3, FALSE(), TRUE())))</f>
        <v/>
      </c>
      <c r="X373" s="99" t="str">
        <f aca="false">IF(ISBLANK($C373),"",IF(K373=Constants!$B$2, TRUE(), IF(K373=Constants!$B$3, FALSE(), TRUE())))</f>
        <v/>
      </c>
      <c r="Y373" s="99" t="str">
        <f aca="false">IF(ISBLANK($C373),"",IF(L373=Constants!$B$19,Constants!$B$19,Constants!$B$18))</f>
        <v/>
      </c>
      <c r="Z373" s="99" t="str">
        <f aca="false">IF(ISBLANK($C373),"",IF(ISNUMBER(M373),IF(M373&gt;=0,M373,""),""))</f>
        <v/>
      </c>
      <c r="AA373" s="99" t="str">
        <f aca="false">IF(ISBLANK($C373),"",IF(N373=Constants!$B$2, TRUE(), IF(N373=Constants!$B$3, FALSE(), TRUE())))</f>
        <v/>
      </c>
      <c r="AB373" s="99" t="str">
        <f aca="false">IF(ISBLANK($C373),"",IF(O373=Constants!$B$2, TRUE(), IF(O373=Constants!$B$3, FALSE(), TRUE())))</f>
        <v/>
      </c>
      <c r="AC373" s="99" t="str">
        <f aca="false">IF(ISBLANK($C373),"",IF(P373=Constants!$B$2, TRUE(), IF(P373=Constants!$B$3, FALSE(), FALSE())))</f>
        <v/>
      </c>
      <c r="AD373" s="99" t="str">
        <f aca="false">IF(ISBLANK($C373),"",AND(V373&lt;&gt;"",IF(U373=Constants!$B$19,S373,R373)))</f>
        <v/>
      </c>
      <c r="AE373" s="99" t="str">
        <f aca="false">IF(ISBLANK($C373),"",AND(Z373&lt;&gt;"",IF(Y373=Constants!$B$19,S373,R373)))</f>
        <v/>
      </c>
      <c r="AF373" s="99" t="str">
        <f aca="false">IF(ISBLANK($C373),"",IF(AC373,Constants!$B$4,IF(COUNTA(E373:O373)=0,Constants!$B$5,IF(AND(NOT(AD373),NOT(AE373)),Constants!$B$6,Constants!$B$7))))</f>
        <v/>
      </c>
      <c r="AG373" s="99" t="str">
        <f aca="false">IF(ISBLANK($C373),"",IF($AF373&lt;&gt;Constants!$B$7,$AF373,Constants!$B$20))</f>
        <v/>
      </c>
      <c r="AH373" s="99" t="str">
        <f aca="false">IF($AF373=Constants!$B$7,IF(AD373,V373,Constants!$B$13),"")</f>
        <v/>
      </c>
      <c r="AI373" s="99" t="str">
        <f aca="false">IF($AF373=Constants!$B$7,IF(AD373,T373*IF(W373, 1, Constants!$B$11)*IF(X373, 1, Constants!$B$12),Constants!$B$13),"")</f>
        <v/>
      </c>
      <c r="AJ373" s="99" t="str">
        <f aca="false">IF($AF373=Constants!$B$7,AH373*AI373,"")</f>
        <v/>
      </c>
      <c r="AK373" s="99" t="str">
        <f aca="false">IF($AF373=Constants!$B$7,IF(AE373,Z373,Constants!$B$13),"")</f>
        <v/>
      </c>
      <c r="AL373" s="99" t="str">
        <f aca="false">IF($AF373=Constants!$B$7,IF(AE373,T373*IF(AA373, 1, Constants!$B$11)*IF(AB373, 1, Constants!$B$12),Constants!$B$13),"")</f>
        <v/>
      </c>
      <c r="AM373" s="99" t="str">
        <f aca="false">IF($AF373=Constants!$B$7,AK373*AL373,"")</f>
        <v/>
      </c>
      <c r="AN373" s="99" t="str">
        <f aca="false">IF($AF373=Constants!$B$7,IF(AM373&gt;AJ373,2,1),"")</f>
        <v/>
      </c>
      <c r="AO373" s="99" t="str">
        <f aca="false">IF($AF373=Constants!$B$7,IF(AN373=1,2,1),"")</f>
        <v/>
      </c>
      <c r="AP373" s="99" t="str">
        <f aca="false">IF(ISBLANK($C373),"",IF($AF373&lt;&gt;Constants!$B$7,$AF373,IF(AN373=1,AJ373,AM373)))</f>
        <v/>
      </c>
      <c r="AQ373" s="99" t="str">
        <f aca="false">IF(ISBLANK($C373),"",IF($AF373=Constants!$B$7,IF(ISNUMBER(AP373),RANK(AP373,$AP$8:$AP$507),Constants!$B$14),$AF373))</f>
        <v/>
      </c>
      <c r="AR373" s="99" t="str">
        <f aca="false">IF(ISBLANK($C373),"",IF($AF373=Constants!$B$7,IF(AO373=1,AJ373,AM373),""))</f>
        <v/>
      </c>
      <c r="AS373" s="99" t="str">
        <f aca="false">IF(ISBLANK($C373),"",IF($AF373=Constants!$B$7,RANK(AR373,$AR$8:$AR$507),$AF373))</f>
        <v/>
      </c>
      <c r="AT373" s="99" t="str">
        <f aca="false">IF(ISBLANK($C373),"",IF($AF373=Constants!$B$7,IF(ISNUMBER(AQ373),COUNTIFS($AQ$8:$AQ$507,"&lt;"&amp;$AQ373)+COUNTIFS($AQ$8:$AQ$507,$AQ373,$AS$8:$AS$507,"&lt;"&amp;$AS373)+1,Constants!$B$14),$AF373))</f>
        <v/>
      </c>
      <c r="AU373" s="99" t="str">
        <f aca="false">IF(ISBLANK($C373),"",IF($AF373=Constants!$B$7,IF(ISNUMBER(AQ373),AQ373-AT373,Constants!$B$14),$AF373))</f>
        <v/>
      </c>
      <c r="AV373" s="100"/>
      <c r="AW373" s="101" t="str">
        <f aca="false">IF(ISBLANK($C373),"",IF($AF373&lt;&gt;Constants!$B$7,"",AN373))</f>
        <v/>
      </c>
      <c r="AX373" s="102" t="str">
        <f aca="false">IF(ISBLANK($C373),"",IF($AF373&lt;&gt;Constants!$B$7,"",IF(AN373=1,AH373,AK373)))</f>
        <v/>
      </c>
      <c r="AY373" s="103" t="str">
        <f aca="false">IF(ISBLANK($C373),"",IF($AF373&lt;&gt;Constants!$B$7,"",IF(AN373=1,AI373,AL373)))</f>
        <v/>
      </c>
      <c r="AZ373" s="104" t="str">
        <f aca="false">IF(ISBLANK($C373),"",IF($AF373&lt;&gt;Constants!$B$7,$AF373,AP373))</f>
        <v/>
      </c>
      <c r="BA373" s="105" t="str">
        <f aca="false">IF(ISBLANK($C373),"",IF($AF373&lt;&gt;Constants!$B$7,$AF373,AG373))</f>
        <v/>
      </c>
      <c r="BB373" s="106" t="str">
        <f aca="false">IF(ISBLANK($C373),"",AU373)</f>
        <v/>
      </c>
      <c r="BC373" s="106" t="str">
        <f aca="false">IF(ISBLANK($C373),"",AT373)</f>
        <v/>
      </c>
      <c r="BD373" s="107" t="str">
        <f aca="false">IF(ISBLANK($C373),"",IFERROR(_xlfn.SWITCH(BC373,Constants!$B$4,COUNTA($C$8:$C$507)+2,Constants!$B$5,COUNTA($C$8:$C$507)+1,Constants!$B$6,COUNTA($C$8:$C$507)),BC373))</f>
        <v/>
      </c>
      <c r="BE373" s="5"/>
      <c r="BF373" s="108" t="n">
        <f aca="false">IF(OR(ISNUMBER(BC373),BC373=Constants!$B$4,BC373=Constants!$B$6,BC373=Constants!$B$5),1,0)</f>
        <v>0</v>
      </c>
      <c r="BG373" s="108" t="n">
        <v>366</v>
      </c>
      <c r="BH373" s="108" t="str">
        <f aca="false">IF(ISBLANK($C373),"",IF(ISNUMBER(BD373),BD373+ROW($B373)/1000,""))</f>
        <v/>
      </c>
      <c r="BI373" s="108" t="str">
        <f aca="false">IF(ISNUMBER(BH373),RANK(BH373,$BH$8:$BH$507,1),"")</f>
        <v/>
      </c>
      <c r="BJ373" s="108" t="str">
        <f aca="false">IF(ISBLANK($C373),"",$B373)</f>
        <v/>
      </c>
      <c r="BK373" s="108" t="str">
        <f aca="false">IF(ISBLANK($C373),"",$C373)</f>
        <v/>
      </c>
      <c r="BL373" s="108" t="str">
        <f aca="false">IF(ISBLANK($C373),"",$D373)</f>
        <v/>
      </c>
      <c r="BM373" s="109" t="str">
        <f aca="false">BA373</f>
        <v/>
      </c>
      <c r="BN373" s="110" t="str">
        <f aca="false">AZ373</f>
        <v/>
      </c>
      <c r="BO373" s="108" t="str">
        <f aca="false">IF(ISBLANK($C373),"",BC373)</f>
        <v/>
      </c>
      <c r="BP373" s="111" t="str">
        <f aca="false">IF($BG373&gt;$BF$7,"",VLOOKUP($BG373,$BI$8:$BO$507,7,FALSE()))</f>
        <v/>
      </c>
      <c r="BQ373" s="112" t="str">
        <f aca="false">IF($BG373&gt;$BF$7,"",VLOOKUP($BG373,$BI$8:$BO$507,2,FALSE()))</f>
        <v/>
      </c>
      <c r="BR373" s="112" t="str">
        <f aca="false">IF($BG373&gt;$BF$7,"",VLOOKUP($BG373,$BI$8:$BO$507,3,FALSE()))</f>
        <v/>
      </c>
      <c r="BS373" s="112" t="str">
        <f aca="false">IF($BG373&gt;$BF$7,"",VLOOKUP($BG373,$BI$8:$BO$507,4,FALSE()))</f>
        <v/>
      </c>
      <c r="BT373" s="112" t="str">
        <f aca="false">IF($BG373&gt;$BF$7,"",VLOOKUP($BG373,$BI$8:$BO$507,5,FALSE()))</f>
        <v/>
      </c>
      <c r="BU373" s="113" t="str">
        <f aca="false">IF($BG373&gt;$BF$7,"",VLOOKUP($BG373,$BI$8:$BO$507,6,FALSE()))</f>
        <v/>
      </c>
      <c r="BV373" s="54"/>
    </row>
    <row r="374" customFormat="false" ht="15.75" hidden="false" customHeight="false" outlineLevel="0" collapsed="false">
      <c r="A374" s="5"/>
      <c r="B374" s="135"/>
      <c r="C374" s="56"/>
      <c r="D374" s="57"/>
      <c r="E374" s="84"/>
      <c r="F374" s="136"/>
      <c r="G374" s="60"/>
      <c r="H374" s="137"/>
      <c r="I374" s="62"/>
      <c r="J374" s="62"/>
      <c r="K374" s="60"/>
      <c r="L374" s="138"/>
      <c r="M374" s="62"/>
      <c r="N374" s="62"/>
      <c r="O374" s="60"/>
      <c r="P374" s="84"/>
      <c r="Q374" s="65"/>
      <c r="R374" s="67" t="str">
        <f aca="false">IF(ISBLANK($C374),"",IF(E374=Constants!$B$2, TRUE(), IF(E374=Constants!$B$3, FALSE(), TRUE())))</f>
        <v/>
      </c>
      <c r="S374" s="67" t="str">
        <f aca="false">IF(ISBLANK($C374),"",IF(F374=Constants!$B$2, TRUE(), IF(F374=Constants!$B$3, FALSE(), TRUE())))</f>
        <v/>
      </c>
      <c r="T374" s="67" t="str">
        <f aca="false">IF(ISBLANK($C374),"",IF(G374=Constants!$B$16,Constants!$B$9,IF(G374=Constants!$B$17,Constants!$B$10,Constants!$B$8)))</f>
        <v/>
      </c>
      <c r="U374" s="67" t="str">
        <f aca="false">IF(ISBLANK($C374),"",IF(H374=Constants!$B$19,Constants!$B$19,Constants!$B$18))</f>
        <v/>
      </c>
      <c r="V374" s="67" t="str">
        <f aca="false">IF(ISBLANK($C374),"",IF(ISNUMBER(I374),IF(I374&gt;=0,I374,""),""))</f>
        <v/>
      </c>
      <c r="W374" s="67" t="str">
        <f aca="false">IF(ISBLANK($C374),"",IF(J374=Constants!$B$2, TRUE(), IF(J374=Constants!$B$3, FALSE(), TRUE())))</f>
        <v/>
      </c>
      <c r="X374" s="67" t="str">
        <f aca="false">IF(ISBLANK($C374),"",IF(K374=Constants!$B$2, TRUE(), IF(K374=Constants!$B$3, FALSE(), TRUE())))</f>
        <v/>
      </c>
      <c r="Y374" s="67" t="str">
        <f aca="false">IF(ISBLANK($C374),"",IF(L374=Constants!$B$19,Constants!$B$19,Constants!$B$18))</f>
        <v/>
      </c>
      <c r="Z374" s="67" t="str">
        <f aca="false">IF(ISBLANK($C374),"",IF(ISNUMBER(M374),IF(M374&gt;=0,M374,""),""))</f>
        <v/>
      </c>
      <c r="AA374" s="67" t="str">
        <f aca="false">IF(ISBLANK($C374),"",IF(N374=Constants!$B$2, TRUE(), IF(N374=Constants!$B$3, FALSE(), TRUE())))</f>
        <v/>
      </c>
      <c r="AB374" s="67" t="str">
        <f aca="false">IF(ISBLANK($C374),"",IF(O374=Constants!$B$2, TRUE(), IF(O374=Constants!$B$3, FALSE(), TRUE())))</f>
        <v/>
      </c>
      <c r="AC374" s="67" t="str">
        <f aca="false">IF(ISBLANK($C374),"",IF(P374=Constants!$B$2, TRUE(), IF(P374=Constants!$B$3, FALSE(), FALSE())))</f>
        <v/>
      </c>
      <c r="AD374" s="67" t="str">
        <f aca="false">IF(ISBLANK($C374),"",AND(V374&lt;&gt;"",IF(U374=Constants!$B$19,S374,R374)))</f>
        <v/>
      </c>
      <c r="AE374" s="67" t="str">
        <f aca="false">IF(ISBLANK($C374),"",AND(Z374&lt;&gt;"",IF(Y374=Constants!$B$19,S374,R374)))</f>
        <v/>
      </c>
      <c r="AF374" s="67" t="str">
        <f aca="false">IF(ISBLANK($C374),"",IF(AC374,Constants!$B$4,IF(COUNTA(E374:O374)=0,Constants!$B$5,IF(AND(NOT(AD374),NOT(AE374)),Constants!$B$6,Constants!$B$7))))</f>
        <v/>
      </c>
      <c r="AG374" s="67" t="str">
        <f aca="false">IF(ISBLANK($C374),"",IF($AF374&lt;&gt;Constants!$B$7,$AF374,Constants!$B$20))</f>
        <v/>
      </c>
      <c r="AH374" s="67" t="str">
        <f aca="false">IF($AF374=Constants!$B$7,IF(AD374,V374,Constants!$B$13),"")</f>
        <v/>
      </c>
      <c r="AI374" s="67" t="str">
        <f aca="false">IF($AF374=Constants!$B$7,IF(AD374,T374*IF(W374, 1, Constants!$B$11)*IF(X374, 1, Constants!$B$12),Constants!$B$13),"")</f>
        <v/>
      </c>
      <c r="AJ374" s="67" t="str">
        <f aca="false">IF($AF374=Constants!$B$7,AH374*AI374,"")</f>
        <v/>
      </c>
      <c r="AK374" s="67" t="str">
        <f aca="false">IF($AF374=Constants!$B$7,IF(AE374,Z374,Constants!$B$13),"")</f>
        <v/>
      </c>
      <c r="AL374" s="67" t="str">
        <f aca="false">IF($AF374=Constants!$B$7,IF(AE374,T374*IF(AA374, 1, Constants!$B$11)*IF(AB374, 1, Constants!$B$12),Constants!$B$13),"")</f>
        <v/>
      </c>
      <c r="AM374" s="67" t="str">
        <f aca="false">IF($AF374=Constants!$B$7,AK374*AL374,"")</f>
        <v/>
      </c>
      <c r="AN374" s="67" t="str">
        <f aca="false">IF($AF374=Constants!$B$7,IF(AM374&gt;AJ374,2,1),"")</f>
        <v/>
      </c>
      <c r="AO374" s="67" t="str">
        <f aca="false">IF($AF374=Constants!$B$7,IF(AN374=1,2,1),"")</f>
        <v/>
      </c>
      <c r="AP374" s="67" t="str">
        <f aca="false">IF(ISBLANK($C374),"",IF($AF374&lt;&gt;Constants!$B$7,$AF374,IF(AN374=1,AJ374,AM374)))</f>
        <v/>
      </c>
      <c r="AQ374" s="67" t="str">
        <f aca="false">IF(ISBLANK($C374),"",IF($AF374=Constants!$B$7,IF(ISNUMBER(AP374),RANK(AP374,$AP$8:$AP$507),Constants!$B$14),$AF374))</f>
        <v/>
      </c>
      <c r="AR374" s="67" t="str">
        <f aca="false">IF(ISBLANK($C374),"",IF($AF374=Constants!$B$7,IF(AO374=1,AJ374,AM374),""))</f>
        <v/>
      </c>
      <c r="AS374" s="67" t="str">
        <f aca="false">IF(ISBLANK($C374),"",IF($AF374=Constants!$B$7,RANK(AR374,$AR$8:$AR$507),$AF374))</f>
        <v/>
      </c>
      <c r="AT374" s="67" t="str">
        <f aca="false">IF(ISBLANK($C374),"",IF($AF374=Constants!$B$7,IF(ISNUMBER(AQ374),COUNTIFS($AQ$8:$AQ$507,"&lt;"&amp;$AQ374)+COUNTIFS($AQ$8:$AQ$507,$AQ374,$AS$8:$AS$507,"&lt;"&amp;$AS374)+1,Constants!$B$14),$AF374))</f>
        <v/>
      </c>
      <c r="AU374" s="67" t="str">
        <f aca="false">IF(ISBLANK($C374),"",IF($AF374=Constants!$B$7,IF(ISNUMBER(AQ374),AQ374-AT374,Constants!$B$14),$AF374))</f>
        <v/>
      </c>
      <c r="AV374" s="69"/>
      <c r="AW374" s="70" t="str">
        <f aca="false">IF(ISBLANK($C374),"",IF($AF374&lt;&gt;Constants!$B$7,"",AN374))</f>
        <v/>
      </c>
      <c r="AX374" s="85" t="str">
        <f aca="false">IF(ISBLANK($C374),"",IF($AF374&lt;&gt;Constants!$B$7,"",IF(AN374=1,AH374,AK374)))</f>
        <v/>
      </c>
      <c r="AY374" s="72" t="str">
        <f aca="false">IF(ISBLANK($C374),"",IF($AF374&lt;&gt;Constants!$B$7,"",IF(AN374=1,AI374,AL374)))</f>
        <v/>
      </c>
      <c r="AZ374" s="73" t="str">
        <f aca="false">IF(ISBLANK($C374),"",IF($AF374&lt;&gt;Constants!$B$7,$AF374,AP374))</f>
        <v/>
      </c>
      <c r="BA374" s="74" t="str">
        <f aca="false">IF(ISBLANK($C374),"",IF($AF374&lt;&gt;Constants!$B$7,$AF374,AG374))</f>
        <v/>
      </c>
      <c r="BB374" s="75" t="str">
        <f aca="false">IF(ISBLANK($C374),"",AU374)</f>
        <v/>
      </c>
      <c r="BC374" s="75" t="str">
        <f aca="false">IF(ISBLANK($C374),"",AT374)</f>
        <v/>
      </c>
      <c r="BD374" s="76" t="str">
        <f aca="false">IF(ISBLANK($C374),"",IFERROR(_xlfn.SWITCH(BC374,Constants!$B$4,COUNTA($C$8:$C$507)+2,Constants!$B$5,COUNTA($C$8:$C$507)+1,Constants!$B$6,COUNTA($C$8:$C$507)),BC374))</f>
        <v/>
      </c>
      <c r="BE374" s="5"/>
      <c r="BF374" s="77" t="n">
        <f aca="false">IF(OR(ISNUMBER(BC374),BC374=Constants!$B$4,BC374=Constants!$B$6,BC374=Constants!$B$5),1,0)</f>
        <v>0</v>
      </c>
      <c r="BG374" s="77" t="n">
        <v>367</v>
      </c>
      <c r="BH374" s="77" t="str">
        <f aca="false">IF(ISBLANK($C374),"",IF(ISNUMBER(BD374),BD374+ROW($B374)/1000,""))</f>
        <v/>
      </c>
      <c r="BI374" s="77" t="str">
        <f aca="false">IF(ISNUMBER(BH374),RANK(BH374,$BH$8:$BH$507,1),"")</f>
        <v/>
      </c>
      <c r="BJ374" s="77" t="str">
        <f aca="false">IF(ISBLANK($C374),"",$B374)</f>
        <v/>
      </c>
      <c r="BK374" s="77" t="str">
        <f aca="false">IF(ISBLANK($C374),"",$C374)</f>
        <v/>
      </c>
      <c r="BL374" s="77" t="str">
        <f aca="false">IF(ISBLANK($C374),"",$D374)</f>
        <v/>
      </c>
      <c r="BM374" s="78" t="str">
        <f aca="false">BA374</f>
        <v/>
      </c>
      <c r="BN374" s="79" t="str">
        <f aca="false">AZ374</f>
        <v/>
      </c>
      <c r="BO374" s="77" t="str">
        <f aca="false">IF(ISBLANK($C374),"",BC374)</f>
        <v/>
      </c>
      <c r="BP374" s="80" t="str">
        <f aca="false">IF($BG374&gt;$BF$7,"",VLOOKUP($BG374,$BI$8:$BO$507,7,FALSE()))</f>
        <v/>
      </c>
      <c r="BQ374" s="81" t="str">
        <f aca="false">IF($BG374&gt;$BF$7,"",VLOOKUP($BG374,$BI$8:$BO$507,2,FALSE()))</f>
        <v/>
      </c>
      <c r="BR374" s="81" t="str">
        <f aca="false">IF($BG374&gt;$BF$7,"",VLOOKUP($BG374,$BI$8:$BO$507,3,FALSE()))</f>
        <v/>
      </c>
      <c r="BS374" s="81" t="str">
        <f aca="false">IF($BG374&gt;$BF$7,"",VLOOKUP($BG374,$BI$8:$BO$507,4,FALSE()))</f>
        <v/>
      </c>
      <c r="BT374" s="81" t="str">
        <f aca="false">IF($BG374&gt;$BF$7,"",VLOOKUP($BG374,$BI$8:$BO$507,5,FALSE()))</f>
        <v/>
      </c>
      <c r="BU374" s="82" t="str">
        <f aca="false">IF($BG374&gt;$BF$7,"",VLOOKUP($BG374,$BI$8:$BO$507,6,FALSE()))</f>
        <v/>
      </c>
      <c r="BV374" s="54"/>
    </row>
    <row r="375" customFormat="false" ht="15.75" hidden="false" customHeight="false" outlineLevel="0" collapsed="false">
      <c r="A375" s="5"/>
      <c r="B375" s="135"/>
      <c r="C375" s="56"/>
      <c r="D375" s="57"/>
      <c r="E375" s="84"/>
      <c r="F375" s="136"/>
      <c r="G375" s="60"/>
      <c r="H375" s="137"/>
      <c r="I375" s="62"/>
      <c r="J375" s="62"/>
      <c r="K375" s="60"/>
      <c r="L375" s="138"/>
      <c r="M375" s="62"/>
      <c r="N375" s="62"/>
      <c r="O375" s="60"/>
      <c r="P375" s="84"/>
      <c r="Q375" s="65"/>
      <c r="R375" s="67" t="str">
        <f aca="false">IF(ISBLANK($C375),"",IF(E375=Constants!$B$2, TRUE(), IF(E375=Constants!$B$3, FALSE(), TRUE())))</f>
        <v/>
      </c>
      <c r="S375" s="67" t="str">
        <f aca="false">IF(ISBLANK($C375),"",IF(F375=Constants!$B$2, TRUE(), IF(F375=Constants!$B$3, FALSE(), TRUE())))</f>
        <v/>
      </c>
      <c r="T375" s="67" t="str">
        <f aca="false">IF(ISBLANK($C375),"",IF(G375=Constants!$B$16,Constants!$B$9,IF(G375=Constants!$B$17,Constants!$B$10,Constants!$B$8)))</f>
        <v/>
      </c>
      <c r="U375" s="67" t="str">
        <f aca="false">IF(ISBLANK($C375),"",IF(H375=Constants!$B$19,Constants!$B$19,Constants!$B$18))</f>
        <v/>
      </c>
      <c r="V375" s="67" t="str">
        <f aca="false">IF(ISBLANK($C375),"",IF(ISNUMBER(I375),IF(I375&gt;=0,I375,""),""))</f>
        <v/>
      </c>
      <c r="W375" s="67" t="str">
        <f aca="false">IF(ISBLANK($C375),"",IF(J375=Constants!$B$2, TRUE(), IF(J375=Constants!$B$3, FALSE(), TRUE())))</f>
        <v/>
      </c>
      <c r="X375" s="67" t="str">
        <f aca="false">IF(ISBLANK($C375),"",IF(K375=Constants!$B$2, TRUE(), IF(K375=Constants!$B$3, FALSE(), TRUE())))</f>
        <v/>
      </c>
      <c r="Y375" s="67" t="str">
        <f aca="false">IF(ISBLANK($C375),"",IF(L375=Constants!$B$19,Constants!$B$19,Constants!$B$18))</f>
        <v/>
      </c>
      <c r="Z375" s="67" t="str">
        <f aca="false">IF(ISBLANK($C375),"",IF(ISNUMBER(M375),IF(M375&gt;=0,M375,""),""))</f>
        <v/>
      </c>
      <c r="AA375" s="67" t="str">
        <f aca="false">IF(ISBLANK($C375),"",IF(N375=Constants!$B$2, TRUE(), IF(N375=Constants!$B$3, FALSE(), TRUE())))</f>
        <v/>
      </c>
      <c r="AB375" s="67" t="str">
        <f aca="false">IF(ISBLANK($C375),"",IF(O375=Constants!$B$2, TRUE(), IF(O375=Constants!$B$3, FALSE(), TRUE())))</f>
        <v/>
      </c>
      <c r="AC375" s="67" t="str">
        <f aca="false">IF(ISBLANK($C375),"",IF(P375=Constants!$B$2, TRUE(), IF(P375=Constants!$B$3, FALSE(), FALSE())))</f>
        <v/>
      </c>
      <c r="AD375" s="67" t="str">
        <f aca="false">IF(ISBLANK($C375),"",AND(V375&lt;&gt;"",IF(U375=Constants!$B$19,S375,R375)))</f>
        <v/>
      </c>
      <c r="AE375" s="67" t="str">
        <f aca="false">IF(ISBLANK($C375),"",AND(Z375&lt;&gt;"",IF(Y375=Constants!$B$19,S375,R375)))</f>
        <v/>
      </c>
      <c r="AF375" s="67" t="str">
        <f aca="false">IF(ISBLANK($C375),"",IF(AC375,Constants!$B$4,IF(COUNTA(E375:O375)=0,Constants!$B$5,IF(AND(NOT(AD375),NOT(AE375)),Constants!$B$6,Constants!$B$7))))</f>
        <v/>
      </c>
      <c r="AG375" s="67" t="str">
        <f aca="false">IF(ISBLANK($C375),"",IF($AF375&lt;&gt;Constants!$B$7,$AF375,Constants!$B$20))</f>
        <v/>
      </c>
      <c r="AH375" s="67" t="str">
        <f aca="false">IF($AF375=Constants!$B$7,IF(AD375,V375,Constants!$B$13),"")</f>
        <v/>
      </c>
      <c r="AI375" s="67" t="str">
        <f aca="false">IF($AF375=Constants!$B$7,IF(AD375,T375*IF(W375, 1, Constants!$B$11)*IF(X375, 1, Constants!$B$12),Constants!$B$13),"")</f>
        <v/>
      </c>
      <c r="AJ375" s="67" t="str">
        <f aca="false">IF($AF375=Constants!$B$7,AH375*AI375,"")</f>
        <v/>
      </c>
      <c r="AK375" s="67" t="str">
        <f aca="false">IF($AF375=Constants!$B$7,IF(AE375,Z375,Constants!$B$13),"")</f>
        <v/>
      </c>
      <c r="AL375" s="67" t="str">
        <f aca="false">IF($AF375=Constants!$B$7,IF(AE375,T375*IF(AA375, 1, Constants!$B$11)*IF(AB375, 1, Constants!$B$12),Constants!$B$13),"")</f>
        <v/>
      </c>
      <c r="AM375" s="67" t="str">
        <f aca="false">IF($AF375=Constants!$B$7,AK375*AL375,"")</f>
        <v/>
      </c>
      <c r="AN375" s="67" t="str">
        <f aca="false">IF($AF375=Constants!$B$7,IF(AM375&gt;AJ375,2,1),"")</f>
        <v/>
      </c>
      <c r="AO375" s="67" t="str">
        <f aca="false">IF($AF375=Constants!$B$7,IF(AN375=1,2,1),"")</f>
        <v/>
      </c>
      <c r="AP375" s="67" t="str">
        <f aca="false">IF(ISBLANK($C375),"",IF($AF375&lt;&gt;Constants!$B$7,$AF375,IF(AN375=1,AJ375,AM375)))</f>
        <v/>
      </c>
      <c r="AQ375" s="67" t="str">
        <f aca="false">IF(ISBLANK($C375),"",IF($AF375=Constants!$B$7,IF(ISNUMBER(AP375),RANK(AP375,$AP$8:$AP$507),Constants!$B$14),$AF375))</f>
        <v/>
      </c>
      <c r="AR375" s="67" t="str">
        <f aca="false">IF(ISBLANK($C375),"",IF($AF375=Constants!$B$7,IF(AO375=1,AJ375,AM375),""))</f>
        <v/>
      </c>
      <c r="AS375" s="67" t="str">
        <f aca="false">IF(ISBLANK($C375),"",IF($AF375=Constants!$B$7,RANK(AR375,$AR$8:$AR$507),$AF375))</f>
        <v/>
      </c>
      <c r="AT375" s="67" t="str">
        <f aca="false">IF(ISBLANK($C375),"",IF($AF375=Constants!$B$7,IF(ISNUMBER(AQ375),COUNTIFS($AQ$8:$AQ$507,"&lt;"&amp;$AQ375)+COUNTIFS($AQ$8:$AQ$507,$AQ375,$AS$8:$AS$507,"&lt;"&amp;$AS375)+1,Constants!$B$14),$AF375))</f>
        <v/>
      </c>
      <c r="AU375" s="67" t="str">
        <f aca="false">IF(ISBLANK($C375),"",IF($AF375=Constants!$B$7,IF(ISNUMBER(AQ375),AQ375-AT375,Constants!$B$14),$AF375))</f>
        <v/>
      </c>
      <c r="AV375" s="69"/>
      <c r="AW375" s="70" t="str">
        <f aca="false">IF(ISBLANK($C375),"",IF($AF375&lt;&gt;Constants!$B$7,"",AN375))</f>
        <v/>
      </c>
      <c r="AX375" s="85" t="str">
        <f aca="false">IF(ISBLANK($C375),"",IF($AF375&lt;&gt;Constants!$B$7,"",IF(AN375=1,AH375,AK375)))</f>
        <v/>
      </c>
      <c r="AY375" s="72" t="str">
        <f aca="false">IF(ISBLANK($C375),"",IF($AF375&lt;&gt;Constants!$B$7,"",IF(AN375=1,AI375,AL375)))</f>
        <v/>
      </c>
      <c r="AZ375" s="73" t="str">
        <f aca="false">IF(ISBLANK($C375),"",IF($AF375&lt;&gt;Constants!$B$7,$AF375,AP375))</f>
        <v/>
      </c>
      <c r="BA375" s="74" t="str">
        <f aca="false">IF(ISBLANK($C375),"",IF($AF375&lt;&gt;Constants!$B$7,$AF375,AG375))</f>
        <v/>
      </c>
      <c r="BB375" s="75" t="str">
        <f aca="false">IF(ISBLANK($C375),"",AU375)</f>
        <v/>
      </c>
      <c r="BC375" s="75" t="str">
        <f aca="false">IF(ISBLANK($C375),"",AT375)</f>
        <v/>
      </c>
      <c r="BD375" s="76" t="str">
        <f aca="false">IF(ISBLANK($C375),"",IFERROR(_xlfn.SWITCH(BC375,Constants!$B$4,COUNTA($C$8:$C$507)+2,Constants!$B$5,COUNTA($C$8:$C$507)+1,Constants!$B$6,COUNTA($C$8:$C$507)),BC375))</f>
        <v/>
      </c>
      <c r="BE375" s="5"/>
      <c r="BF375" s="77" t="n">
        <f aca="false">IF(OR(ISNUMBER(BC375),BC375=Constants!$B$4,BC375=Constants!$B$6,BC375=Constants!$B$5),1,0)</f>
        <v>0</v>
      </c>
      <c r="BG375" s="77" t="n">
        <v>368</v>
      </c>
      <c r="BH375" s="77" t="str">
        <f aca="false">IF(ISBLANK($C375),"",IF(ISNUMBER(BD375),BD375+ROW($B375)/1000,""))</f>
        <v/>
      </c>
      <c r="BI375" s="77" t="str">
        <f aca="false">IF(ISNUMBER(BH375),RANK(BH375,$BH$8:$BH$507,1),"")</f>
        <v/>
      </c>
      <c r="BJ375" s="77" t="str">
        <f aca="false">IF(ISBLANK($C375),"",$B375)</f>
        <v/>
      </c>
      <c r="BK375" s="77" t="str">
        <f aca="false">IF(ISBLANK($C375),"",$C375)</f>
        <v/>
      </c>
      <c r="BL375" s="77" t="str">
        <f aca="false">IF(ISBLANK($C375),"",$D375)</f>
        <v/>
      </c>
      <c r="BM375" s="78" t="str">
        <f aca="false">BA375</f>
        <v/>
      </c>
      <c r="BN375" s="79" t="str">
        <f aca="false">AZ375</f>
        <v/>
      </c>
      <c r="BO375" s="77" t="str">
        <f aca="false">IF(ISBLANK($C375),"",BC375)</f>
        <v/>
      </c>
      <c r="BP375" s="80" t="str">
        <f aca="false">IF($BG375&gt;$BF$7,"",VLOOKUP($BG375,$BI$8:$BO$507,7,FALSE()))</f>
        <v/>
      </c>
      <c r="BQ375" s="81" t="str">
        <f aca="false">IF($BG375&gt;$BF$7,"",VLOOKUP($BG375,$BI$8:$BO$507,2,FALSE()))</f>
        <v/>
      </c>
      <c r="BR375" s="81" t="str">
        <f aca="false">IF($BG375&gt;$BF$7,"",VLOOKUP($BG375,$BI$8:$BO$507,3,FALSE()))</f>
        <v/>
      </c>
      <c r="BS375" s="81" t="str">
        <f aca="false">IF($BG375&gt;$BF$7,"",VLOOKUP($BG375,$BI$8:$BO$507,4,FALSE()))</f>
        <v/>
      </c>
      <c r="BT375" s="81" t="str">
        <f aca="false">IF($BG375&gt;$BF$7,"",VLOOKUP($BG375,$BI$8:$BO$507,5,FALSE()))</f>
        <v/>
      </c>
      <c r="BU375" s="82" t="str">
        <f aca="false">IF($BG375&gt;$BF$7,"",VLOOKUP($BG375,$BI$8:$BO$507,6,FALSE()))</f>
        <v/>
      </c>
      <c r="BV375" s="54"/>
    </row>
    <row r="376" customFormat="false" ht="15.75" hidden="false" customHeight="false" outlineLevel="0" collapsed="false">
      <c r="A376" s="5"/>
      <c r="B376" s="135"/>
      <c r="C376" s="56"/>
      <c r="D376" s="57"/>
      <c r="E376" s="84"/>
      <c r="F376" s="136"/>
      <c r="G376" s="60"/>
      <c r="H376" s="137"/>
      <c r="I376" s="62"/>
      <c r="J376" s="62"/>
      <c r="K376" s="60"/>
      <c r="L376" s="138"/>
      <c r="M376" s="62"/>
      <c r="N376" s="62"/>
      <c r="O376" s="60"/>
      <c r="P376" s="84"/>
      <c r="Q376" s="65"/>
      <c r="R376" s="67" t="str">
        <f aca="false">IF(ISBLANK($C376),"",IF(E376=Constants!$B$2, TRUE(), IF(E376=Constants!$B$3, FALSE(), TRUE())))</f>
        <v/>
      </c>
      <c r="S376" s="67" t="str">
        <f aca="false">IF(ISBLANK($C376),"",IF(F376=Constants!$B$2, TRUE(), IF(F376=Constants!$B$3, FALSE(), TRUE())))</f>
        <v/>
      </c>
      <c r="T376" s="67" t="str">
        <f aca="false">IF(ISBLANK($C376),"",IF(G376=Constants!$B$16,Constants!$B$9,IF(G376=Constants!$B$17,Constants!$B$10,Constants!$B$8)))</f>
        <v/>
      </c>
      <c r="U376" s="67" t="str">
        <f aca="false">IF(ISBLANK($C376),"",IF(H376=Constants!$B$19,Constants!$B$19,Constants!$B$18))</f>
        <v/>
      </c>
      <c r="V376" s="67" t="str">
        <f aca="false">IF(ISBLANK($C376),"",IF(ISNUMBER(I376),IF(I376&gt;=0,I376,""),""))</f>
        <v/>
      </c>
      <c r="W376" s="67" t="str">
        <f aca="false">IF(ISBLANK($C376),"",IF(J376=Constants!$B$2, TRUE(), IF(J376=Constants!$B$3, FALSE(), TRUE())))</f>
        <v/>
      </c>
      <c r="X376" s="67" t="str">
        <f aca="false">IF(ISBLANK($C376),"",IF(K376=Constants!$B$2, TRUE(), IF(K376=Constants!$B$3, FALSE(), TRUE())))</f>
        <v/>
      </c>
      <c r="Y376" s="67" t="str">
        <f aca="false">IF(ISBLANK($C376),"",IF(L376=Constants!$B$19,Constants!$B$19,Constants!$B$18))</f>
        <v/>
      </c>
      <c r="Z376" s="67" t="str">
        <f aca="false">IF(ISBLANK($C376),"",IF(ISNUMBER(M376),IF(M376&gt;=0,M376,""),""))</f>
        <v/>
      </c>
      <c r="AA376" s="67" t="str">
        <f aca="false">IF(ISBLANK($C376),"",IF(N376=Constants!$B$2, TRUE(), IF(N376=Constants!$B$3, FALSE(), TRUE())))</f>
        <v/>
      </c>
      <c r="AB376" s="67" t="str">
        <f aca="false">IF(ISBLANK($C376),"",IF(O376=Constants!$B$2, TRUE(), IF(O376=Constants!$B$3, FALSE(), TRUE())))</f>
        <v/>
      </c>
      <c r="AC376" s="67" t="str">
        <f aca="false">IF(ISBLANK($C376),"",IF(P376=Constants!$B$2, TRUE(), IF(P376=Constants!$B$3, FALSE(), FALSE())))</f>
        <v/>
      </c>
      <c r="AD376" s="67" t="str">
        <f aca="false">IF(ISBLANK($C376),"",AND(V376&lt;&gt;"",IF(U376=Constants!$B$19,S376,R376)))</f>
        <v/>
      </c>
      <c r="AE376" s="67" t="str">
        <f aca="false">IF(ISBLANK($C376),"",AND(Z376&lt;&gt;"",IF(Y376=Constants!$B$19,S376,R376)))</f>
        <v/>
      </c>
      <c r="AF376" s="67" t="str">
        <f aca="false">IF(ISBLANK($C376),"",IF(AC376,Constants!$B$4,IF(COUNTA(E376:O376)=0,Constants!$B$5,IF(AND(NOT(AD376),NOT(AE376)),Constants!$B$6,Constants!$B$7))))</f>
        <v/>
      </c>
      <c r="AG376" s="67" t="str">
        <f aca="false">IF(ISBLANK($C376),"",IF($AF376&lt;&gt;Constants!$B$7,$AF376,Constants!$B$20))</f>
        <v/>
      </c>
      <c r="AH376" s="67" t="str">
        <f aca="false">IF($AF376=Constants!$B$7,IF(AD376,V376,Constants!$B$13),"")</f>
        <v/>
      </c>
      <c r="AI376" s="67" t="str">
        <f aca="false">IF($AF376=Constants!$B$7,IF(AD376,T376*IF(W376, 1, Constants!$B$11)*IF(X376, 1, Constants!$B$12),Constants!$B$13),"")</f>
        <v/>
      </c>
      <c r="AJ376" s="67" t="str">
        <f aca="false">IF($AF376=Constants!$B$7,AH376*AI376,"")</f>
        <v/>
      </c>
      <c r="AK376" s="67" t="str">
        <f aca="false">IF($AF376=Constants!$B$7,IF(AE376,Z376,Constants!$B$13),"")</f>
        <v/>
      </c>
      <c r="AL376" s="67" t="str">
        <f aca="false">IF($AF376=Constants!$B$7,IF(AE376,T376*IF(AA376, 1, Constants!$B$11)*IF(AB376, 1, Constants!$B$12),Constants!$B$13),"")</f>
        <v/>
      </c>
      <c r="AM376" s="67" t="str">
        <f aca="false">IF($AF376=Constants!$B$7,AK376*AL376,"")</f>
        <v/>
      </c>
      <c r="AN376" s="67" t="str">
        <f aca="false">IF($AF376=Constants!$B$7,IF(AM376&gt;AJ376,2,1),"")</f>
        <v/>
      </c>
      <c r="AO376" s="67" t="str">
        <f aca="false">IF($AF376=Constants!$B$7,IF(AN376=1,2,1),"")</f>
        <v/>
      </c>
      <c r="AP376" s="67" t="str">
        <f aca="false">IF(ISBLANK($C376),"",IF($AF376&lt;&gt;Constants!$B$7,$AF376,IF(AN376=1,AJ376,AM376)))</f>
        <v/>
      </c>
      <c r="AQ376" s="67" t="str">
        <f aca="false">IF(ISBLANK($C376),"",IF($AF376=Constants!$B$7,IF(ISNUMBER(AP376),RANK(AP376,$AP$8:$AP$507),Constants!$B$14),$AF376))</f>
        <v/>
      </c>
      <c r="AR376" s="67" t="str">
        <f aca="false">IF(ISBLANK($C376),"",IF($AF376=Constants!$B$7,IF(AO376=1,AJ376,AM376),""))</f>
        <v/>
      </c>
      <c r="AS376" s="67" t="str">
        <f aca="false">IF(ISBLANK($C376),"",IF($AF376=Constants!$B$7,RANK(AR376,$AR$8:$AR$507),$AF376))</f>
        <v/>
      </c>
      <c r="AT376" s="67" t="str">
        <f aca="false">IF(ISBLANK($C376),"",IF($AF376=Constants!$B$7,IF(ISNUMBER(AQ376),COUNTIFS($AQ$8:$AQ$507,"&lt;"&amp;$AQ376)+COUNTIFS($AQ$8:$AQ$507,$AQ376,$AS$8:$AS$507,"&lt;"&amp;$AS376)+1,Constants!$B$14),$AF376))</f>
        <v/>
      </c>
      <c r="AU376" s="67" t="str">
        <f aca="false">IF(ISBLANK($C376),"",IF($AF376=Constants!$B$7,IF(ISNUMBER(AQ376),AQ376-AT376,Constants!$B$14),$AF376))</f>
        <v/>
      </c>
      <c r="AV376" s="69"/>
      <c r="AW376" s="70" t="str">
        <f aca="false">IF(ISBLANK($C376),"",IF($AF376&lt;&gt;Constants!$B$7,"",AN376))</f>
        <v/>
      </c>
      <c r="AX376" s="85" t="str">
        <f aca="false">IF(ISBLANK($C376),"",IF($AF376&lt;&gt;Constants!$B$7,"",IF(AN376=1,AH376,AK376)))</f>
        <v/>
      </c>
      <c r="AY376" s="72" t="str">
        <f aca="false">IF(ISBLANK($C376),"",IF($AF376&lt;&gt;Constants!$B$7,"",IF(AN376=1,AI376,AL376)))</f>
        <v/>
      </c>
      <c r="AZ376" s="73" t="str">
        <f aca="false">IF(ISBLANK($C376),"",IF($AF376&lt;&gt;Constants!$B$7,$AF376,AP376))</f>
        <v/>
      </c>
      <c r="BA376" s="74" t="str">
        <f aca="false">IF(ISBLANK($C376),"",IF($AF376&lt;&gt;Constants!$B$7,$AF376,AG376))</f>
        <v/>
      </c>
      <c r="BB376" s="75" t="str">
        <f aca="false">IF(ISBLANK($C376),"",AU376)</f>
        <v/>
      </c>
      <c r="BC376" s="75" t="str">
        <f aca="false">IF(ISBLANK($C376),"",AT376)</f>
        <v/>
      </c>
      <c r="BD376" s="76" t="str">
        <f aca="false">IF(ISBLANK($C376),"",IFERROR(_xlfn.SWITCH(BC376,Constants!$B$4,COUNTA($C$8:$C$507)+2,Constants!$B$5,COUNTA($C$8:$C$507)+1,Constants!$B$6,COUNTA($C$8:$C$507)),BC376))</f>
        <v/>
      </c>
      <c r="BE376" s="5"/>
      <c r="BF376" s="77" t="n">
        <f aca="false">IF(OR(ISNUMBER(BC376),BC376=Constants!$B$4,BC376=Constants!$B$6,BC376=Constants!$B$5),1,0)</f>
        <v>0</v>
      </c>
      <c r="BG376" s="77" t="n">
        <v>369</v>
      </c>
      <c r="BH376" s="77" t="str">
        <f aca="false">IF(ISBLANK($C376),"",IF(ISNUMBER(BD376),BD376+ROW($B376)/1000,""))</f>
        <v/>
      </c>
      <c r="BI376" s="77" t="str">
        <f aca="false">IF(ISNUMBER(BH376),RANK(BH376,$BH$8:$BH$507,1),"")</f>
        <v/>
      </c>
      <c r="BJ376" s="77" t="str">
        <f aca="false">IF(ISBLANK($C376),"",$B376)</f>
        <v/>
      </c>
      <c r="BK376" s="77" t="str">
        <f aca="false">IF(ISBLANK($C376),"",$C376)</f>
        <v/>
      </c>
      <c r="BL376" s="77" t="str">
        <f aca="false">IF(ISBLANK($C376),"",$D376)</f>
        <v/>
      </c>
      <c r="BM376" s="78" t="str">
        <f aca="false">BA376</f>
        <v/>
      </c>
      <c r="BN376" s="79" t="str">
        <f aca="false">AZ376</f>
        <v/>
      </c>
      <c r="BO376" s="77" t="str">
        <f aca="false">IF(ISBLANK($C376),"",BC376)</f>
        <v/>
      </c>
      <c r="BP376" s="80" t="str">
        <f aca="false">IF($BG376&gt;$BF$7,"",VLOOKUP($BG376,$BI$8:$BO$507,7,FALSE()))</f>
        <v/>
      </c>
      <c r="BQ376" s="81" t="str">
        <f aca="false">IF($BG376&gt;$BF$7,"",VLOOKUP($BG376,$BI$8:$BO$507,2,FALSE()))</f>
        <v/>
      </c>
      <c r="BR376" s="81" t="str">
        <f aca="false">IF($BG376&gt;$BF$7,"",VLOOKUP($BG376,$BI$8:$BO$507,3,FALSE()))</f>
        <v/>
      </c>
      <c r="BS376" s="81" t="str">
        <f aca="false">IF($BG376&gt;$BF$7,"",VLOOKUP($BG376,$BI$8:$BO$507,4,FALSE()))</f>
        <v/>
      </c>
      <c r="BT376" s="81" t="str">
        <f aca="false">IF($BG376&gt;$BF$7,"",VLOOKUP($BG376,$BI$8:$BO$507,5,FALSE()))</f>
        <v/>
      </c>
      <c r="BU376" s="82" t="str">
        <f aca="false">IF($BG376&gt;$BF$7,"",VLOOKUP($BG376,$BI$8:$BO$507,6,FALSE()))</f>
        <v/>
      </c>
      <c r="BV376" s="54"/>
    </row>
    <row r="377" customFormat="false" ht="15.75" hidden="false" customHeight="false" outlineLevel="0" collapsed="false">
      <c r="A377" s="5"/>
      <c r="B377" s="128"/>
      <c r="C377" s="129"/>
      <c r="D377" s="114"/>
      <c r="E377" s="134"/>
      <c r="F377" s="139"/>
      <c r="G377" s="93"/>
      <c r="H377" s="140"/>
      <c r="I377" s="95"/>
      <c r="J377" s="95"/>
      <c r="K377" s="93"/>
      <c r="L377" s="141"/>
      <c r="M377" s="95"/>
      <c r="N377" s="95"/>
      <c r="O377" s="93"/>
      <c r="P377" s="134"/>
      <c r="Q377" s="98"/>
      <c r="R377" s="99" t="str">
        <f aca="false">IF(ISBLANK($C377),"",IF(E377=Constants!$B$2, TRUE(), IF(E377=Constants!$B$3, FALSE(), TRUE())))</f>
        <v/>
      </c>
      <c r="S377" s="99" t="str">
        <f aca="false">IF(ISBLANK($C377),"",IF(F377=Constants!$B$2, TRUE(), IF(F377=Constants!$B$3, FALSE(), TRUE())))</f>
        <v/>
      </c>
      <c r="T377" s="99" t="str">
        <f aca="false">IF(ISBLANK($C377),"",IF(G377=Constants!$B$16,Constants!$B$9,IF(G377=Constants!$B$17,Constants!$B$10,Constants!$B$8)))</f>
        <v/>
      </c>
      <c r="U377" s="99" t="str">
        <f aca="false">IF(ISBLANK($C377),"",IF(H377=Constants!$B$19,Constants!$B$19,Constants!$B$18))</f>
        <v/>
      </c>
      <c r="V377" s="99" t="str">
        <f aca="false">IF(ISBLANK($C377),"",IF(ISNUMBER(I377),IF(I377&gt;=0,I377,""),""))</f>
        <v/>
      </c>
      <c r="W377" s="99" t="str">
        <f aca="false">IF(ISBLANK($C377),"",IF(J377=Constants!$B$2, TRUE(), IF(J377=Constants!$B$3, FALSE(), TRUE())))</f>
        <v/>
      </c>
      <c r="X377" s="99" t="str">
        <f aca="false">IF(ISBLANK($C377),"",IF(K377=Constants!$B$2, TRUE(), IF(K377=Constants!$B$3, FALSE(), TRUE())))</f>
        <v/>
      </c>
      <c r="Y377" s="99" t="str">
        <f aca="false">IF(ISBLANK($C377),"",IF(L377=Constants!$B$19,Constants!$B$19,Constants!$B$18))</f>
        <v/>
      </c>
      <c r="Z377" s="99" t="str">
        <f aca="false">IF(ISBLANK($C377),"",IF(ISNUMBER(M377),IF(M377&gt;=0,M377,""),""))</f>
        <v/>
      </c>
      <c r="AA377" s="99" t="str">
        <f aca="false">IF(ISBLANK($C377),"",IF(N377=Constants!$B$2, TRUE(), IF(N377=Constants!$B$3, FALSE(), TRUE())))</f>
        <v/>
      </c>
      <c r="AB377" s="99" t="str">
        <f aca="false">IF(ISBLANK($C377),"",IF(O377=Constants!$B$2, TRUE(), IF(O377=Constants!$B$3, FALSE(), TRUE())))</f>
        <v/>
      </c>
      <c r="AC377" s="99" t="str">
        <f aca="false">IF(ISBLANK($C377),"",IF(P377=Constants!$B$2, TRUE(), IF(P377=Constants!$B$3, FALSE(), FALSE())))</f>
        <v/>
      </c>
      <c r="AD377" s="99" t="str">
        <f aca="false">IF(ISBLANK($C377),"",AND(V377&lt;&gt;"",IF(U377=Constants!$B$19,S377,R377)))</f>
        <v/>
      </c>
      <c r="AE377" s="99" t="str">
        <f aca="false">IF(ISBLANK($C377),"",AND(Z377&lt;&gt;"",IF(Y377=Constants!$B$19,S377,R377)))</f>
        <v/>
      </c>
      <c r="AF377" s="99" t="str">
        <f aca="false">IF(ISBLANK($C377),"",IF(AC377,Constants!$B$4,IF(COUNTA(E377:O377)=0,Constants!$B$5,IF(AND(NOT(AD377),NOT(AE377)),Constants!$B$6,Constants!$B$7))))</f>
        <v/>
      </c>
      <c r="AG377" s="99" t="str">
        <f aca="false">IF(ISBLANK($C377),"",IF($AF377&lt;&gt;Constants!$B$7,$AF377,Constants!$B$20))</f>
        <v/>
      </c>
      <c r="AH377" s="99" t="str">
        <f aca="false">IF($AF377=Constants!$B$7,IF(AD377,V377,Constants!$B$13),"")</f>
        <v/>
      </c>
      <c r="AI377" s="99" t="str">
        <f aca="false">IF($AF377=Constants!$B$7,IF(AD377,T377*IF(W377, 1, Constants!$B$11)*IF(X377, 1, Constants!$B$12),Constants!$B$13),"")</f>
        <v/>
      </c>
      <c r="AJ377" s="99" t="str">
        <f aca="false">IF($AF377=Constants!$B$7,AH377*AI377,"")</f>
        <v/>
      </c>
      <c r="AK377" s="99" t="str">
        <f aca="false">IF($AF377=Constants!$B$7,IF(AE377,Z377,Constants!$B$13),"")</f>
        <v/>
      </c>
      <c r="AL377" s="99" t="str">
        <f aca="false">IF($AF377=Constants!$B$7,IF(AE377,T377*IF(AA377, 1, Constants!$B$11)*IF(AB377, 1, Constants!$B$12),Constants!$B$13),"")</f>
        <v/>
      </c>
      <c r="AM377" s="99" t="str">
        <f aca="false">IF($AF377=Constants!$B$7,AK377*AL377,"")</f>
        <v/>
      </c>
      <c r="AN377" s="99" t="str">
        <f aca="false">IF($AF377=Constants!$B$7,IF(AM377&gt;AJ377,2,1),"")</f>
        <v/>
      </c>
      <c r="AO377" s="99" t="str">
        <f aca="false">IF($AF377=Constants!$B$7,IF(AN377=1,2,1),"")</f>
        <v/>
      </c>
      <c r="AP377" s="99" t="str">
        <f aca="false">IF(ISBLANK($C377),"",IF($AF377&lt;&gt;Constants!$B$7,$AF377,IF(AN377=1,AJ377,AM377)))</f>
        <v/>
      </c>
      <c r="AQ377" s="99" t="str">
        <f aca="false">IF(ISBLANK($C377),"",IF($AF377=Constants!$B$7,IF(ISNUMBER(AP377),RANK(AP377,$AP$8:$AP$507),Constants!$B$14),$AF377))</f>
        <v/>
      </c>
      <c r="AR377" s="99" t="str">
        <f aca="false">IF(ISBLANK($C377),"",IF($AF377=Constants!$B$7,IF(AO377=1,AJ377,AM377),""))</f>
        <v/>
      </c>
      <c r="AS377" s="99" t="str">
        <f aca="false">IF(ISBLANK($C377),"",IF($AF377=Constants!$B$7,RANK(AR377,$AR$8:$AR$507),$AF377))</f>
        <v/>
      </c>
      <c r="AT377" s="99" t="str">
        <f aca="false">IF(ISBLANK($C377),"",IF($AF377=Constants!$B$7,IF(ISNUMBER(AQ377),COUNTIFS($AQ$8:$AQ$507,"&lt;"&amp;$AQ377)+COUNTIFS($AQ$8:$AQ$507,$AQ377,$AS$8:$AS$507,"&lt;"&amp;$AS377)+1,Constants!$B$14),$AF377))</f>
        <v/>
      </c>
      <c r="AU377" s="99" t="str">
        <f aca="false">IF(ISBLANK($C377),"",IF($AF377=Constants!$B$7,IF(ISNUMBER(AQ377),AQ377-AT377,Constants!$B$14),$AF377))</f>
        <v/>
      </c>
      <c r="AV377" s="100"/>
      <c r="AW377" s="101" t="str">
        <f aca="false">IF(ISBLANK($C377),"",IF($AF377&lt;&gt;Constants!$B$7,"",AN377))</f>
        <v/>
      </c>
      <c r="AX377" s="102" t="str">
        <f aca="false">IF(ISBLANK($C377),"",IF($AF377&lt;&gt;Constants!$B$7,"",IF(AN377=1,AH377,AK377)))</f>
        <v/>
      </c>
      <c r="AY377" s="103" t="str">
        <f aca="false">IF(ISBLANK($C377),"",IF($AF377&lt;&gt;Constants!$B$7,"",IF(AN377=1,AI377,AL377)))</f>
        <v/>
      </c>
      <c r="AZ377" s="104" t="str">
        <f aca="false">IF(ISBLANK($C377),"",IF($AF377&lt;&gt;Constants!$B$7,$AF377,AP377))</f>
        <v/>
      </c>
      <c r="BA377" s="105" t="str">
        <f aca="false">IF(ISBLANK($C377),"",IF($AF377&lt;&gt;Constants!$B$7,$AF377,AG377))</f>
        <v/>
      </c>
      <c r="BB377" s="106" t="str">
        <f aca="false">IF(ISBLANK($C377),"",AU377)</f>
        <v/>
      </c>
      <c r="BC377" s="106" t="str">
        <f aca="false">IF(ISBLANK($C377),"",AT377)</f>
        <v/>
      </c>
      <c r="BD377" s="107" t="str">
        <f aca="false">IF(ISBLANK($C377),"",IFERROR(_xlfn.SWITCH(BC377,Constants!$B$4,COUNTA($C$8:$C$507)+2,Constants!$B$5,COUNTA($C$8:$C$507)+1,Constants!$B$6,COUNTA($C$8:$C$507)),BC377))</f>
        <v/>
      </c>
      <c r="BE377" s="5"/>
      <c r="BF377" s="108" t="n">
        <f aca="false">IF(OR(ISNUMBER(BC377),BC377=Constants!$B$4,BC377=Constants!$B$6,BC377=Constants!$B$5),1,0)</f>
        <v>0</v>
      </c>
      <c r="BG377" s="108" t="n">
        <v>370</v>
      </c>
      <c r="BH377" s="108" t="str">
        <f aca="false">IF(ISBLANK($C377),"",IF(ISNUMBER(BD377),BD377+ROW($B377)/1000,""))</f>
        <v/>
      </c>
      <c r="BI377" s="108" t="str">
        <f aca="false">IF(ISNUMBER(BH377),RANK(BH377,$BH$8:$BH$507,1),"")</f>
        <v/>
      </c>
      <c r="BJ377" s="108" t="str">
        <f aca="false">IF(ISBLANK($C377),"",$B377)</f>
        <v/>
      </c>
      <c r="BK377" s="108" t="str">
        <f aca="false">IF(ISBLANK($C377),"",$C377)</f>
        <v/>
      </c>
      <c r="BL377" s="108" t="str">
        <f aca="false">IF(ISBLANK($C377),"",$D377)</f>
        <v/>
      </c>
      <c r="BM377" s="109" t="str">
        <f aca="false">BA377</f>
        <v/>
      </c>
      <c r="BN377" s="110" t="str">
        <f aca="false">AZ377</f>
        <v/>
      </c>
      <c r="BO377" s="108" t="str">
        <f aca="false">IF(ISBLANK($C377),"",BC377)</f>
        <v/>
      </c>
      <c r="BP377" s="111" t="str">
        <f aca="false">IF($BG377&gt;$BF$7,"",VLOOKUP($BG377,$BI$8:$BO$507,7,FALSE()))</f>
        <v/>
      </c>
      <c r="BQ377" s="112" t="str">
        <f aca="false">IF($BG377&gt;$BF$7,"",VLOOKUP($BG377,$BI$8:$BO$507,2,FALSE()))</f>
        <v/>
      </c>
      <c r="BR377" s="112" t="str">
        <f aca="false">IF($BG377&gt;$BF$7,"",VLOOKUP($BG377,$BI$8:$BO$507,3,FALSE()))</f>
        <v/>
      </c>
      <c r="BS377" s="112" t="str">
        <f aca="false">IF($BG377&gt;$BF$7,"",VLOOKUP($BG377,$BI$8:$BO$507,4,FALSE()))</f>
        <v/>
      </c>
      <c r="BT377" s="112" t="str">
        <f aca="false">IF($BG377&gt;$BF$7,"",VLOOKUP($BG377,$BI$8:$BO$507,5,FALSE()))</f>
        <v/>
      </c>
      <c r="BU377" s="113" t="str">
        <f aca="false">IF($BG377&gt;$BF$7,"",VLOOKUP($BG377,$BI$8:$BO$507,6,FALSE()))</f>
        <v/>
      </c>
      <c r="BV377" s="54"/>
    </row>
    <row r="378" customFormat="false" ht="15.75" hidden="false" customHeight="false" outlineLevel="0" collapsed="false">
      <c r="A378" s="5"/>
      <c r="B378" s="128"/>
      <c r="C378" s="129"/>
      <c r="D378" s="114"/>
      <c r="E378" s="134"/>
      <c r="F378" s="139"/>
      <c r="G378" s="93"/>
      <c r="H378" s="140"/>
      <c r="I378" s="95"/>
      <c r="J378" s="95"/>
      <c r="K378" s="93"/>
      <c r="L378" s="141"/>
      <c r="M378" s="95"/>
      <c r="N378" s="95"/>
      <c r="O378" s="93"/>
      <c r="P378" s="134"/>
      <c r="Q378" s="98"/>
      <c r="R378" s="99" t="str">
        <f aca="false">IF(ISBLANK($C378),"",IF(E378=Constants!$B$2, TRUE(), IF(E378=Constants!$B$3, FALSE(), TRUE())))</f>
        <v/>
      </c>
      <c r="S378" s="99" t="str">
        <f aca="false">IF(ISBLANK($C378),"",IF(F378=Constants!$B$2, TRUE(), IF(F378=Constants!$B$3, FALSE(), TRUE())))</f>
        <v/>
      </c>
      <c r="T378" s="99" t="str">
        <f aca="false">IF(ISBLANK($C378),"",IF(G378=Constants!$B$16,Constants!$B$9,IF(G378=Constants!$B$17,Constants!$B$10,Constants!$B$8)))</f>
        <v/>
      </c>
      <c r="U378" s="99" t="str">
        <f aca="false">IF(ISBLANK($C378),"",IF(H378=Constants!$B$19,Constants!$B$19,Constants!$B$18))</f>
        <v/>
      </c>
      <c r="V378" s="99" t="str">
        <f aca="false">IF(ISBLANK($C378),"",IF(ISNUMBER(I378),IF(I378&gt;=0,I378,""),""))</f>
        <v/>
      </c>
      <c r="W378" s="99" t="str">
        <f aca="false">IF(ISBLANK($C378),"",IF(J378=Constants!$B$2, TRUE(), IF(J378=Constants!$B$3, FALSE(), TRUE())))</f>
        <v/>
      </c>
      <c r="X378" s="99" t="str">
        <f aca="false">IF(ISBLANK($C378),"",IF(K378=Constants!$B$2, TRUE(), IF(K378=Constants!$B$3, FALSE(), TRUE())))</f>
        <v/>
      </c>
      <c r="Y378" s="99" t="str">
        <f aca="false">IF(ISBLANK($C378),"",IF(L378=Constants!$B$19,Constants!$B$19,Constants!$B$18))</f>
        <v/>
      </c>
      <c r="Z378" s="99" t="str">
        <f aca="false">IF(ISBLANK($C378),"",IF(ISNUMBER(M378),IF(M378&gt;=0,M378,""),""))</f>
        <v/>
      </c>
      <c r="AA378" s="99" t="str">
        <f aca="false">IF(ISBLANK($C378),"",IF(N378=Constants!$B$2, TRUE(), IF(N378=Constants!$B$3, FALSE(), TRUE())))</f>
        <v/>
      </c>
      <c r="AB378" s="99" t="str">
        <f aca="false">IF(ISBLANK($C378),"",IF(O378=Constants!$B$2, TRUE(), IF(O378=Constants!$B$3, FALSE(), TRUE())))</f>
        <v/>
      </c>
      <c r="AC378" s="99" t="str">
        <f aca="false">IF(ISBLANK($C378),"",IF(P378=Constants!$B$2, TRUE(), IF(P378=Constants!$B$3, FALSE(), FALSE())))</f>
        <v/>
      </c>
      <c r="AD378" s="99" t="str">
        <f aca="false">IF(ISBLANK($C378),"",AND(V378&lt;&gt;"",IF(U378=Constants!$B$19,S378,R378)))</f>
        <v/>
      </c>
      <c r="AE378" s="99" t="str">
        <f aca="false">IF(ISBLANK($C378),"",AND(Z378&lt;&gt;"",IF(Y378=Constants!$B$19,S378,R378)))</f>
        <v/>
      </c>
      <c r="AF378" s="99" t="str">
        <f aca="false">IF(ISBLANK($C378),"",IF(AC378,Constants!$B$4,IF(COUNTA(E378:O378)=0,Constants!$B$5,IF(AND(NOT(AD378),NOT(AE378)),Constants!$B$6,Constants!$B$7))))</f>
        <v/>
      </c>
      <c r="AG378" s="99" t="str">
        <f aca="false">IF(ISBLANK($C378),"",IF($AF378&lt;&gt;Constants!$B$7,$AF378,Constants!$B$20))</f>
        <v/>
      </c>
      <c r="AH378" s="99" t="str">
        <f aca="false">IF($AF378=Constants!$B$7,IF(AD378,V378,Constants!$B$13),"")</f>
        <v/>
      </c>
      <c r="AI378" s="99" t="str">
        <f aca="false">IF($AF378=Constants!$B$7,IF(AD378,T378*IF(W378, 1, Constants!$B$11)*IF(X378, 1, Constants!$B$12),Constants!$B$13),"")</f>
        <v/>
      </c>
      <c r="AJ378" s="99" t="str">
        <f aca="false">IF($AF378=Constants!$B$7,AH378*AI378,"")</f>
        <v/>
      </c>
      <c r="AK378" s="99" t="str">
        <f aca="false">IF($AF378=Constants!$B$7,IF(AE378,Z378,Constants!$B$13),"")</f>
        <v/>
      </c>
      <c r="AL378" s="99" t="str">
        <f aca="false">IF($AF378=Constants!$B$7,IF(AE378,T378*IF(AA378, 1, Constants!$B$11)*IF(AB378, 1, Constants!$B$12),Constants!$B$13),"")</f>
        <v/>
      </c>
      <c r="AM378" s="99" t="str">
        <f aca="false">IF($AF378=Constants!$B$7,AK378*AL378,"")</f>
        <v/>
      </c>
      <c r="AN378" s="99" t="str">
        <f aca="false">IF($AF378=Constants!$B$7,IF(AM378&gt;AJ378,2,1),"")</f>
        <v/>
      </c>
      <c r="AO378" s="99" t="str">
        <f aca="false">IF($AF378=Constants!$B$7,IF(AN378=1,2,1),"")</f>
        <v/>
      </c>
      <c r="AP378" s="99" t="str">
        <f aca="false">IF(ISBLANK($C378),"",IF($AF378&lt;&gt;Constants!$B$7,$AF378,IF(AN378=1,AJ378,AM378)))</f>
        <v/>
      </c>
      <c r="AQ378" s="99" t="str">
        <f aca="false">IF(ISBLANK($C378),"",IF($AF378=Constants!$B$7,IF(ISNUMBER(AP378),RANK(AP378,$AP$8:$AP$507),Constants!$B$14),$AF378))</f>
        <v/>
      </c>
      <c r="AR378" s="99" t="str">
        <f aca="false">IF(ISBLANK($C378),"",IF($AF378=Constants!$B$7,IF(AO378=1,AJ378,AM378),""))</f>
        <v/>
      </c>
      <c r="AS378" s="99" t="str">
        <f aca="false">IF(ISBLANK($C378),"",IF($AF378=Constants!$B$7,RANK(AR378,$AR$8:$AR$507),$AF378))</f>
        <v/>
      </c>
      <c r="AT378" s="99" t="str">
        <f aca="false">IF(ISBLANK($C378),"",IF($AF378=Constants!$B$7,IF(ISNUMBER(AQ378),COUNTIFS($AQ$8:$AQ$507,"&lt;"&amp;$AQ378)+COUNTIFS($AQ$8:$AQ$507,$AQ378,$AS$8:$AS$507,"&lt;"&amp;$AS378)+1,Constants!$B$14),$AF378))</f>
        <v/>
      </c>
      <c r="AU378" s="99" t="str">
        <f aca="false">IF(ISBLANK($C378),"",IF($AF378=Constants!$B$7,IF(ISNUMBER(AQ378),AQ378-AT378,Constants!$B$14),$AF378))</f>
        <v/>
      </c>
      <c r="AV378" s="100"/>
      <c r="AW378" s="101" t="str">
        <f aca="false">IF(ISBLANK($C378),"",IF($AF378&lt;&gt;Constants!$B$7,"",AN378))</f>
        <v/>
      </c>
      <c r="AX378" s="102" t="str">
        <f aca="false">IF(ISBLANK($C378),"",IF($AF378&lt;&gt;Constants!$B$7,"",IF(AN378=1,AH378,AK378)))</f>
        <v/>
      </c>
      <c r="AY378" s="103" t="str">
        <f aca="false">IF(ISBLANK($C378),"",IF($AF378&lt;&gt;Constants!$B$7,"",IF(AN378=1,AI378,AL378)))</f>
        <v/>
      </c>
      <c r="AZ378" s="104" t="str">
        <f aca="false">IF(ISBLANK($C378),"",IF($AF378&lt;&gt;Constants!$B$7,$AF378,AP378))</f>
        <v/>
      </c>
      <c r="BA378" s="105" t="str">
        <f aca="false">IF(ISBLANK($C378),"",IF($AF378&lt;&gt;Constants!$B$7,$AF378,AG378))</f>
        <v/>
      </c>
      <c r="BB378" s="106" t="str">
        <f aca="false">IF(ISBLANK($C378),"",AU378)</f>
        <v/>
      </c>
      <c r="BC378" s="106" t="str">
        <f aca="false">IF(ISBLANK($C378),"",AT378)</f>
        <v/>
      </c>
      <c r="BD378" s="107" t="str">
        <f aca="false">IF(ISBLANK($C378),"",IFERROR(_xlfn.SWITCH(BC378,Constants!$B$4,COUNTA($C$8:$C$507)+2,Constants!$B$5,COUNTA($C$8:$C$507)+1,Constants!$B$6,COUNTA($C$8:$C$507)),BC378))</f>
        <v/>
      </c>
      <c r="BE378" s="5"/>
      <c r="BF378" s="108" t="n">
        <f aca="false">IF(OR(ISNUMBER(BC378),BC378=Constants!$B$4,BC378=Constants!$B$6,BC378=Constants!$B$5),1,0)</f>
        <v>0</v>
      </c>
      <c r="BG378" s="108" t="n">
        <v>371</v>
      </c>
      <c r="BH378" s="108" t="str">
        <f aca="false">IF(ISBLANK($C378),"",IF(ISNUMBER(BD378),BD378+ROW($B378)/1000,""))</f>
        <v/>
      </c>
      <c r="BI378" s="108" t="str">
        <f aca="false">IF(ISNUMBER(BH378),RANK(BH378,$BH$8:$BH$507,1),"")</f>
        <v/>
      </c>
      <c r="BJ378" s="108" t="str">
        <f aca="false">IF(ISBLANK($C378),"",$B378)</f>
        <v/>
      </c>
      <c r="BK378" s="108" t="str">
        <f aca="false">IF(ISBLANK($C378),"",$C378)</f>
        <v/>
      </c>
      <c r="BL378" s="108" t="str">
        <f aca="false">IF(ISBLANK($C378),"",$D378)</f>
        <v/>
      </c>
      <c r="BM378" s="109" t="str">
        <f aca="false">BA378</f>
        <v/>
      </c>
      <c r="BN378" s="110" t="str">
        <f aca="false">AZ378</f>
        <v/>
      </c>
      <c r="BO378" s="108" t="str">
        <f aca="false">IF(ISBLANK($C378),"",BC378)</f>
        <v/>
      </c>
      <c r="BP378" s="111" t="str">
        <f aca="false">IF($BG378&gt;$BF$7,"",VLOOKUP($BG378,$BI$8:$BO$507,7,FALSE()))</f>
        <v/>
      </c>
      <c r="BQ378" s="112" t="str">
        <f aca="false">IF($BG378&gt;$BF$7,"",VLOOKUP($BG378,$BI$8:$BO$507,2,FALSE()))</f>
        <v/>
      </c>
      <c r="BR378" s="112" t="str">
        <f aca="false">IF($BG378&gt;$BF$7,"",VLOOKUP($BG378,$BI$8:$BO$507,3,FALSE()))</f>
        <v/>
      </c>
      <c r="BS378" s="112" t="str">
        <f aca="false">IF($BG378&gt;$BF$7,"",VLOOKUP($BG378,$BI$8:$BO$507,4,FALSE()))</f>
        <v/>
      </c>
      <c r="BT378" s="112" t="str">
        <f aca="false">IF($BG378&gt;$BF$7,"",VLOOKUP($BG378,$BI$8:$BO$507,5,FALSE()))</f>
        <v/>
      </c>
      <c r="BU378" s="113" t="str">
        <f aca="false">IF($BG378&gt;$BF$7,"",VLOOKUP($BG378,$BI$8:$BO$507,6,FALSE()))</f>
        <v/>
      </c>
      <c r="BV378" s="54"/>
    </row>
    <row r="379" customFormat="false" ht="15.75" hidden="false" customHeight="false" outlineLevel="0" collapsed="false">
      <c r="A379" s="5"/>
      <c r="B379" s="128"/>
      <c r="C379" s="129"/>
      <c r="D379" s="114"/>
      <c r="E379" s="134"/>
      <c r="F379" s="139"/>
      <c r="G379" s="93"/>
      <c r="H379" s="140"/>
      <c r="I379" s="95"/>
      <c r="J379" s="95"/>
      <c r="K379" s="93"/>
      <c r="L379" s="141"/>
      <c r="M379" s="95"/>
      <c r="N379" s="95"/>
      <c r="O379" s="93"/>
      <c r="P379" s="134"/>
      <c r="Q379" s="98"/>
      <c r="R379" s="99" t="str">
        <f aca="false">IF(ISBLANK($C379),"",IF(E379=Constants!$B$2, TRUE(), IF(E379=Constants!$B$3, FALSE(), TRUE())))</f>
        <v/>
      </c>
      <c r="S379" s="99" t="str">
        <f aca="false">IF(ISBLANK($C379),"",IF(F379=Constants!$B$2, TRUE(), IF(F379=Constants!$B$3, FALSE(), TRUE())))</f>
        <v/>
      </c>
      <c r="T379" s="99" t="str">
        <f aca="false">IF(ISBLANK($C379),"",IF(G379=Constants!$B$16,Constants!$B$9,IF(G379=Constants!$B$17,Constants!$B$10,Constants!$B$8)))</f>
        <v/>
      </c>
      <c r="U379" s="99" t="str">
        <f aca="false">IF(ISBLANK($C379),"",IF(H379=Constants!$B$19,Constants!$B$19,Constants!$B$18))</f>
        <v/>
      </c>
      <c r="V379" s="99" t="str">
        <f aca="false">IF(ISBLANK($C379),"",IF(ISNUMBER(I379),IF(I379&gt;=0,I379,""),""))</f>
        <v/>
      </c>
      <c r="W379" s="99" t="str">
        <f aca="false">IF(ISBLANK($C379),"",IF(J379=Constants!$B$2, TRUE(), IF(J379=Constants!$B$3, FALSE(), TRUE())))</f>
        <v/>
      </c>
      <c r="X379" s="99" t="str">
        <f aca="false">IF(ISBLANK($C379),"",IF(K379=Constants!$B$2, TRUE(), IF(K379=Constants!$B$3, FALSE(), TRUE())))</f>
        <v/>
      </c>
      <c r="Y379" s="99" t="str">
        <f aca="false">IF(ISBLANK($C379),"",IF(L379=Constants!$B$19,Constants!$B$19,Constants!$B$18))</f>
        <v/>
      </c>
      <c r="Z379" s="99" t="str">
        <f aca="false">IF(ISBLANK($C379),"",IF(ISNUMBER(M379),IF(M379&gt;=0,M379,""),""))</f>
        <v/>
      </c>
      <c r="AA379" s="99" t="str">
        <f aca="false">IF(ISBLANK($C379),"",IF(N379=Constants!$B$2, TRUE(), IF(N379=Constants!$B$3, FALSE(), TRUE())))</f>
        <v/>
      </c>
      <c r="AB379" s="99" t="str">
        <f aca="false">IF(ISBLANK($C379),"",IF(O379=Constants!$B$2, TRUE(), IF(O379=Constants!$B$3, FALSE(), TRUE())))</f>
        <v/>
      </c>
      <c r="AC379" s="99" t="str">
        <f aca="false">IF(ISBLANK($C379),"",IF(P379=Constants!$B$2, TRUE(), IF(P379=Constants!$B$3, FALSE(), FALSE())))</f>
        <v/>
      </c>
      <c r="AD379" s="99" t="str">
        <f aca="false">IF(ISBLANK($C379),"",AND(V379&lt;&gt;"",IF(U379=Constants!$B$19,S379,R379)))</f>
        <v/>
      </c>
      <c r="AE379" s="99" t="str">
        <f aca="false">IF(ISBLANK($C379),"",AND(Z379&lt;&gt;"",IF(Y379=Constants!$B$19,S379,R379)))</f>
        <v/>
      </c>
      <c r="AF379" s="99" t="str">
        <f aca="false">IF(ISBLANK($C379),"",IF(AC379,Constants!$B$4,IF(COUNTA(E379:O379)=0,Constants!$B$5,IF(AND(NOT(AD379),NOT(AE379)),Constants!$B$6,Constants!$B$7))))</f>
        <v/>
      </c>
      <c r="AG379" s="99" t="str">
        <f aca="false">IF(ISBLANK($C379),"",IF($AF379&lt;&gt;Constants!$B$7,$AF379,Constants!$B$20))</f>
        <v/>
      </c>
      <c r="AH379" s="99" t="str">
        <f aca="false">IF($AF379=Constants!$B$7,IF(AD379,V379,Constants!$B$13),"")</f>
        <v/>
      </c>
      <c r="AI379" s="99" t="str">
        <f aca="false">IF($AF379=Constants!$B$7,IF(AD379,T379*IF(W379, 1, Constants!$B$11)*IF(X379, 1, Constants!$B$12),Constants!$B$13),"")</f>
        <v/>
      </c>
      <c r="AJ379" s="99" t="str">
        <f aca="false">IF($AF379=Constants!$B$7,AH379*AI379,"")</f>
        <v/>
      </c>
      <c r="AK379" s="99" t="str">
        <f aca="false">IF($AF379=Constants!$B$7,IF(AE379,Z379,Constants!$B$13),"")</f>
        <v/>
      </c>
      <c r="AL379" s="99" t="str">
        <f aca="false">IF($AF379=Constants!$B$7,IF(AE379,T379*IF(AA379, 1, Constants!$B$11)*IF(AB379, 1, Constants!$B$12),Constants!$B$13),"")</f>
        <v/>
      </c>
      <c r="AM379" s="99" t="str">
        <f aca="false">IF($AF379=Constants!$B$7,AK379*AL379,"")</f>
        <v/>
      </c>
      <c r="AN379" s="99" t="str">
        <f aca="false">IF($AF379=Constants!$B$7,IF(AM379&gt;AJ379,2,1),"")</f>
        <v/>
      </c>
      <c r="AO379" s="99" t="str">
        <f aca="false">IF($AF379=Constants!$B$7,IF(AN379=1,2,1),"")</f>
        <v/>
      </c>
      <c r="AP379" s="99" t="str">
        <f aca="false">IF(ISBLANK($C379),"",IF($AF379&lt;&gt;Constants!$B$7,$AF379,IF(AN379=1,AJ379,AM379)))</f>
        <v/>
      </c>
      <c r="AQ379" s="99" t="str">
        <f aca="false">IF(ISBLANK($C379),"",IF($AF379=Constants!$B$7,IF(ISNUMBER(AP379),RANK(AP379,$AP$8:$AP$507),Constants!$B$14),$AF379))</f>
        <v/>
      </c>
      <c r="AR379" s="99" t="str">
        <f aca="false">IF(ISBLANK($C379),"",IF($AF379=Constants!$B$7,IF(AO379=1,AJ379,AM379),""))</f>
        <v/>
      </c>
      <c r="AS379" s="99" t="str">
        <f aca="false">IF(ISBLANK($C379),"",IF($AF379=Constants!$B$7,RANK(AR379,$AR$8:$AR$507),$AF379))</f>
        <v/>
      </c>
      <c r="AT379" s="99" t="str">
        <f aca="false">IF(ISBLANK($C379),"",IF($AF379=Constants!$B$7,IF(ISNUMBER(AQ379),COUNTIFS($AQ$8:$AQ$507,"&lt;"&amp;$AQ379)+COUNTIFS($AQ$8:$AQ$507,$AQ379,$AS$8:$AS$507,"&lt;"&amp;$AS379)+1,Constants!$B$14),$AF379))</f>
        <v/>
      </c>
      <c r="AU379" s="99" t="str">
        <f aca="false">IF(ISBLANK($C379),"",IF($AF379=Constants!$B$7,IF(ISNUMBER(AQ379),AQ379-AT379,Constants!$B$14),$AF379))</f>
        <v/>
      </c>
      <c r="AV379" s="100"/>
      <c r="AW379" s="101" t="str">
        <f aca="false">IF(ISBLANK($C379),"",IF($AF379&lt;&gt;Constants!$B$7,"",AN379))</f>
        <v/>
      </c>
      <c r="AX379" s="102" t="str">
        <f aca="false">IF(ISBLANK($C379),"",IF($AF379&lt;&gt;Constants!$B$7,"",IF(AN379=1,AH379,AK379)))</f>
        <v/>
      </c>
      <c r="AY379" s="103" t="str">
        <f aca="false">IF(ISBLANK($C379),"",IF($AF379&lt;&gt;Constants!$B$7,"",IF(AN379=1,AI379,AL379)))</f>
        <v/>
      </c>
      <c r="AZ379" s="104" t="str">
        <f aca="false">IF(ISBLANK($C379),"",IF($AF379&lt;&gt;Constants!$B$7,$AF379,AP379))</f>
        <v/>
      </c>
      <c r="BA379" s="105" t="str">
        <f aca="false">IF(ISBLANK($C379),"",IF($AF379&lt;&gt;Constants!$B$7,$AF379,AG379))</f>
        <v/>
      </c>
      <c r="BB379" s="106" t="str">
        <f aca="false">IF(ISBLANK($C379),"",AU379)</f>
        <v/>
      </c>
      <c r="BC379" s="106" t="str">
        <f aca="false">IF(ISBLANK($C379),"",AT379)</f>
        <v/>
      </c>
      <c r="BD379" s="107" t="str">
        <f aca="false">IF(ISBLANK($C379),"",IFERROR(_xlfn.SWITCH(BC379,Constants!$B$4,COUNTA($C$8:$C$507)+2,Constants!$B$5,COUNTA($C$8:$C$507)+1,Constants!$B$6,COUNTA($C$8:$C$507)),BC379))</f>
        <v/>
      </c>
      <c r="BE379" s="5"/>
      <c r="BF379" s="108" t="n">
        <f aca="false">IF(OR(ISNUMBER(BC379),BC379=Constants!$B$4,BC379=Constants!$B$6,BC379=Constants!$B$5),1,0)</f>
        <v>0</v>
      </c>
      <c r="BG379" s="108" t="n">
        <v>372</v>
      </c>
      <c r="BH379" s="108" t="str">
        <f aca="false">IF(ISBLANK($C379),"",IF(ISNUMBER(BD379),BD379+ROW($B379)/1000,""))</f>
        <v/>
      </c>
      <c r="BI379" s="108" t="str">
        <f aca="false">IF(ISNUMBER(BH379),RANK(BH379,$BH$8:$BH$507,1),"")</f>
        <v/>
      </c>
      <c r="BJ379" s="108" t="str">
        <f aca="false">IF(ISBLANK($C379),"",$B379)</f>
        <v/>
      </c>
      <c r="BK379" s="108" t="str">
        <f aca="false">IF(ISBLANK($C379),"",$C379)</f>
        <v/>
      </c>
      <c r="BL379" s="108" t="str">
        <f aca="false">IF(ISBLANK($C379),"",$D379)</f>
        <v/>
      </c>
      <c r="BM379" s="109" t="str">
        <f aca="false">BA379</f>
        <v/>
      </c>
      <c r="BN379" s="110" t="str">
        <f aca="false">AZ379</f>
        <v/>
      </c>
      <c r="BO379" s="108" t="str">
        <f aca="false">IF(ISBLANK($C379),"",BC379)</f>
        <v/>
      </c>
      <c r="BP379" s="111" t="str">
        <f aca="false">IF($BG379&gt;$BF$7,"",VLOOKUP($BG379,$BI$8:$BO$507,7,FALSE()))</f>
        <v/>
      </c>
      <c r="BQ379" s="112" t="str">
        <f aca="false">IF($BG379&gt;$BF$7,"",VLOOKUP($BG379,$BI$8:$BO$507,2,FALSE()))</f>
        <v/>
      </c>
      <c r="BR379" s="112" t="str">
        <f aca="false">IF($BG379&gt;$BF$7,"",VLOOKUP($BG379,$BI$8:$BO$507,3,FALSE()))</f>
        <v/>
      </c>
      <c r="BS379" s="112" t="str">
        <f aca="false">IF($BG379&gt;$BF$7,"",VLOOKUP($BG379,$BI$8:$BO$507,4,FALSE()))</f>
        <v/>
      </c>
      <c r="BT379" s="112" t="str">
        <f aca="false">IF($BG379&gt;$BF$7,"",VLOOKUP($BG379,$BI$8:$BO$507,5,FALSE()))</f>
        <v/>
      </c>
      <c r="BU379" s="113" t="str">
        <f aca="false">IF($BG379&gt;$BF$7,"",VLOOKUP($BG379,$BI$8:$BO$507,6,FALSE()))</f>
        <v/>
      </c>
      <c r="BV379" s="54"/>
    </row>
    <row r="380" customFormat="false" ht="15.75" hidden="false" customHeight="false" outlineLevel="0" collapsed="false">
      <c r="A380" s="5"/>
      <c r="B380" s="135"/>
      <c r="C380" s="56"/>
      <c r="D380" s="57"/>
      <c r="E380" s="84"/>
      <c r="F380" s="136"/>
      <c r="G380" s="60"/>
      <c r="H380" s="137"/>
      <c r="I380" s="62"/>
      <c r="J380" s="62"/>
      <c r="K380" s="60"/>
      <c r="L380" s="138"/>
      <c r="M380" s="62"/>
      <c r="N380" s="62"/>
      <c r="O380" s="60"/>
      <c r="P380" s="84"/>
      <c r="Q380" s="65"/>
      <c r="R380" s="67" t="str">
        <f aca="false">IF(ISBLANK($C380),"",IF(E380=Constants!$B$2, TRUE(), IF(E380=Constants!$B$3, FALSE(), TRUE())))</f>
        <v/>
      </c>
      <c r="S380" s="67" t="str">
        <f aca="false">IF(ISBLANK($C380),"",IF(F380=Constants!$B$2, TRUE(), IF(F380=Constants!$B$3, FALSE(), TRUE())))</f>
        <v/>
      </c>
      <c r="T380" s="67" t="str">
        <f aca="false">IF(ISBLANK($C380),"",IF(G380=Constants!$B$16,Constants!$B$9,IF(G380=Constants!$B$17,Constants!$B$10,Constants!$B$8)))</f>
        <v/>
      </c>
      <c r="U380" s="67" t="str">
        <f aca="false">IF(ISBLANK($C380),"",IF(H380=Constants!$B$19,Constants!$B$19,Constants!$B$18))</f>
        <v/>
      </c>
      <c r="V380" s="67" t="str">
        <f aca="false">IF(ISBLANK($C380),"",IF(ISNUMBER(I380),IF(I380&gt;=0,I380,""),""))</f>
        <v/>
      </c>
      <c r="W380" s="67" t="str">
        <f aca="false">IF(ISBLANK($C380),"",IF(J380=Constants!$B$2, TRUE(), IF(J380=Constants!$B$3, FALSE(), TRUE())))</f>
        <v/>
      </c>
      <c r="X380" s="67" t="str">
        <f aca="false">IF(ISBLANK($C380),"",IF(K380=Constants!$B$2, TRUE(), IF(K380=Constants!$B$3, FALSE(), TRUE())))</f>
        <v/>
      </c>
      <c r="Y380" s="67" t="str">
        <f aca="false">IF(ISBLANK($C380),"",IF(L380=Constants!$B$19,Constants!$B$19,Constants!$B$18))</f>
        <v/>
      </c>
      <c r="Z380" s="67" t="str">
        <f aca="false">IF(ISBLANK($C380),"",IF(ISNUMBER(M380),IF(M380&gt;=0,M380,""),""))</f>
        <v/>
      </c>
      <c r="AA380" s="67" t="str">
        <f aca="false">IF(ISBLANK($C380),"",IF(N380=Constants!$B$2, TRUE(), IF(N380=Constants!$B$3, FALSE(), TRUE())))</f>
        <v/>
      </c>
      <c r="AB380" s="67" t="str">
        <f aca="false">IF(ISBLANK($C380),"",IF(O380=Constants!$B$2, TRUE(), IF(O380=Constants!$B$3, FALSE(), TRUE())))</f>
        <v/>
      </c>
      <c r="AC380" s="67" t="str">
        <f aca="false">IF(ISBLANK($C380),"",IF(P380=Constants!$B$2, TRUE(), IF(P380=Constants!$B$3, FALSE(), FALSE())))</f>
        <v/>
      </c>
      <c r="AD380" s="67" t="str">
        <f aca="false">IF(ISBLANK($C380),"",AND(V380&lt;&gt;"",IF(U380=Constants!$B$19,S380,R380)))</f>
        <v/>
      </c>
      <c r="AE380" s="67" t="str">
        <f aca="false">IF(ISBLANK($C380),"",AND(Z380&lt;&gt;"",IF(Y380=Constants!$B$19,S380,R380)))</f>
        <v/>
      </c>
      <c r="AF380" s="67" t="str">
        <f aca="false">IF(ISBLANK($C380),"",IF(AC380,Constants!$B$4,IF(COUNTA(E380:O380)=0,Constants!$B$5,IF(AND(NOT(AD380),NOT(AE380)),Constants!$B$6,Constants!$B$7))))</f>
        <v/>
      </c>
      <c r="AG380" s="67" t="str">
        <f aca="false">IF(ISBLANK($C380),"",IF($AF380&lt;&gt;Constants!$B$7,$AF380,Constants!$B$20))</f>
        <v/>
      </c>
      <c r="AH380" s="67" t="str">
        <f aca="false">IF($AF380=Constants!$B$7,IF(AD380,V380,Constants!$B$13),"")</f>
        <v/>
      </c>
      <c r="AI380" s="67" t="str">
        <f aca="false">IF($AF380=Constants!$B$7,IF(AD380,T380*IF(W380, 1, Constants!$B$11)*IF(X380, 1, Constants!$B$12),Constants!$B$13),"")</f>
        <v/>
      </c>
      <c r="AJ380" s="67" t="str">
        <f aca="false">IF($AF380=Constants!$B$7,AH380*AI380,"")</f>
        <v/>
      </c>
      <c r="AK380" s="67" t="str">
        <f aca="false">IF($AF380=Constants!$B$7,IF(AE380,Z380,Constants!$B$13),"")</f>
        <v/>
      </c>
      <c r="AL380" s="67" t="str">
        <f aca="false">IF($AF380=Constants!$B$7,IF(AE380,T380*IF(AA380, 1, Constants!$B$11)*IF(AB380, 1, Constants!$B$12),Constants!$B$13),"")</f>
        <v/>
      </c>
      <c r="AM380" s="67" t="str">
        <f aca="false">IF($AF380=Constants!$B$7,AK380*AL380,"")</f>
        <v/>
      </c>
      <c r="AN380" s="67" t="str">
        <f aca="false">IF($AF380=Constants!$B$7,IF(AM380&gt;AJ380,2,1),"")</f>
        <v/>
      </c>
      <c r="AO380" s="67" t="str">
        <f aca="false">IF($AF380=Constants!$B$7,IF(AN380=1,2,1),"")</f>
        <v/>
      </c>
      <c r="AP380" s="67" t="str">
        <f aca="false">IF(ISBLANK($C380),"",IF($AF380&lt;&gt;Constants!$B$7,$AF380,IF(AN380=1,AJ380,AM380)))</f>
        <v/>
      </c>
      <c r="AQ380" s="67" t="str">
        <f aca="false">IF(ISBLANK($C380),"",IF($AF380=Constants!$B$7,IF(ISNUMBER(AP380),RANK(AP380,$AP$8:$AP$507),Constants!$B$14),$AF380))</f>
        <v/>
      </c>
      <c r="AR380" s="67" t="str">
        <f aca="false">IF(ISBLANK($C380),"",IF($AF380=Constants!$B$7,IF(AO380=1,AJ380,AM380),""))</f>
        <v/>
      </c>
      <c r="AS380" s="67" t="str">
        <f aca="false">IF(ISBLANK($C380),"",IF($AF380=Constants!$B$7,RANK(AR380,$AR$8:$AR$507),$AF380))</f>
        <v/>
      </c>
      <c r="AT380" s="67" t="str">
        <f aca="false">IF(ISBLANK($C380),"",IF($AF380=Constants!$B$7,IF(ISNUMBER(AQ380),COUNTIFS($AQ$8:$AQ$507,"&lt;"&amp;$AQ380)+COUNTIFS($AQ$8:$AQ$507,$AQ380,$AS$8:$AS$507,"&lt;"&amp;$AS380)+1,Constants!$B$14),$AF380))</f>
        <v/>
      </c>
      <c r="AU380" s="67" t="str">
        <f aca="false">IF(ISBLANK($C380),"",IF($AF380=Constants!$B$7,IF(ISNUMBER(AQ380),AQ380-AT380,Constants!$B$14),$AF380))</f>
        <v/>
      </c>
      <c r="AV380" s="69"/>
      <c r="AW380" s="70" t="str">
        <f aca="false">IF(ISBLANK($C380),"",IF($AF380&lt;&gt;Constants!$B$7,"",AN380))</f>
        <v/>
      </c>
      <c r="AX380" s="85" t="str">
        <f aca="false">IF(ISBLANK($C380),"",IF($AF380&lt;&gt;Constants!$B$7,"",IF(AN380=1,AH380,AK380)))</f>
        <v/>
      </c>
      <c r="AY380" s="72" t="str">
        <f aca="false">IF(ISBLANK($C380),"",IF($AF380&lt;&gt;Constants!$B$7,"",IF(AN380=1,AI380,AL380)))</f>
        <v/>
      </c>
      <c r="AZ380" s="73" t="str">
        <f aca="false">IF(ISBLANK($C380),"",IF($AF380&lt;&gt;Constants!$B$7,$AF380,AP380))</f>
        <v/>
      </c>
      <c r="BA380" s="74" t="str">
        <f aca="false">IF(ISBLANK($C380),"",IF($AF380&lt;&gt;Constants!$B$7,$AF380,AG380))</f>
        <v/>
      </c>
      <c r="BB380" s="75" t="str">
        <f aca="false">IF(ISBLANK($C380),"",AU380)</f>
        <v/>
      </c>
      <c r="BC380" s="75" t="str">
        <f aca="false">IF(ISBLANK($C380),"",AT380)</f>
        <v/>
      </c>
      <c r="BD380" s="76" t="str">
        <f aca="false">IF(ISBLANK($C380),"",IFERROR(_xlfn.SWITCH(BC380,Constants!$B$4,COUNTA($C$8:$C$507)+2,Constants!$B$5,COUNTA($C$8:$C$507)+1,Constants!$B$6,COUNTA($C$8:$C$507)),BC380))</f>
        <v/>
      </c>
      <c r="BE380" s="5"/>
      <c r="BF380" s="77" t="n">
        <f aca="false">IF(OR(ISNUMBER(BC380),BC380=Constants!$B$4,BC380=Constants!$B$6,BC380=Constants!$B$5),1,0)</f>
        <v>0</v>
      </c>
      <c r="BG380" s="77" t="n">
        <v>373</v>
      </c>
      <c r="BH380" s="77" t="str">
        <f aca="false">IF(ISBLANK($C380),"",IF(ISNUMBER(BD380),BD380+ROW($B380)/1000,""))</f>
        <v/>
      </c>
      <c r="BI380" s="77" t="str">
        <f aca="false">IF(ISNUMBER(BH380),RANK(BH380,$BH$8:$BH$507,1),"")</f>
        <v/>
      </c>
      <c r="BJ380" s="77" t="str">
        <f aca="false">IF(ISBLANK($C380),"",$B380)</f>
        <v/>
      </c>
      <c r="BK380" s="77" t="str">
        <f aca="false">IF(ISBLANK($C380),"",$C380)</f>
        <v/>
      </c>
      <c r="BL380" s="77" t="str">
        <f aca="false">IF(ISBLANK($C380),"",$D380)</f>
        <v/>
      </c>
      <c r="BM380" s="78" t="str">
        <f aca="false">BA380</f>
        <v/>
      </c>
      <c r="BN380" s="79" t="str">
        <f aca="false">AZ380</f>
        <v/>
      </c>
      <c r="BO380" s="77" t="str">
        <f aca="false">IF(ISBLANK($C380),"",BC380)</f>
        <v/>
      </c>
      <c r="BP380" s="80" t="str">
        <f aca="false">IF($BG380&gt;$BF$7,"",VLOOKUP($BG380,$BI$8:$BO$507,7,FALSE()))</f>
        <v/>
      </c>
      <c r="BQ380" s="81" t="str">
        <f aca="false">IF($BG380&gt;$BF$7,"",VLOOKUP($BG380,$BI$8:$BO$507,2,FALSE()))</f>
        <v/>
      </c>
      <c r="BR380" s="81" t="str">
        <f aca="false">IF($BG380&gt;$BF$7,"",VLOOKUP($BG380,$BI$8:$BO$507,3,FALSE()))</f>
        <v/>
      </c>
      <c r="BS380" s="81" t="str">
        <f aca="false">IF($BG380&gt;$BF$7,"",VLOOKUP($BG380,$BI$8:$BO$507,4,FALSE()))</f>
        <v/>
      </c>
      <c r="BT380" s="81" t="str">
        <f aca="false">IF($BG380&gt;$BF$7,"",VLOOKUP($BG380,$BI$8:$BO$507,5,FALSE()))</f>
        <v/>
      </c>
      <c r="BU380" s="82" t="str">
        <f aca="false">IF($BG380&gt;$BF$7,"",VLOOKUP($BG380,$BI$8:$BO$507,6,FALSE()))</f>
        <v/>
      </c>
      <c r="BV380" s="54"/>
    </row>
    <row r="381" customFormat="false" ht="15.75" hidden="false" customHeight="false" outlineLevel="0" collapsed="false">
      <c r="A381" s="5"/>
      <c r="B381" s="135"/>
      <c r="C381" s="56"/>
      <c r="D381" s="57"/>
      <c r="E381" s="84"/>
      <c r="F381" s="136"/>
      <c r="G381" s="60"/>
      <c r="H381" s="137"/>
      <c r="I381" s="62"/>
      <c r="J381" s="62"/>
      <c r="K381" s="60"/>
      <c r="L381" s="138"/>
      <c r="M381" s="62"/>
      <c r="N381" s="62"/>
      <c r="O381" s="60"/>
      <c r="P381" s="84"/>
      <c r="Q381" s="65"/>
      <c r="R381" s="67" t="str">
        <f aca="false">IF(ISBLANK($C381),"",IF(E381=Constants!$B$2, TRUE(), IF(E381=Constants!$B$3, FALSE(), TRUE())))</f>
        <v/>
      </c>
      <c r="S381" s="67" t="str">
        <f aca="false">IF(ISBLANK($C381),"",IF(F381=Constants!$B$2, TRUE(), IF(F381=Constants!$B$3, FALSE(), TRUE())))</f>
        <v/>
      </c>
      <c r="T381" s="67" t="str">
        <f aca="false">IF(ISBLANK($C381),"",IF(G381=Constants!$B$16,Constants!$B$9,IF(G381=Constants!$B$17,Constants!$B$10,Constants!$B$8)))</f>
        <v/>
      </c>
      <c r="U381" s="67" t="str">
        <f aca="false">IF(ISBLANK($C381),"",IF(H381=Constants!$B$19,Constants!$B$19,Constants!$B$18))</f>
        <v/>
      </c>
      <c r="V381" s="67" t="str">
        <f aca="false">IF(ISBLANK($C381),"",IF(ISNUMBER(I381),IF(I381&gt;=0,I381,""),""))</f>
        <v/>
      </c>
      <c r="W381" s="67" t="str">
        <f aca="false">IF(ISBLANK($C381),"",IF(J381=Constants!$B$2, TRUE(), IF(J381=Constants!$B$3, FALSE(), TRUE())))</f>
        <v/>
      </c>
      <c r="X381" s="67" t="str">
        <f aca="false">IF(ISBLANK($C381),"",IF(K381=Constants!$B$2, TRUE(), IF(K381=Constants!$B$3, FALSE(), TRUE())))</f>
        <v/>
      </c>
      <c r="Y381" s="67" t="str">
        <f aca="false">IF(ISBLANK($C381),"",IF(L381=Constants!$B$19,Constants!$B$19,Constants!$B$18))</f>
        <v/>
      </c>
      <c r="Z381" s="67" t="str">
        <f aca="false">IF(ISBLANK($C381),"",IF(ISNUMBER(M381),IF(M381&gt;=0,M381,""),""))</f>
        <v/>
      </c>
      <c r="AA381" s="67" t="str">
        <f aca="false">IF(ISBLANK($C381),"",IF(N381=Constants!$B$2, TRUE(), IF(N381=Constants!$B$3, FALSE(), TRUE())))</f>
        <v/>
      </c>
      <c r="AB381" s="67" t="str">
        <f aca="false">IF(ISBLANK($C381),"",IF(O381=Constants!$B$2, TRUE(), IF(O381=Constants!$B$3, FALSE(), TRUE())))</f>
        <v/>
      </c>
      <c r="AC381" s="67" t="str">
        <f aca="false">IF(ISBLANK($C381),"",IF(P381=Constants!$B$2, TRUE(), IF(P381=Constants!$B$3, FALSE(), FALSE())))</f>
        <v/>
      </c>
      <c r="AD381" s="67" t="str">
        <f aca="false">IF(ISBLANK($C381),"",AND(V381&lt;&gt;"",IF(U381=Constants!$B$19,S381,R381)))</f>
        <v/>
      </c>
      <c r="AE381" s="67" t="str">
        <f aca="false">IF(ISBLANK($C381),"",AND(Z381&lt;&gt;"",IF(Y381=Constants!$B$19,S381,R381)))</f>
        <v/>
      </c>
      <c r="AF381" s="67" t="str">
        <f aca="false">IF(ISBLANK($C381),"",IF(AC381,Constants!$B$4,IF(COUNTA(E381:O381)=0,Constants!$B$5,IF(AND(NOT(AD381),NOT(AE381)),Constants!$B$6,Constants!$B$7))))</f>
        <v/>
      </c>
      <c r="AG381" s="67" t="str">
        <f aca="false">IF(ISBLANK($C381),"",IF($AF381&lt;&gt;Constants!$B$7,$AF381,Constants!$B$20))</f>
        <v/>
      </c>
      <c r="AH381" s="67" t="str">
        <f aca="false">IF($AF381=Constants!$B$7,IF(AD381,V381,Constants!$B$13),"")</f>
        <v/>
      </c>
      <c r="AI381" s="67" t="str">
        <f aca="false">IF($AF381=Constants!$B$7,IF(AD381,T381*IF(W381, 1, Constants!$B$11)*IF(X381, 1, Constants!$B$12),Constants!$B$13),"")</f>
        <v/>
      </c>
      <c r="AJ381" s="67" t="str">
        <f aca="false">IF($AF381=Constants!$B$7,AH381*AI381,"")</f>
        <v/>
      </c>
      <c r="AK381" s="67" t="str">
        <f aca="false">IF($AF381=Constants!$B$7,IF(AE381,Z381,Constants!$B$13),"")</f>
        <v/>
      </c>
      <c r="AL381" s="67" t="str">
        <f aca="false">IF($AF381=Constants!$B$7,IF(AE381,T381*IF(AA381, 1, Constants!$B$11)*IF(AB381, 1, Constants!$B$12),Constants!$B$13),"")</f>
        <v/>
      </c>
      <c r="AM381" s="67" t="str">
        <f aca="false">IF($AF381=Constants!$B$7,AK381*AL381,"")</f>
        <v/>
      </c>
      <c r="AN381" s="67" t="str">
        <f aca="false">IF($AF381=Constants!$B$7,IF(AM381&gt;AJ381,2,1),"")</f>
        <v/>
      </c>
      <c r="AO381" s="67" t="str">
        <f aca="false">IF($AF381=Constants!$B$7,IF(AN381=1,2,1),"")</f>
        <v/>
      </c>
      <c r="AP381" s="67" t="str">
        <f aca="false">IF(ISBLANK($C381),"",IF($AF381&lt;&gt;Constants!$B$7,$AF381,IF(AN381=1,AJ381,AM381)))</f>
        <v/>
      </c>
      <c r="AQ381" s="67" t="str">
        <f aca="false">IF(ISBLANK($C381),"",IF($AF381=Constants!$B$7,IF(ISNUMBER(AP381),RANK(AP381,$AP$8:$AP$507),Constants!$B$14),$AF381))</f>
        <v/>
      </c>
      <c r="AR381" s="67" t="str">
        <f aca="false">IF(ISBLANK($C381),"",IF($AF381=Constants!$B$7,IF(AO381=1,AJ381,AM381),""))</f>
        <v/>
      </c>
      <c r="AS381" s="67" t="str">
        <f aca="false">IF(ISBLANK($C381),"",IF($AF381=Constants!$B$7,RANK(AR381,$AR$8:$AR$507),$AF381))</f>
        <v/>
      </c>
      <c r="AT381" s="67" t="str">
        <f aca="false">IF(ISBLANK($C381),"",IF($AF381=Constants!$B$7,IF(ISNUMBER(AQ381),COUNTIFS($AQ$8:$AQ$507,"&lt;"&amp;$AQ381)+COUNTIFS($AQ$8:$AQ$507,$AQ381,$AS$8:$AS$507,"&lt;"&amp;$AS381)+1,Constants!$B$14),$AF381))</f>
        <v/>
      </c>
      <c r="AU381" s="67" t="str">
        <f aca="false">IF(ISBLANK($C381),"",IF($AF381=Constants!$B$7,IF(ISNUMBER(AQ381),AQ381-AT381,Constants!$B$14),$AF381))</f>
        <v/>
      </c>
      <c r="AV381" s="69"/>
      <c r="AW381" s="70" t="str">
        <f aca="false">IF(ISBLANK($C381),"",IF($AF381&lt;&gt;Constants!$B$7,"",AN381))</f>
        <v/>
      </c>
      <c r="AX381" s="85" t="str">
        <f aca="false">IF(ISBLANK($C381),"",IF($AF381&lt;&gt;Constants!$B$7,"",IF(AN381=1,AH381,AK381)))</f>
        <v/>
      </c>
      <c r="AY381" s="72" t="str">
        <f aca="false">IF(ISBLANK($C381),"",IF($AF381&lt;&gt;Constants!$B$7,"",IF(AN381=1,AI381,AL381)))</f>
        <v/>
      </c>
      <c r="AZ381" s="73" t="str">
        <f aca="false">IF(ISBLANK($C381),"",IF($AF381&lt;&gt;Constants!$B$7,$AF381,AP381))</f>
        <v/>
      </c>
      <c r="BA381" s="74" t="str">
        <f aca="false">IF(ISBLANK($C381),"",IF($AF381&lt;&gt;Constants!$B$7,$AF381,AG381))</f>
        <v/>
      </c>
      <c r="BB381" s="75" t="str">
        <f aca="false">IF(ISBLANK($C381),"",AU381)</f>
        <v/>
      </c>
      <c r="BC381" s="75" t="str">
        <f aca="false">IF(ISBLANK($C381),"",AT381)</f>
        <v/>
      </c>
      <c r="BD381" s="76" t="str">
        <f aca="false">IF(ISBLANK($C381),"",IFERROR(_xlfn.SWITCH(BC381,Constants!$B$4,COUNTA($C$8:$C$507)+2,Constants!$B$5,COUNTA($C$8:$C$507)+1,Constants!$B$6,COUNTA($C$8:$C$507)),BC381))</f>
        <v/>
      </c>
      <c r="BE381" s="5"/>
      <c r="BF381" s="77" t="n">
        <f aca="false">IF(OR(ISNUMBER(BC381),BC381=Constants!$B$4,BC381=Constants!$B$6,BC381=Constants!$B$5),1,0)</f>
        <v>0</v>
      </c>
      <c r="BG381" s="77" t="n">
        <v>374</v>
      </c>
      <c r="BH381" s="77" t="str">
        <f aca="false">IF(ISBLANK($C381),"",IF(ISNUMBER(BD381),BD381+ROW($B381)/1000,""))</f>
        <v/>
      </c>
      <c r="BI381" s="77" t="str">
        <f aca="false">IF(ISNUMBER(BH381),RANK(BH381,$BH$8:$BH$507,1),"")</f>
        <v/>
      </c>
      <c r="BJ381" s="77" t="str">
        <f aca="false">IF(ISBLANK($C381),"",$B381)</f>
        <v/>
      </c>
      <c r="BK381" s="77" t="str">
        <f aca="false">IF(ISBLANK($C381),"",$C381)</f>
        <v/>
      </c>
      <c r="BL381" s="77" t="str">
        <f aca="false">IF(ISBLANK($C381),"",$D381)</f>
        <v/>
      </c>
      <c r="BM381" s="78" t="str">
        <f aca="false">BA381</f>
        <v/>
      </c>
      <c r="BN381" s="79" t="str">
        <f aca="false">AZ381</f>
        <v/>
      </c>
      <c r="BO381" s="77" t="str">
        <f aca="false">IF(ISBLANK($C381),"",BC381)</f>
        <v/>
      </c>
      <c r="BP381" s="80" t="str">
        <f aca="false">IF($BG381&gt;$BF$7,"",VLOOKUP($BG381,$BI$8:$BO$507,7,FALSE()))</f>
        <v/>
      </c>
      <c r="BQ381" s="81" t="str">
        <f aca="false">IF($BG381&gt;$BF$7,"",VLOOKUP($BG381,$BI$8:$BO$507,2,FALSE()))</f>
        <v/>
      </c>
      <c r="BR381" s="81" t="str">
        <f aca="false">IF($BG381&gt;$BF$7,"",VLOOKUP($BG381,$BI$8:$BO$507,3,FALSE()))</f>
        <v/>
      </c>
      <c r="BS381" s="81" t="str">
        <f aca="false">IF($BG381&gt;$BF$7,"",VLOOKUP($BG381,$BI$8:$BO$507,4,FALSE()))</f>
        <v/>
      </c>
      <c r="BT381" s="81" t="str">
        <f aca="false">IF($BG381&gt;$BF$7,"",VLOOKUP($BG381,$BI$8:$BO$507,5,FALSE()))</f>
        <v/>
      </c>
      <c r="BU381" s="82" t="str">
        <f aca="false">IF($BG381&gt;$BF$7,"",VLOOKUP($BG381,$BI$8:$BO$507,6,FALSE()))</f>
        <v/>
      </c>
      <c r="BV381" s="54"/>
    </row>
    <row r="382" customFormat="false" ht="15.75" hidden="false" customHeight="false" outlineLevel="0" collapsed="false">
      <c r="A382" s="5"/>
      <c r="B382" s="135"/>
      <c r="C382" s="56"/>
      <c r="D382" s="57"/>
      <c r="E382" s="84"/>
      <c r="F382" s="136"/>
      <c r="G382" s="60"/>
      <c r="H382" s="137"/>
      <c r="I382" s="62"/>
      <c r="J382" s="62"/>
      <c r="K382" s="60"/>
      <c r="L382" s="138"/>
      <c r="M382" s="62"/>
      <c r="N382" s="62"/>
      <c r="O382" s="60"/>
      <c r="P382" s="84"/>
      <c r="Q382" s="65"/>
      <c r="R382" s="67" t="str">
        <f aca="false">IF(ISBLANK($C382),"",IF(E382=Constants!$B$2, TRUE(), IF(E382=Constants!$B$3, FALSE(), TRUE())))</f>
        <v/>
      </c>
      <c r="S382" s="67" t="str">
        <f aca="false">IF(ISBLANK($C382),"",IF(F382=Constants!$B$2, TRUE(), IF(F382=Constants!$B$3, FALSE(), TRUE())))</f>
        <v/>
      </c>
      <c r="T382" s="67" t="str">
        <f aca="false">IF(ISBLANK($C382),"",IF(G382=Constants!$B$16,Constants!$B$9,IF(G382=Constants!$B$17,Constants!$B$10,Constants!$B$8)))</f>
        <v/>
      </c>
      <c r="U382" s="67" t="str">
        <f aca="false">IF(ISBLANK($C382),"",IF(H382=Constants!$B$19,Constants!$B$19,Constants!$B$18))</f>
        <v/>
      </c>
      <c r="V382" s="67" t="str">
        <f aca="false">IF(ISBLANK($C382),"",IF(ISNUMBER(I382),IF(I382&gt;=0,I382,""),""))</f>
        <v/>
      </c>
      <c r="W382" s="67" t="str">
        <f aca="false">IF(ISBLANK($C382),"",IF(J382=Constants!$B$2, TRUE(), IF(J382=Constants!$B$3, FALSE(), TRUE())))</f>
        <v/>
      </c>
      <c r="X382" s="67" t="str">
        <f aca="false">IF(ISBLANK($C382),"",IF(K382=Constants!$B$2, TRUE(), IF(K382=Constants!$B$3, FALSE(), TRUE())))</f>
        <v/>
      </c>
      <c r="Y382" s="67" t="str">
        <f aca="false">IF(ISBLANK($C382),"",IF(L382=Constants!$B$19,Constants!$B$19,Constants!$B$18))</f>
        <v/>
      </c>
      <c r="Z382" s="67" t="str">
        <f aca="false">IF(ISBLANK($C382),"",IF(ISNUMBER(M382),IF(M382&gt;=0,M382,""),""))</f>
        <v/>
      </c>
      <c r="AA382" s="67" t="str">
        <f aca="false">IF(ISBLANK($C382),"",IF(N382=Constants!$B$2, TRUE(), IF(N382=Constants!$B$3, FALSE(), TRUE())))</f>
        <v/>
      </c>
      <c r="AB382" s="67" t="str">
        <f aca="false">IF(ISBLANK($C382),"",IF(O382=Constants!$B$2, TRUE(), IF(O382=Constants!$B$3, FALSE(), TRUE())))</f>
        <v/>
      </c>
      <c r="AC382" s="67" t="str">
        <f aca="false">IF(ISBLANK($C382),"",IF(P382=Constants!$B$2, TRUE(), IF(P382=Constants!$B$3, FALSE(), FALSE())))</f>
        <v/>
      </c>
      <c r="AD382" s="67" t="str">
        <f aca="false">IF(ISBLANK($C382),"",AND(V382&lt;&gt;"",IF(U382=Constants!$B$19,S382,R382)))</f>
        <v/>
      </c>
      <c r="AE382" s="67" t="str">
        <f aca="false">IF(ISBLANK($C382),"",AND(Z382&lt;&gt;"",IF(Y382=Constants!$B$19,S382,R382)))</f>
        <v/>
      </c>
      <c r="AF382" s="67" t="str">
        <f aca="false">IF(ISBLANK($C382),"",IF(AC382,Constants!$B$4,IF(COUNTA(E382:O382)=0,Constants!$B$5,IF(AND(NOT(AD382),NOT(AE382)),Constants!$B$6,Constants!$B$7))))</f>
        <v/>
      </c>
      <c r="AG382" s="67" t="str">
        <f aca="false">IF(ISBLANK($C382),"",IF($AF382&lt;&gt;Constants!$B$7,$AF382,Constants!$B$20))</f>
        <v/>
      </c>
      <c r="AH382" s="67" t="str">
        <f aca="false">IF($AF382=Constants!$B$7,IF(AD382,V382,Constants!$B$13),"")</f>
        <v/>
      </c>
      <c r="AI382" s="67" t="str">
        <f aca="false">IF($AF382=Constants!$B$7,IF(AD382,T382*IF(W382, 1, Constants!$B$11)*IF(X382, 1, Constants!$B$12),Constants!$B$13),"")</f>
        <v/>
      </c>
      <c r="AJ382" s="67" t="str">
        <f aca="false">IF($AF382=Constants!$B$7,AH382*AI382,"")</f>
        <v/>
      </c>
      <c r="AK382" s="67" t="str">
        <f aca="false">IF($AF382=Constants!$B$7,IF(AE382,Z382,Constants!$B$13),"")</f>
        <v/>
      </c>
      <c r="AL382" s="67" t="str">
        <f aca="false">IF($AF382=Constants!$B$7,IF(AE382,T382*IF(AA382, 1, Constants!$B$11)*IF(AB382, 1, Constants!$B$12),Constants!$B$13),"")</f>
        <v/>
      </c>
      <c r="AM382" s="67" t="str">
        <f aca="false">IF($AF382=Constants!$B$7,AK382*AL382,"")</f>
        <v/>
      </c>
      <c r="AN382" s="67" t="str">
        <f aca="false">IF($AF382=Constants!$B$7,IF(AM382&gt;AJ382,2,1),"")</f>
        <v/>
      </c>
      <c r="AO382" s="67" t="str">
        <f aca="false">IF($AF382=Constants!$B$7,IF(AN382=1,2,1),"")</f>
        <v/>
      </c>
      <c r="AP382" s="67" t="str">
        <f aca="false">IF(ISBLANK($C382),"",IF($AF382&lt;&gt;Constants!$B$7,$AF382,IF(AN382=1,AJ382,AM382)))</f>
        <v/>
      </c>
      <c r="AQ382" s="67" t="str">
        <f aca="false">IF(ISBLANK($C382),"",IF($AF382=Constants!$B$7,IF(ISNUMBER(AP382),RANK(AP382,$AP$8:$AP$507),Constants!$B$14),$AF382))</f>
        <v/>
      </c>
      <c r="AR382" s="67" t="str">
        <f aca="false">IF(ISBLANK($C382),"",IF($AF382=Constants!$B$7,IF(AO382=1,AJ382,AM382),""))</f>
        <v/>
      </c>
      <c r="AS382" s="67" t="str">
        <f aca="false">IF(ISBLANK($C382),"",IF($AF382=Constants!$B$7,RANK(AR382,$AR$8:$AR$507),$AF382))</f>
        <v/>
      </c>
      <c r="AT382" s="67" t="str">
        <f aca="false">IF(ISBLANK($C382),"",IF($AF382=Constants!$B$7,IF(ISNUMBER(AQ382),COUNTIFS($AQ$8:$AQ$507,"&lt;"&amp;$AQ382)+COUNTIFS($AQ$8:$AQ$507,$AQ382,$AS$8:$AS$507,"&lt;"&amp;$AS382)+1,Constants!$B$14),$AF382))</f>
        <v/>
      </c>
      <c r="AU382" s="67" t="str">
        <f aca="false">IF(ISBLANK($C382),"",IF($AF382=Constants!$B$7,IF(ISNUMBER(AQ382),AQ382-AT382,Constants!$B$14),$AF382))</f>
        <v/>
      </c>
      <c r="AV382" s="69"/>
      <c r="AW382" s="70" t="str">
        <f aca="false">IF(ISBLANK($C382),"",IF($AF382&lt;&gt;Constants!$B$7,"",AN382))</f>
        <v/>
      </c>
      <c r="AX382" s="85" t="str">
        <f aca="false">IF(ISBLANK($C382),"",IF($AF382&lt;&gt;Constants!$B$7,"",IF(AN382=1,AH382,AK382)))</f>
        <v/>
      </c>
      <c r="AY382" s="72" t="str">
        <f aca="false">IF(ISBLANK($C382),"",IF($AF382&lt;&gt;Constants!$B$7,"",IF(AN382=1,AI382,AL382)))</f>
        <v/>
      </c>
      <c r="AZ382" s="73" t="str">
        <f aca="false">IF(ISBLANK($C382),"",IF($AF382&lt;&gt;Constants!$B$7,$AF382,AP382))</f>
        <v/>
      </c>
      <c r="BA382" s="74" t="str">
        <f aca="false">IF(ISBLANK($C382),"",IF($AF382&lt;&gt;Constants!$B$7,$AF382,AG382))</f>
        <v/>
      </c>
      <c r="BB382" s="75" t="str">
        <f aca="false">IF(ISBLANK($C382),"",AU382)</f>
        <v/>
      </c>
      <c r="BC382" s="75" t="str">
        <f aca="false">IF(ISBLANK($C382),"",AT382)</f>
        <v/>
      </c>
      <c r="BD382" s="76" t="str">
        <f aca="false">IF(ISBLANK($C382),"",IFERROR(_xlfn.SWITCH(BC382,Constants!$B$4,COUNTA($C$8:$C$507)+2,Constants!$B$5,COUNTA($C$8:$C$507)+1,Constants!$B$6,COUNTA($C$8:$C$507)),BC382))</f>
        <v/>
      </c>
      <c r="BE382" s="5"/>
      <c r="BF382" s="77" t="n">
        <f aca="false">IF(OR(ISNUMBER(BC382),BC382=Constants!$B$4,BC382=Constants!$B$6,BC382=Constants!$B$5),1,0)</f>
        <v>0</v>
      </c>
      <c r="BG382" s="77" t="n">
        <v>375</v>
      </c>
      <c r="BH382" s="77" t="str">
        <f aca="false">IF(ISBLANK($C382),"",IF(ISNUMBER(BD382),BD382+ROW($B382)/1000,""))</f>
        <v/>
      </c>
      <c r="BI382" s="77" t="str">
        <f aca="false">IF(ISNUMBER(BH382),RANK(BH382,$BH$8:$BH$507,1),"")</f>
        <v/>
      </c>
      <c r="BJ382" s="77" t="str">
        <f aca="false">IF(ISBLANK($C382),"",$B382)</f>
        <v/>
      </c>
      <c r="BK382" s="77" t="str">
        <f aca="false">IF(ISBLANK($C382),"",$C382)</f>
        <v/>
      </c>
      <c r="BL382" s="77" t="str">
        <f aca="false">IF(ISBLANK($C382),"",$D382)</f>
        <v/>
      </c>
      <c r="BM382" s="78" t="str">
        <f aca="false">BA382</f>
        <v/>
      </c>
      <c r="BN382" s="79" t="str">
        <f aca="false">AZ382</f>
        <v/>
      </c>
      <c r="BO382" s="77" t="str">
        <f aca="false">IF(ISBLANK($C382),"",BC382)</f>
        <v/>
      </c>
      <c r="BP382" s="80" t="str">
        <f aca="false">IF($BG382&gt;$BF$7,"",VLOOKUP($BG382,$BI$8:$BO$507,7,FALSE()))</f>
        <v/>
      </c>
      <c r="BQ382" s="81" t="str">
        <f aca="false">IF($BG382&gt;$BF$7,"",VLOOKUP($BG382,$BI$8:$BO$507,2,FALSE()))</f>
        <v/>
      </c>
      <c r="BR382" s="81" t="str">
        <f aca="false">IF($BG382&gt;$BF$7,"",VLOOKUP($BG382,$BI$8:$BO$507,3,FALSE()))</f>
        <v/>
      </c>
      <c r="BS382" s="81" t="str">
        <f aca="false">IF($BG382&gt;$BF$7,"",VLOOKUP($BG382,$BI$8:$BO$507,4,FALSE()))</f>
        <v/>
      </c>
      <c r="BT382" s="81" t="str">
        <f aca="false">IF($BG382&gt;$BF$7,"",VLOOKUP($BG382,$BI$8:$BO$507,5,FALSE()))</f>
        <v/>
      </c>
      <c r="BU382" s="82" t="str">
        <f aca="false">IF($BG382&gt;$BF$7,"",VLOOKUP($BG382,$BI$8:$BO$507,6,FALSE()))</f>
        <v/>
      </c>
      <c r="BV382" s="54"/>
    </row>
    <row r="383" customFormat="false" ht="15.75" hidden="false" customHeight="false" outlineLevel="0" collapsed="false">
      <c r="A383" s="5"/>
      <c r="B383" s="128"/>
      <c r="C383" s="129"/>
      <c r="D383" s="114"/>
      <c r="E383" s="134"/>
      <c r="F383" s="139"/>
      <c r="G383" s="93"/>
      <c r="H383" s="140"/>
      <c r="I383" s="95"/>
      <c r="J383" s="95"/>
      <c r="K383" s="93"/>
      <c r="L383" s="141"/>
      <c r="M383" s="95"/>
      <c r="N383" s="95"/>
      <c r="O383" s="93"/>
      <c r="P383" s="134"/>
      <c r="Q383" s="98"/>
      <c r="R383" s="99" t="str">
        <f aca="false">IF(ISBLANK($C383),"",IF(E383=Constants!$B$2, TRUE(), IF(E383=Constants!$B$3, FALSE(), TRUE())))</f>
        <v/>
      </c>
      <c r="S383" s="99" t="str">
        <f aca="false">IF(ISBLANK($C383),"",IF(F383=Constants!$B$2, TRUE(), IF(F383=Constants!$B$3, FALSE(), TRUE())))</f>
        <v/>
      </c>
      <c r="T383" s="99" t="str">
        <f aca="false">IF(ISBLANK($C383),"",IF(G383=Constants!$B$16,Constants!$B$9,IF(G383=Constants!$B$17,Constants!$B$10,Constants!$B$8)))</f>
        <v/>
      </c>
      <c r="U383" s="99" t="str">
        <f aca="false">IF(ISBLANK($C383),"",IF(H383=Constants!$B$19,Constants!$B$19,Constants!$B$18))</f>
        <v/>
      </c>
      <c r="V383" s="99" t="str">
        <f aca="false">IF(ISBLANK($C383),"",IF(ISNUMBER(I383),IF(I383&gt;=0,I383,""),""))</f>
        <v/>
      </c>
      <c r="W383" s="99" t="str">
        <f aca="false">IF(ISBLANK($C383),"",IF(J383=Constants!$B$2, TRUE(), IF(J383=Constants!$B$3, FALSE(), TRUE())))</f>
        <v/>
      </c>
      <c r="X383" s="99" t="str">
        <f aca="false">IF(ISBLANK($C383),"",IF(K383=Constants!$B$2, TRUE(), IF(K383=Constants!$B$3, FALSE(), TRUE())))</f>
        <v/>
      </c>
      <c r="Y383" s="99" t="str">
        <f aca="false">IF(ISBLANK($C383),"",IF(L383=Constants!$B$19,Constants!$B$19,Constants!$B$18))</f>
        <v/>
      </c>
      <c r="Z383" s="99" t="str">
        <f aca="false">IF(ISBLANK($C383),"",IF(ISNUMBER(M383),IF(M383&gt;=0,M383,""),""))</f>
        <v/>
      </c>
      <c r="AA383" s="99" t="str">
        <f aca="false">IF(ISBLANK($C383),"",IF(N383=Constants!$B$2, TRUE(), IF(N383=Constants!$B$3, FALSE(), TRUE())))</f>
        <v/>
      </c>
      <c r="AB383" s="99" t="str">
        <f aca="false">IF(ISBLANK($C383),"",IF(O383=Constants!$B$2, TRUE(), IF(O383=Constants!$B$3, FALSE(), TRUE())))</f>
        <v/>
      </c>
      <c r="AC383" s="99" t="str">
        <f aca="false">IF(ISBLANK($C383),"",IF(P383=Constants!$B$2, TRUE(), IF(P383=Constants!$B$3, FALSE(), FALSE())))</f>
        <v/>
      </c>
      <c r="AD383" s="99" t="str">
        <f aca="false">IF(ISBLANK($C383),"",AND(V383&lt;&gt;"",IF(U383=Constants!$B$19,S383,R383)))</f>
        <v/>
      </c>
      <c r="AE383" s="99" t="str">
        <f aca="false">IF(ISBLANK($C383),"",AND(Z383&lt;&gt;"",IF(Y383=Constants!$B$19,S383,R383)))</f>
        <v/>
      </c>
      <c r="AF383" s="99" t="str">
        <f aca="false">IF(ISBLANK($C383),"",IF(AC383,Constants!$B$4,IF(COUNTA(E383:O383)=0,Constants!$B$5,IF(AND(NOT(AD383),NOT(AE383)),Constants!$B$6,Constants!$B$7))))</f>
        <v/>
      </c>
      <c r="AG383" s="99" t="str">
        <f aca="false">IF(ISBLANK($C383),"",IF($AF383&lt;&gt;Constants!$B$7,$AF383,Constants!$B$20))</f>
        <v/>
      </c>
      <c r="AH383" s="99" t="str">
        <f aca="false">IF($AF383=Constants!$B$7,IF(AD383,V383,Constants!$B$13),"")</f>
        <v/>
      </c>
      <c r="AI383" s="99" t="str">
        <f aca="false">IF($AF383=Constants!$B$7,IF(AD383,T383*IF(W383, 1, Constants!$B$11)*IF(X383, 1, Constants!$B$12),Constants!$B$13),"")</f>
        <v/>
      </c>
      <c r="AJ383" s="99" t="str">
        <f aca="false">IF($AF383=Constants!$B$7,AH383*AI383,"")</f>
        <v/>
      </c>
      <c r="AK383" s="99" t="str">
        <f aca="false">IF($AF383=Constants!$B$7,IF(AE383,Z383,Constants!$B$13),"")</f>
        <v/>
      </c>
      <c r="AL383" s="99" t="str">
        <f aca="false">IF($AF383=Constants!$B$7,IF(AE383,T383*IF(AA383, 1, Constants!$B$11)*IF(AB383, 1, Constants!$B$12),Constants!$B$13),"")</f>
        <v/>
      </c>
      <c r="AM383" s="99" t="str">
        <f aca="false">IF($AF383=Constants!$B$7,AK383*AL383,"")</f>
        <v/>
      </c>
      <c r="AN383" s="99" t="str">
        <f aca="false">IF($AF383=Constants!$B$7,IF(AM383&gt;AJ383,2,1),"")</f>
        <v/>
      </c>
      <c r="AO383" s="99" t="str">
        <f aca="false">IF($AF383=Constants!$B$7,IF(AN383=1,2,1),"")</f>
        <v/>
      </c>
      <c r="AP383" s="99" t="str">
        <f aca="false">IF(ISBLANK($C383),"",IF($AF383&lt;&gt;Constants!$B$7,$AF383,IF(AN383=1,AJ383,AM383)))</f>
        <v/>
      </c>
      <c r="AQ383" s="99" t="str">
        <f aca="false">IF(ISBLANK($C383),"",IF($AF383=Constants!$B$7,IF(ISNUMBER(AP383),RANK(AP383,$AP$8:$AP$507),Constants!$B$14),$AF383))</f>
        <v/>
      </c>
      <c r="AR383" s="99" t="str">
        <f aca="false">IF(ISBLANK($C383),"",IF($AF383=Constants!$B$7,IF(AO383=1,AJ383,AM383),""))</f>
        <v/>
      </c>
      <c r="AS383" s="99" t="str">
        <f aca="false">IF(ISBLANK($C383),"",IF($AF383=Constants!$B$7,RANK(AR383,$AR$8:$AR$507),$AF383))</f>
        <v/>
      </c>
      <c r="AT383" s="99" t="str">
        <f aca="false">IF(ISBLANK($C383),"",IF($AF383=Constants!$B$7,IF(ISNUMBER(AQ383),COUNTIFS($AQ$8:$AQ$507,"&lt;"&amp;$AQ383)+COUNTIFS($AQ$8:$AQ$507,$AQ383,$AS$8:$AS$507,"&lt;"&amp;$AS383)+1,Constants!$B$14),$AF383))</f>
        <v/>
      </c>
      <c r="AU383" s="99" t="str">
        <f aca="false">IF(ISBLANK($C383),"",IF($AF383=Constants!$B$7,IF(ISNUMBER(AQ383),AQ383-AT383,Constants!$B$14),$AF383))</f>
        <v/>
      </c>
      <c r="AV383" s="100"/>
      <c r="AW383" s="101" t="str">
        <f aca="false">IF(ISBLANK($C383),"",IF($AF383&lt;&gt;Constants!$B$7,"",AN383))</f>
        <v/>
      </c>
      <c r="AX383" s="102" t="str">
        <f aca="false">IF(ISBLANK($C383),"",IF($AF383&lt;&gt;Constants!$B$7,"",IF(AN383=1,AH383,AK383)))</f>
        <v/>
      </c>
      <c r="AY383" s="103" t="str">
        <f aca="false">IF(ISBLANK($C383),"",IF($AF383&lt;&gt;Constants!$B$7,"",IF(AN383=1,AI383,AL383)))</f>
        <v/>
      </c>
      <c r="AZ383" s="104" t="str">
        <f aca="false">IF(ISBLANK($C383),"",IF($AF383&lt;&gt;Constants!$B$7,$AF383,AP383))</f>
        <v/>
      </c>
      <c r="BA383" s="105" t="str">
        <f aca="false">IF(ISBLANK($C383),"",IF($AF383&lt;&gt;Constants!$B$7,$AF383,AG383))</f>
        <v/>
      </c>
      <c r="BB383" s="106" t="str">
        <f aca="false">IF(ISBLANK($C383),"",AU383)</f>
        <v/>
      </c>
      <c r="BC383" s="106" t="str">
        <f aca="false">IF(ISBLANK($C383),"",AT383)</f>
        <v/>
      </c>
      <c r="BD383" s="107" t="str">
        <f aca="false">IF(ISBLANK($C383),"",IFERROR(_xlfn.SWITCH(BC383,Constants!$B$4,COUNTA($C$8:$C$507)+2,Constants!$B$5,COUNTA($C$8:$C$507)+1,Constants!$B$6,COUNTA($C$8:$C$507)),BC383))</f>
        <v/>
      </c>
      <c r="BE383" s="5"/>
      <c r="BF383" s="108" t="n">
        <f aca="false">IF(OR(ISNUMBER(BC383),BC383=Constants!$B$4,BC383=Constants!$B$6,BC383=Constants!$B$5),1,0)</f>
        <v>0</v>
      </c>
      <c r="BG383" s="108" t="n">
        <v>376</v>
      </c>
      <c r="BH383" s="108" t="str">
        <f aca="false">IF(ISBLANK($C383),"",IF(ISNUMBER(BD383),BD383+ROW($B383)/1000,""))</f>
        <v/>
      </c>
      <c r="BI383" s="108" t="str">
        <f aca="false">IF(ISNUMBER(BH383),RANK(BH383,$BH$8:$BH$507,1),"")</f>
        <v/>
      </c>
      <c r="BJ383" s="108" t="str">
        <f aca="false">IF(ISBLANK($C383),"",$B383)</f>
        <v/>
      </c>
      <c r="BK383" s="108" t="str">
        <f aca="false">IF(ISBLANK($C383),"",$C383)</f>
        <v/>
      </c>
      <c r="BL383" s="108" t="str">
        <f aca="false">IF(ISBLANK($C383),"",$D383)</f>
        <v/>
      </c>
      <c r="BM383" s="109" t="str">
        <f aca="false">BA383</f>
        <v/>
      </c>
      <c r="BN383" s="110" t="str">
        <f aca="false">AZ383</f>
        <v/>
      </c>
      <c r="BO383" s="108" t="str">
        <f aca="false">IF(ISBLANK($C383),"",BC383)</f>
        <v/>
      </c>
      <c r="BP383" s="111" t="str">
        <f aca="false">IF($BG383&gt;$BF$7,"",VLOOKUP($BG383,$BI$8:$BO$507,7,FALSE()))</f>
        <v/>
      </c>
      <c r="BQ383" s="112" t="str">
        <f aca="false">IF($BG383&gt;$BF$7,"",VLOOKUP($BG383,$BI$8:$BO$507,2,FALSE()))</f>
        <v/>
      </c>
      <c r="BR383" s="112" t="str">
        <f aca="false">IF($BG383&gt;$BF$7,"",VLOOKUP($BG383,$BI$8:$BO$507,3,FALSE()))</f>
        <v/>
      </c>
      <c r="BS383" s="112" t="str">
        <f aca="false">IF($BG383&gt;$BF$7,"",VLOOKUP($BG383,$BI$8:$BO$507,4,FALSE()))</f>
        <v/>
      </c>
      <c r="BT383" s="112" t="str">
        <f aca="false">IF($BG383&gt;$BF$7,"",VLOOKUP($BG383,$BI$8:$BO$507,5,FALSE()))</f>
        <v/>
      </c>
      <c r="BU383" s="113" t="str">
        <f aca="false">IF($BG383&gt;$BF$7,"",VLOOKUP($BG383,$BI$8:$BO$507,6,FALSE()))</f>
        <v/>
      </c>
      <c r="BV383" s="54"/>
    </row>
    <row r="384" customFormat="false" ht="15.75" hidden="false" customHeight="false" outlineLevel="0" collapsed="false">
      <c r="A384" s="5"/>
      <c r="B384" s="128"/>
      <c r="C384" s="129"/>
      <c r="D384" s="114"/>
      <c r="E384" s="134"/>
      <c r="F384" s="139"/>
      <c r="G384" s="93"/>
      <c r="H384" s="140"/>
      <c r="I384" s="95"/>
      <c r="J384" s="95"/>
      <c r="K384" s="93"/>
      <c r="L384" s="141"/>
      <c r="M384" s="95"/>
      <c r="N384" s="95"/>
      <c r="O384" s="93"/>
      <c r="P384" s="134"/>
      <c r="Q384" s="98"/>
      <c r="R384" s="99" t="str">
        <f aca="false">IF(ISBLANK($C384),"",IF(E384=Constants!$B$2, TRUE(), IF(E384=Constants!$B$3, FALSE(), TRUE())))</f>
        <v/>
      </c>
      <c r="S384" s="99" t="str">
        <f aca="false">IF(ISBLANK($C384),"",IF(F384=Constants!$B$2, TRUE(), IF(F384=Constants!$B$3, FALSE(), TRUE())))</f>
        <v/>
      </c>
      <c r="T384" s="99" t="str">
        <f aca="false">IF(ISBLANK($C384),"",IF(G384=Constants!$B$16,Constants!$B$9,IF(G384=Constants!$B$17,Constants!$B$10,Constants!$B$8)))</f>
        <v/>
      </c>
      <c r="U384" s="99" t="str">
        <f aca="false">IF(ISBLANK($C384),"",IF(H384=Constants!$B$19,Constants!$B$19,Constants!$B$18))</f>
        <v/>
      </c>
      <c r="V384" s="99" t="str">
        <f aca="false">IF(ISBLANK($C384),"",IF(ISNUMBER(I384),IF(I384&gt;=0,I384,""),""))</f>
        <v/>
      </c>
      <c r="W384" s="99" t="str">
        <f aca="false">IF(ISBLANK($C384),"",IF(J384=Constants!$B$2, TRUE(), IF(J384=Constants!$B$3, FALSE(), TRUE())))</f>
        <v/>
      </c>
      <c r="X384" s="99" t="str">
        <f aca="false">IF(ISBLANK($C384),"",IF(K384=Constants!$B$2, TRUE(), IF(K384=Constants!$B$3, FALSE(), TRUE())))</f>
        <v/>
      </c>
      <c r="Y384" s="99" t="str">
        <f aca="false">IF(ISBLANK($C384),"",IF(L384=Constants!$B$19,Constants!$B$19,Constants!$B$18))</f>
        <v/>
      </c>
      <c r="Z384" s="99" t="str">
        <f aca="false">IF(ISBLANK($C384),"",IF(ISNUMBER(M384),IF(M384&gt;=0,M384,""),""))</f>
        <v/>
      </c>
      <c r="AA384" s="99" t="str">
        <f aca="false">IF(ISBLANK($C384),"",IF(N384=Constants!$B$2, TRUE(), IF(N384=Constants!$B$3, FALSE(), TRUE())))</f>
        <v/>
      </c>
      <c r="AB384" s="99" t="str">
        <f aca="false">IF(ISBLANK($C384),"",IF(O384=Constants!$B$2, TRUE(), IF(O384=Constants!$B$3, FALSE(), TRUE())))</f>
        <v/>
      </c>
      <c r="AC384" s="99" t="str">
        <f aca="false">IF(ISBLANK($C384),"",IF(P384=Constants!$B$2, TRUE(), IF(P384=Constants!$B$3, FALSE(), FALSE())))</f>
        <v/>
      </c>
      <c r="AD384" s="99" t="str">
        <f aca="false">IF(ISBLANK($C384),"",AND(V384&lt;&gt;"",IF(U384=Constants!$B$19,S384,R384)))</f>
        <v/>
      </c>
      <c r="AE384" s="99" t="str">
        <f aca="false">IF(ISBLANK($C384),"",AND(Z384&lt;&gt;"",IF(Y384=Constants!$B$19,S384,R384)))</f>
        <v/>
      </c>
      <c r="AF384" s="99" t="str">
        <f aca="false">IF(ISBLANK($C384),"",IF(AC384,Constants!$B$4,IF(COUNTA(E384:O384)=0,Constants!$B$5,IF(AND(NOT(AD384),NOT(AE384)),Constants!$B$6,Constants!$B$7))))</f>
        <v/>
      </c>
      <c r="AG384" s="99" t="str">
        <f aca="false">IF(ISBLANK($C384),"",IF($AF384&lt;&gt;Constants!$B$7,$AF384,Constants!$B$20))</f>
        <v/>
      </c>
      <c r="AH384" s="99" t="str">
        <f aca="false">IF($AF384=Constants!$B$7,IF(AD384,V384,Constants!$B$13),"")</f>
        <v/>
      </c>
      <c r="AI384" s="99" t="str">
        <f aca="false">IF($AF384=Constants!$B$7,IF(AD384,T384*IF(W384, 1, Constants!$B$11)*IF(X384, 1, Constants!$B$12),Constants!$B$13),"")</f>
        <v/>
      </c>
      <c r="AJ384" s="99" t="str">
        <f aca="false">IF($AF384=Constants!$B$7,AH384*AI384,"")</f>
        <v/>
      </c>
      <c r="AK384" s="99" t="str">
        <f aca="false">IF($AF384=Constants!$B$7,IF(AE384,Z384,Constants!$B$13),"")</f>
        <v/>
      </c>
      <c r="AL384" s="99" t="str">
        <f aca="false">IF($AF384=Constants!$B$7,IF(AE384,T384*IF(AA384, 1, Constants!$B$11)*IF(AB384, 1, Constants!$B$12),Constants!$B$13),"")</f>
        <v/>
      </c>
      <c r="AM384" s="99" t="str">
        <f aca="false">IF($AF384=Constants!$B$7,AK384*AL384,"")</f>
        <v/>
      </c>
      <c r="AN384" s="99" t="str">
        <f aca="false">IF($AF384=Constants!$B$7,IF(AM384&gt;AJ384,2,1),"")</f>
        <v/>
      </c>
      <c r="AO384" s="99" t="str">
        <f aca="false">IF($AF384=Constants!$B$7,IF(AN384=1,2,1),"")</f>
        <v/>
      </c>
      <c r="AP384" s="99" t="str">
        <f aca="false">IF(ISBLANK($C384),"",IF($AF384&lt;&gt;Constants!$B$7,$AF384,IF(AN384=1,AJ384,AM384)))</f>
        <v/>
      </c>
      <c r="AQ384" s="99" t="str">
        <f aca="false">IF(ISBLANK($C384),"",IF($AF384=Constants!$B$7,IF(ISNUMBER(AP384),RANK(AP384,$AP$8:$AP$507),Constants!$B$14),$AF384))</f>
        <v/>
      </c>
      <c r="AR384" s="99" t="str">
        <f aca="false">IF(ISBLANK($C384),"",IF($AF384=Constants!$B$7,IF(AO384=1,AJ384,AM384),""))</f>
        <v/>
      </c>
      <c r="AS384" s="99" t="str">
        <f aca="false">IF(ISBLANK($C384),"",IF($AF384=Constants!$B$7,RANK(AR384,$AR$8:$AR$507),$AF384))</f>
        <v/>
      </c>
      <c r="AT384" s="99" t="str">
        <f aca="false">IF(ISBLANK($C384),"",IF($AF384=Constants!$B$7,IF(ISNUMBER(AQ384),COUNTIFS($AQ$8:$AQ$507,"&lt;"&amp;$AQ384)+COUNTIFS($AQ$8:$AQ$507,$AQ384,$AS$8:$AS$507,"&lt;"&amp;$AS384)+1,Constants!$B$14),$AF384))</f>
        <v/>
      </c>
      <c r="AU384" s="99" t="str">
        <f aca="false">IF(ISBLANK($C384),"",IF($AF384=Constants!$B$7,IF(ISNUMBER(AQ384),AQ384-AT384,Constants!$B$14),$AF384))</f>
        <v/>
      </c>
      <c r="AV384" s="100"/>
      <c r="AW384" s="101" t="str">
        <f aca="false">IF(ISBLANK($C384),"",IF($AF384&lt;&gt;Constants!$B$7,"",AN384))</f>
        <v/>
      </c>
      <c r="AX384" s="102" t="str">
        <f aca="false">IF(ISBLANK($C384),"",IF($AF384&lt;&gt;Constants!$B$7,"",IF(AN384=1,AH384,AK384)))</f>
        <v/>
      </c>
      <c r="AY384" s="103" t="str">
        <f aca="false">IF(ISBLANK($C384),"",IF($AF384&lt;&gt;Constants!$B$7,"",IF(AN384=1,AI384,AL384)))</f>
        <v/>
      </c>
      <c r="AZ384" s="104" t="str">
        <f aca="false">IF(ISBLANK($C384),"",IF($AF384&lt;&gt;Constants!$B$7,$AF384,AP384))</f>
        <v/>
      </c>
      <c r="BA384" s="105" t="str">
        <f aca="false">IF(ISBLANK($C384),"",IF($AF384&lt;&gt;Constants!$B$7,$AF384,AG384))</f>
        <v/>
      </c>
      <c r="BB384" s="106" t="str">
        <f aca="false">IF(ISBLANK($C384),"",AU384)</f>
        <v/>
      </c>
      <c r="BC384" s="106" t="str">
        <f aca="false">IF(ISBLANK($C384),"",AT384)</f>
        <v/>
      </c>
      <c r="BD384" s="107" t="str">
        <f aca="false">IF(ISBLANK($C384),"",IFERROR(_xlfn.SWITCH(BC384,Constants!$B$4,COUNTA($C$8:$C$507)+2,Constants!$B$5,COUNTA($C$8:$C$507)+1,Constants!$B$6,COUNTA($C$8:$C$507)),BC384))</f>
        <v/>
      </c>
      <c r="BE384" s="5"/>
      <c r="BF384" s="108" t="n">
        <f aca="false">IF(OR(ISNUMBER(BC384),BC384=Constants!$B$4,BC384=Constants!$B$6,BC384=Constants!$B$5),1,0)</f>
        <v>0</v>
      </c>
      <c r="BG384" s="108" t="n">
        <v>377</v>
      </c>
      <c r="BH384" s="108" t="str">
        <f aca="false">IF(ISBLANK($C384),"",IF(ISNUMBER(BD384),BD384+ROW($B384)/1000,""))</f>
        <v/>
      </c>
      <c r="BI384" s="108" t="str">
        <f aca="false">IF(ISNUMBER(BH384),RANK(BH384,$BH$8:$BH$507,1),"")</f>
        <v/>
      </c>
      <c r="BJ384" s="108" t="str">
        <f aca="false">IF(ISBLANK($C384),"",$B384)</f>
        <v/>
      </c>
      <c r="BK384" s="108" t="str">
        <f aca="false">IF(ISBLANK($C384),"",$C384)</f>
        <v/>
      </c>
      <c r="BL384" s="108" t="str">
        <f aca="false">IF(ISBLANK($C384),"",$D384)</f>
        <v/>
      </c>
      <c r="BM384" s="109" t="str">
        <f aca="false">BA384</f>
        <v/>
      </c>
      <c r="BN384" s="110" t="str">
        <f aca="false">AZ384</f>
        <v/>
      </c>
      <c r="BO384" s="108" t="str">
        <f aca="false">IF(ISBLANK($C384),"",BC384)</f>
        <v/>
      </c>
      <c r="BP384" s="111" t="str">
        <f aca="false">IF($BG384&gt;$BF$7,"",VLOOKUP($BG384,$BI$8:$BO$507,7,FALSE()))</f>
        <v/>
      </c>
      <c r="BQ384" s="112" t="str">
        <f aca="false">IF($BG384&gt;$BF$7,"",VLOOKUP($BG384,$BI$8:$BO$507,2,FALSE()))</f>
        <v/>
      </c>
      <c r="BR384" s="112" t="str">
        <f aca="false">IF($BG384&gt;$BF$7,"",VLOOKUP($BG384,$BI$8:$BO$507,3,FALSE()))</f>
        <v/>
      </c>
      <c r="BS384" s="112" t="str">
        <f aca="false">IF($BG384&gt;$BF$7,"",VLOOKUP($BG384,$BI$8:$BO$507,4,FALSE()))</f>
        <v/>
      </c>
      <c r="BT384" s="112" t="str">
        <f aca="false">IF($BG384&gt;$BF$7,"",VLOOKUP($BG384,$BI$8:$BO$507,5,FALSE()))</f>
        <v/>
      </c>
      <c r="BU384" s="113" t="str">
        <f aca="false">IF($BG384&gt;$BF$7,"",VLOOKUP($BG384,$BI$8:$BO$507,6,FALSE()))</f>
        <v/>
      </c>
      <c r="BV384" s="54"/>
    </row>
    <row r="385" customFormat="false" ht="15.75" hidden="false" customHeight="false" outlineLevel="0" collapsed="false">
      <c r="A385" s="5"/>
      <c r="B385" s="128"/>
      <c r="C385" s="129"/>
      <c r="D385" s="114"/>
      <c r="E385" s="134"/>
      <c r="F385" s="139"/>
      <c r="G385" s="93"/>
      <c r="H385" s="140"/>
      <c r="I385" s="95"/>
      <c r="J385" s="95"/>
      <c r="K385" s="93"/>
      <c r="L385" s="141"/>
      <c r="M385" s="95"/>
      <c r="N385" s="95"/>
      <c r="O385" s="93"/>
      <c r="P385" s="134"/>
      <c r="Q385" s="98"/>
      <c r="R385" s="99" t="str">
        <f aca="false">IF(ISBLANK($C385),"",IF(E385=Constants!$B$2, TRUE(), IF(E385=Constants!$B$3, FALSE(), TRUE())))</f>
        <v/>
      </c>
      <c r="S385" s="99" t="str">
        <f aca="false">IF(ISBLANK($C385),"",IF(F385=Constants!$B$2, TRUE(), IF(F385=Constants!$B$3, FALSE(), TRUE())))</f>
        <v/>
      </c>
      <c r="T385" s="99" t="str">
        <f aca="false">IF(ISBLANK($C385),"",IF(G385=Constants!$B$16,Constants!$B$9,IF(G385=Constants!$B$17,Constants!$B$10,Constants!$B$8)))</f>
        <v/>
      </c>
      <c r="U385" s="99" t="str">
        <f aca="false">IF(ISBLANK($C385),"",IF(H385=Constants!$B$19,Constants!$B$19,Constants!$B$18))</f>
        <v/>
      </c>
      <c r="V385" s="99" t="str">
        <f aca="false">IF(ISBLANK($C385),"",IF(ISNUMBER(I385),IF(I385&gt;=0,I385,""),""))</f>
        <v/>
      </c>
      <c r="W385" s="99" t="str">
        <f aca="false">IF(ISBLANK($C385),"",IF(J385=Constants!$B$2, TRUE(), IF(J385=Constants!$B$3, FALSE(), TRUE())))</f>
        <v/>
      </c>
      <c r="X385" s="99" t="str">
        <f aca="false">IF(ISBLANK($C385),"",IF(K385=Constants!$B$2, TRUE(), IF(K385=Constants!$B$3, FALSE(), TRUE())))</f>
        <v/>
      </c>
      <c r="Y385" s="99" t="str">
        <f aca="false">IF(ISBLANK($C385),"",IF(L385=Constants!$B$19,Constants!$B$19,Constants!$B$18))</f>
        <v/>
      </c>
      <c r="Z385" s="99" t="str">
        <f aca="false">IF(ISBLANK($C385),"",IF(ISNUMBER(M385),IF(M385&gt;=0,M385,""),""))</f>
        <v/>
      </c>
      <c r="AA385" s="99" t="str">
        <f aca="false">IF(ISBLANK($C385),"",IF(N385=Constants!$B$2, TRUE(), IF(N385=Constants!$B$3, FALSE(), TRUE())))</f>
        <v/>
      </c>
      <c r="AB385" s="99" t="str">
        <f aca="false">IF(ISBLANK($C385),"",IF(O385=Constants!$B$2, TRUE(), IF(O385=Constants!$B$3, FALSE(), TRUE())))</f>
        <v/>
      </c>
      <c r="AC385" s="99" t="str">
        <f aca="false">IF(ISBLANK($C385),"",IF(P385=Constants!$B$2, TRUE(), IF(P385=Constants!$B$3, FALSE(), FALSE())))</f>
        <v/>
      </c>
      <c r="AD385" s="99" t="str">
        <f aca="false">IF(ISBLANK($C385),"",AND(V385&lt;&gt;"",IF(U385=Constants!$B$19,S385,R385)))</f>
        <v/>
      </c>
      <c r="AE385" s="99" t="str">
        <f aca="false">IF(ISBLANK($C385),"",AND(Z385&lt;&gt;"",IF(Y385=Constants!$B$19,S385,R385)))</f>
        <v/>
      </c>
      <c r="AF385" s="99" t="str">
        <f aca="false">IF(ISBLANK($C385),"",IF(AC385,Constants!$B$4,IF(COUNTA(E385:O385)=0,Constants!$B$5,IF(AND(NOT(AD385),NOT(AE385)),Constants!$B$6,Constants!$B$7))))</f>
        <v/>
      </c>
      <c r="AG385" s="99" t="str">
        <f aca="false">IF(ISBLANK($C385),"",IF($AF385&lt;&gt;Constants!$B$7,$AF385,Constants!$B$20))</f>
        <v/>
      </c>
      <c r="AH385" s="99" t="str">
        <f aca="false">IF($AF385=Constants!$B$7,IF(AD385,V385,Constants!$B$13),"")</f>
        <v/>
      </c>
      <c r="AI385" s="99" t="str">
        <f aca="false">IF($AF385=Constants!$B$7,IF(AD385,T385*IF(W385, 1, Constants!$B$11)*IF(X385, 1, Constants!$B$12),Constants!$B$13),"")</f>
        <v/>
      </c>
      <c r="AJ385" s="99" t="str">
        <f aca="false">IF($AF385=Constants!$B$7,AH385*AI385,"")</f>
        <v/>
      </c>
      <c r="AK385" s="99" t="str">
        <f aca="false">IF($AF385=Constants!$B$7,IF(AE385,Z385,Constants!$B$13),"")</f>
        <v/>
      </c>
      <c r="AL385" s="99" t="str">
        <f aca="false">IF($AF385=Constants!$B$7,IF(AE385,T385*IF(AA385, 1, Constants!$B$11)*IF(AB385, 1, Constants!$B$12),Constants!$B$13),"")</f>
        <v/>
      </c>
      <c r="AM385" s="99" t="str">
        <f aca="false">IF($AF385=Constants!$B$7,AK385*AL385,"")</f>
        <v/>
      </c>
      <c r="AN385" s="99" t="str">
        <f aca="false">IF($AF385=Constants!$B$7,IF(AM385&gt;AJ385,2,1),"")</f>
        <v/>
      </c>
      <c r="AO385" s="99" t="str">
        <f aca="false">IF($AF385=Constants!$B$7,IF(AN385=1,2,1),"")</f>
        <v/>
      </c>
      <c r="AP385" s="99" t="str">
        <f aca="false">IF(ISBLANK($C385),"",IF($AF385&lt;&gt;Constants!$B$7,$AF385,IF(AN385=1,AJ385,AM385)))</f>
        <v/>
      </c>
      <c r="AQ385" s="99" t="str">
        <f aca="false">IF(ISBLANK($C385),"",IF($AF385=Constants!$B$7,IF(ISNUMBER(AP385),RANK(AP385,$AP$8:$AP$507),Constants!$B$14),$AF385))</f>
        <v/>
      </c>
      <c r="AR385" s="99" t="str">
        <f aca="false">IF(ISBLANK($C385),"",IF($AF385=Constants!$B$7,IF(AO385=1,AJ385,AM385),""))</f>
        <v/>
      </c>
      <c r="AS385" s="99" t="str">
        <f aca="false">IF(ISBLANK($C385),"",IF($AF385=Constants!$B$7,RANK(AR385,$AR$8:$AR$507),$AF385))</f>
        <v/>
      </c>
      <c r="AT385" s="99" t="str">
        <f aca="false">IF(ISBLANK($C385),"",IF($AF385=Constants!$B$7,IF(ISNUMBER(AQ385),COUNTIFS($AQ$8:$AQ$507,"&lt;"&amp;$AQ385)+COUNTIFS($AQ$8:$AQ$507,$AQ385,$AS$8:$AS$507,"&lt;"&amp;$AS385)+1,Constants!$B$14),$AF385))</f>
        <v/>
      </c>
      <c r="AU385" s="99" t="str">
        <f aca="false">IF(ISBLANK($C385),"",IF($AF385=Constants!$B$7,IF(ISNUMBER(AQ385),AQ385-AT385,Constants!$B$14),$AF385))</f>
        <v/>
      </c>
      <c r="AV385" s="100"/>
      <c r="AW385" s="101" t="str">
        <f aca="false">IF(ISBLANK($C385),"",IF($AF385&lt;&gt;Constants!$B$7,"",AN385))</f>
        <v/>
      </c>
      <c r="AX385" s="102" t="str">
        <f aca="false">IF(ISBLANK($C385),"",IF($AF385&lt;&gt;Constants!$B$7,"",IF(AN385=1,AH385,AK385)))</f>
        <v/>
      </c>
      <c r="AY385" s="103" t="str">
        <f aca="false">IF(ISBLANK($C385),"",IF($AF385&lt;&gt;Constants!$B$7,"",IF(AN385=1,AI385,AL385)))</f>
        <v/>
      </c>
      <c r="AZ385" s="104" t="str">
        <f aca="false">IF(ISBLANK($C385),"",IF($AF385&lt;&gt;Constants!$B$7,$AF385,AP385))</f>
        <v/>
      </c>
      <c r="BA385" s="105" t="str">
        <f aca="false">IF(ISBLANK($C385),"",IF($AF385&lt;&gt;Constants!$B$7,$AF385,AG385))</f>
        <v/>
      </c>
      <c r="BB385" s="106" t="str">
        <f aca="false">IF(ISBLANK($C385),"",AU385)</f>
        <v/>
      </c>
      <c r="BC385" s="106" t="str">
        <f aca="false">IF(ISBLANK($C385),"",AT385)</f>
        <v/>
      </c>
      <c r="BD385" s="107" t="str">
        <f aca="false">IF(ISBLANK($C385),"",IFERROR(_xlfn.SWITCH(BC385,Constants!$B$4,COUNTA($C$8:$C$507)+2,Constants!$B$5,COUNTA($C$8:$C$507)+1,Constants!$B$6,COUNTA($C$8:$C$507)),BC385))</f>
        <v/>
      </c>
      <c r="BE385" s="5"/>
      <c r="BF385" s="108" t="n">
        <f aca="false">IF(OR(ISNUMBER(BC385),BC385=Constants!$B$4,BC385=Constants!$B$6,BC385=Constants!$B$5),1,0)</f>
        <v>0</v>
      </c>
      <c r="BG385" s="108" t="n">
        <v>378</v>
      </c>
      <c r="BH385" s="108" t="str">
        <f aca="false">IF(ISBLANK($C385),"",IF(ISNUMBER(BD385),BD385+ROW($B385)/1000,""))</f>
        <v/>
      </c>
      <c r="BI385" s="108" t="str">
        <f aca="false">IF(ISNUMBER(BH385),RANK(BH385,$BH$8:$BH$507,1),"")</f>
        <v/>
      </c>
      <c r="BJ385" s="108" t="str">
        <f aca="false">IF(ISBLANK($C385),"",$B385)</f>
        <v/>
      </c>
      <c r="BK385" s="108" t="str">
        <f aca="false">IF(ISBLANK($C385),"",$C385)</f>
        <v/>
      </c>
      <c r="BL385" s="108" t="str">
        <f aca="false">IF(ISBLANK($C385),"",$D385)</f>
        <v/>
      </c>
      <c r="BM385" s="109" t="str">
        <f aca="false">BA385</f>
        <v/>
      </c>
      <c r="BN385" s="110" t="str">
        <f aca="false">AZ385</f>
        <v/>
      </c>
      <c r="BO385" s="108" t="str">
        <f aca="false">IF(ISBLANK($C385),"",BC385)</f>
        <v/>
      </c>
      <c r="BP385" s="111" t="str">
        <f aca="false">IF($BG385&gt;$BF$7,"",VLOOKUP($BG385,$BI$8:$BO$507,7,FALSE()))</f>
        <v/>
      </c>
      <c r="BQ385" s="112" t="str">
        <f aca="false">IF($BG385&gt;$BF$7,"",VLOOKUP($BG385,$BI$8:$BO$507,2,FALSE()))</f>
        <v/>
      </c>
      <c r="BR385" s="112" t="str">
        <f aca="false">IF($BG385&gt;$BF$7,"",VLOOKUP($BG385,$BI$8:$BO$507,3,FALSE()))</f>
        <v/>
      </c>
      <c r="BS385" s="112" t="str">
        <f aca="false">IF($BG385&gt;$BF$7,"",VLOOKUP($BG385,$BI$8:$BO$507,4,FALSE()))</f>
        <v/>
      </c>
      <c r="BT385" s="112" t="str">
        <f aca="false">IF($BG385&gt;$BF$7,"",VLOOKUP($BG385,$BI$8:$BO$507,5,FALSE()))</f>
        <v/>
      </c>
      <c r="BU385" s="113" t="str">
        <f aca="false">IF($BG385&gt;$BF$7,"",VLOOKUP($BG385,$BI$8:$BO$507,6,FALSE()))</f>
        <v/>
      </c>
      <c r="BV385" s="54"/>
    </row>
    <row r="386" customFormat="false" ht="15.75" hidden="false" customHeight="false" outlineLevel="0" collapsed="false">
      <c r="A386" s="5"/>
      <c r="B386" s="135"/>
      <c r="C386" s="56"/>
      <c r="D386" s="57"/>
      <c r="E386" s="84"/>
      <c r="F386" s="136"/>
      <c r="G386" s="60"/>
      <c r="H386" s="137"/>
      <c r="I386" s="62"/>
      <c r="J386" s="62"/>
      <c r="K386" s="60"/>
      <c r="L386" s="138"/>
      <c r="M386" s="62"/>
      <c r="N386" s="62"/>
      <c r="O386" s="60"/>
      <c r="P386" s="84"/>
      <c r="Q386" s="65"/>
      <c r="R386" s="67" t="str">
        <f aca="false">IF(ISBLANK($C386),"",IF(E386=Constants!$B$2, TRUE(), IF(E386=Constants!$B$3, FALSE(), TRUE())))</f>
        <v/>
      </c>
      <c r="S386" s="67" t="str">
        <f aca="false">IF(ISBLANK($C386),"",IF(F386=Constants!$B$2, TRUE(), IF(F386=Constants!$B$3, FALSE(), TRUE())))</f>
        <v/>
      </c>
      <c r="T386" s="67" t="str">
        <f aca="false">IF(ISBLANK($C386),"",IF(G386=Constants!$B$16,Constants!$B$9,IF(G386=Constants!$B$17,Constants!$B$10,Constants!$B$8)))</f>
        <v/>
      </c>
      <c r="U386" s="67" t="str">
        <f aca="false">IF(ISBLANK($C386),"",IF(H386=Constants!$B$19,Constants!$B$19,Constants!$B$18))</f>
        <v/>
      </c>
      <c r="V386" s="67" t="str">
        <f aca="false">IF(ISBLANK($C386),"",IF(ISNUMBER(I386),IF(I386&gt;=0,I386,""),""))</f>
        <v/>
      </c>
      <c r="W386" s="67" t="str">
        <f aca="false">IF(ISBLANK($C386),"",IF(J386=Constants!$B$2, TRUE(), IF(J386=Constants!$B$3, FALSE(), TRUE())))</f>
        <v/>
      </c>
      <c r="X386" s="67" t="str">
        <f aca="false">IF(ISBLANK($C386),"",IF(K386=Constants!$B$2, TRUE(), IF(K386=Constants!$B$3, FALSE(), TRUE())))</f>
        <v/>
      </c>
      <c r="Y386" s="67" t="str">
        <f aca="false">IF(ISBLANK($C386),"",IF(L386=Constants!$B$19,Constants!$B$19,Constants!$B$18))</f>
        <v/>
      </c>
      <c r="Z386" s="67" t="str">
        <f aca="false">IF(ISBLANK($C386),"",IF(ISNUMBER(M386),IF(M386&gt;=0,M386,""),""))</f>
        <v/>
      </c>
      <c r="AA386" s="67" t="str">
        <f aca="false">IF(ISBLANK($C386),"",IF(N386=Constants!$B$2, TRUE(), IF(N386=Constants!$B$3, FALSE(), TRUE())))</f>
        <v/>
      </c>
      <c r="AB386" s="67" t="str">
        <f aca="false">IF(ISBLANK($C386),"",IF(O386=Constants!$B$2, TRUE(), IF(O386=Constants!$B$3, FALSE(), TRUE())))</f>
        <v/>
      </c>
      <c r="AC386" s="67" t="str">
        <f aca="false">IF(ISBLANK($C386),"",IF(P386=Constants!$B$2, TRUE(), IF(P386=Constants!$B$3, FALSE(), FALSE())))</f>
        <v/>
      </c>
      <c r="AD386" s="67" t="str">
        <f aca="false">IF(ISBLANK($C386),"",AND(V386&lt;&gt;"",IF(U386=Constants!$B$19,S386,R386)))</f>
        <v/>
      </c>
      <c r="AE386" s="67" t="str">
        <f aca="false">IF(ISBLANK($C386),"",AND(Z386&lt;&gt;"",IF(Y386=Constants!$B$19,S386,R386)))</f>
        <v/>
      </c>
      <c r="AF386" s="67" t="str">
        <f aca="false">IF(ISBLANK($C386),"",IF(AC386,Constants!$B$4,IF(COUNTA(E386:O386)=0,Constants!$B$5,IF(AND(NOT(AD386),NOT(AE386)),Constants!$B$6,Constants!$B$7))))</f>
        <v/>
      </c>
      <c r="AG386" s="67" t="str">
        <f aca="false">IF(ISBLANK($C386),"",IF($AF386&lt;&gt;Constants!$B$7,$AF386,Constants!$B$20))</f>
        <v/>
      </c>
      <c r="AH386" s="67" t="str">
        <f aca="false">IF($AF386=Constants!$B$7,IF(AD386,V386,Constants!$B$13),"")</f>
        <v/>
      </c>
      <c r="AI386" s="67" t="str">
        <f aca="false">IF($AF386=Constants!$B$7,IF(AD386,T386*IF(W386, 1, Constants!$B$11)*IF(X386, 1, Constants!$B$12),Constants!$B$13),"")</f>
        <v/>
      </c>
      <c r="AJ386" s="67" t="str">
        <f aca="false">IF($AF386=Constants!$B$7,AH386*AI386,"")</f>
        <v/>
      </c>
      <c r="AK386" s="67" t="str">
        <f aca="false">IF($AF386=Constants!$B$7,IF(AE386,Z386,Constants!$B$13),"")</f>
        <v/>
      </c>
      <c r="AL386" s="67" t="str">
        <f aca="false">IF($AF386=Constants!$B$7,IF(AE386,T386*IF(AA386, 1, Constants!$B$11)*IF(AB386, 1, Constants!$B$12),Constants!$B$13),"")</f>
        <v/>
      </c>
      <c r="AM386" s="67" t="str">
        <f aca="false">IF($AF386=Constants!$B$7,AK386*AL386,"")</f>
        <v/>
      </c>
      <c r="AN386" s="67" t="str">
        <f aca="false">IF($AF386=Constants!$B$7,IF(AM386&gt;AJ386,2,1),"")</f>
        <v/>
      </c>
      <c r="AO386" s="67" t="str">
        <f aca="false">IF($AF386=Constants!$B$7,IF(AN386=1,2,1),"")</f>
        <v/>
      </c>
      <c r="AP386" s="67" t="str">
        <f aca="false">IF(ISBLANK($C386),"",IF($AF386&lt;&gt;Constants!$B$7,$AF386,IF(AN386=1,AJ386,AM386)))</f>
        <v/>
      </c>
      <c r="AQ386" s="67" t="str">
        <f aca="false">IF(ISBLANK($C386),"",IF($AF386=Constants!$B$7,IF(ISNUMBER(AP386),RANK(AP386,$AP$8:$AP$507),Constants!$B$14),$AF386))</f>
        <v/>
      </c>
      <c r="AR386" s="67" t="str">
        <f aca="false">IF(ISBLANK($C386),"",IF($AF386=Constants!$B$7,IF(AO386=1,AJ386,AM386),""))</f>
        <v/>
      </c>
      <c r="AS386" s="67" t="str">
        <f aca="false">IF(ISBLANK($C386),"",IF($AF386=Constants!$B$7,RANK(AR386,$AR$8:$AR$507),$AF386))</f>
        <v/>
      </c>
      <c r="AT386" s="67" t="str">
        <f aca="false">IF(ISBLANK($C386),"",IF($AF386=Constants!$B$7,IF(ISNUMBER(AQ386),COUNTIFS($AQ$8:$AQ$507,"&lt;"&amp;$AQ386)+COUNTIFS($AQ$8:$AQ$507,$AQ386,$AS$8:$AS$507,"&lt;"&amp;$AS386)+1,Constants!$B$14),$AF386))</f>
        <v/>
      </c>
      <c r="AU386" s="67" t="str">
        <f aca="false">IF(ISBLANK($C386),"",IF($AF386=Constants!$B$7,IF(ISNUMBER(AQ386),AQ386-AT386,Constants!$B$14),$AF386))</f>
        <v/>
      </c>
      <c r="AV386" s="69"/>
      <c r="AW386" s="70" t="str">
        <f aca="false">IF(ISBLANK($C386),"",IF($AF386&lt;&gt;Constants!$B$7,"",AN386))</f>
        <v/>
      </c>
      <c r="AX386" s="85" t="str">
        <f aca="false">IF(ISBLANK($C386),"",IF($AF386&lt;&gt;Constants!$B$7,"",IF(AN386=1,AH386,AK386)))</f>
        <v/>
      </c>
      <c r="AY386" s="72" t="str">
        <f aca="false">IF(ISBLANK($C386),"",IF($AF386&lt;&gt;Constants!$B$7,"",IF(AN386=1,AI386,AL386)))</f>
        <v/>
      </c>
      <c r="AZ386" s="73" t="str">
        <f aca="false">IF(ISBLANK($C386),"",IF($AF386&lt;&gt;Constants!$B$7,$AF386,AP386))</f>
        <v/>
      </c>
      <c r="BA386" s="74" t="str">
        <f aca="false">IF(ISBLANK($C386),"",IF($AF386&lt;&gt;Constants!$B$7,$AF386,AG386))</f>
        <v/>
      </c>
      <c r="BB386" s="75" t="str">
        <f aca="false">IF(ISBLANK($C386),"",AU386)</f>
        <v/>
      </c>
      <c r="BC386" s="75" t="str">
        <f aca="false">IF(ISBLANK($C386),"",AT386)</f>
        <v/>
      </c>
      <c r="BD386" s="76" t="str">
        <f aca="false">IF(ISBLANK($C386),"",IFERROR(_xlfn.SWITCH(BC386,Constants!$B$4,COUNTA($C$8:$C$507)+2,Constants!$B$5,COUNTA($C$8:$C$507)+1,Constants!$B$6,COUNTA($C$8:$C$507)),BC386))</f>
        <v/>
      </c>
      <c r="BE386" s="5"/>
      <c r="BF386" s="77" t="n">
        <f aca="false">IF(OR(ISNUMBER(BC386),BC386=Constants!$B$4,BC386=Constants!$B$6,BC386=Constants!$B$5),1,0)</f>
        <v>0</v>
      </c>
      <c r="BG386" s="77" t="n">
        <v>379</v>
      </c>
      <c r="BH386" s="77" t="str">
        <f aca="false">IF(ISBLANK($C386),"",IF(ISNUMBER(BD386),BD386+ROW($B386)/1000,""))</f>
        <v/>
      </c>
      <c r="BI386" s="77" t="str">
        <f aca="false">IF(ISNUMBER(BH386),RANK(BH386,$BH$8:$BH$507,1),"")</f>
        <v/>
      </c>
      <c r="BJ386" s="77" t="str">
        <f aca="false">IF(ISBLANK($C386),"",$B386)</f>
        <v/>
      </c>
      <c r="BK386" s="77" t="str">
        <f aca="false">IF(ISBLANK($C386),"",$C386)</f>
        <v/>
      </c>
      <c r="BL386" s="77" t="str">
        <f aca="false">IF(ISBLANK($C386),"",$D386)</f>
        <v/>
      </c>
      <c r="BM386" s="78" t="str">
        <f aca="false">BA386</f>
        <v/>
      </c>
      <c r="BN386" s="79" t="str">
        <f aca="false">AZ386</f>
        <v/>
      </c>
      <c r="BO386" s="77" t="str">
        <f aca="false">IF(ISBLANK($C386),"",BC386)</f>
        <v/>
      </c>
      <c r="BP386" s="80" t="str">
        <f aca="false">IF($BG386&gt;$BF$7,"",VLOOKUP($BG386,$BI$8:$BO$507,7,FALSE()))</f>
        <v/>
      </c>
      <c r="BQ386" s="81" t="str">
        <f aca="false">IF($BG386&gt;$BF$7,"",VLOOKUP($BG386,$BI$8:$BO$507,2,FALSE()))</f>
        <v/>
      </c>
      <c r="BR386" s="81" t="str">
        <f aca="false">IF($BG386&gt;$BF$7,"",VLOOKUP($BG386,$BI$8:$BO$507,3,FALSE()))</f>
        <v/>
      </c>
      <c r="BS386" s="81" t="str">
        <f aca="false">IF($BG386&gt;$BF$7,"",VLOOKUP($BG386,$BI$8:$BO$507,4,FALSE()))</f>
        <v/>
      </c>
      <c r="BT386" s="81" t="str">
        <f aca="false">IF($BG386&gt;$BF$7,"",VLOOKUP($BG386,$BI$8:$BO$507,5,FALSE()))</f>
        <v/>
      </c>
      <c r="BU386" s="82" t="str">
        <f aca="false">IF($BG386&gt;$BF$7,"",VLOOKUP($BG386,$BI$8:$BO$507,6,FALSE()))</f>
        <v/>
      </c>
      <c r="BV386" s="54"/>
    </row>
    <row r="387" customFormat="false" ht="15.75" hidden="false" customHeight="false" outlineLevel="0" collapsed="false">
      <c r="A387" s="5"/>
      <c r="B387" s="135"/>
      <c r="C387" s="56"/>
      <c r="D387" s="57"/>
      <c r="E387" s="84"/>
      <c r="F387" s="136"/>
      <c r="G387" s="60"/>
      <c r="H387" s="137"/>
      <c r="I387" s="62"/>
      <c r="J387" s="62"/>
      <c r="K387" s="60"/>
      <c r="L387" s="138"/>
      <c r="M387" s="62"/>
      <c r="N387" s="62"/>
      <c r="O387" s="60"/>
      <c r="P387" s="84"/>
      <c r="Q387" s="65"/>
      <c r="R387" s="67" t="str">
        <f aca="false">IF(ISBLANK($C387),"",IF(E387=Constants!$B$2, TRUE(), IF(E387=Constants!$B$3, FALSE(), TRUE())))</f>
        <v/>
      </c>
      <c r="S387" s="67" t="str">
        <f aca="false">IF(ISBLANK($C387),"",IF(F387=Constants!$B$2, TRUE(), IF(F387=Constants!$B$3, FALSE(), TRUE())))</f>
        <v/>
      </c>
      <c r="T387" s="67" t="str">
        <f aca="false">IF(ISBLANK($C387),"",IF(G387=Constants!$B$16,Constants!$B$9,IF(G387=Constants!$B$17,Constants!$B$10,Constants!$B$8)))</f>
        <v/>
      </c>
      <c r="U387" s="67" t="str">
        <f aca="false">IF(ISBLANK($C387),"",IF(H387=Constants!$B$19,Constants!$B$19,Constants!$B$18))</f>
        <v/>
      </c>
      <c r="V387" s="67" t="str">
        <f aca="false">IF(ISBLANK($C387),"",IF(ISNUMBER(I387),IF(I387&gt;=0,I387,""),""))</f>
        <v/>
      </c>
      <c r="W387" s="67" t="str">
        <f aca="false">IF(ISBLANK($C387),"",IF(J387=Constants!$B$2, TRUE(), IF(J387=Constants!$B$3, FALSE(), TRUE())))</f>
        <v/>
      </c>
      <c r="X387" s="67" t="str">
        <f aca="false">IF(ISBLANK($C387),"",IF(K387=Constants!$B$2, TRUE(), IF(K387=Constants!$B$3, FALSE(), TRUE())))</f>
        <v/>
      </c>
      <c r="Y387" s="67" t="str">
        <f aca="false">IF(ISBLANK($C387),"",IF(L387=Constants!$B$19,Constants!$B$19,Constants!$B$18))</f>
        <v/>
      </c>
      <c r="Z387" s="67" t="str">
        <f aca="false">IF(ISBLANK($C387),"",IF(ISNUMBER(M387),IF(M387&gt;=0,M387,""),""))</f>
        <v/>
      </c>
      <c r="AA387" s="67" t="str">
        <f aca="false">IF(ISBLANK($C387),"",IF(N387=Constants!$B$2, TRUE(), IF(N387=Constants!$B$3, FALSE(), TRUE())))</f>
        <v/>
      </c>
      <c r="AB387" s="67" t="str">
        <f aca="false">IF(ISBLANK($C387),"",IF(O387=Constants!$B$2, TRUE(), IF(O387=Constants!$B$3, FALSE(), TRUE())))</f>
        <v/>
      </c>
      <c r="AC387" s="67" t="str">
        <f aca="false">IF(ISBLANK($C387),"",IF(P387=Constants!$B$2, TRUE(), IF(P387=Constants!$B$3, FALSE(), FALSE())))</f>
        <v/>
      </c>
      <c r="AD387" s="67" t="str">
        <f aca="false">IF(ISBLANK($C387),"",AND(V387&lt;&gt;"",IF(U387=Constants!$B$19,S387,R387)))</f>
        <v/>
      </c>
      <c r="AE387" s="67" t="str">
        <f aca="false">IF(ISBLANK($C387),"",AND(Z387&lt;&gt;"",IF(Y387=Constants!$B$19,S387,R387)))</f>
        <v/>
      </c>
      <c r="AF387" s="67" t="str">
        <f aca="false">IF(ISBLANK($C387),"",IF(AC387,Constants!$B$4,IF(COUNTA(E387:O387)=0,Constants!$B$5,IF(AND(NOT(AD387),NOT(AE387)),Constants!$B$6,Constants!$B$7))))</f>
        <v/>
      </c>
      <c r="AG387" s="67" t="str">
        <f aca="false">IF(ISBLANK($C387),"",IF($AF387&lt;&gt;Constants!$B$7,$AF387,Constants!$B$20))</f>
        <v/>
      </c>
      <c r="AH387" s="67" t="str">
        <f aca="false">IF($AF387=Constants!$B$7,IF(AD387,V387,Constants!$B$13),"")</f>
        <v/>
      </c>
      <c r="AI387" s="67" t="str">
        <f aca="false">IF($AF387=Constants!$B$7,IF(AD387,T387*IF(W387, 1, Constants!$B$11)*IF(X387, 1, Constants!$B$12),Constants!$B$13),"")</f>
        <v/>
      </c>
      <c r="AJ387" s="67" t="str">
        <f aca="false">IF($AF387=Constants!$B$7,AH387*AI387,"")</f>
        <v/>
      </c>
      <c r="AK387" s="67" t="str">
        <f aca="false">IF($AF387=Constants!$B$7,IF(AE387,Z387,Constants!$B$13),"")</f>
        <v/>
      </c>
      <c r="AL387" s="67" t="str">
        <f aca="false">IF($AF387=Constants!$B$7,IF(AE387,T387*IF(AA387, 1, Constants!$B$11)*IF(AB387, 1, Constants!$B$12),Constants!$B$13),"")</f>
        <v/>
      </c>
      <c r="AM387" s="67" t="str">
        <f aca="false">IF($AF387=Constants!$B$7,AK387*AL387,"")</f>
        <v/>
      </c>
      <c r="AN387" s="67" t="str">
        <f aca="false">IF($AF387=Constants!$B$7,IF(AM387&gt;AJ387,2,1),"")</f>
        <v/>
      </c>
      <c r="AO387" s="67" t="str">
        <f aca="false">IF($AF387=Constants!$B$7,IF(AN387=1,2,1),"")</f>
        <v/>
      </c>
      <c r="AP387" s="67" t="str">
        <f aca="false">IF(ISBLANK($C387),"",IF($AF387&lt;&gt;Constants!$B$7,$AF387,IF(AN387=1,AJ387,AM387)))</f>
        <v/>
      </c>
      <c r="AQ387" s="67" t="str">
        <f aca="false">IF(ISBLANK($C387),"",IF($AF387=Constants!$B$7,IF(ISNUMBER(AP387),RANK(AP387,$AP$8:$AP$507),Constants!$B$14),$AF387))</f>
        <v/>
      </c>
      <c r="AR387" s="67" t="str">
        <f aca="false">IF(ISBLANK($C387),"",IF($AF387=Constants!$B$7,IF(AO387=1,AJ387,AM387),""))</f>
        <v/>
      </c>
      <c r="AS387" s="67" t="str">
        <f aca="false">IF(ISBLANK($C387),"",IF($AF387=Constants!$B$7,RANK(AR387,$AR$8:$AR$507),$AF387))</f>
        <v/>
      </c>
      <c r="AT387" s="67" t="str">
        <f aca="false">IF(ISBLANK($C387),"",IF($AF387=Constants!$B$7,IF(ISNUMBER(AQ387),COUNTIFS($AQ$8:$AQ$507,"&lt;"&amp;$AQ387)+COUNTIFS($AQ$8:$AQ$507,$AQ387,$AS$8:$AS$507,"&lt;"&amp;$AS387)+1,Constants!$B$14),$AF387))</f>
        <v/>
      </c>
      <c r="AU387" s="67" t="str">
        <f aca="false">IF(ISBLANK($C387),"",IF($AF387=Constants!$B$7,IF(ISNUMBER(AQ387),AQ387-AT387,Constants!$B$14),$AF387))</f>
        <v/>
      </c>
      <c r="AV387" s="69"/>
      <c r="AW387" s="70" t="str">
        <f aca="false">IF(ISBLANK($C387),"",IF($AF387&lt;&gt;Constants!$B$7,"",AN387))</f>
        <v/>
      </c>
      <c r="AX387" s="85" t="str">
        <f aca="false">IF(ISBLANK($C387),"",IF($AF387&lt;&gt;Constants!$B$7,"",IF(AN387=1,AH387,AK387)))</f>
        <v/>
      </c>
      <c r="AY387" s="72" t="str">
        <f aca="false">IF(ISBLANK($C387),"",IF($AF387&lt;&gt;Constants!$B$7,"",IF(AN387=1,AI387,AL387)))</f>
        <v/>
      </c>
      <c r="AZ387" s="73" t="str">
        <f aca="false">IF(ISBLANK($C387),"",IF($AF387&lt;&gt;Constants!$B$7,$AF387,AP387))</f>
        <v/>
      </c>
      <c r="BA387" s="74" t="str">
        <f aca="false">IF(ISBLANK($C387),"",IF($AF387&lt;&gt;Constants!$B$7,$AF387,AG387))</f>
        <v/>
      </c>
      <c r="BB387" s="75" t="str">
        <f aca="false">IF(ISBLANK($C387),"",AU387)</f>
        <v/>
      </c>
      <c r="BC387" s="75" t="str">
        <f aca="false">IF(ISBLANK($C387),"",AT387)</f>
        <v/>
      </c>
      <c r="BD387" s="76" t="str">
        <f aca="false">IF(ISBLANK($C387),"",IFERROR(_xlfn.SWITCH(BC387,Constants!$B$4,COUNTA($C$8:$C$507)+2,Constants!$B$5,COUNTA($C$8:$C$507)+1,Constants!$B$6,COUNTA($C$8:$C$507)),BC387))</f>
        <v/>
      </c>
      <c r="BE387" s="5"/>
      <c r="BF387" s="77" t="n">
        <f aca="false">IF(OR(ISNUMBER(BC387),BC387=Constants!$B$4,BC387=Constants!$B$6,BC387=Constants!$B$5),1,0)</f>
        <v>0</v>
      </c>
      <c r="BG387" s="77" t="n">
        <v>380</v>
      </c>
      <c r="BH387" s="77" t="str">
        <f aca="false">IF(ISBLANK($C387),"",IF(ISNUMBER(BD387),BD387+ROW($B387)/1000,""))</f>
        <v/>
      </c>
      <c r="BI387" s="77" t="str">
        <f aca="false">IF(ISNUMBER(BH387),RANK(BH387,$BH$8:$BH$507,1),"")</f>
        <v/>
      </c>
      <c r="BJ387" s="77" t="str">
        <f aca="false">IF(ISBLANK($C387),"",$B387)</f>
        <v/>
      </c>
      <c r="BK387" s="77" t="str">
        <f aca="false">IF(ISBLANK($C387),"",$C387)</f>
        <v/>
      </c>
      <c r="BL387" s="77" t="str">
        <f aca="false">IF(ISBLANK($C387),"",$D387)</f>
        <v/>
      </c>
      <c r="BM387" s="78" t="str">
        <f aca="false">BA387</f>
        <v/>
      </c>
      <c r="BN387" s="79" t="str">
        <f aca="false">AZ387</f>
        <v/>
      </c>
      <c r="BO387" s="77" t="str">
        <f aca="false">IF(ISBLANK($C387),"",BC387)</f>
        <v/>
      </c>
      <c r="BP387" s="80" t="str">
        <f aca="false">IF($BG387&gt;$BF$7,"",VLOOKUP($BG387,$BI$8:$BO$507,7,FALSE()))</f>
        <v/>
      </c>
      <c r="BQ387" s="81" t="str">
        <f aca="false">IF($BG387&gt;$BF$7,"",VLOOKUP($BG387,$BI$8:$BO$507,2,FALSE()))</f>
        <v/>
      </c>
      <c r="BR387" s="81" t="str">
        <f aca="false">IF($BG387&gt;$BF$7,"",VLOOKUP($BG387,$BI$8:$BO$507,3,FALSE()))</f>
        <v/>
      </c>
      <c r="BS387" s="81" t="str">
        <f aca="false">IF($BG387&gt;$BF$7,"",VLOOKUP($BG387,$BI$8:$BO$507,4,FALSE()))</f>
        <v/>
      </c>
      <c r="BT387" s="81" t="str">
        <f aca="false">IF($BG387&gt;$BF$7,"",VLOOKUP($BG387,$BI$8:$BO$507,5,FALSE()))</f>
        <v/>
      </c>
      <c r="BU387" s="82" t="str">
        <f aca="false">IF($BG387&gt;$BF$7,"",VLOOKUP($BG387,$BI$8:$BO$507,6,FALSE()))</f>
        <v/>
      </c>
      <c r="BV387" s="54"/>
    </row>
    <row r="388" customFormat="false" ht="15.75" hidden="false" customHeight="false" outlineLevel="0" collapsed="false">
      <c r="A388" s="5"/>
      <c r="B388" s="135"/>
      <c r="C388" s="56"/>
      <c r="D388" s="57"/>
      <c r="E388" s="84"/>
      <c r="F388" s="136"/>
      <c r="G388" s="60"/>
      <c r="H388" s="137"/>
      <c r="I388" s="62"/>
      <c r="J388" s="62"/>
      <c r="K388" s="60"/>
      <c r="L388" s="138"/>
      <c r="M388" s="62"/>
      <c r="N388" s="62"/>
      <c r="O388" s="60"/>
      <c r="P388" s="84"/>
      <c r="Q388" s="65"/>
      <c r="R388" s="67" t="str">
        <f aca="false">IF(ISBLANK($C388),"",IF(E388=Constants!$B$2, TRUE(), IF(E388=Constants!$B$3, FALSE(), TRUE())))</f>
        <v/>
      </c>
      <c r="S388" s="67" t="str">
        <f aca="false">IF(ISBLANK($C388),"",IF(F388=Constants!$B$2, TRUE(), IF(F388=Constants!$B$3, FALSE(), TRUE())))</f>
        <v/>
      </c>
      <c r="T388" s="67" t="str">
        <f aca="false">IF(ISBLANK($C388),"",IF(G388=Constants!$B$16,Constants!$B$9,IF(G388=Constants!$B$17,Constants!$B$10,Constants!$B$8)))</f>
        <v/>
      </c>
      <c r="U388" s="67" t="str">
        <f aca="false">IF(ISBLANK($C388),"",IF(H388=Constants!$B$19,Constants!$B$19,Constants!$B$18))</f>
        <v/>
      </c>
      <c r="V388" s="67" t="str">
        <f aca="false">IF(ISBLANK($C388),"",IF(ISNUMBER(I388),IF(I388&gt;=0,I388,""),""))</f>
        <v/>
      </c>
      <c r="W388" s="67" t="str">
        <f aca="false">IF(ISBLANK($C388),"",IF(J388=Constants!$B$2, TRUE(), IF(J388=Constants!$B$3, FALSE(), TRUE())))</f>
        <v/>
      </c>
      <c r="X388" s="67" t="str">
        <f aca="false">IF(ISBLANK($C388),"",IF(K388=Constants!$B$2, TRUE(), IF(K388=Constants!$B$3, FALSE(), TRUE())))</f>
        <v/>
      </c>
      <c r="Y388" s="67" t="str">
        <f aca="false">IF(ISBLANK($C388),"",IF(L388=Constants!$B$19,Constants!$B$19,Constants!$B$18))</f>
        <v/>
      </c>
      <c r="Z388" s="67" t="str">
        <f aca="false">IF(ISBLANK($C388),"",IF(ISNUMBER(M388),IF(M388&gt;=0,M388,""),""))</f>
        <v/>
      </c>
      <c r="AA388" s="67" t="str">
        <f aca="false">IF(ISBLANK($C388),"",IF(N388=Constants!$B$2, TRUE(), IF(N388=Constants!$B$3, FALSE(), TRUE())))</f>
        <v/>
      </c>
      <c r="AB388" s="67" t="str">
        <f aca="false">IF(ISBLANK($C388),"",IF(O388=Constants!$B$2, TRUE(), IF(O388=Constants!$B$3, FALSE(), TRUE())))</f>
        <v/>
      </c>
      <c r="AC388" s="67" t="str">
        <f aca="false">IF(ISBLANK($C388),"",IF(P388=Constants!$B$2, TRUE(), IF(P388=Constants!$B$3, FALSE(), FALSE())))</f>
        <v/>
      </c>
      <c r="AD388" s="67" t="str">
        <f aca="false">IF(ISBLANK($C388),"",AND(V388&lt;&gt;"",IF(U388=Constants!$B$19,S388,R388)))</f>
        <v/>
      </c>
      <c r="AE388" s="67" t="str">
        <f aca="false">IF(ISBLANK($C388),"",AND(Z388&lt;&gt;"",IF(Y388=Constants!$B$19,S388,R388)))</f>
        <v/>
      </c>
      <c r="AF388" s="67" t="str">
        <f aca="false">IF(ISBLANK($C388),"",IF(AC388,Constants!$B$4,IF(COUNTA(E388:O388)=0,Constants!$B$5,IF(AND(NOT(AD388),NOT(AE388)),Constants!$B$6,Constants!$B$7))))</f>
        <v/>
      </c>
      <c r="AG388" s="67" t="str">
        <f aca="false">IF(ISBLANK($C388),"",IF($AF388&lt;&gt;Constants!$B$7,$AF388,Constants!$B$20))</f>
        <v/>
      </c>
      <c r="AH388" s="67" t="str">
        <f aca="false">IF($AF388=Constants!$B$7,IF(AD388,V388,Constants!$B$13),"")</f>
        <v/>
      </c>
      <c r="AI388" s="67" t="str">
        <f aca="false">IF($AF388=Constants!$B$7,IF(AD388,T388*IF(W388, 1, Constants!$B$11)*IF(X388, 1, Constants!$B$12),Constants!$B$13),"")</f>
        <v/>
      </c>
      <c r="AJ388" s="67" t="str">
        <f aca="false">IF($AF388=Constants!$B$7,AH388*AI388,"")</f>
        <v/>
      </c>
      <c r="AK388" s="67" t="str">
        <f aca="false">IF($AF388=Constants!$B$7,IF(AE388,Z388,Constants!$B$13),"")</f>
        <v/>
      </c>
      <c r="AL388" s="67" t="str">
        <f aca="false">IF($AF388=Constants!$B$7,IF(AE388,T388*IF(AA388, 1, Constants!$B$11)*IF(AB388, 1, Constants!$B$12),Constants!$B$13),"")</f>
        <v/>
      </c>
      <c r="AM388" s="67" t="str">
        <f aca="false">IF($AF388=Constants!$B$7,AK388*AL388,"")</f>
        <v/>
      </c>
      <c r="AN388" s="67" t="str">
        <f aca="false">IF($AF388=Constants!$B$7,IF(AM388&gt;AJ388,2,1),"")</f>
        <v/>
      </c>
      <c r="AO388" s="67" t="str">
        <f aca="false">IF($AF388=Constants!$B$7,IF(AN388=1,2,1),"")</f>
        <v/>
      </c>
      <c r="AP388" s="67" t="str">
        <f aca="false">IF(ISBLANK($C388),"",IF($AF388&lt;&gt;Constants!$B$7,$AF388,IF(AN388=1,AJ388,AM388)))</f>
        <v/>
      </c>
      <c r="AQ388" s="67" t="str">
        <f aca="false">IF(ISBLANK($C388),"",IF($AF388=Constants!$B$7,IF(ISNUMBER(AP388),RANK(AP388,$AP$8:$AP$507),Constants!$B$14),$AF388))</f>
        <v/>
      </c>
      <c r="AR388" s="67" t="str">
        <f aca="false">IF(ISBLANK($C388),"",IF($AF388=Constants!$B$7,IF(AO388=1,AJ388,AM388),""))</f>
        <v/>
      </c>
      <c r="AS388" s="67" t="str">
        <f aca="false">IF(ISBLANK($C388),"",IF($AF388=Constants!$B$7,RANK(AR388,$AR$8:$AR$507),$AF388))</f>
        <v/>
      </c>
      <c r="AT388" s="67" t="str">
        <f aca="false">IF(ISBLANK($C388),"",IF($AF388=Constants!$B$7,IF(ISNUMBER(AQ388),COUNTIFS($AQ$8:$AQ$507,"&lt;"&amp;$AQ388)+COUNTIFS($AQ$8:$AQ$507,$AQ388,$AS$8:$AS$507,"&lt;"&amp;$AS388)+1,Constants!$B$14),$AF388))</f>
        <v/>
      </c>
      <c r="AU388" s="67" t="str">
        <f aca="false">IF(ISBLANK($C388),"",IF($AF388=Constants!$B$7,IF(ISNUMBER(AQ388),AQ388-AT388,Constants!$B$14),$AF388))</f>
        <v/>
      </c>
      <c r="AV388" s="69"/>
      <c r="AW388" s="70" t="str">
        <f aca="false">IF(ISBLANK($C388),"",IF($AF388&lt;&gt;Constants!$B$7,"",AN388))</f>
        <v/>
      </c>
      <c r="AX388" s="85" t="str">
        <f aca="false">IF(ISBLANK($C388),"",IF($AF388&lt;&gt;Constants!$B$7,"",IF(AN388=1,AH388,AK388)))</f>
        <v/>
      </c>
      <c r="AY388" s="72" t="str">
        <f aca="false">IF(ISBLANK($C388),"",IF($AF388&lt;&gt;Constants!$B$7,"",IF(AN388=1,AI388,AL388)))</f>
        <v/>
      </c>
      <c r="AZ388" s="73" t="str">
        <f aca="false">IF(ISBLANK($C388),"",IF($AF388&lt;&gt;Constants!$B$7,$AF388,AP388))</f>
        <v/>
      </c>
      <c r="BA388" s="74" t="str">
        <f aca="false">IF(ISBLANK($C388),"",IF($AF388&lt;&gt;Constants!$B$7,$AF388,AG388))</f>
        <v/>
      </c>
      <c r="BB388" s="75" t="str">
        <f aca="false">IF(ISBLANK($C388),"",AU388)</f>
        <v/>
      </c>
      <c r="BC388" s="75" t="str">
        <f aca="false">IF(ISBLANK($C388),"",AT388)</f>
        <v/>
      </c>
      <c r="BD388" s="76" t="str">
        <f aca="false">IF(ISBLANK($C388),"",IFERROR(_xlfn.SWITCH(BC388,Constants!$B$4,COUNTA($C$8:$C$507)+2,Constants!$B$5,COUNTA($C$8:$C$507)+1,Constants!$B$6,COUNTA($C$8:$C$507)),BC388))</f>
        <v/>
      </c>
      <c r="BE388" s="5"/>
      <c r="BF388" s="77" t="n">
        <f aca="false">IF(OR(ISNUMBER(BC388),BC388=Constants!$B$4,BC388=Constants!$B$6,BC388=Constants!$B$5),1,0)</f>
        <v>0</v>
      </c>
      <c r="BG388" s="77" t="n">
        <v>381</v>
      </c>
      <c r="BH388" s="77" t="str">
        <f aca="false">IF(ISBLANK($C388),"",IF(ISNUMBER(BD388),BD388+ROW($B388)/1000,""))</f>
        <v/>
      </c>
      <c r="BI388" s="77" t="str">
        <f aca="false">IF(ISNUMBER(BH388),RANK(BH388,$BH$8:$BH$507,1),"")</f>
        <v/>
      </c>
      <c r="BJ388" s="77" t="str">
        <f aca="false">IF(ISBLANK($C388),"",$B388)</f>
        <v/>
      </c>
      <c r="BK388" s="77" t="str">
        <f aca="false">IF(ISBLANK($C388),"",$C388)</f>
        <v/>
      </c>
      <c r="BL388" s="77" t="str">
        <f aca="false">IF(ISBLANK($C388),"",$D388)</f>
        <v/>
      </c>
      <c r="BM388" s="78" t="str">
        <f aca="false">BA388</f>
        <v/>
      </c>
      <c r="BN388" s="79" t="str">
        <f aca="false">AZ388</f>
        <v/>
      </c>
      <c r="BO388" s="77" t="str">
        <f aca="false">IF(ISBLANK($C388),"",BC388)</f>
        <v/>
      </c>
      <c r="BP388" s="80" t="str">
        <f aca="false">IF($BG388&gt;$BF$7,"",VLOOKUP($BG388,$BI$8:$BO$507,7,FALSE()))</f>
        <v/>
      </c>
      <c r="BQ388" s="81" t="str">
        <f aca="false">IF($BG388&gt;$BF$7,"",VLOOKUP($BG388,$BI$8:$BO$507,2,FALSE()))</f>
        <v/>
      </c>
      <c r="BR388" s="81" t="str">
        <f aca="false">IF($BG388&gt;$BF$7,"",VLOOKUP($BG388,$BI$8:$BO$507,3,FALSE()))</f>
        <v/>
      </c>
      <c r="BS388" s="81" t="str">
        <f aca="false">IF($BG388&gt;$BF$7,"",VLOOKUP($BG388,$BI$8:$BO$507,4,FALSE()))</f>
        <v/>
      </c>
      <c r="BT388" s="81" t="str">
        <f aca="false">IF($BG388&gt;$BF$7,"",VLOOKUP($BG388,$BI$8:$BO$507,5,FALSE()))</f>
        <v/>
      </c>
      <c r="BU388" s="82" t="str">
        <f aca="false">IF($BG388&gt;$BF$7,"",VLOOKUP($BG388,$BI$8:$BO$507,6,FALSE()))</f>
        <v/>
      </c>
      <c r="BV388" s="54"/>
    </row>
    <row r="389" customFormat="false" ht="15.75" hidden="false" customHeight="false" outlineLevel="0" collapsed="false">
      <c r="A389" s="5"/>
      <c r="B389" s="128"/>
      <c r="C389" s="129"/>
      <c r="D389" s="114"/>
      <c r="E389" s="134"/>
      <c r="F389" s="139"/>
      <c r="G389" s="93"/>
      <c r="H389" s="140"/>
      <c r="I389" s="95"/>
      <c r="J389" s="95"/>
      <c r="K389" s="93"/>
      <c r="L389" s="141"/>
      <c r="M389" s="95"/>
      <c r="N389" s="95"/>
      <c r="O389" s="93"/>
      <c r="P389" s="134"/>
      <c r="Q389" s="98"/>
      <c r="R389" s="99" t="str">
        <f aca="false">IF(ISBLANK($C389),"",IF(E389=Constants!$B$2, TRUE(), IF(E389=Constants!$B$3, FALSE(), TRUE())))</f>
        <v/>
      </c>
      <c r="S389" s="99" t="str">
        <f aca="false">IF(ISBLANK($C389),"",IF(F389=Constants!$B$2, TRUE(), IF(F389=Constants!$B$3, FALSE(), TRUE())))</f>
        <v/>
      </c>
      <c r="T389" s="99" t="str">
        <f aca="false">IF(ISBLANK($C389),"",IF(G389=Constants!$B$16,Constants!$B$9,IF(G389=Constants!$B$17,Constants!$B$10,Constants!$B$8)))</f>
        <v/>
      </c>
      <c r="U389" s="99" t="str">
        <f aca="false">IF(ISBLANK($C389),"",IF(H389=Constants!$B$19,Constants!$B$19,Constants!$B$18))</f>
        <v/>
      </c>
      <c r="V389" s="99" t="str">
        <f aca="false">IF(ISBLANK($C389),"",IF(ISNUMBER(I389),IF(I389&gt;=0,I389,""),""))</f>
        <v/>
      </c>
      <c r="W389" s="99" t="str">
        <f aca="false">IF(ISBLANK($C389),"",IF(J389=Constants!$B$2, TRUE(), IF(J389=Constants!$B$3, FALSE(), TRUE())))</f>
        <v/>
      </c>
      <c r="X389" s="99" t="str">
        <f aca="false">IF(ISBLANK($C389),"",IF(K389=Constants!$B$2, TRUE(), IF(K389=Constants!$B$3, FALSE(), TRUE())))</f>
        <v/>
      </c>
      <c r="Y389" s="99" t="str">
        <f aca="false">IF(ISBLANK($C389),"",IF(L389=Constants!$B$19,Constants!$B$19,Constants!$B$18))</f>
        <v/>
      </c>
      <c r="Z389" s="99" t="str">
        <f aca="false">IF(ISBLANK($C389),"",IF(ISNUMBER(M389),IF(M389&gt;=0,M389,""),""))</f>
        <v/>
      </c>
      <c r="AA389" s="99" t="str">
        <f aca="false">IF(ISBLANK($C389),"",IF(N389=Constants!$B$2, TRUE(), IF(N389=Constants!$B$3, FALSE(), TRUE())))</f>
        <v/>
      </c>
      <c r="AB389" s="99" t="str">
        <f aca="false">IF(ISBLANK($C389),"",IF(O389=Constants!$B$2, TRUE(), IF(O389=Constants!$B$3, FALSE(), TRUE())))</f>
        <v/>
      </c>
      <c r="AC389" s="99" t="str">
        <f aca="false">IF(ISBLANK($C389),"",IF(P389=Constants!$B$2, TRUE(), IF(P389=Constants!$B$3, FALSE(), FALSE())))</f>
        <v/>
      </c>
      <c r="AD389" s="99" t="str">
        <f aca="false">IF(ISBLANK($C389),"",AND(V389&lt;&gt;"",IF(U389=Constants!$B$19,S389,R389)))</f>
        <v/>
      </c>
      <c r="AE389" s="99" t="str">
        <f aca="false">IF(ISBLANK($C389),"",AND(Z389&lt;&gt;"",IF(Y389=Constants!$B$19,S389,R389)))</f>
        <v/>
      </c>
      <c r="AF389" s="99" t="str">
        <f aca="false">IF(ISBLANK($C389),"",IF(AC389,Constants!$B$4,IF(COUNTA(E389:O389)=0,Constants!$B$5,IF(AND(NOT(AD389),NOT(AE389)),Constants!$B$6,Constants!$B$7))))</f>
        <v/>
      </c>
      <c r="AG389" s="99" t="str">
        <f aca="false">IF(ISBLANK($C389),"",IF($AF389&lt;&gt;Constants!$B$7,$AF389,Constants!$B$20))</f>
        <v/>
      </c>
      <c r="AH389" s="99" t="str">
        <f aca="false">IF($AF389=Constants!$B$7,IF(AD389,V389,Constants!$B$13),"")</f>
        <v/>
      </c>
      <c r="AI389" s="99" t="str">
        <f aca="false">IF($AF389=Constants!$B$7,IF(AD389,T389*IF(W389, 1, Constants!$B$11)*IF(X389, 1, Constants!$B$12),Constants!$B$13),"")</f>
        <v/>
      </c>
      <c r="AJ389" s="99" t="str">
        <f aca="false">IF($AF389=Constants!$B$7,AH389*AI389,"")</f>
        <v/>
      </c>
      <c r="AK389" s="99" t="str">
        <f aca="false">IF($AF389=Constants!$B$7,IF(AE389,Z389,Constants!$B$13),"")</f>
        <v/>
      </c>
      <c r="AL389" s="99" t="str">
        <f aca="false">IF($AF389=Constants!$B$7,IF(AE389,T389*IF(AA389, 1, Constants!$B$11)*IF(AB389, 1, Constants!$B$12),Constants!$B$13),"")</f>
        <v/>
      </c>
      <c r="AM389" s="99" t="str">
        <f aca="false">IF($AF389=Constants!$B$7,AK389*AL389,"")</f>
        <v/>
      </c>
      <c r="AN389" s="99" t="str">
        <f aca="false">IF($AF389=Constants!$B$7,IF(AM389&gt;AJ389,2,1),"")</f>
        <v/>
      </c>
      <c r="AO389" s="99" t="str">
        <f aca="false">IF($AF389=Constants!$B$7,IF(AN389=1,2,1),"")</f>
        <v/>
      </c>
      <c r="AP389" s="99" t="str">
        <f aca="false">IF(ISBLANK($C389),"",IF($AF389&lt;&gt;Constants!$B$7,$AF389,IF(AN389=1,AJ389,AM389)))</f>
        <v/>
      </c>
      <c r="AQ389" s="99" t="str">
        <f aca="false">IF(ISBLANK($C389),"",IF($AF389=Constants!$B$7,IF(ISNUMBER(AP389),RANK(AP389,$AP$8:$AP$507),Constants!$B$14),$AF389))</f>
        <v/>
      </c>
      <c r="AR389" s="99" t="str">
        <f aca="false">IF(ISBLANK($C389),"",IF($AF389=Constants!$B$7,IF(AO389=1,AJ389,AM389),""))</f>
        <v/>
      </c>
      <c r="AS389" s="99" t="str">
        <f aca="false">IF(ISBLANK($C389),"",IF($AF389=Constants!$B$7,RANK(AR389,$AR$8:$AR$507),$AF389))</f>
        <v/>
      </c>
      <c r="AT389" s="99" t="str">
        <f aca="false">IF(ISBLANK($C389),"",IF($AF389=Constants!$B$7,IF(ISNUMBER(AQ389),COUNTIFS($AQ$8:$AQ$507,"&lt;"&amp;$AQ389)+COUNTIFS($AQ$8:$AQ$507,$AQ389,$AS$8:$AS$507,"&lt;"&amp;$AS389)+1,Constants!$B$14),$AF389))</f>
        <v/>
      </c>
      <c r="AU389" s="99" t="str">
        <f aca="false">IF(ISBLANK($C389),"",IF($AF389=Constants!$B$7,IF(ISNUMBER(AQ389),AQ389-AT389,Constants!$B$14),$AF389))</f>
        <v/>
      </c>
      <c r="AV389" s="100"/>
      <c r="AW389" s="101" t="str">
        <f aca="false">IF(ISBLANK($C389),"",IF($AF389&lt;&gt;Constants!$B$7,"",AN389))</f>
        <v/>
      </c>
      <c r="AX389" s="102" t="str">
        <f aca="false">IF(ISBLANK($C389),"",IF($AF389&lt;&gt;Constants!$B$7,"",IF(AN389=1,AH389,AK389)))</f>
        <v/>
      </c>
      <c r="AY389" s="103" t="str">
        <f aca="false">IF(ISBLANK($C389),"",IF($AF389&lt;&gt;Constants!$B$7,"",IF(AN389=1,AI389,AL389)))</f>
        <v/>
      </c>
      <c r="AZ389" s="104" t="str">
        <f aca="false">IF(ISBLANK($C389),"",IF($AF389&lt;&gt;Constants!$B$7,$AF389,AP389))</f>
        <v/>
      </c>
      <c r="BA389" s="105" t="str">
        <f aca="false">IF(ISBLANK($C389),"",IF($AF389&lt;&gt;Constants!$B$7,$AF389,AG389))</f>
        <v/>
      </c>
      <c r="BB389" s="106" t="str">
        <f aca="false">IF(ISBLANK($C389),"",AU389)</f>
        <v/>
      </c>
      <c r="BC389" s="106" t="str">
        <f aca="false">IF(ISBLANK($C389),"",AT389)</f>
        <v/>
      </c>
      <c r="BD389" s="107" t="str">
        <f aca="false">IF(ISBLANK($C389),"",IFERROR(_xlfn.SWITCH(BC389,Constants!$B$4,COUNTA($C$8:$C$507)+2,Constants!$B$5,COUNTA($C$8:$C$507)+1,Constants!$B$6,COUNTA($C$8:$C$507)),BC389))</f>
        <v/>
      </c>
      <c r="BE389" s="5"/>
      <c r="BF389" s="108" t="n">
        <f aca="false">IF(OR(ISNUMBER(BC389),BC389=Constants!$B$4,BC389=Constants!$B$6,BC389=Constants!$B$5),1,0)</f>
        <v>0</v>
      </c>
      <c r="BG389" s="108" t="n">
        <v>382</v>
      </c>
      <c r="BH389" s="108" t="str">
        <f aca="false">IF(ISBLANK($C389),"",IF(ISNUMBER(BD389),BD389+ROW($B389)/1000,""))</f>
        <v/>
      </c>
      <c r="BI389" s="108" t="str">
        <f aca="false">IF(ISNUMBER(BH389),RANK(BH389,$BH$8:$BH$507,1),"")</f>
        <v/>
      </c>
      <c r="BJ389" s="108" t="str">
        <f aca="false">IF(ISBLANK($C389),"",$B389)</f>
        <v/>
      </c>
      <c r="BK389" s="108" t="str">
        <f aca="false">IF(ISBLANK($C389),"",$C389)</f>
        <v/>
      </c>
      <c r="BL389" s="108" t="str">
        <f aca="false">IF(ISBLANK($C389),"",$D389)</f>
        <v/>
      </c>
      <c r="BM389" s="109" t="str">
        <f aca="false">BA389</f>
        <v/>
      </c>
      <c r="BN389" s="110" t="str">
        <f aca="false">AZ389</f>
        <v/>
      </c>
      <c r="BO389" s="108" t="str">
        <f aca="false">IF(ISBLANK($C389),"",BC389)</f>
        <v/>
      </c>
      <c r="BP389" s="111" t="str">
        <f aca="false">IF($BG389&gt;$BF$7,"",VLOOKUP($BG389,$BI$8:$BO$507,7,FALSE()))</f>
        <v/>
      </c>
      <c r="BQ389" s="112" t="str">
        <f aca="false">IF($BG389&gt;$BF$7,"",VLOOKUP($BG389,$BI$8:$BO$507,2,FALSE()))</f>
        <v/>
      </c>
      <c r="BR389" s="112" t="str">
        <f aca="false">IF($BG389&gt;$BF$7,"",VLOOKUP($BG389,$BI$8:$BO$507,3,FALSE()))</f>
        <v/>
      </c>
      <c r="BS389" s="112" t="str">
        <f aca="false">IF($BG389&gt;$BF$7,"",VLOOKUP($BG389,$BI$8:$BO$507,4,FALSE()))</f>
        <v/>
      </c>
      <c r="BT389" s="112" t="str">
        <f aca="false">IF($BG389&gt;$BF$7,"",VLOOKUP($BG389,$BI$8:$BO$507,5,FALSE()))</f>
        <v/>
      </c>
      <c r="BU389" s="113" t="str">
        <f aca="false">IF($BG389&gt;$BF$7,"",VLOOKUP($BG389,$BI$8:$BO$507,6,FALSE()))</f>
        <v/>
      </c>
      <c r="BV389" s="54"/>
    </row>
    <row r="390" customFormat="false" ht="15.75" hidden="false" customHeight="false" outlineLevel="0" collapsed="false">
      <c r="A390" s="5"/>
      <c r="B390" s="128"/>
      <c r="C390" s="129"/>
      <c r="D390" s="114"/>
      <c r="E390" s="134"/>
      <c r="F390" s="139"/>
      <c r="G390" s="93"/>
      <c r="H390" s="140"/>
      <c r="I390" s="95"/>
      <c r="J390" s="95"/>
      <c r="K390" s="93"/>
      <c r="L390" s="141"/>
      <c r="M390" s="95"/>
      <c r="N390" s="95"/>
      <c r="O390" s="93"/>
      <c r="P390" s="134"/>
      <c r="Q390" s="98"/>
      <c r="R390" s="99" t="str">
        <f aca="false">IF(ISBLANK($C390),"",IF(E390=Constants!$B$2, TRUE(), IF(E390=Constants!$B$3, FALSE(), TRUE())))</f>
        <v/>
      </c>
      <c r="S390" s="99" t="str">
        <f aca="false">IF(ISBLANK($C390),"",IF(F390=Constants!$B$2, TRUE(), IF(F390=Constants!$B$3, FALSE(), TRUE())))</f>
        <v/>
      </c>
      <c r="T390" s="99" t="str">
        <f aca="false">IF(ISBLANK($C390),"",IF(G390=Constants!$B$16,Constants!$B$9,IF(G390=Constants!$B$17,Constants!$B$10,Constants!$B$8)))</f>
        <v/>
      </c>
      <c r="U390" s="99" t="str">
        <f aca="false">IF(ISBLANK($C390),"",IF(H390=Constants!$B$19,Constants!$B$19,Constants!$B$18))</f>
        <v/>
      </c>
      <c r="V390" s="99" t="str">
        <f aca="false">IF(ISBLANK($C390),"",IF(ISNUMBER(I390),IF(I390&gt;=0,I390,""),""))</f>
        <v/>
      </c>
      <c r="W390" s="99" t="str">
        <f aca="false">IF(ISBLANK($C390),"",IF(J390=Constants!$B$2, TRUE(), IF(J390=Constants!$B$3, FALSE(), TRUE())))</f>
        <v/>
      </c>
      <c r="X390" s="99" t="str">
        <f aca="false">IF(ISBLANK($C390),"",IF(K390=Constants!$B$2, TRUE(), IF(K390=Constants!$B$3, FALSE(), TRUE())))</f>
        <v/>
      </c>
      <c r="Y390" s="99" t="str">
        <f aca="false">IF(ISBLANK($C390),"",IF(L390=Constants!$B$19,Constants!$B$19,Constants!$B$18))</f>
        <v/>
      </c>
      <c r="Z390" s="99" t="str">
        <f aca="false">IF(ISBLANK($C390),"",IF(ISNUMBER(M390),IF(M390&gt;=0,M390,""),""))</f>
        <v/>
      </c>
      <c r="AA390" s="99" t="str">
        <f aca="false">IF(ISBLANK($C390),"",IF(N390=Constants!$B$2, TRUE(), IF(N390=Constants!$B$3, FALSE(), TRUE())))</f>
        <v/>
      </c>
      <c r="AB390" s="99" t="str">
        <f aca="false">IF(ISBLANK($C390),"",IF(O390=Constants!$B$2, TRUE(), IF(O390=Constants!$B$3, FALSE(), TRUE())))</f>
        <v/>
      </c>
      <c r="AC390" s="99" t="str">
        <f aca="false">IF(ISBLANK($C390),"",IF(P390=Constants!$B$2, TRUE(), IF(P390=Constants!$B$3, FALSE(), FALSE())))</f>
        <v/>
      </c>
      <c r="AD390" s="99" t="str">
        <f aca="false">IF(ISBLANK($C390),"",AND(V390&lt;&gt;"",IF(U390=Constants!$B$19,S390,R390)))</f>
        <v/>
      </c>
      <c r="AE390" s="99" t="str">
        <f aca="false">IF(ISBLANK($C390),"",AND(Z390&lt;&gt;"",IF(Y390=Constants!$B$19,S390,R390)))</f>
        <v/>
      </c>
      <c r="AF390" s="99" t="str">
        <f aca="false">IF(ISBLANK($C390),"",IF(AC390,Constants!$B$4,IF(COUNTA(E390:O390)=0,Constants!$B$5,IF(AND(NOT(AD390),NOT(AE390)),Constants!$B$6,Constants!$B$7))))</f>
        <v/>
      </c>
      <c r="AG390" s="99" t="str">
        <f aca="false">IF(ISBLANK($C390),"",IF($AF390&lt;&gt;Constants!$B$7,$AF390,Constants!$B$20))</f>
        <v/>
      </c>
      <c r="AH390" s="99" t="str">
        <f aca="false">IF($AF390=Constants!$B$7,IF(AD390,V390,Constants!$B$13),"")</f>
        <v/>
      </c>
      <c r="AI390" s="99" t="str">
        <f aca="false">IF($AF390=Constants!$B$7,IF(AD390,T390*IF(W390, 1, Constants!$B$11)*IF(X390, 1, Constants!$B$12),Constants!$B$13),"")</f>
        <v/>
      </c>
      <c r="AJ390" s="99" t="str">
        <f aca="false">IF($AF390=Constants!$B$7,AH390*AI390,"")</f>
        <v/>
      </c>
      <c r="AK390" s="99" t="str">
        <f aca="false">IF($AF390=Constants!$B$7,IF(AE390,Z390,Constants!$B$13),"")</f>
        <v/>
      </c>
      <c r="AL390" s="99" t="str">
        <f aca="false">IF($AF390=Constants!$B$7,IF(AE390,T390*IF(AA390, 1, Constants!$B$11)*IF(AB390, 1, Constants!$B$12),Constants!$B$13),"")</f>
        <v/>
      </c>
      <c r="AM390" s="99" t="str">
        <f aca="false">IF($AF390=Constants!$B$7,AK390*AL390,"")</f>
        <v/>
      </c>
      <c r="AN390" s="99" t="str">
        <f aca="false">IF($AF390=Constants!$B$7,IF(AM390&gt;AJ390,2,1),"")</f>
        <v/>
      </c>
      <c r="AO390" s="99" t="str">
        <f aca="false">IF($AF390=Constants!$B$7,IF(AN390=1,2,1),"")</f>
        <v/>
      </c>
      <c r="AP390" s="99" t="str">
        <f aca="false">IF(ISBLANK($C390),"",IF($AF390&lt;&gt;Constants!$B$7,$AF390,IF(AN390=1,AJ390,AM390)))</f>
        <v/>
      </c>
      <c r="AQ390" s="99" t="str">
        <f aca="false">IF(ISBLANK($C390),"",IF($AF390=Constants!$B$7,IF(ISNUMBER(AP390),RANK(AP390,$AP$8:$AP$507),Constants!$B$14),$AF390))</f>
        <v/>
      </c>
      <c r="AR390" s="99" t="str">
        <f aca="false">IF(ISBLANK($C390),"",IF($AF390=Constants!$B$7,IF(AO390=1,AJ390,AM390),""))</f>
        <v/>
      </c>
      <c r="AS390" s="99" t="str">
        <f aca="false">IF(ISBLANK($C390),"",IF($AF390=Constants!$B$7,RANK(AR390,$AR$8:$AR$507),$AF390))</f>
        <v/>
      </c>
      <c r="AT390" s="99" t="str">
        <f aca="false">IF(ISBLANK($C390),"",IF($AF390=Constants!$B$7,IF(ISNUMBER(AQ390),COUNTIFS($AQ$8:$AQ$507,"&lt;"&amp;$AQ390)+COUNTIFS($AQ$8:$AQ$507,$AQ390,$AS$8:$AS$507,"&lt;"&amp;$AS390)+1,Constants!$B$14),$AF390))</f>
        <v/>
      </c>
      <c r="AU390" s="99" t="str">
        <f aca="false">IF(ISBLANK($C390),"",IF($AF390=Constants!$B$7,IF(ISNUMBER(AQ390),AQ390-AT390,Constants!$B$14),$AF390))</f>
        <v/>
      </c>
      <c r="AV390" s="100"/>
      <c r="AW390" s="101" t="str">
        <f aca="false">IF(ISBLANK($C390),"",IF($AF390&lt;&gt;Constants!$B$7,"",AN390))</f>
        <v/>
      </c>
      <c r="AX390" s="102" t="str">
        <f aca="false">IF(ISBLANK($C390),"",IF($AF390&lt;&gt;Constants!$B$7,"",IF(AN390=1,AH390,AK390)))</f>
        <v/>
      </c>
      <c r="AY390" s="103" t="str">
        <f aca="false">IF(ISBLANK($C390),"",IF($AF390&lt;&gt;Constants!$B$7,"",IF(AN390=1,AI390,AL390)))</f>
        <v/>
      </c>
      <c r="AZ390" s="104" t="str">
        <f aca="false">IF(ISBLANK($C390),"",IF($AF390&lt;&gt;Constants!$B$7,$AF390,AP390))</f>
        <v/>
      </c>
      <c r="BA390" s="105" t="str">
        <f aca="false">IF(ISBLANK($C390),"",IF($AF390&lt;&gt;Constants!$B$7,$AF390,AG390))</f>
        <v/>
      </c>
      <c r="BB390" s="106" t="str">
        <f aca="false">IF(ISBLANK($C390),"",AU390)</f>
        <v/>
      </c>
      <c r="BC390" s="106" t="str">
        <f aca="false">IF(ISBLANK($C390),"",AT390)</f>
        <v/>
      </c>
      <c r="BD390" s="107" t="str">
        <f aca="false">IF(ISBLANK($C390),"",IFERROR(_xlfn.SWITCH(BC390,Constants!$B$4,COUNTA($C$8:$C$507)+2,Constants!$B$5,COUNTA($C$8:$C$507)+1,Constants!$B$6,COUNTA($C$8:$C$507)),BC390))</f>
        <v/>
      </c>
      <c r="BE390" s="5"/>
      <c r="BF390" s="108" t="n">
        <f aca="false">IF(OR(ISNUMBER(BC390),BC390=Constants!$B$4,BC390=Constants!$B$6,BC390=Constants!$B$5),1,0)</f>
        <v>0</v>
      </c>
      <c r="BG390" s="108" t="n">
        <v>383</v>
      </c>
      <c r="BH390" s="108" t="str">
        <f aca="false">IF(ISBLANK($C390),"",IF(ISNUMBER(BD390),BD390+ROW($B390)/1000,""))</f>
        <v/>
      </c>
      <c r="BI390" s="108" t="str">
        <f aca="false">IF(ISNUMBER(BH390),RANK(BH390,$BH$8:$BH$507,1),"")</f>
        <v/>
      </c>
      <c r="BJ390" s="108" t="str">
        <f aca="false">IF(ISBLANK($C390),"",$B390)</f>
        <v/>
      </c>
      <c r="BK390" s="108" t="str">
        <f aca="false">IF(ISBLANK($C390),"",$C390)</f>
        <v/>
      </c>
      <c r="BL390" s="108" t="str">
        <f aca="false">IF(ISBLANK($C390),"",$D390)</f>
        <v/>
      </c>
      <c r="BM390" s="109" t="str">
        <f aca="false">BA390</f>
        <v/>
      </c>
      <c r="BN390" s="110" t="str">
        <f aca="false">AZ390</f>
        <v/>
      </c>
      <c r="BO390" s="108" t="str">
        <f aca="false">IF(ISBLANK($C390),"",BC390)</f>
        <v/>
      </c>
      <c r="BP390" s="111" t="str">
        <f aca="false">IF($BG390&gt;$BF$7,"",VLOOKUP($BG390,$BI$8:$BO$507,7,FALSE()))</f>
        <v/>
      </c>
      <c r="BQ390" s="112" t="str">
        <f aca="false">IF($BG390&gt;$BF$7,"",VLOOKUP($BG390,$BI$8:$BO$507,2,FALSE()))</f>
        <v/>
      </c>
      <c r="BR390" s="112" t="str">
        <f aca="false">IF($BG390&gt;$BF$7,"",VLOOKUP($BG390,$BI$8:$BO$507,3,FALSE()))</f>
        <v/>
      </c>
      <c r="BS390" s="112" t="str">
        <f aca="false">IF($BG390&gt;$BF$7,"",VLOOKUP($BG390,$BI$8:$BO$507,4,FALSE()))</f>
        <v/>
      </c>
      <c r="BT390" s="112" t="str">
        <f aca="false">IF($BG390&gt;$BF$7,"",VLOOKUP($BG390,$BI$8:$BO$507,5,FALSE()))</f>
        <v/>
      </c>
      <c r="BU390" s="113" t="str">
        <f aca="false">IF($BG390&gt;$BF$7,"",VLOOKUP($BG390,$BI$8:$BO$507,6,FALSE()))</f>
        <v/>
      </c>
      <c r="BV390" s="54"/>
    </row>
    <row r="391" customFormat="false" ht="15.75" hidden="false" customHeight="false" outlineLevel="0" collapsed="false">
      <c r="A391" s="5"/>
      <c r="B391" s="128"/>
      <c r="C391" s="129"/>
      <c r="D391" s="114"/>
      <c r="E391" s="134"/>
      <c r="F391" s="139"/>
      <c r="G391" s="93"/>
      <c r="H391" s="140"/>
      <c r="I391" s="95"/>
      <c r="J391" s="95"/>
      <c r="K391" s="93"/>
      <c r="L391" s="141"/>
      <c r="M391" s="95"/>
      <c r="N391" s="95"/>
      <c r="O391" s="93"/>
      <c r="P391" s="134"/>
      <c r="Q391" s="98"/>
      <c r="R391" s="99" t="str">
        <f aca="false">IF(ISBLANK($C391),"",IF(E391=Constants!$B$2, TRUE(), IF(E391=Constants!$B$3, FALSE(), TRUE())))</f>
        <v/>
      </c>
      <c r="S391" s="99" t="str">
        <f aca="false">IF(ISBLANK($C391),"",IF(F391=Constants!$B$2, TRUE(), IF(F391=Constants!$B$3, FALSE(), TRUE())))</f>
        <v/>
      </c>
      <c r="T391" s="99" t="str">
        <f aca="false">IF(ISBLANK($C391),"",IF(G391=Constants!$B$16,Constants!$B$9,IF(G391=Constants!$B$17,Constants!$B$10,Constants!$B$8)))</f>
        <v/>
      </c>
      <c r="U391" s="99" t="str">
        <f aca="false">IF(ISBLANK($C391),"",IF(H391=Constants!$B$19,Constants!$B$19,Constants!$B$18))</f>
        <v/>
      </c>
      <c r="V391" s="99" t="str">
        <f aca="false">IF(ISBLANK($C391),"",IF(ISNUMBER(I391),IF(I391&gt;=0,I391,""),""))</f>
        <v/>
      </c>
      <c r="W391" s="99" t="str">
        <f aca="false">IF(ISBLANK($C391),"",IF(J391=Constants!$B$2, TRUE(), IF(J391=Constants!$B$3, FALSE(), TRUE())))</f>
        <v/>
      </c>
      <c r="X391" s="99" t="str">
        <f aca="false">IF(ISBLANK($C391),"",IF(K391=Constants!$B$2, TRUE(), IF(K391=Constants!$B$3, FALSE(), TRUE())))</f>
        <v/>
      </c>
      <c r="Y391" s="99" t="str">
        <f aca="false">IF(ISBLANK($C391),"",IF(L391=Constants!$B$19,Constants!$B$19,Constants!$B$18))</f>
        <v/>
      </c>
      <c r="Z391" s="99" t="str">
        <f aca="false">IF(ISBLANK($C391),"",IF(ISNUMBER(M391),IF(M391&gt;=0,M391,""),""))</f>
        <v/>
      </c>
      <c r="AA391" s="99" t="str">
        <f aca="false">IF(ISBLANK($C391),"",IF(N391=Constants!$B$2, TRUE(), IF(N391=Constants!$B$3, FALSE(), TRUE())))</f>
        <v/>
      </c>
      <c r="AB391" s="99" t="str">
        <f aca="false">IF(ISBLANK($C391),"",IF(O391=Constants!$B$2, TRUE(), IF(O391=Constants!$B$3, FALSE(), TRUE())))</f>
        <v/>
      </c>
      <c r="AC391" s="99" t="str">
        <f aca="false">IF(ISBLANK($C391),"",IF(P391=Constants!$B$2, TRUE(), IF(P391=Constants!$B$3, FALSE(), FALSE())))</f>
        <v/>
      </c>
      <c r="AD391" s="99" t="str">
        <f aca="false">IF(ISBLANK($C391),"",AND(V391&lt;&gt;"",IF(U391=Constants!$B$19,S391,R391)))</f>
        <v/>
      </c>
      <c r="AE391" s="99" t="str">
        <f aca="false">IF(ISBLANK($C391),"",AND(Z391&lt;&gt;"",IF(Y391=Constants!$B$19,S391,R391)))</f>
        <v/>
      </c>
      <c r="AF391" s="99" t="str">
        <f aca="false">IF(ISBLANK($C391),"",IF(AC391,Constants!$B$4,IF(COUNTA(E391:O391)=0,Constants!$B$5,IF(AND(NOT(AD391),NOT(AE391)),Constants!$B$6,Constants!$B$7))))</f>
        <v/>
      </c>
      <c r="AG391" s="99" t="str">
        <f aca="false">IF(ISBLANK($C391),"",IF($AF391&lt;&gt;Constants!$B$7,$AF391,Constants!$B$20))</f>
        <v/>
      </c>
      <c r="AH391" s="99" t="str">
        <f aca="false">IF($AF391=Constants!$B$7,IF(AD391,V391,Constants!$B$13),"")</f>
        <v/>
      </c>
      <c r="AI391" s="99" t="str">
        <f aca="false">IF($AF391=Constants!$B$7,IF(AD391,T391*IF(W391, 1, Constants!$B$11)*IF(X391, 1, Constants!$B$12),Constants!$B$13),"")</f>
        <v/>
      </c>
      <c r="AJ391" s="99" t="str">
        <f aca="false">IF($AF391=Constants!$B$7,AH391*AI391,"")</f>
        <v/>
      </c>
      <c r="AK391" s="99" t="str">
        <f aca="false">IF($AF391=Constants!$B$7,IF(AE391,Z391,Constants!$B$13),"")</f>
        <v/>
      </c>
      <c r="AL391" s="99" t="str">
        <f aca="false">IF($AF391=Constants!$B$7,IF(AE391,T391*IF(AA391, 1, Constants!$B$11)*IF(AB391, 1, Constants!$B$12),Constants!$B$13),"")</f>
        <v/>
      </c>
      <c r="AM391" s="99" t="str">
        <f aca="false">IF($AF391=Constants!$B$7,AK391*AL391,"")</f>
        <v/>
      </c>
      <c r="AN391" s="99" t="str">
        <f aca="false">IF($AF391=Constants!$B$7,IF(AM391&gt;AJ391,2,1),"")</f>
        <v/>
      </c>
      <c r="AO391" s="99" t="str">
        <f aca="false">IF($AF391=Constants!$B$7,IF(AN391=1,2,1),"")</f>
        <v/>
      </c>
      <c r="AP391" s="99" t="str">
        <f aca="false">IF(ISBLANK($C391),"",IF($AF391&lt;&gt;Constants!$B$7,$AF391,IF(AN391=1,AJ391,AM391)))</f>
        <v/>
      </c>
      <c r="AQ391" s="99" t="str">
        <f aca="false">IF(ISBLANK($C391),"",IF($AF391=Constants!$B$7,IF(ISNUMBER(AP391),RANK(AP391,$AP$8:$AP$507),Constants!$B$14),$AF391))</f>
        <v/>
      </c>
      <c r="AR391" s="99" t="str">
        <f aca="false">IF(ISBLANK($C391),"",IF($AF391=Constants!$B$7,IF(AO391=1,AJ391,AM391),""))</f>
        <v/>
      </c>
      <c r="AS391" s="99" t="str">
        <f aca="false">IF(ISBLANK($C391),"",IF($AF391=Constants!$B$7,RANK(AR391,$AR$8:$AR$507),$AF391))</f>
        <v/>
      </c>
      <c r="AT391" s="99" t="str">
        <f aca="false">IF(ISBLANK($C391),"",IF($AF391=Constants!$B$7,IF(ISNUMBER(AQ391),COUNTIFS($AQ$8:$AQ$507,"&lt;"&amp;$AQ391)+COUNTIFS($AQ$8:$AQ$507,$AQ391,$AS$8:$AS$507,"&lt;"&amp;$AS391)+1,Constants!$B$14),$AF391))</f>
        <v/>
      </c>
      <c r="AU391" s="99" t="str">
        <f aca="false">IF(ISBLANK($C391),"",IF($AF391=Constants!$B$7,IF(ISNUMBER(AQ391),AQ391-AT391,Constants!$B$14),$AF391))</f>
        <v/>
      </c>
      <c r="AV391" s="100"/>
      <c r="AW391" s="101" t="str">
        <f aca="false">IF(ISBLANK($C391),"",IF($AF391&lt;&gt;Constants!$B$7,"",AN391))</f>
        <v/>
      </c>
      <c r="AX391" s="102" t="str">
        <f aca="false">IF(ISBLANK($C391),"",IF($AF391&lt;&gt;Constants!$B$7,"",IF(AN391=1,AH391,AK391)))</f>
        <v/>
      </c>
      <c r="AY391" s="103" t="str">
        <f aca="false">IF(ISBLANK($C391),"",IF($AF391&lt;&gt;Constants!$B$7,"",IF(AN391=1,AI391,AL391)))</f>
        <v/>
      </c>
      <c r="AZ391" s="104" t="str">
        <f aca="false">IF(ISBLANK($C391),"",IF($AF391&lt;&gt;Constants!$B$7,$AF391,AP391))</f>
        <v/>
      </c>
      <c r="BA391" s="105" t="str">
        <f aca="false">IF(ISBLANK($C391),"",IF($AF391&lt;&gt;Constants!$B$7,$AF391,AG391))</f>
        <v/>
      </c>
      <c r="BB391" s="106" t="str">
        <f aca="false">IF(ISBLANK($C391),"",AU391)</f>
        <v/>
      </c>
      <c r="BC391" s="106" t="str">
        <f aca="false">IF(ISBLANK($C391),"",AT391)</f>
        <v/>
      </c>
      <c r="BD391" s="107" t="str">
        <f aca="false">IF(ISBLANK($C391),"",IFERROR(_xlfn.SWITCH(BC391,Constants!$B$4,COUNTA($C$8:$C$507)+2,Constants!$B$5,COUNTA($C$8:$C$507)+1,Constants!$B$6,COUNTA($C$8:$C$507)),BC391))</f>
        <v/>
      </c>
      <c r="BE391" s="5"/>
      <c r="BF391" s="108" t="n">
        <f aca="false">IF(OR(ISNUMBER(BC391),BC391=Constants!$B$4,BC391=Constants!$B$6,BC391=Constants!$B$5),1,0)</f>
        <v>0</v>
      </c>
      <c r="BG391" s="108" t="n">
        <v>384</v>
      </c>
      <c r="BH391" s="108" t="str">
        <f aca="false">IF(ISBLANK($C391),"",IF(ISNUMBER(BD391),BD391+ROW($B391)/1000,""))</f>
        <v/>
      </c>
      <c r="BI391" s="108" t="str">
        <f aca="false">IF(ISNUMBER(BH391),RANK(BH391,$BH$8:$BH$507,1),"")</f>
        <v/>
      </c>
      <c r="BJ391" s="108" t="str">
        <f aca="false">IF(ISBLANK($C391),"",$B391)</f>
        <v/>
      </c>
      <c r="BK391" s="108" t="str">
        <f aca="false">IF(ISBLANK($C391),"",$C391)</f>
        <v/>
      </c>
      <c r="BL391" s="108" t="str">
        <f aca="false">IF(ISBLANK($C391),"",$D391)</f>
        <v/>
      </c>
      <c r="BM391" s="109" t="str">
        <f aca="false">BA391</f>
        <v/>
      </c>
      <c r="BN391" s="110" t="str">
        <f aca="false">AZ391</f>
        <v/>
      </c>
      <c r="BO391" s="108" t="str">
        <f aca="false">IF(ISBLANK($C391),"",BC391)</f>
        <v/>
      </c>
      <c r="BP391" s="111" t="str">
        <f aca="false">IF($BG391&gt;$BF$7,"",VLOOKUP($BG391,$BI$8:$BO$507,7,FALSE()))</f>
        <v/>
      </c>
      <c r="BQ391" s="112" t="str">
        <f aca="false">IF($BG391&gt;$BF$7,"",VLOOKUP($BG391,$BI$8:$BO$507,2,FALSE()))</f>
        <v/>
      </c>
      <c r="BR391" s="112" t="str">
        <f aca="false">IF($BG391&gt;$BF$7,"",VLOOKUP($BG391,$BI$8:$BO$507,3,FALSE()))</f>
        <v/>
      </c>
      <c r="BS391" s="112" t="str">
        <f aca="false">IF($BG391&gt;$BF$7,"",VLOOKUP($BG391,$BI$8:$BO$507,4,FALSE()))</f>
        <v/>
      </c>
      <c r="BT391" s="112" t="str">
        <f aca="false">IF($BG391&gt;$BF$7,"",VLOOKUP($BG391,$BI$8:$BO$507,5,FALSE()))</f>
        <v/>
      </c>
      <c r="BU391" s="113" t="str">
        <f aca="false">IF($BG391&gt;$BF$7,"",VLOOKUP($BG391,$BI$8:$BO$507,6,FALSE()))</f>
        <v/>
      </c>
      <c r="BV391" s="54"/>
    </row>
    <row r="392" customFormat="false" ht="15.75" hidden="false" customHeight="false" outlineLevel="0" collapsed="false">
      <c r="A392" s="5"/>
      <c r="B392" s="135"/>
      <c r="C392" s="56"/>
      <c r="D392" s="57"/>
      <c r="E392" s="84"/>
      <c r="F392" s="136"/>
      <c r="G392" s="60"/>
      <c r="H392" s="137"/>
      <c r="I392" s="62"/>
      <c r="J392" s="62"/>
      <c r="K392" s="60"/>
      <c r="L392" s="138"/>
      <c r="M392" s="62"/>
      <c r="N392" s="62"/>
      <c r="O392" s="60"/>
      <c r="P392" s="84"/>
      <c r="Q392" s="65"/>
      <c r="R392" s="67" t="str">
        <f aca="false">IF(ISBLANK($C392),"",IF(E392=Constants!$B$2, TRUE(), IF(E392=Constants!$B$3, FALSE(), TRUE())))</f>
        <v/>
      </c>
      <c r="S392" s="67" t="str">
        <f aca="false">IF(ISBLANK($C392),"",IF(F392=Constants!$B$2, TRUE(), IF(F392=Constants!$B$3, FALSE(), TRUE())))</f>
        <v/>
      </c>
      <c r="T392" s="67" t="str">
        <f aca="false">IF(ISBLANK($C392),"",IF(G392=Constants!$B$16,Constants!$B$9,IF(G392=Constants!$B$17,Constants!$B$10,Constants!$B$8)))</f>
        <v/>
      </c>
      <c r="U392" s="67" t="str">
        <f aca="false">IF(ISBLANK($C392),"",IF(H392=Constants!$B$19,Constants!$B$19,Constants!$B$18))</f>
        <v/>
      </c>
      <c r="V392" s="67" t="str">
        <f aca="false">IF(ISBLANK($C392),"",IF(ISNUMBER(I392),IF(I392&gt;=0,I392,""),""))</f>
        <v/>
      </c>
      <c r="W392" s="67" t="str">
        <f aca="false">IF(ISBLANK($C392),"",IF(J392=Constants!$B$2, TRUE(), IF(J392=Constants!$B$3, FALSE(), TRUE())))</f>
        <v/>
      </c>
      <c r="X392" s="67" t="str">
        <f aca="false">IF(ISBLANK($C392),"",IF(K392=Constants!$B$2, TRUE(), IF(K392=Constants!$B$3, FALSE(), TRUE())))</f>
        <v/>
      </c>
      <c r="Y392" s="67" t="str">
        <f aca="false">IF(ISBLANK($C392),"",IF(L392=Constants!$B$19,Constants!$B$19,Constants!$B$18))</f>
        <v/>
      </c>
      <c r="Z392" s="67" t="str">
        <f aca="false">IF(ISBLANK($C392),"",IF(ISNUMBER(M392),IF(M392&gt;=0,M392,""),""))</f>
        <v/>
      </c>
      <c r="AA392" s="67" t="str">
        <f aca="false">IF(ISBLANK($C392),"",IF(N392=Constants!$B$2, TRUE(), IF(N392=Constants!$B$3, FALSE(), TRUE())))</f>
        <v/>
      </c>
      <c r="AB392" s="67" t="str">
        <f aca="false">IF(ISBLANK($C392),"",IF(O392=Constants!$B$2, TRUE(), IF(O392=Constants!$B$3, FALSE(), TRUE())))</f>
        <v/>
      </c>
      <c r="AC392" s="67" t="str">
        <f aca="false">IF(ISBLANK($C392),"",IF(P392=Constants!$B$2, TRUE(), IF(P392=Constants!$B$3, FALSE(), FALSE())))</f>
        <v/>
      </c>
      <c r="AD392" s="67" t="str">
        <f aca="false">IF(ISBLANK($C392),"",AND(V392&lt;&gt;"",IF(U392=Constants!$B$19,S392,R392)))</f>
        <v/>
      </c>
      <c r="AE392" s="67" t="str">
        <f aca="false">IF(ISBLANK($C392),"",AND(Z392&lt;&gt;"",IF(Y392=Constants!$B$19,S392,R392)))</f>
        <v/>
      </c>
      <c r="AF392" s="67" t="str">
        <f aca="false">IF(ISBLANK($C392),"",IF(AC392,Constants!$B$4,IF(COUNTA(E392:O392)=0,Constants!$B$5,IF(AND(NOT(AD392),NOT(AE392)),Constants!$B$6,Constants!$B$7))))</f>
        <v/>
      </c>
      <c r="AG392" s="67" t="str">
        <f aca="false">IF(ISBLANK($C392),"",IF($AF392&lt;&gt;Constants!$B$7,$AF392,Constants!$B$20))</f>
        <v/>
      </c>
      <c r="AH392" s="67" t="str">
        <f aca="false">IF($AF392=Constants!$B$7,IF(AD392,V392,Constants!$B$13),"")</f>
        <v/>
      </c>
      <c r="AI392" s="67" t="str">
        <f aca="false">IF($AF392=Constants!$B$7,IF(AD392,T392*IF(W392, 1, Constants!$B$11)*IF(X392, 1, Constants!$B$12),Constants!$B$13),"")</f>
        <v/>
      </c>
      <c r="AJ392" s="67" t="str">
        <f aca="false">IF($AF392=Constants!$B$7,AH392*AI392,"")</f>
        <v/>
      </c>
      <c r="AK392" s="67" t="str">
        <f aca="false">IF($AF392=Constants!$B$7,IF(AE392,Z392,Constants!$B$13),"")</f>
        <v/>
      </c>
      <c r="AL392" s="67" t="str">
        <f aca="false">IF($AF392=Constants!$B$7,IF(AE392,T392*IF(AA392, 1, Constants!$B$11)*IF(AB392, 1, Constants!$B$12),Constants!$B$13),"")</f>
        <v/>
      </c>
      <c r="AM392" s="67" t="str">
        <f aca="false">IF($AF392=Constants!$B$7,AK392*AL392,"")</f>
        <v/>
      </c>
      <c r="AN392" s="67" t="str">
        <f aca="false">IF($AF392=Constants!$B$7,IF(AM392&gt;AJ392,2,1),"")</f>
        <v/>
      </c>
      <c r="AO392" s="67" t="str">
        <f aca="false">IF($AF392=Constants!$B$7,IF(AN392=1,2,1),"")</f>
        <v/>
      </c>
      <c r="AP392" s="67" t="str">
        <f aca="false">IF(ISBLANK($C392),"",IF($AF392&lt;&gt;Constants!$B$7,$AF392,IF(AN392=1,AJ392,AM392)))</f>
        <v/>
      </c>
      <c r="AQ392" s="67" t="str">
        <f aca="false">IF(ISBLANK($C392),"",IF($AF392=Constants!$B$7,IF(ISNUMBER(AP392),RANK(AP392,$AP$8:$AP$507),Constants!$B$14),$AF392))</f>
        <v/>
      </c>
      <c r="AR392" s="67" t="str">
        <f aca="false">IF(ISBLANK($C392),"",IF($AF392=Constants!$B$7,IF(AO392=1,AJ392,AM392),""))</f>
        <v/>
      </c>
      <c r="AS392" s="67" t="str">
        <f aca="false">IF(ISBLANK($C392),"",IF($AF392=Constants!$B$7,RANK(AR392,$AR$8:$AR$507),$AF392))</f>
        <v/>
      </c>
      <c r="AT392" s="67" t="str">
        <f aca="false">IF(ISBLANK($C392),"",IF($AF392=Constants!$B$7,IF(ISNUMBER(AQ392),COUNTIFS($AQ$8:$AQ$507,"&lt;"&amp;$AQ392)+COUNTIFS($AQ$8:$AQ$507,$AQ392,$AS$8:$AS$507,"&lt;"&amp;$AS392)+1,Constants!$B$14),$AF392))</f>
        <v/>
      </c>
      <c r="AU392" s="67" t="str">
        <f aca="false">IF(ISBLANK($C392),"",IF($AF392=Constants!$B$7,IF(ISNUMBER(AQ392),AQ392-AT392,Constants!$B$14),$AF392))</f>
        <v/>
      </c>
      <c r="AV392" s="69"/>
      <c r="AW392" s="70" t="str">
        <f aca="false">IF(ISBLANK($C392),"",IF($AF392&lt;&gt;Constants!$B$7,"",AN392))</f>
        <v/>
      </c>
      <c r="AX392" s="85" t="str">
        <f aca="false">IF(ISBLANK($C392),"",IF($AF392&lt;&gt;Constants!$B$7,"",IF(AN392=1,AH392,AK392)))</f>
        <v/>
      </c>
      <c r="AY392" s="72" t="str">
        <f aca="false">IF(ISBLANK($C392),"",IF($AF392&lt;&gt;Constants!$B$7,"",IF(AN392=1,AI392,AL392)))</f>
        <v/>
      </c>
      <c r="AZ392" s="73" t="str">
        <f aca="false">IF(ISBLANK($C392),"",IF($AF392&lt;&gt;Constants!$B$7,$AF392,AP392))</f>
        <v/>
      </c>
      <c r="BA392" s="74" t="str">
        <f aca="false">IF(ISBLANK($C392),"",IF($AF392&lt;&gt;Constants!$B$7,$AF392,AG392))</f>
        <v/>
      </c>
      <c r="BB392" s="75" t="str">
        <f aca="false">IF(ISBLANK($C392),"",AU392)</f>
        <v/>
      </c>
      <c r="BC392" s="75" t="str">
        <f aca="false">IF(ISBLANK($C392),"",AT392)</f>
        <v/>
      </c>
      <c r="BD392" s="76" t="str">
        <f aca="false">IF(ISBLANK($C392),"",IFERROR(_xlfn.SWITCH(BC392,Constants!$B$4,COUNTA($C$8:$C$507)+2,Constants!$B$5,COUNTA($C$8:$C$507)+1,Constants!$B$6,COUNTA($C$8:$C$507)),BC392))</f>
        <v/>
      </c>
      <c r="BE392" s="5"/>
      <c r="BF392" s="77" t="n">
        <f aca="false">IF(OR(ISNUMBER(BC392),BC392=Constants!$B$4,BC392=Constants!$B$6,BC392=Constants!$B$5),1,0)</f>
        <v>0</v>
      </c>
      <c r="BG392" s="77" t="n">
        <v>385</v>
      </c>
      <c r="BH392" s="77" t="str">
        <f aca="false">IF(ISBLANK($C392),"",IF(ISNUMBER(BD392),BD392+ROW($B392)/1000,""))</f>
        <v/>
      </c>
      <c r="BI392" s="77" t="str">
        <f aca="false">IF(ISNUMBER(BH392),RANK(BH392,$BH$8:$BH$507,1),"")</f>
        <v/>
      </c>
      <c r="BJ392" s="77" t="str">
        <f aca="false">IF(ISBLANK($C392),"",$B392)</f>
        <v/>
      </c>
      <c r="BK392" s="77" t="str">
        <f aca="false">IF(ISBLANK($C392),"",$C392)</f>
        <v/>
      </c>
      <c r="BL392" s="77" t="str">
        <f aca="false">IF(ISBLANK($C392),"",$D392)</f>
        <v/>
      </c>
      <c r="BM392" s="78" t="str">
        <f aca="false">BA392</f>
        <v/>
      </c>
      <c r="BN392" s="79" t="str">
        <f aca="false">AZ392</f>
        <v/>
      </c>
      <c r="BO392" s="77" t="str">
        <f aca="false">IF(ISBLANK($C392),"",BC392)</f>
        <v/>
      </c>
      <c r="BP392" s="80" t="str">
        <f aca="false">IF($BG392&gt;$BF$7,"",VLOOKUP($BG392,$BI$8:$BO$507,7,FALSE()))</f>
        <v/>
      </c>
      <c r="BQ392" s="81" t="str">
        <f aca="false">IF($BG392&gt;$BF$7,"",VLOOKUP($BG392,$BI$8:$BO$507,2,FALSE()))</f>
        <v/>
      </c>
      <c r="BR392" s="81" t="str">
        <f aca="false">IF($BG392&gt;$BF$7,"",VLOOKUP($BG392,$BI$8:$BO$507,3,FALSE()))</f>
        <v/>
      </c>
      <c r="BS392" s="81" t="str">
        <f aca="false">IF($BG392&gt;$BF$7,"",VLOOKUP($BG392,$BI$8:$BO$507,4,FALSE()))</f>
        <v/>
      </c>
      <c r="BT392" s="81" t="str">
        <f aca="false">IF($BG392&gt;$BF$7,"",VLOOKUP($BG392,$BI$8:$BO$507,5,FALSE()))</f>
        <v/>
      </c>
      <c r="BU392" s="82" t="str">
        <f aca="false">IF($BG392&gt;$BF$7,"",VLOOKUP($BG392,$BI$8:$BO$507,6,FALSE()))</f>
        <v/>
      </c>
      <c r="BV392" s="54"/>
    </row>
    <row r="393" customFormat="false" ht="15.75" hidden="false" customHeight="false" outlineLevel="0" collapsed="false">
      <c r="A393" s="5"/>
      <c r="B393" s="135"/>
      <c r="C393" s="56"/>
      <c r="D393" s="57"/>
      <c r="E393" s="84"/>
      <c r="F393" s="136"/>
      <c r="G393" s="60"/>
      <c r="H393" s="137"/>
      <c r="I393" s="62"/>
      <c r="J393" s="62"/>
      <c r="K393" s="60"/>
      <c r="L393" s="138"/>
      <c r="M393" s="62"/>
      <c r="N393" s="62"/>
      <c r="O393" s="60"/>
      <c r="P393" s="84"/>
      <c r="Q393" s="65"/>
      <c r="R393" s="67" t="str">
        <f aca="false">IF(ISBLANK($C393),"",IF(E393=Constants!$B$2, TRUE(), IF(E393=Constants!$B$3, FALSE(), TRUE())))</f>
        <v/>
      </c>
      <c r="S393" s="67" t="str">
        <f aca="false">IF(ISBLANK($C393),"",IF(F393=Constants!$B$2, TRUE(), IF(F393=Constants!$B$3, FALSE(), TRUE())))</f>
        <v/>
      </c>
      <c r="T393" s="67" t="str">
        <f aca="false">IF(ISBLANK($C393),"",IF(G393=Constants!$B$16,Constants!$B$9,IF(G393=Constants!$B$17,Constants!$B$10,Constants!$B$8)))</f>
        <v/>
      </c>
      <c r="U393" s="67" t="str">
        <f aca="false">IF(ISBLANK($C393),"",IF(H393=Constants!$B$19,Constants!$B$19,Constants!$B$18))</f>
        <v/>
      </c>
      <c r="V393" s="67" t="str">
        <f aca="false">IF(ISBLANK($C393),"",IF(ISNUMBER(I393),IF(I393&gt;=0,I393,""),""))</f>
        <v/>
      </c>
      <c r="W393" s="67" t="str">
        <f aca="false">IF(ISBLANK($C393),"",IF(J393=Constants!$B$2, TRUE(), IF(J393=Constants!$B$3, FALSE(), TRUE())))</f>
        <v/>
      </c>
      <c r="X393" s="67" t="str">
        <f aca="false">IF(ISBLANK($C393),"",IF(K393=Constants!$B$2, TRUE(), IF(K393=Constants!$B$3, FALSE(), TRUE())))</f>
        <v/>
      </c>
      <c r="Y393" s="67" t="str">
        <f aca="false">IF(ISBLANK($C393),"",IF(L393=Constants!$B$19,Constants!$B$19,Constants!$B$18))</f>
        <v/>
      </c>
      <c r="Z393" s="67" t="str">
        <f aca="false">IF(ISBLANK($C393),"",IF(ISNUMBER(M393),IF(M393&gt;=0,M393,""),""))</f>
        <v/>
      </c>
      <c r="AA393" s="67" t="str">
        <f aca="false">IF(ISBLANK($C393),"",IF(N393=Constants!$B$2, TRUE(), IF(N393=Constants!$B$3, FALSE(), TRUE())))</f>
        <v/>
      </c>
      <c r="AB393" s="67" t="str">
        <f aca="false">IF(ISBLANK($C393),"",IF(O393=Constants!$B$2, TRUE(), IF(O393=Constants!$B$3, FALSE(), TRUE())))</f>
        <v/>
      </c>
      <c r="AC393" s="67" t="str">
        <f aca="false">IF(ISBLANK($C393),"",IF(P393=Constants!$B$2, TRUE(), IF(P393=Constants!$B$3, FALSE(), FALSE())))</f>
        <v/>
      </c>
      <c r="AD393" s="67" t="str">
        <f aca="false">IF(ISBLANK($C393),"",AND(V393&lt;&gt;"",IF(U393=Constants!$B$19,S393,R393)))</f>
        <v/>
      </c>
      <c r="AE393" s="67" t="str">
        <f aca="false">IF(ISBLANK($C393),"",AND(Z393&lt;&gt;"",IF(Y393=Constants!$B$19,S393,R393)))</f>
        <v/>
      </c>
      <c r="AF393" s="67" t="str">
        <f aca="false">IF(ISBLANK($C393),"",IF(AC393,Constants!$B$4,IF(COUNTA(E393:O393)=0,Constants!$B$5,IF(AND(NOT(AD393),NOT(AE393)),Constants!$B$6,Constants!$B$7))))</f>
        <v/>
      </c>
      <c r="AG393" s="67" t="str">
        <f aca="false">IF(ISBLANK($C393),"",IF($AF393&lt;&gt;Constants!$B$7,$AF393,Constants!$B$20))</f>
        <v/>
      </c>
      <c r="AH393" s="67" t="str">
        <f aca="false">IF($AF393=Constants!$B$7,IF(AD393,V393,Constants!$B$13),"")</f>
        <v/>
      </c>
      <c r="AI393" s="67" t="str">
        <f aca="false">IF($AF393=Constants!$B$7,IF(AD393,T393*IF(W393, 1, Constants!$B$11)*IF(X393, 1, Constants!$B$12),Constants!$B$13),"")</f>
        <v/>
      </c>
      <c r="AJ393" s="67" t="str">
        <f aca="false">IF($AF393=Constants!$B$7,AH393*AI393,"")</f>
        <v/>
      </c>
      <c r="AK393" s="67" t="str">
        <f aca="false">IF($AF393=Constants!$B$7,IF(AE393,Z393,Constants!$B$13),"")</f>
        <v/>
      </c>
      <c r="AL393" s="67" t="str">
        <f aca="false">IF($AF393=Constants!$B$7,IF(AE393,T393*IF(AA393, 1, Constants!$B$11)*IF(AB393, 1, Constants!$B$12),Constants!$B$13),"")</f>
        <v/>
      </c>
      <c r="AM393" s="67" t="str">
        <f aca="false">IF($AF393=Constants!$B$7,AK393*AL393,"")</f>
        <v/>
      </c>
      <c r="AN393" s="67" t="str">
        <f aca="false">IF($AF393=Constants!$B$7,IF(AM393&gt;AJ393,2,1),"")</f>
        <v/>
      </c>
      <c r="AO393" s="67" t="str">
        <f aca="false">IF($AF393=Constants!$B$7,IF(AN393=1,2,1),"")</f>
        <v/>
      </c>
      <c r="AP393" s="67" t="str">
        <f aca="false">IF(ISBLANK($C393),"",IF($AF393&lt;&gt;Constants!$B$7,$AF393,IF(AN393=1,AJ393,AM393)))</f>
        <v/>
      </c>
      <c r="AQ393" s="67" t="str">
        <f aca="false">IF(ISBLANK($C393),"",IF($AF393=Constants!$B$7,IF(ISNUMBER(AP393),RANK(AP393,$AP$8:$AP$507),Constants!$B$14),$AF393))</f>
        <v/>
      </c>
      <c r="AR393" s="67" t="str">
        <f aca="false">IF(ISBLANK($C393),"",IF($AF393=Constants!$B$7,IF(AO393=1,AJ393,AM393),""))</f>
        <v/>
      </c>
      <c r="AS393" s="67" t="str">
        <f aca="false">IF(ISBLANK($C393),"",IF($AF393=Constants!$B$7,RANK(AR393,$AR$8:$AR$507),$AF393))</f>
        <v/>
      </c>
      <c r="AT393" s="67" t="str">
        <f aca="false">IF(ISBLANK($C393),"",IF($AF393=Constants!$B$7,IF(ISNUMBER(AQ393),COUNTIFS($AQ$8:$AQ$507,"&lt;"&amp;$AQ393)+COUNTIFS($AQ$8:$AQ$507,$AQ393,$AS$8:$AS$507,"&lt;"&amp;$AS393)+1,Constants!$B$14),$AF393))</f>
        <v/>
      </c>
      <c r="AU393" s="67" t="str">
        <f aca="false">IF(ISBLANK($C393),"",IF($AF393=Constants!$B$7,IF(ISNUMBER(AQ393),AQ393-AT393,Constants!$B$14),$AF393))</f>
        <v/>
      </c>
      <c r="AV393" s="69"/>
      <c r="AW393" s="70" t="str">
        <f aca="false">IF(ISBLANK($C393),"",IF($AF393&lt;&gt;Constants!$B$7,"",AN393))</f>
        <v/>
      </c>
      <c r="AX393" s="85" t="str">
        <f aca="false">IF(ISBLANK($C393),"",IF($AF393&lt;&gt;Constants!$B$7,"",IF(AN393=1,AH393,AK393)))</f>
        <v/>
      </c>
      <c r="AY393" s="72" t="str">
        <f aca="false">IF(ISBLANK($C393),"",IF($AF393&lt;&gt;Constants!$B$7,"",IF(AN393=1,AI393,AL393)))</f>
        <v/>
      </c>
      <c r="AZ393" s="73" t="str">
        <f aca="false">IF(ISBLANK($C393),"",IF($AF393&lt;&gt;Constants!$B$7,$AF393,AP393))</f>
        <v/>
      </c>
      <c r="BA393" s="74" t="str">
        <f aca="false">IF(ISBLANK($C393),"",IF($AF393&lt;&gt;Constants!$B$7,$AF393,AG393))</f>
        <v/>
      </c>
      <c r="BB393" s="75" t="str">
        <f aca="false">IF(ISBLANK($C393),"",AU393)</f>
        <v/>
      </c>
      <c r="BC393" s="75" t="str">
        <f aca="false">IF(ISBLANK($C393),"",AT393)</f>
        <v/>
      </c>
      <c r="BD393" s="76" t="str">
        <f aca="false">IF(ISBLANK($C393),"",IFERROR(_xlfn.SWITCH(BC393,Constants!$B$4,COUNTA($C$8:$C$507)+2,Constants!$B$5,COUNTA($C$8:$C$507)+1,Constants!$B$6,COUNTA($C$8:$C$507)),BC393))</f>
        <v/>
      </c>
      <c r="BE393" s="5"/>
      <c r="BF393" s="77" t="n">
        <f aca="false">IF(OR(ISNUMBER(BC393),BC393=Constants!$B$4,BC393=Constants!$B$6,BC393=Constants!$B$5),1,0)</f>
        <v>0</v>
      </c>
      <c r="BG393" s="77" t="n">
        <v>386</v>
      </c>
      <c r="BH393" s="77" t="str">
        <f aca="false">IF(ISBLANK($C393),"",IF(ISNUMBER(BD393),BD393+ROW($B393)/1000,""))</f>
        <v/>
      </c>
      <c r="BI393" s="77" t="str">
        <f aca="false">IF(ISNUMBER(BH393),RANK(BH393,$BH$8:$BH$507,1),"")</f>
        <v/>
      </c>
      <c r="BJ393" s="77" t="str">
        <f aca="false">IF(ISBLANK($C393),"",$B393)</f>
        <v/>
      </c>
      <c r="BK393" s="77" t="str">
        <f aca="false">IF(ISBLANK($C393),"",$C393)</f>
        <v/>
      </c>
      <c r="BL393" s="77" t="str">
        <f aca="false">IF(ISBLANK($C393),"",$D393)</f>
        <v/>
      </c>
      <c r="BM393" s="78" t="str">
        <f aca="false">BA393</f>
        <v/>
      </c>
      <c r="BN393" s="79" t="str">
        <f aca="false">AZ393</f>
        <v/>
      </c>
      <c r="BO393" s="77" t="str">
        <f aca="false">IF(ISBLANK($C393),"",BC393)</f>
        <v/>
      </c>
      <c r="BP393" s="80" t="str">
        <f aca="false">IF($BG393&gt;$BF$7,"",VLOOKUP($BG393,$BI$8:$BO$507,7,FALSE()))</f>
        <v/>
      </c>
      <c r="BQ393" s="81" t="str">
        <f aca="false">IF($BG393&gt;$BF$7,"",VLOOKUP($BG393,$BI$8:$BO$507,2,FALSE()))</f>
        <v/>
      </c>
      <c r="BR393" s="81" t="str">
        <f aca="false">IF($BG393&gt;$BF$7,"",VLOOKUP($BG393,$BI$8:$BO$507,3,FALSE()))</f>
        <v/>
      </c>
      <c r="BS393" s="81" t="str">
        <f aca="false">IF($BG393&gt;$BF$7,"",VLOOKUP($BG393,$BI$8:$BO$507,4,FALSE()))</f>
        <v/>
      </c>
      <c r="BT393" s="81" t="str">
        <f aca="false">IF($BG393&gt;$BF$7,"",VLOOKUP($BG393,$BI$8:$BO$507,5,FALSE()))</f>
        <v/>
      </c>
      <c r="BU393" s="82" t="str">
        <f aca="false">IF($BG393&gt;$BF$7,"",VLOOKUP($BG393,$BI$8:$BO$507,6,FALSE()))</f>
        <v/>
      </c>
      <c r="BV393" s="54"/>
    </row>
    <row r="394" customFormat="false" ht="15.75" hidden="false" customHeight="false" outlineLevel="0" collapsed="false">
      <c r="A394" s="5"/>
      <c r="B394" s="135"/>
      <c r="C394" s="56"/>
      <c r="D394" s="57"/>
      <c r="E394" s="84"/>
      <c r="F394" s="136"/>
      <c r="G394" s="60"/>
      <c r="H394" s="137"/>
      <c r="I394" s="62"/>
      <c r="J394" s="62"/>
      <c r="K394" s="60"/>
      <c r="L394" s="138"/>
      <c r="M394" s="62"/>
      <c r="N394" s="62"/>
      <c r="O394" s="60"/>
      <c r="P394" s="84"/>
      <c r="Q394" s="65"/>
      <c r="R394" s="67" t="str">
        <f aca="false">IF(ISBLANK($C394),"",IF(E394=Constants!$B$2, TRUE(), IF(E394=Constants!$B$3, FALSE(), TRUE())))</f>
        <v/>
      </c>
      <c r="S394" s="67" t="str">
        <f aca="false">IF(ISBLANK($C394),"",IF(F394=Constants!$B$2, TRUE(), IF(F394=Constants!$B$3, FALSE(), TRUE())))</f>
        <v/>
      </c>
      <c r="T394" s="67" t="str">
        <f aca="false">IF(ISBLANK($C394),"",IF(G394=Constants!$B$16,Constants!$B$9,IF(G394=Constants!$B$17,Constants!$B$10,Constants!$B$8)))</f>
        <v/>
      </c>
      <c r="U394" s="67" t="str">
        <f aca="false">IF(ISBLANK($C394),"",IF(H394=Constants!$B$19,Constants!$B$19,Constants!$B$18))</f>
        <v/>
      </c>
      <c r="V394" s="67" t="str">
        <f aca="false">IF(ISBLANK($C394),"",IF(ISNUMBER(I394),IF(I394&gt;=0,I394,""),""))</f>
        <v/>
      </c>
      <c r="W394" s="67" t="str">
        <f aca="false">IF(ISBLANK($C394),"",IF(J394=Constants!$B$2, TRUE(), IF(J394=Constants!$B$3, FALSE(), TRUE())))</f>
        <v/>
      </c>
      <c r="X394" s="67" t="str">
        <f aca="false">IF(ISBLANK($C394),"",IF(K394=Constants!$B$2, TRUE(), IF(K394=Constants!$B$3, FALSE(), TRUE())))</f>
        <v/>
      </c>
      <c r="Y394" s="67" t="str">
        <f aca="false">IF(ISBLANK($C394),"",IF(L394=Constants!$B$19,Constants!$B$19,Constants!$B$18))</f>
        <v/>
      </c>
      <c r="Z394" s="67" t="str">
        <f aca="false">IF(ISBLANK($C394),"",IF(ISNUMBER(M394),IF(M394&gt;=0,M394,""),""))</f>
        <v/>
      </c>
      <c r="AA394" s="67" t="str">
        <f aca="false">IF(ISBLANK($C394),"",IF(N394=Constants!$B$2, TRUE(), IF(N394=Constants!$B$3, FALSE(), TRUE())))</f>
        <v/>
      </c>
      <c r="AB394" s="67" t="str">
        <f aca="false">IF(ISBLANK($C394),"",IF(O394=Constants!$B$2, TRUE(), IF(O394=Constants!$B$3, FALSE(), TRUE())))</f>
        <v/>
      </c>
      <c r="AC394" s="67" t="str">
        <f aca="false">IF(ISBLANK($C394),"",IF(P394=Constants!$B$2, TRUE(), IF(P394=Constants!$B$3, FALSE(), FALSE())))</f>
        <v/>
      </c>
      <c r="AD394" s="67" t="str">
        <f aca="false">IF(ISBLANK($C394),"",AND(V394&lt;&gt;"",IF(U394=Constants!$B$19,S394,R394)))</f>
        <v/>
      </c>
      <c r="AE394" s="67" t="str">
        <f aca="false">IF(ISBLANK($C394),"",AND(Z394&lt;&gt;"",IF(Y394=Constants!$B$19,S394,R394)))</f>
        <v/>
      </c>
      <c r="AF394" s="67" t="str">
        <f aca="false">IF(ISBLANK($C394),"",IF(AC394,Constants!$B$4,IF(COUNTA(E394:O394)=0,Constants!$B$5,IF(AND(NOT(AD394),NOT(AE394)),Constants!$B$6,Constants!$B$7))))</f>
        <v/>
      </c>
      <c r="AG394" s="67" t="str">
        <f aca="false">IF(ISBLANK($C394),"",IF($AF394&lt;&gt;Constants!$B$7,$AF394,Constants!$B$20))</f>
        <v/>
      </c>
      <c r="AH394" s="67" t="str">
        <f aca="false">IF($AF394=Constants!$B$7,IF(AD394,V394,Constants!$B$13),"")</f>
        <v/>
      </c>
      <c r="AI394" s="67" t="str">
        <f aca="false">IF($AF394=Constants!$B$7,IF(AD394,T394*IF(W394, 1, Constants!$B$11)*IF(X394, 1, Constants!$B$12),Constants!$B$13),"")</f>
        <v/>
      </c>
      <c r="AJ394" s="67" t="str">
        <f aca="false">IF($AF394=Constants!$B$7,AH394*AI394,"")</f>
        <v/>
      </c>
      <c r="AK394" s="67" t="str">
        <f aca="false">IF($AF394=Constants!$B$7,IF(AE394,Z394,Constants!$B$13),"")</f>
        <v/>
      </c>
      <c r="AL394" s="67" t="str">
        <f aca="false">IF($AF394=Constants!$B$7,IF(AE394,T394*IF(AA394, 1, Constants!$B$11)*IF(AB394, 1, Constants!$B$12),Constants!$B$13),"")</f>
        <v/>
      </c>
      <c r="AM394" s="67" t="str">
        <f aca="false">IF($AF394=Constants!$B$7,AK394*AL394,"")</f>
        <v/>
      </c>
      <c r="AN394" s="67" t="str">
        <f aca="false">IF($AF394=Constants!$B$7,IF(AM394&gt;AJ394,2,1),"")</f>
        <v/>
      </c>
      <c r="AO394" s="67" t="str">
        <f aca="false">IF($AF394=Constants!$B$7,IF(AN394=1,2,1),"")</f>
        <v/>
      </c>
      <c r="AP394" s="67" t="str">
        <f aca="false">IF(ISBLANK($C394),"",IF($AF394&lt;&gt;Constants!$B$7,$AF394,IF(AN394=1,AJ394,AM394)))</f>
        <v/>
      </c>
      <c r="AQ394" s="67" t="str">
        <f aca="false">IF(ISBLANK($C394),"",IF($AF394=Constants!$B$7,IF(ISNUMBER(AP394),RANK(AP394,$AP$8:$AP$507),Constants!$B$14),$AF394))</f>
        <v/>
      </c>
      <c r="AR394" s="67" t="str">
        <f aca="false">IF(ISBLANK($C394),"",IF($AF394=Constants!$B$7,IF(AO394=1,AJ394,AM394),""))</f>
        <v/>
      </c>
      <c r="AS394" s="67" t="str">
        <f aca="false">IF(ISBLANK($C394),"",IF($AF394=Constants!$B$7,RANK(AR394,$AR$8:$AR$507),$AF394))</f>
        <v/>
      </c>
      <c r="AT394" s="67" t="str">
        <f aca="false">IF(ISBLANK($C394),"",IF($AF394=Constants!$B$7,IF(ISNUMBER(AQ394),COUNTIFS($AQ$8:$AQ$507,"&lt;"&amp;$AQ394)+COUNTIFS($AQ$8:$AQ$507,$AQ394,$AS$8:$AS$507,"&lt;"&amp;$AS394)+1,Constants!$B$14),$AF394))</f>
        <v/>
      </c>
      <c r="AU394" s="67" t="str">
        <f aca="false">IF(ISBLANK($C394),"",IF($AF394=Constants!$B$7,IF(ISNUMBER(AQ394),AQ394-AT394,Constants!$B$14),$AF394))</f>
        <v/>
      </c>
      <c r="AV394" s="69"/>
      <c r="AW394" s="70" t="str">
        <f aca="false">IF(ISBLANK($C394),"",IF($AF394&lt;&gt;Constants!$B$7,"",AN394))</f>
        <v/>
      </c>
      <c r="AX394" s="85" t="str">
        <f aca="false">IF(ISBLANK($C394),"",IF($AF394&lt;&gt;Constants!$B$7,"",IF(AN394=1,AH394,AK394)))</f>
        <v/>
      </c>
      <c r="AY394" s="72" t="str">
        <f aca="false">IF(ISBLANK($C394),"",IF($AF394&lt;&gt;Constants!$B$7,"",IF(AN394=1,AI394,AL394)))</f>
        <v/>
      </c>
      <c r="AZ394" s="73" t="str">
        <f aca="false">IF(ISBLANK($C394),"",IF($AF394&lt;&gt;Constants!$B$7,$AF394,AP394))</f>
        <v/>
      </c>
      <c r="BA394" s="74" t="str">
        <f aca="false">IF(ISBLANK($C394),"",IF($AF394&lt;&gt;Constants!$B$7,$AF394,AG394))</f>
        <v/>
      </c>
      <c r="BB394" s="75" t="str">
        <f aca="false">IF(ISBLANK($C394),"",AU394)</f>
        <v/>
      </c>
      <c r="BC394" s="75" t="str">
        <f aca="false">IF(ISBLANK($C394),"",AT394)</f>
        <v/>
      </c>
      <c r="BD394" s="76" t="str">
        <f aca="false">IF(ISBLANK($C394),"",IFERROR(_xlfn.SWITCH(BC394,Constants!$B$4,COUNTA($C$8:$C$507)+2,Constants!$B$5,COUNTA($C$8:$C$507)+1,Constants!$B$6,COUNTA($C$8:$C$507)),BC394))</f>
        <v/>
      </c>
      <c r="BE394" s="5"/>
      <c r="BF394" s="77" t="n">
        <f aca="false">IF(OR(ISNUMBER(BC394),BC394=Constants!$B$4,BC394=Constants!$B$6,BC394=Constants!$B$5),1,0)</f>
        <v>0</v>
      </c>
      <c r="BG394" s="77" t="n">
        <v>387</v>
      </c>
      <c r="BH394" s="77" t="str">
        <f aca="false">IF(ISBLANK($C394),"",IF(ISNUMBER(BD394),BD394+ROW($B394)/1000,""))</f>
        <v/>
      </c>
      <c r="BI394" s="77" t="str">
        <f aca="false">IF(ISNUMBER(BH394),RANK(BH394,$BH$8:$BH$507,1),"")</f>
        <v/>
      </c>
      <c r="BJ394" s="77" t="str">
        <f aca="false">IF(ISBLANK($C394),"",$B394)</f>
        <v/>
      </c>
      <c r="BK394" s="77" t="str">
        <f aca="false">IF(ISBLANK($C394),"",$C394)</f>
        <v/>
      </c>
      <c r="BL394" s="77" t="str">
        <f aca="false">IF(ISBLANK($C394),"",$D394)</f>
        <v/>
      </c>
      <c r="BM394" s="78" t="str">
        <f aca="false">BA394</f>
        <v/>
      </c>
      <c r="BN394" s="79" t="str">
        <f aca="false">AZ394</f>
        <v/>
      </c>
      <c r="BO394" s="77" t="str">
        <f aca="false">IF(ISBLANK($C394),"",BC394)</f>
        <v/>
      </c>
      <c r="BP394" s="80" t="str">
        <f aca="false">IF($BG394&gt;$BF$7,"",VLOOKUP($BG394,$BI$8:$BO$507,7,FALSE()))</f>
        <v/>
      </c>
      <c r="BQ394" s="81" t="str">
        <f aca="false">IF($BG394&gt;$BF$7,"",VLOOKUP($BG394,$BI$8:$BO$507,2,FALSE()))</f>
        <v/>
      </c>
      <c r="BR394" s="81" t="str">
        <f aca="false">IF($BG394&gt;$BF$7,"",VLOOKUP($BG394,$BI$8:$BO$507,3,FALSE()))</f>
        <v/>
      </c>
      <c r="BS394" s="81" t="str">
        <f aca="false">IF($BG394&gt;$BF$7,"",VLOOKUP($BG394,$BI$8:$BO$507,4,FALSE()))</f>
        <v/>
      </c>
      <c r="BT394" s="81" t="str">
        <f aca="false">IF($BG394&gt;$BF$7,"",VLOOKUP($BG394,$BI$8:$BO$507,5,FALSE()))</f>
        <v/>
      </c>
      <c r="BU394" s="82" t="str">
        <f aca="false">IF($BG394&gt;$BF$7,"",VLOOKUP($BG394,$BI$8:$BO$507,6,FALSE()))</f>
        <v/>
      </c>
      <c r="BV394" s="54"/>
    </row>
    <row r="395" customFormat="false" ht="15.75" hidden="false" customHeight="false" outlineLevel="0" collapsed="false">
      <c r="A395" s="5"/>
      <c r="B395" s="128"/>
      <c r="C395" s="129"/>
      <c r="D395" s="114"/>
      <c r="E395" s="134"/>
      <c r="F395" s="139"/>
      <c r="G395" s="93"/>
      <c r="H395" s="140"/>
      <c r="I395" s="95"/>
      <c r="J395" s="95"/>
      <c r="K395" s="93"/>
      <c r="L395" s="141"/>
      <c r="M395" s="95"/>
      <c r="N395" s="95"/>
      <c r="O395" s="93"/>
      <c r="P395" s="134"/>
      <c r="Q395" s="98"/>
      <c r="R395" s="99" t="str">
        <f aca="false">IF(ISBLANK($C395),"",IF(E395=Constants!$B$2, TRUE(), IF(E395=Constants!$B$3, FALSE(), TRUE())))</f>
        <v/>
      </c>
      <c r="S395" s="99" t="str">
        <f aca="false">IF(ISBLANK($C395),"",IF(F395=Constants!$B$2, TRUE(), IF(F395=Constants!$B$3, FALSE(), TRUE())))</f>
        <v/>
      </c>
      <c r="T395" s="99" t="str">
        <f aca="false">IF(ISBLANK($C395),"",IF(G395=Constants!$B$16,Constants!$B$9,IF(G395=Constants!$B$17,Constants!$B$10,Constants!$B$8)))</f>
        <v/>
      </c>
      <c r="U395" s="99" t="str">
        <f aca="false">IF(ISBLANK($C395),"",IF(H395=Constants!$B$19,Constants!$B$19,Constants!$B$18))</f>
        <v/>
      </c>
      <c r="V395" s="99" t="str">
        <f aca="false">IF(ISBLANK($C395),"",IF(ISNUMBER(I395),IF(I395&gt;=0,I395,""),""))</f>
        <v/>
      </c>
      <c r="W395" s="99" t="str">
        <f aca="false">IF(ISBLANK($C395),"",IF(J395=Constants!$B$2, TRUE(), IF(J395=Constants!$B$3, FALSE(), TRUE())))</f>
        <v/>
      </c>
      <c r="X395" s="99" t="str">
        <f aca="false">IF(ISBLANK($C395),"",IF(K395=Constants!$B$2, TRUE(), IF(K395=Constants!$B$3, FALSE(), TRUE())))</f>
        <v/>
      </c>
      <c r="Y395" s="99" t="str">
        <f aca="false">IF(ISBLANK($C395),"",IF(L395=Constants!$B$19,Constants!$B$19,Constants!$B$18))</f>
        <v/>
      </c>
      <c r="Z395" s="99" t="str">
        <f aca="false">IF(ISBLANK($C395),"",IF(ISNUMBER(M395),IF(M395&gt;=0,M395,""),""))</f>
        <v/>
      </c>
      <c r="AA395" s="99" t="str">
        <f aca="false">IF(ISBLANK($C395),"",IF(N395=Constants!$B$2, TRUE(), IF(N395=Constants!$B$3, FALSE(), TRUE())))</f>
        <v/>
      </c>
      <c r="AB395" s="99" t="str">
        <f aca="false">IF(ISBLANK($C395),"",IF(O395=Constants!$B$2, TRUE(), IF(O395=Constants!$B$3, FALSE(), TRUE())))</f>
        <v/>
      </c>
      <c r="AC395" s="99" t="str">
        <f aca="false">IF(ISBLANK($C395),"",IF(P395=Constants!$B$2, TRUE(), IF(P395=Constants!$B$3, FALSE(), FALSE())))</f>
        <v/>
      </c>
      <c r="AD395" s="99" t="str">
        <f aca="false">IF(ISBLANK($C395),"",AND(V395&lt;&gt;"",IF(U395=Constants!$B$19,S395,R395)))</f>
        <v/>
      </c>
      <c r="AE395" s="99" t="str">
        <f aca="false">IF(ISBLANK($C395),"",AND(Z395&lt;&gt;"",IF(Y395=Constants!$B$19,S395,R395)))</f>
        <v/>
      </c>
      <c r="AF395" s="99" t="str">
        <f aca="false">IF(ISBLANK($C395),"",IF(AC395,Constants!$B$4,IF(COUNTA(E395:O395)=0,Constants!$B$5,IF(AND(NOT(AD395),NOT(AE395)),Constants!$B$6,Constants!$B$7))))</f>
        <v/>
      </c>
      <c r="AG395" s="99" t="str">
        <f aca="false">IF(ISBLANK($C395),"",IF($AF395&lt;&gt;Constants!$B$7,$AF395,Constants!$B$20))</f>
        <v/>
      </c>
      <c r="AH395" s="99" t="str">
        <f aca="false">IF($AF395=Constants!$B$7,IF(AD395,V395,Constants!$B$13),"")</f>
        <v/>
      </c>
      <c r="AI395" s="99" t="str">
        <f aca="false">IF($AF395=Constants!$B$7,IF(AD395,T395*IF(W395, 1, Constants!$B$11)*IF(X395, 1, Constants!$B$12),Constants!$B$13),"")</f>
        <v/>
      </c>
      <c r="AJ395" s="99" t="str">
        <f aca="false">IF($AF395=Constants!$B$7,AH395*AI395,"")</f>
        <v/>
      </c>
      <c r="AK395" s="99" t="str">
        <f aca="false">IF($AF395=Constants!$B$7,IF(AE395,Z395,Constants!$B$13),"")</f>
        <v/>
      </c>
      <c r="AL395" s="99" t="str">
        <f aca="false">IF($AF395=Constants!$B$7,IF(AE395,T395*IF(AA395, 1, Constants!$B$11)*IF(AB395, 1, Constants!$B$12),Constants!$B$13),"")</f>
        <v/>
      </c>
      <c r="AM395" s="99" t="str">
        <f aca="false">IF($AF395=Constants!$B$7,AK395*AL395,"")</f>
        <v/>
      </c>
      <c r="AN395" s="99" t="str">
        <f aca="false">IF($AF395=Constants!$B$7,IF(AM395&gt;AJ395,2,1),"")</f>
        <v/>
      </c>
      <c r="AO395" s="99" t="str">
        <f aca="false">IF($AF395=Constants!$B$7,IF(AN395=1,2,1),"")</f>
        <v/>
      </c>
      <c r="AP395" s="99" t="str">
        <f aca="false">IF(ISBLANK($C395),"",IF($AF395&lt;&gt;Constants!$B$7,$AF395,IF(AN395=1,AJ395,AM395)))</f>
        <v/>
      </c>
      <c r="AQ395" s="99" t="str">
        <f aca="false">IF(ISBLANK($C395),"",IF($AF395=Constants!$B$7,IF(ISNUMBER(AP395),RANK(AP395,$AP$8:$AP$507),Constants!$B$14),$AF395))</f>
        <v/>
      </c>
      <c r="AR395" s="99" t="str">
        <f aca="false">IF(ISBLANK($C395),"",IF($AF395=Constants!$B$7,IF(AO395=1,AJ395,AM395),""))</f>
        <v/>
      </c>
      <c r="AS395" s="99" t="str">
        <f aca="false">IF(ISBLANK($C395),"",IF($AF395=Constants!$B$7,RANK(AR395,$AR$8:$AR$507),$AF395))</f>
        <v/>
      </c>
      <c r="AT395" s="99" t="str">
        <f aca="false">IF(ISBLANK($C395),"",IF($AF395=Constants!$B$7,IF(ISNUMBER(AQ395),COUNTIFS($AQ$8:$AQ$507,"&lt;"&amp;$AQ395)+COUNTIFS($AQ$8:$AQ$507,$AQ395,$AS$8:$AS$507,"&lt;"&amp;$AS395)+1,Constants!$B$14),$AF395))</f>
        <v/>
      </c>
      <c r="AU395" s="99" t="str">
        <f aca="false">IF(ISBLANK($C395),"",IF($AF395=Constants!$B$7,IF(ISNUMBER(AQ395),AQ395-AT395,Constants!$B$14),$AF395))</f>
        <v/>
      </c>
      <c r="AV395" s="100"/>
      <c r="AW395" s="101" t="str">
        <f aca="false">IF(ISBLANK($C395),"",IF($AF395&lt;&gt;Constants!$B$7,"",AN395))</f>
        <v/>
      </c>
      <c r="AX395" s="102" t="str">
        <f aca="false">IF(ISBLANK($C395),"",IF($AF395&lt;&gt;Constants!$B$7,"",IF(AN395=1,AH395,AK395)))</f>
        <v/>
      </c>
      <c r="AY395" s="103" t="str">
        <f aca="false">IF(ISBLANK($C395),"",IF($AF395&lt;&gt;Constants!$B$7,"",IF(AN395=1,AI395,AL395)))</f>
        <v/>
      </c>
      <c r="AZ395" s="104" t="str">
        <f aca="false">IF(ISBLANK($C395),"",IF($AF395&lt;&gt;Constants!$B$7,$AF395,AP395))</f>
        <v/>
      </c>
      <c r="BA395" s="105" t="str">
        <f aca="false">IF(ISBLANK($C395),"",IF($AF395&lt;&gt;Constants!$B$7,$AF395,AG395))</f>
        <v/>
      </c>
      <c r="BB395" s="106" t="str">
        <f aca="false">IF(ISBLANK($C395),"",AU395)</f>
        <v/>
      </c>
      <c r="BC395" s="106" t="str">
        <f aca="false">IF(ISBLANK($C395),"",AT395)</f>
        <v/>
      </c>
      <c r="BD395" s="107" t="str">
        <f aca="false">IF(ISBLANK($C395),"",IFERROR(_xlfn.SWITCH(BC395,Constants!$B$4,COUNTA($C$8:$C$507)+2,Constants!$B$5,COUNTA($C$8:$C$507)+1,Constants!$B$6,COUNTA($C$8:$C$507)),BC395))</f>
        <v/>
      </c>
      <c r="BE395" s="5"/>
      <c r="BF395" s="108" t="n">
        <f aca="false">IF(OR(ISNUMBER(BC395),BC395=Constants!$B$4,BC395=Constants!$B$6,BC395=Constants!$B$5),1,0)</f>
        <v>0</v>
      </c>
      <c r="BG395" s="108" t="n">
        <v>388</v>
      </c>
      <c r="BH395" s="108" t="str">
        <f aca="false">IF(ISBLANK($C395),"",IF(ISNUMBER(BD395),BD395+ROW($B395)/1000,""))</f>
        <v/>
      </c>
      <c r="BI395" s="108" t="str">
        <f aca="false">IF(ISNUMBER(BH395),RANK(BH395,$BH$8:$BH$507,1),"")</f>
        <v/>
      </c>
      <c r="BJ395" s="108" t="str">
        <f aca="false">IF(ISBLANK($C395),"",$B395)</f>
        <v/>
      </c>
      <c r="BK395" s="108" t="str">
        <f aca="false">IF(ISBLANK($C395),"",$C395)</f>
        <v/>
      </c>
      <c r="BL395" s="108" t="str">
        <f aca="false">IF(ISBLANK($C395),"",$D395)</f>
        <v/>
      </c>
      <c r="BM395" s="109" t="str">
        <f aca="false">BA395</f>
        <v/>
      </c>
      <c r="BN395" s="110" t="str">
        <f aca="false">AZ395</f>
        <v/>
      </c>
      <c r="BO395" s="108" t="str">
        <f aca="false">IF(ISBLANK($C395),"",BC395)</f>
        <v/>
      </c>
      <c r="BP395" s="111" t="str">
        <f aca="false">IF($BG395&gt;$BF$7,"",VLOOKUP($BG395,$BI$8:$BO$507,7,FALSE()))</f>
        <v/>
      </c>
      <c r="BQ395" s="112" t="str">
        <f aca="false">IF($BG395&gt;$BF$7,"",VLOOKUP($BG395,$BI$8:$BO$507,2,FALSE()))</f>
        <v/>
      </c>
      <c r="BR395" s="112" t="str">
        <f aca="false">IF($BG395&gt;$BF$7,"",VLOOKUP($BG395,$BI$8:$BO$507,3,FALSE()))</f>
        <v/>
      </c>
      <c r="BS395" s="112" t="str">
        <f aca="false">IF($BG395&gt;$BF$7,"",VLOOKUP($BG395,$BI$8:$BO$507,4,FALSE()))</f>
        <v/>
      </c>
      <c r="BT395" s="112" t="str">
        <f aca="false">IF($BG395&gt;$BF$7,"",VLOOKUP($BG395,$BI$8:$BO$507,5,FALSE()))</f>
        <v/>
      </c>
      <c r="BU395" s="113" t="str">
        <f aca="false">IF($BG395&gt;$BF$7,"",VLOOKUP($BG395,$BI$8:$BO$507,6,FALSE()))</f>
        <v/>
      </c>
      <c r="BV395" s="54"/>
    </row>
    <row r="396" customFormat="false" ht="15.75" hidden="false" customHeight="false" outlineLevel="0" collapsed="false">
      <c r="A396" s="5"/>
      <c r="B396" s="128"/>
      <c r="C396" s="129"/>
      <c r="D396" s="114"/>
      <c r="E396" s="134"/>
      <c r="F396" s="139"/>
      <c r="G396" s="93"/>
      <c r="H396" s="140"/>
      <c r="I396" s="95"/>
      <c r="J396" s="95"/>
      <c r="K396" s="93"/>
      <c r="L396" s="141"/>
      <c r="M396" s="95"/>
      <c r="N396" s="95"/>
      <c r="O396" s="93"/>
      <c r="P396" s="134"/>
      <c r="Q396" s="98"/>
      <c r="R396" s="99" t="str">
        <f aca="false">IF(ISBLANK($C396),"",IF(E396=Constants!$B$2, TRUE(), IF(E396=Constants!$B$3, FALSE(), TRUE())))</f>
        <v/>
      </c>
      <c r="S396" s="99" t="str">
        <f aca="false">IF(ISBLANK($C396),"",IF(F396=Constants!$B$2, TRUE(), IF(F396=Constants!$B$3, FALSE(), TRUE())))</f>
        <v/>
      </c>
      <c r="T396" s="99" t="str">
        <f aca="false">IF(ISBLANK($C396),"",IF(G396=Constants!$B$16,Constants!$B$9,IF(G396=Constants!$B$17,Constants!$B$10,Constants!$B$8)))</f>
        <v/>
      </c>
      <c r="U396" s="99" t="str">
        <f aca="false">IF(ISBLANK($C396),"",IF(H396=Constants!$B$19,Constants!$B$19,Constants!$B$18))</f>
        <v/>
      </c>
      <c r="V396" s="99" t="str">
        <f aca="false">IF(ISBLANK($C396),"",IF(ISNUMBER(I396),IF(I396&gt;=0,I396,""),""))</f>
        <v/>
      </c>
      <c r="W396" s="99" t="str">
        <f aca="false">IF(ISBLANK($C396),"",IF(J396=Constants!$B$2, TRUE(), IF(J396=Constants!$B$3, FALSE(), TRUE())))</f>
        <v/>
      </c>
      <c r="X396" s="99" t="str">
        <f aca="false">IF(ISBLANK($C396),"",IF(K396=Constants!$B$2, TRUE(), IF(K396=Constants!$B$3, FALSE(), TRUE())))</f>
        <v/>
      </c>
      <c r="Y396" s="99" t="str">
        <f aca="false">IF(ISBLANK($C396),"",IF(L396=Constants!$B$19,Constants!$B$19,Constants!$B$18))</f>
        <v/>
      </c>
      <c r="Z396" s="99" t="str">
        <f aca="false">IF(ISBLANK($C396),"",IF(ISNUMBER(M396),IF(M396&gt;=0,M396,""),""))</f>
        <v/>
      </c>
      <c r="AA396" s="99" t="str">
        <f aca="false">IF(ISBLANK($C396),"",IF(N396=Constants!$B$2, TRUE(), IF(N396=Constants!$B$3, FALSE(), TRUE())))</f>
        <v/>
      </c>
      <c r="AB396" s="99" t="str">
        <f aca="false">IF(ISBLANK($C396),"",IF(O396=Constants!$B$2, TRUE(), IF(O396=Constants!$B$3, FALSE(), TRUE())))</f>
        <v/>
      </c>
      <c r="AC396" s="99" t="str">
        <f aca="false">IF(ISBLANK($C396),"",IF(P396=Constants!$B$2, TRUE(), IF(P396=Constants!$B$3, FALSE(), FALSE())))</f>
        <v/>
      </c>
      <c r="AD396" s="99" t="str">
        <f aca="false">IF(ISBLANK($C396),"",AND(V396&lt;&gt;"",IF(U396=Constants!$B$19,S396,R396)))</f>
        <v/>
      </c>
      <c r="AE396" s="99" t="str">
        <f aca="false">IF(ISBLANK($C396),"",AND(Z396&lt;&gt;"",IF(Y396=Constants!$B$19,S396,R396)))</f>
        <v/>
      </c>
      <c r="AF396" s="99" t="str">
        <f aca="false">IF(ISBLANK($C396),"",IF(AC396,Constants!$B$4,IF(COUNTA(E396:O396)=0,Constants!$B$5,IF(AND(NOT(AD396),NOT(AE396)),Constants!$B$6,Constants!$B$7))))</f>
        <v/>
      </c>
      <c r="AG396" s="99" t="str">
        <f aca="false">IF(ISBLANK($C396),"",IF($AF396&lt;&gt;Constants!$B$7,$AF396,Constants!$B$20))</f>
        <v/>
      </c>
      <c r="AH396" s="99" t="str">
        <f aca="false">IF($AF396=Constants!$B$7,IF(AD396,V396,Constants!$B$13),"")</f>
        <v/>
      </c>
      <c r="AI396" s="99" t="str">
        <f aca="false">IF($AF396=Constants!$B$7,IF(AD396,T396*IF(W396, 1, Constants!$B$11)*IF(X396, 1, Constants!$B$12),Constants!$B$13),"")</f>
        <v/>
      </c>
      <c r="AJ396" s="99" t="str">
        <f aca="false">IF($AF396=Constants!$B$7,AH396*AI396,"")</f>
        <v/>
      </c>
      <c r="AK396" s="99" t="str">
        <f aca="false">IF($AF396=Constants!$B$7,IF(AE396,Z396,Constants!$B$13),"")</f>
        <v/>
      </c>
      <c r="AL396" s="99" t="str">
        <f aca="false">IF($AF396=Constants!$B$7,IF(AE396,T396*IF(AA396, 1, Constants!$B$11)*IF(AB396, 1, Constants!$B$12),Constants!$B$13),"")</f>
        <v/>
      </c>
      <c r="AM396" s="99" t="str">
        <f aca="false">IF($AF396=Constants!$B$7,AK396*AL396,"")</f>
        <v/>
      </c>
      <c r="AN396" s="99" t="str">
        <f aca="false">IF($AF396=Constants!$B$7,IF(AM396&gt;AJ396,2,1),"")</f>
        <v/>
      </c>
      <c r="AO396" s="99" t="str">
        <f aca="false">IF($AF396=Constants!$B$7,IF(AN396=1,2,1),"")</f>
        <v/>
      </c>
      <c r="AP396" s="99" t="str">
        <f aca="false">IF(ISBLANK($C396),"",IF($AF396&lt;&gt;Constants!$B$7,$AF396,IF(AN396=1,AJ396,AM396)))</f>
        <v/>
      </c>
      <c r="AQ396" s="99" t="str">
        <f aca="false">IF(ISBLANK($C396),"",IF($AF396=Constants!$B$7,IF(ISNUMBER(AP396),RANK(AP396,$AP$8:$AP$507),Constants!$B$14),$AF396))</f>
        <v/>
      </c>
      <c r="AR396" s="99" t="str">
        <f aca="false">IF(ISBLANK($C396),"",IF($AF396=Constants!$B$7,IF(AO396=1,AJ396,AM396),""))</f>
        <v/>
      </c>
      <c r="AS396" s="99" t="str">
        <f aca="false">IF(ISBLANK($C396),"",IF($AF396=Constants!$B$7,RANK(AR396,$AR$8:$AR$507),$AF396))</f>
        <v/>
      </c>
      <c r="AT396" s="99" t="str">
        <f aca="false">IF(ISBLANK($C396),"",IF($AF396=Constants!$B$7,IF(ISNUMBER(AQ396),COUNTIFS($AQ$8:$AQ$507,"&lt;"&amp;$AQ396)+COUNTIFS($AQ$8:$AQ$507,$AQ396,$AS$8:$AS$507,"&lt;"&amp;$AS396)+1,Constants!$B$14),$AF396))</f>
        <v/>
      </c>
      <c r="AU396" s="99" t="str">
        <f aca="false">IF(ISBLANK($C396),"",IF($AF396=Constants!$B$7,IF(ISNUMBER(AQ396),AQ396-AT396,Constants!$B$14),$AF396))</f>
        <v/>
      </c>
      <c r="AV396" s="100"/>
      <c r="AW396" s="101" t="str">
        <f aca="false">IF(ISBLANK($C396),"",IF($AF396&lt;&gt;Constants!$B$7,"",AN396))</f>
        <v/>
      </c>
      <c r="AX396" s="102" t="str">
        <f aca="false">IF(ISBLANK($C396),"",IF($AF396&lt;&gt;Constants!$B$7,"",IF(AN396=1,AH396,AK396)))</f>
        <v/>
      </c>
      <c r="AY396" s="103" t="str">
        <f aca="false">IF(ISBLANK($C396),"",IF($AF396&lt;&gt;Constants!$B$7,"",IF(AN396=1,AI396,AL396)))</f>
        <v/>
      </c>
      <c r="AZ396" s="104" t="str">
        <f aca="false">IF(ISBLANK($C396),"",IF($AF396&lt;&gt;Constants!$B$7,$AF396,AP396))</f>
        <v/>
      </c>
      <c r="BA396" s="105" t="str">
        <f aca="false">IF(ISBLANK($C396),"",IF($AF396&lt;&gt;Constants!$B$7,$AF396,AG396))</f>
        <v/>
      </c>
      <c r="BB396" s="106" t="str">
        <f aca="false">IF(ISBLANK($C396),"",AU396)</f>
        <v/>
      </c>
      <c r="BC396" s="106" t="str">
        <f aca="false">IF(ISBLANK($C396),"",AT396)</f>
        <v/>
      </c>
      <c r="BD396" s="107" t="str">
        <f aca="false">IF(ISBLANK($C396),"",IFERROR(_xlfn.SWITCH(BC396,Constants!$B$4,COUNTA($C$8:$C$507)+2,Constants!$B$5,COUNTA($C$8:$C$507)+1,Constants!$B$6,COUNTA($C$8:$C$507)),BC396))</f>
        <v/>
      </c>
      <c r="BE396" s="5"/>
      <c r="BF396" s="108" t="n">
        <f aca="false">IF(OR(ISNUMBER(BC396),BC396=Constants!$B$4,BC396=Constants!$B$6,BC396=Constants!$B$5),1,0)</f>
        <v>0</v>
      </c>
      <c r="BG396" s="108" t="n">
        <v>389</v>
      </c>
      <c r="BH396" s="108" t="str">
        <f aca="false">IF(ISBLANK($C396),"",IF(ISNUMBER(BD396),BD396+ROW($B396)/1000,""))</f>
        <v/>
      </c>
      <c r="BI396" s="108" t="str">
        <f aca="false">IF(ISNUMBER(BH396),RANK(BH396,$BH$8:$BH$507,1),"")</f>
        <v/>
      </c>
      <c r="BJ396" s="108" t="str">
        <f aca="false">IF(ISBLANK($C396),"",$B396)</f>
        <v/>
      </c>
      <c r="BK396" s="108" t="str">
        <f aca="false">IF(ISBLANK($C396),"",$C396)</f>
        <v/>
      </c>
      <c r="BL396" s="108" t="str">
        <f aca="false">IF(ISBLANK($C396),"",$D396)</f>
        <v/>
      </c>
      <c r="BM396" s="109" t="str">
        <f aca="false">BA396</f>
        <v/>
      </c>
      <c r="BN396" s="110" t="str">
        <f aca="false">AZ396</f>
        <v/>
      </c>
      <c r="BO396" s="108" t="str">
        <f aca="false">IF(ISBLANK($C396),"",BC396)</f>
        <v/>
      </c>
      <c r="BP396" s="111" t="str">
        <f aca="false">IF($BG396&gt;$BF$7,"",VLOOKUP($BG396,$BI$8:$BO$507,7,FALSE()))</f>
        <v/>
      </c>
      <c r="BQ396" s="112" t="str">
        <f aca="false">IF($BG396&gt;$BF$7,"",VLOOKUP($BG396,$BI$8:$BO$507,2,FALSE()))</f>
        <v/>
      </c>
      <c r="BR396" s="112" t="str">
        <f aca="false">IF($BG396&gt;$BF$7,"",VLOOKUP($BG396,$BI$8:$BO$507,3,FALSE()))</f>
        <v/>
      </c>
      <c r="BS396" s="112" t="str">
        <f aca="false">IF($BG396&gt;$BF$7,"",VLOOKUP($BG396,$BI$8:$BO$507,4,FALSE()))</f>
        <v/>
      </c>
      <c r="BT396" s="112" t="str">
        <f aca="false">IF($BG396&gt;$BF$7,"",VLOOKUP($BG396,$BI$8:$BO$507,5,FALSE()))</f>
        <v/>
      </c>
      <c r="BU396" s="113" t="str">
        <f aca="false">IF($BG396&gt;$BF$7,"",VLOOKUP($BG396,$BI$8:$BO$507,6,FALSE()))</f>
        <v/>
      </c>
      <c r="BV396" s="54"/>
    </row>
    <row r="397" customFormat="false" ht="15.75" hidden="false" customHeight="false" outlineLevel="0" collapsed="false">
      <c r="A397" s="5"/>
      <c r="B397" s="128"/>
      <c r="C397" s="129"/>
      <c r="D397" s="114"/>
      <c r="E397" s="134"/>
      <c r="F397" s="139"/>
      <c r="G397" s="93"/>
      <c r="H397" s="140"/>
      <c r="I397" s="95"/>
      <c r="J397" s="95"/>
      <c r="K397" s="93"/>
      <c r="L397" s="141"/>
      <c r="M397" s="95"/>
      <c r="N397" s="95"/>
      <c r="O397" s="93"/>
      <c r="P397" s="134"/>
      <c r="Q397" s="98"/>
      <c r="R397" s="99" t="str">
        <f aca="false">IF(ISBLANK($C397),"",IF(E397=Constants!$B$2, TRUE(), IF(E397=Constants!$B$3, FALSE(), TRUE())))</f>
        <v/>
      </c>
      <c r="S397" s="99" t="str">
        <f aca="false">IF(ISBLANK($C397),"",IF(F397=Constants!$B$2, TRUE(), IF(F397=Constants!$B$3, FALSE(), TRUE())))</f>
        <v/>
      </c>
      <c r="T397" s="99" t="str">
        <f aca="false">IF(ISBLANK($C397),"",IF(G397=Constants!$B$16,Constants!$B$9,IF(G397=Constants!$B$17,Constants!$B$10,Constants!$B$8)))</f>
        <v/>
      </c>
      <c r="U397" s="99" t="str">
        <f aca="false">IF(ISBLANK($C397),"",IF(H397=Constants!$B$19,Constants!$B$19,Constants!$B$18))</f>
        <v/>
      </c>
      <c r="V397" s="99" t="str">
        <f aca="false">IF(ISBLANK($C397),"",IF(ISNUMBER(I397),IF(I397&gt;=0,I397,""),""))</f>
        <v/>
      </c>
      <c r="W397" s="99" t="str">
        <f aca="false">IF(ISBLANK($C397),"",IF(J397=Constants!$B$2, TRUE(), IF(J397=Constants!$B$3, FALSE(), TRUE())))</f>
        <v/>
      </c>
      <c r="X397" s="99" t="str">
        <f aca="false">IF(ISBLANK($C397),"",IF(K397=Constants!$B$2, TRUE(), IF(K397=Constants!$B$3, FALSE(), TRUE())))</f>
        <v/>
      </c>
      <c r="Y397" s="99" t="str">
        <f aca="false">IF(ISBLANK($C397),"",IF(L397=Constants!$B$19,Constants!$B$19,Constants!$B$18))</f>
        <v/>
      </c>
      <c r="Z397" s="99" t="str">
        <f aca="false">IF(ISBLANK($C397),"",IF(ISNUMBER(M397),IF(M397&gt;=0,M397,""),""))</f>
        <v/>
      </c>
      <c r="AA397" s="99" t="str">
        <f aca="false">IF(ISBLANK($C397),"",IF(N397=Constants!$B$2, TRUE(), IF(N397=Constants!$B$3, FALSE(), TRUE())))</f>
        <v/>
      </c>
      <c r="AB397" s="99" t="str">
        <f aca="false">IF(ISBLANK($C397),"",IF(O397=Constants!$B$2, TRUE(), IF(O397=Constants!$B$3, FALSE(), TRUE())))</f>
        <v/>
      </c>
      <c r="AC397" s="99" t="str">
        <f aca="false">IF(ISBLANK($C397),"",IF(P397=Constants!$B$2, TRUE(), IF(P397=Constants!$B$3, FALSE(), FALSE())))</f>
        <v/>
      </c>
      <c r="AD397" s="99" t="str">
        <f aca="false">IF(ISBLANK($C397),"",AND(V397&lt;&gt;"",IF(U397=Constants!$B$19,S397,R397)))</f>
        <v/>
      </c>
      <c r="AE397" s="99" t="str">
        <f aca="false">IF(ISBLANK($C397),"",AND(Z397&lt;&gt;"",IF(Y397=Constants!$B$19,S397,R397)))</f>
        <v/>
      </c>
      <c r="AF397" s="99" t="str">
        <f aca="false">IF(ISBLANK($C397),"",IF(AC397,Constants!$B$4,IF(COUNTA(E397:O397)=0,Constants!$B$5,IF(AND(NOT(AD397),NOT(AE397)),Constants!$B$6,Constants!$B$7))))</f>
        <v/>
      </c>
      <c r="AG397" s="99" t="str">
        <f aca="false">IF(ISBLANK($C397),"",IF($AF397&lt;&gt;Constants!$B$7,$AF397,Constants!$B$20))</f>
        <v/>
      </c>
      <c r="AH397" s="99" t="str">
        <f aca="false">IF($AF397=Constants!$B$7,IF(AD397,V397,Constants!$B$13),"")</f>
        <v/>
      </c>
      <c r="AI397" s="99" t="str">
        <f aca="false">IF($AF397=Constants!$B$7,IF(AD397,T397*IF(W397, 1, Constants!$B$11)*IF(X397, 1, Constants!$B$12),Constants!$B$13),"")</f>
        <v/>
      </c>
      <c r="AJ397" s="99" t="str">
        <f aca="false">IF($AF397=Constants!$B$7,AH397*AI397,"")</f>
        <v/>
      </c>
      <c r="AK397" s="99" t="str">
        <f aca="false">IF($AF397=Constants!$B$7,IF(AE397,Z397,Constants!$B$13),"")</f>
        <v/>
      </c>
      <c r="AL397" s="99" t="str">
        <f aca="false">IF($AF397=Constants!$B$7,IF(AE397,T397*IF(AA397, 1, Constants!$B$11)*IF(AB397, 1, Constants!$B$12),Constants!$B$13),"")</f>
        <v/>
      </c>
      <c r="AM397" s="99" t="str">
        <f aca="false">IF($AF397=Constants!$B$7,AK397*AL397,"")</f>
        <v/>
      </c>
      <c r="AN397" s="99" t="str">
        <f aca="false">IF($AF397=Constants!$B$7,IF(AM397&gt;AJ397,2,1),"")</f>
        <v/>
      </c>
      <c r="AO397" s="99" t="str">
        <f aca="false">IF($AF397=Constants!$B$7,IF(AN397=1,2,1),"")</f>
        <v/>
      </c>
      <c r="AP397" s="99" t="str">
        <f aca="false">IF(ISBLANK($C397),"",IF($AF397&lt;&gt;Constants!$B$7,$AF397,IF(AN397=1,AJ397,AM397)))</f>
        <v/>
      </c>
      <c r="AQ397" s="99" t="str">
        <f aca="false">IF(ISBLANK($C397),"",IF($AF397=Constants!$B$7,IF(ISNUMBER(AP397),RANK(AP397,$AP$8:$AP$507),Constants!$B$14),$AF397))</f>
        <v/>
      </c>
      <c r="AR397" s="99" t="str">
        <f aca="false">IF(ISBLANK($C397),"",IF($AF397=Constants!$B$7,IF(AO397=1,AJ397,AM397),""))</f>
        <v/>
      </c>
      <c r="AS397" s="99" t="str">
        <f aca="false">IF(ISBLANK($C397),"",IF($AF397=Constants!$B$7,RANK(AR397,$AR$8:$AR$507),$AF397))</f>
        <v/>
      </c>
      <c r="AT397" s="99" t="str">
        <f aca="false">IF(ISBLANK($C397),"",IF($AF397=Constants!$B$7,IF(ISNUMBER(AQ397),COUNTIFS($AQ$8:$AQ$507,"&lt;"&amp;$AQ397)+COUNTIFS($AQ$8:$AQ$507,$AQ397,$AS$8:$AS$507,"&lt;"&amp;$AS397)+1,Constants!$B$14),$AF397))</f>
        <v/>
      </c>
      <c r="AU397" s="99" t="str">
        <f aca="false">IF(ISBLANK($C397),"",IF($AF397=Constants!$B$7,IF(ISNUMBER(AQ397),AQ397-AT397,Constants!$B$14),$AF397))</f>
        <v/>
      </c>
      <c r="AV397" s="100"/>
      <c r="AW397" s="101" t="str">
        <f aca="false">IF(ISBLANK($C397),"",IF($AF397&lt;&gt;Constants!$B$7,"",AN397))</f>
        <v/>
      </c>
      <c r="AX397" s="102" t="str">
        <f aca="false">IF(ISBLANK($C397),"",IF($AF397&lt;&gt;Constants!$B$7,"",IF(AN397=1,AH397,AK397)))</f>
        <v/>
      </c>
      <c r="AY397" s="103" t="str">
        <f aca="false">IF(ISBLANK($C397),"",IF($AF397&lt;&gt;Constants!$B$7,"",IF(AN397=1,AI397,AL397)))</f>
        <v/>
      </c>
      <c r="AZ397" s="104" t="str">
        <f aca="false">IF(ISBLANK($C397),"",IF($AF397&lt;&gt;Constants!$B$7,$AF397,AP397))</f>
        <v/>
      </c>
      <c r="BA397" s="105" t="str">
        <f aca="false">IF(ISBLANK($C397),"",IF($AF397&lt;&gt;Constants!$B$7,$AF397,AG397))</f>
        <v/>
      </c>
      <c r="BB397" s="106" t="str">
        <f aca="false">IF(ISBLANK($C397),"",AU397)</f>
        <v/>
      </c>
      <c r="BC397" s="106" t="str">
        <f aca="false">IF(ISBLANK($C397),"",AT397)</f>
        <v/>
      </c>
      <c r="BD397" s="107" t="str">
        <f aca="false">IF(ISBLANK($C397),"",IFERROR(_xlfn.SWITCH(BC397,Constants!$B$4,COUNTA($C$8:$C$507)+2,Constants!$B$5,COUNTA($C$8:$C$507)+1,Constants!$B$6,COUNTA($C$8:$C$507)),BC397))</f>
        <v/>
      </c>
      <c r="BE397" s="5"/>
      <c r="BF397" s="108" t="n">
        <f aca="false">IF(OR(ISNUMBER(BC397),BC397=Constants!$B$4,BC397=Constants!$B$6,BC397=Constants!$B$5),1,0)</f>
        <v>0</v>
      </c>
      <c r="BG397" s="108" t="n">
        <v>390</v>
      </c>
      <c r="BH397" s="108" t="str">
        <f aca="false">IF(ISBLANK($C397),"",IF(ISNUMBER(BD397),BD397+ROW($B397)/1000,""))</f>
        <v/>
      </c>
      <c r="BI397" s="108" t="str">
        <f aca="false">IF(ISNUMBER(BH397),RANK(BH397,$BH$8:$BH$507,1),"")</f>
        <v/>
      </c>
      <c r="BJ397" s="108" t="str">
        <f aca="false">IF(ISBLANK($C397),"",$B397)</f>
        <v/>
      </c>
      <c r="BK397" s="108" t="str">
        <f aca="false">IF(ISBLANK($C397),"",$C397)</f>
        <v/>
      </c>
      <c r="BL397" s="108" t="str">
        <f aca="false">IF(ISBLANK($C397),"",$D397)</f>
        <v/>
      </c>
      <c r="BM397" s="109" t="str">
        <f aca="false">BA397</f>
        <v/>
      </c>
      <c r="BN397" s="110" t="str">
        <f aca="false">AZ397</f>
        <v/>
      </c>
      <c r="BO397" s="108" t="str">
        <f aca="false">IF(ISBLANK($C397),"",BC397)</f>
        <v/>
      </c>
      <c r="BP397" s="111" t="str">
        <f aca="false">IF($BG397&gt;$BF$7,"",VLOOKUP($BG397,$BI$8:$BO$507,7,FALSE()))</f>
        <v/>
      </c>
      <c r="BQ397" s="112" t="str">
        <f aca="false">IF($BG397&gt;$BF$7,"",VLOOKUP($BG397,$BI$8:$BO$507,2,FALSE()))</f>
        <v/>
      </c>
      <c r="BR397" s="112" t="str">
        <f aca="false">IF($BG397&gt;$BF$7,"",VLOOKUP($BG397,$BI$8:$BO$507,3,FALSE()))</f>
        <v/>
      </c>
      <c r="BS397" s="112" t="str">
        <f aca="false">IF($BG397&gt;$BF$7,"",VLOOKUP($BG397,$BI$8:$BO$507,4,FALSE()))</f>
        <v/>
      </c>
      <c r="BT397" s="112" t="str">
        <f aca="false">IF($BG397&gt;$BF$7,"",VLOOKUP($BG397,$BI$8:$BO$507,5,FALSE()))</f>
        <v/>
      </c>
      <c r="BU397" s="113" t="str">
        <f aca="false">IF($BG397&gt;$BF$7,"",VLOOKUP($BG397,$BI$8:$BO$507,6,FALSE()))</f>
        <v/>
      </c>
      <c r="BV397" s="54"/>
    </row>
    <row r="398" customFormat="false" ht="15.75" hidden="false" customHeight="false" outlineLevel="0" collapsed="false">
      <c r="A398" s="5"/>
      <c r="B398" s="135"/>
      <c r="C398" s="56"/>
      <c r="D398" s="57"/>
      <c r="E398" s="84"/>
      <c r="F398" s="136"/>
      <c r="G398" s="60"/>
      <c r="H398" s="137"/>
      <c r="I398" s="62"/>
      <c r="J398" s="62"/>
      <c r="K398" s="60"/>
      <c r="L398" s="138"/>
      <c r="M398" s="62"/>
      <c r="N398" s="62"/>
      <c r="O398" s="60"/>
      <c r="P398" s="84"/>
      <c r="Q398" s="65"/>
      <c r="R398" s="67" t="str">
        <f aca="false">IF(ISBLANK($C398),"",IF(E398=Constants!$B$2, TRUE(), IF(E398=Constants!$B$3, FALSE(), TRUE())))</f>
        <v/>
      </c>
      <c r="S398" s="67" t="str">
        <f aca="false">IF(ISBLANK($C398),"",IF(F398=Constants!$B$2, TRUE(), IF(F398=Constants!$B$3, FALSE(), TRUE())))</f>
        <v/>
      </c>
      <c r="T398" s="67" t="str">
        <f aca="false">IF(ISBLANK($C398),"",IF(G398=Constants!$B$16,Constants!$B$9,IF(G398=Constants!$B$17,Constants!$B$10,Constants!$B$8)))</f>
        <v/>
      </c>
      <c r="U398" s="67" t="str">
        <f aca="false">IF(ISBLANK($C398),"",IF(H398=Constants!$B$19,Constants!$B$19,Constants!$B$18))</f>
        <v/>
      </c>
      <c r="V398" s="67" t="str">
        <f aca="false">IF(ISBLANK($C398),"",IF(ISNUMBER(I398),IF(I398&gt;=0,I398,""),""))</f>
        <v/>
      </c>
      <c r="W398" s="67" t="str">
        <f aca="false">IF(ISBLANK($C398),"",IF(J398=Constants!$B$2, TRUE(), IF(J398=Constants!$B$3, FALSE(), TRUE())))</f>
        <v/>
      </c>
      <c r="X398" s="67" t="str">
        <f aca="false">IF(ISBLANK($C398),"",IF(K398=Constants!$B$2, TRUE(), IF(K398=Constants!$B$3, FALSE(), TRUE())))</f>
        <v/>
      </c>
      <c r="Y398" s="67" t="str">
        <f aca="false">IF(ISBLANK($C398),"",IF(L398=Constants!$B$19,Constants!$B$19,Constants!$B$18))</f>
        <v/>
      </c>
      <c r="Z398" s="67" t="str">
        <f aca="false">IF(ISBLANK($C398),"",IF(ISNUMBER(M398),IF(M398&gt;=0,M398,""),""))</f>
        <v/>
      </c>
      <c r="AA398" s="67" t="str">
        <f aca="false">IF(ISBLANK($C398),"",IF(N398=Constants!$B$2, TRUE(), IF(N398=Constants!$B$3, FALSE(), TRUE())))</f>
        <v/>
      </c>
      <c r="AB398" s="67" t="str">
        <f aca="false">IF(ISBLANK($C398),"",IF(O398=Constants!$B$2, TRUE(), IF(O398=Constants!$B$3, FALSE(), TRUE())))</f>
        <v/>
      </c>
      <c r="AC398" s="67" t="str">
        <f aca="false">IF(ISBLANK($C398),"",IF(P398=Constants!$B$2, TRUE(), IF(P398=Constants!$B$3, FALSE(), FALSE())))</f>
        <v/>
      </c>
      <c r="AD398" s="67" t="str">
        <f aca="false">IF(ISBLANK($C398),"",AND(V398&lt;&gt;"",IF(U398=Constants!$B$19,S398,R398)))</f>
        <v/>
      </c>
      <c r="AE398" s="67" t="str">
        <f aca="false">IF(ISBLANK($C398),"",AND(Z398&lt;&gt;"",IF(Y398=Constants!$B$19,S398,R398)))</f>
        <v/>
      </c>
      <c r="AF398" s="67" t="str">
        <f aca="false">IF(ISBLANK($C398),"",IF(AC398,Constants!$B$4,IF(COUNTA(E398:O398)=0,Constants!$B$5,IF(AND(NOT(AD398),NOT(AE398)),Constants!$B$6,Constants!$B$7))))</f>
        <v/>
      </c>
      <c r="AG398" s="67" t="str">
        <f aca="false">IF(ISBLANK($C398),"",IF($AF398&lt;&gt;Constants!$B$7,$AF398,Constants!$B$20))</f>
        <v/>
      </c>
      <c r="AH398" s="67" t="str">
        <f aca="false">IF($AF398=Constants!$B$7,IF(AD398,V398,Constants!$B$13),"")</f>
        <v/>
      </c>
      <c r="AI398" s="67" t="str">
        <f aca="false">IF($AF398=Constants!$B$7,IF(AD398,T398*IF(W398, 1, Constants!$B$11)*IF(X398, 1, Constants!$B$12),Constants!$B$13),"")</f>
        <v/>
      </c>
      <c r="AJ398" s="67" t="str">
        <f aca="false">IF($AF398=Constants!$B$7,AH398*AI398,"")</f>
        <v/>
      </c>
      <c r="AK398" s="67" t="str">
        <f aca="false">IF($AF398=Constants!$B$7,IF(AE398,Z398,Constants!$B$13),"")</f>
        <v/>
      </c>
      <c r="AL398" s="67" t="str">
        <f aca="false">IF($AF398=Constants!$B$7,IF(AE398,T398*IF(AA398, 1, Constants!$B$11)*IF(AB398, 1, Constants!$B$12),Constants!$B$13),"")</f>
        <v/>
      </c>
      <c r="AM398" s="67" t="str">
        <f aca="false">IF($AF398=Constants!$B$7,AK398*AL398,"")</f>
        <v/>
      </c>
      <c r="AN398" s="67" t="str">
        <f aca="false">IF($AF398=Constants!$B$7,IF(AM398&gt;AJ398,2,1),"")</f>
        <v/>
      </c>
      <c r="AO398" s="67" t="str">
        <f aca="false">IF($AF398=Constants!$B$7,IF(AN398=1,2,1),"")</f>
        <v/>
      </c>
      <c r="AP398" s="67" t="str">
        <f aca="false">IF(ISBLANK($C398),"",IF($AF398&lt;&gt;Constants!$B$7,$AF398,IF(AN398=1,AJ398,AM398)))</f>
        <v/>
      </c>
      <c r="AQ398" s="67" t="str">
        <f aca="false">IF(ISBLANK($C398),"",IF($AF398=Constants!$B$7,IF(ISNUMBER(AP398),RANK(AP398,$AP$8:$AP$507),Constants!$B$14),$AF398))</f>
        <v/>
      </c>
      <c r="AR398" s="67" t="str">
        <f aca="false">IF(ISBLANK($C398),"",IF($AF398=Constants!$B$7,IF(AO398=1,AJ398,AM398),""))</f>
        <v/>
      </c>
      <c r="AS398" s="67" t="str">
        <f aca="false">IF(ISBLANK($C398),"",IF($AF398=Constants!$B$7,RANK(AR398,$AR$8:$AR$507),$AF398))</f>
        <v/>
      </c>
      <c r="AT398" s="67" t="str">
        <f aca="false">IF(ISBLANK($C398),"",IF($AF398=Constants!$B$7,IF(ISNUMBER(AQ398),COUNTIFS($AQ$8:$AQ$507,"&lt;"&amp;$AQ398)+COUNTIFS($AQ$8:$AQ$507,$AQ398,$AS$8:$AS$507,"&lt;"&amp;$AS398)+1,Constants!$B$14),$AF398))</f>
        <v/>
      </c>
      <c r="AU398" s="67" t="str">
        <f aca="false">IF(ISBLANK($C398),"",IF($AF398=Constants!$B$7,IF(ISNUMBER(AQ398),AQ398-AT398,Constants!$B$14),$AF398))</f>
        <v/>
      </c>
      <c r="AV398" s="69"/>
      <c r="AW398" s="70" t="str">
        <f aca="false">IF(ISBLANK($C398),"",IF($AF398&lt;&gt;Constants!$B$7,"",AN398))</f>
        <v/>
      </c>
      <c r="AX398" s="85" t="str">
        <f aca="false">IF(ISBLANK($C398),"",IF($AF398&lt;&gt;Constants!$B$7,"",IF(AN398=1,AH398,AK398)))</f>
        <v/>
      </c>
      <c r="AY398" s="72" t="str">
        <f aca="false">IF(ISBLANK($C398),"",IF($AF398&lt;&gt;Constants!$B$7,"",IF(AN398=1,AI398,AL398)))</f>
        <v/>
      </c>
      <c r="AZ398" s="73" t="str">
        <f aca="false">IF(ISBLANK($C398),"",IF($AF398&lt;&gt;Constants!$B$7,$AF398,AP398))</f>
        <v/>
      </c>
      <c r="BA398" s="74" t="str">
        <f aca="false">IF(ISBLANK($C398),"",IF($AF398&lt;&gt;Constants!$B$7,$AF398,AG398))</f>
        <v/>
      </c>
      <c r="BB398" s="75" t="str">
        <f aca="false">IF(ISBLANK($C398),"",AU398)</f>
        <v/>
      </c>
      <c r="BC398" s="75" t="str">
        <f aca="false">IF(ISBLANK($C398),"",AT398)</f>
        <v/>
      </c>
      <c r="BD398" s="76" t="str">
        <f aca="false">IF(ISBLANK($C398),"",IFERROR(_xlfn.SWITCH(BC398,Constants!$B$4,COUNTA($C$8:$C$507)+2,Constants!$B$5,COUNTA($C$8:$C$507)+1,Constants!$B$6,COUNTA($C$8:$C$507)),BC398))</f>
        <v/>
      </c>
      <c r="BE398" s="5"/>
      <c r="BF398" s="77" t="n">
        <f aca="false">IF(OR(ISNUMBER(BC398),BC398=Constants!$B$4,BC398=Constants!$B$6,BC398=Constants!$B$5),1,0)</f>
        <v>0</v>
      </c>
      <c r="BG398" s="77" t="n">
        <v>391</v>
      </c>
      <c r="BH398" s="77" t="str">
        <f aca="false">IF(ISBLANK($C398),"",IF(ISNUMBER(BD398),BD398+ROW($B398)/1000,""))</f>
        <v/>
      </c>
      <c r="BI398" s="77" t="str">
        <f aca="false">IF(ISNUMBER(BH398),RANK(BH398,$BH$8:$BH$507,1),"")</f>
        <v/>
      </c>
      <c r="BJ398" s="77" t="str">
        <f aca="false">IF(ISBLANK($C398),"",$B398)</f>
        <v/>
      </c>
      <c r="BK398" s="77" t="str">
        <f aca="false">IF(ISBLANK($C398),"",$C398)</f>
        <v/>
      </c>
      <c r="BL398" s="77" t="str">
        <f aca="false">IF(ISBLANK($C398),"",$D398)</f>
        <v/>
      </c>
      <c r="BM398" s="78" t="str">
        <f aca="false">BA398</f>
        <v/>
      </c>
      <c r="BN398" s="79" t="str">
        <f aca="false">AZ398</f>
        <v/>
      </c>
      <c r="BO398" s="77" t="str">
        <f aca="false">IF(ISBLANK($C398),"",BC398)</f>
        <v/>
      </c>
      <c r="BP398" s="80" t="str">
        <f aca="false">IF($BG398&gt;$BF$7,"",VLOOKUP($BG398,$BI$8:$BO$507,7,FALSE()))</f>
        <v/>
      </c>
      <c r="BQ398" s="81" t="str">
        <f aca="false">IF($BG398&gt;$BF$7,"",VLOOKUP($BG398,$BI$8:$BO$507,2,FALSE()))</f>
        <v/>
      </c>
      <c r="BR398" s="81" t="str">
        <f aca="false">IF($BG398&gt;$BF$7,"",VLOOKUP($BG398,$BI$8:$BO$507,3,FALSE()))</f>
        <v/>
      </c>
      <c r="BS398" s="81" t="str">
        <f aca="false">IF($BG398&gt;$BF$7,"",VLOOKUP($BG398,$BI$8:$BO$507,4,FALSE()))</f>
        <v/>
      </c>
      <c r="BT398" s="81" t="str">
        <f aca="false">IF($BG398&gt;$BF$7,"",VLOOKUP($BG398,$BI$8:$BO$507,5,FALSE()))</f>
        <v/>
      </c>
      <c r="BU398" s="82" t="str">
        <f aca="false">IF($BG398&gt;$BF$7,"",VLOOKUP($BG398,$BI$8:$BO$507,6,FALSE()))</f>
        <v/>
      </c>
      <c r="BV398" s="54"/>
    </row>
    <row r="399" customFormat="false" ht="15.75" hidden="false" customHeight="false" outlineLevel="0" collapsed="false">
      <c r="A399" s="5"/>
      <c r="B399" s="135"/>
      <c r="C399" s="56"/>
      <c r="D399" s="57"/>
      <c r="E399" s="84"/>
      <c r="F399" s="136"/>
      <c r="G399" s="60"/>
      <c r="H399" s="137"/>
      <c r="I399" s="62"/>
      <c r="J399" s="62"/>
      <c r="K399" s="60"/>
      <c r="L399" s="138"/>
      <c r="M399" s="62"/>
      <c r="N399" s="62"/>
      <c r="O399" s="60"/>
      <c r="P399" s="84"/>
      <c r="Q399" s="65"/>
      <c r="R399" s="67" t="str">
        <f aca="false">IF(ISBLANK($C399),"",IF(E399=Constants!$B$2, TRUE(), IF(E399=Constants!$B$3, FALSE(), TRUE())))</f>
        <v/>
      </c>
      <c r="S399" s="67" t="str">
        <f aca="false">IF(ISBLANK($C399),"",IF(F399=Constants!$B$2, TRUE(), IF(F399=Constants!$B$3, FALSE(), TRUE())))</f>
        <v/>
      </c>
      <c r="T399" s="67" t="str">
        <f aca="false">IF(ISBLANK($C399),"",IF(G399=Constants!$B$16,Constants!$B$9,IF(G399=Constants!$B$17,Constants!$B$10,Constants!$B$8)))</f>
        <v/>
      </c>
      <c r="U399" s="67" t="str">
        <f aca="false">IF(ISBLANK($C399),"",IF(H399=Constants!$B$19,Constants!$B$19,Constants!$B$18))</f>
        <v/>
      </c>
      <c r="V399" s="67" t="str">
        <f aca="false">IF(ISBLANK($C399),"",IF(ISNUMBER(I399),IF(I399&gt;=0,I399,""),""))</f>
        <v/>
      </c>
      <c r="W399" s="67" t="str">
        <f aca="false">IF(ISBLANK($C399),"",IF(J399=Constants!$B$2, TRUE(), IF(J399=Constants!$B$3, FALSE(), TRUE())))</f>
        <v/>
      </c>
      <c r="X399" s="67" t="str">
        <f aca="false">IF(ISBLANK($C399),"",IF(K399=Constants!$B$2, TRUE(), IF(K399=Constants!$B$3, FALSE(), TRUE())))</f>
        <v/>
      </c>
      <c r="Y399" s="67" t="str">
        <f aca="false">IF(ISBLANK($C399),"",IF(L399=Constants!$B$19,Constants!$B$19,Constants!$B$18))</f>
        <v/>
      </c>
      <c r="Z399" s="67" t="str">
        <f aca="false">IF(ISBLANK($C399),"",IF(ISNUMBER(M399),IF(M399&gt;=0,M399,""),""))</f>
        <v/>
      </c>
      <c r="AA399" s="67" t="str">
        <f aca="false">IF(ISBLANK($C399),"",IF(N399=Constants!$B$2, TRUE(), IF(N399=Constants!$B$3, FALSE(), TRUE())))</f>
        <v/>
      </c>
      <c r="AB399" s="67" t="str">
        <f aca="false">IF(ISBLANK($C399),"",IF(O399=Constants!$B$2, TRUE(), IF(O399=Constants!$B$3, FALSE(), TRUE())))</f>
        <v/>
      </c>
      <c r="AC399" s="67" t="str">
        <f aca="false">IF(ISBLANK($C399),"",IF(P399=Constants!$B$2, TRUE(), IF(P399=Constants!$B$3, FALSE(), FALSE())))</f>
        <v/>
      </c>
      <c r="AD399" s="67" t="str">
        <f aca="false">IF(ISBLANK($C399),"",AND(V399&lt;&gt;"",IF(U399=Constants!$B$19,S399,R399)))</f>
        <v/>
      </c>
      <c r="AE399" s="67" t="str">
        <f aca="false">IF(ISBLANK($C399),"",AND(Z399&lt;&gt;"",IF(Y399=Constants!$B$19,S399,R399)))</f>
        <v/>
      </c>
      <c r="AF399" s="67" t="str">
        <f aca="false">IF(ISBLANK($C399),"",IF(AC399,Constants!$B$4,IF(COUNTA(E399:O399)=0,Constants!$B$5,IF(AND(NOT(AD399),NOT(AE399)),Constants!$B$6,Constants!$B$7))))</f>
        <v/>
      </c>
      <c r="AG399" s="67" t="str">
        <f aca="false">IF(ISBLANK($C399),"",IF($AF399&lt;&gt;Constants!$B$7,$AF399,Constants!$B$20))</f>
        <v/>
      </c>
      <c r="AH399" s="67" t="str">
        <f aca="false">IF($AF399=Constants!$B$7,IF(AD399,V399,Constants!$B$13),"")</f>
        <v/>
      </c>
      <c r="AI399" s="67" t="str">
        <f aca="false">IF($AF399=Constants!$B$7,IF(AD399,T399*IF(W399, 1, Constants!$B$11)*IF(X399, 1, Constants!$B$12),Constants!$B$13),"")</f>
        <v/>
      </c>
      <c r="AJ399" s="67" t="str">
        <f aca="false">IF($AF399=Constants!$B$7,AH399*AI399,"")</f>
        <v/>
      </c>
      <c r="AK399" s="67" t="str">
        <f aca="false">IF($AF399=Constants!$B$7,IF(AE399,Z399,Constants!$B$13),"")</f>
        <v/>
      </c>
      <c r="AL399" s="67" t="str">
        <f aca="false">IF($AF399=Constants!$B$7,IF(AE399,T399*IF(AA399, 1, Constants!$B$11)*IF(AB399, 1, Constants!$B$12),Constants!$B$13),"")</f>
        <v/>
      </c>
      <c r="AM399" s="67" t="str">
        <f aca="false">IF($AF399=Constants!$B$7,AK399*AL399,"")</f>
        <v/>
      </c>
      <c r="AN399" s="67" t="str">
        <f aca="false">IF($AF399=Constants!$B$7,IF(AM399&gt;AJ399,2,1),"")</f>
        <v/>
      </c>
      <c r="AO399" s="67" t="str">
        <f aca="false">IF($AF399=Constants!$B$7,IF(AN399=1,2,1),"")</f>
        <v/>
      </c>
      <c r="AP399" s="67" t="str">
        <f aca="false">IF(ISBLANK($C399),"",IF($AF399&lt;&gt;Constants!$B$7,$AF399,IF(AN399=1,AJ399,AM399)))</f>
        <v/>
      </c>
      <c r="AQ399" s="67" t="str">
        <f aca="false">IF(ISBLANK($C399),"",IF($AF399=Constants!$B$7,IF(ISNUMBER(AP399),RANK(AP399,$AP$8:$AP$507),Constants!$B$14),$AF399))</f>
        <v/>
      </c>
      <c r="AR399" s="67" t="str">
        <f aca="false">IF(ISBLANK($C399),"",IF($AF399=Constants!$B$7,IF(AO399=1,AJ399,AM399),""))</f>
        <v/>
      </c>
      <c r="AS399" s="67" t="str">
        <f aca="false">IF(ISBLANK($C399),"",IF($AF399=Constants!$B$7,RANK(AR399,$AR$8:$AR$507),$AF399))</f>
        <v/>
      </c>
      <c r="AT399" s="67" t="str">
        <f aca="false">IF(ISBLANK($C399),"",IF($AF399=Constants!$B$7,IF(ISNUMBER(AQ399),COUNTIFS($AQ$8:$AQ$507,"&lt;"&amp;$AQ399)+COUNTIFS($AQ$8:$AQ$507,$AQ399,$AS$8:$AS$507,"&lt;"&amp;$AS399)+1,Constants!$B$14),$AF399))</f>
        <v/>
      </c>
      <c r="AU399" s="67" t="str">
        <f aca="false">IF(ISBLANK($C399),"",IF($AF399=Constants!$B$7,IF(ISNUMBER(AQ399),AQ399-AT399,Constants!$B$14),$AF399))</f>
        <v/>
      </c>
      <c r="AV399" s="69"/>
      <c r="AW399" s="70" t="str">
        <f aca="false">IF(ISBLANK($C399),"",IF($AF399&lt;&gt;Constants!$B$7,"",AN399))</f>
        <v/>
      </c>
      <c r="AX399" s="85" t="str">
        <f aca="false">IF(ISBLANK($C399),"",IF($AF399&lt;&gt;Constants!$B$7,"",IF(AN399=1,AH399,AK399)))</f>
        <v/>
      </c>
      <c r="AY399" s="72" t="str">
        <f aca="false">IF(ISBLANK($C399),"",IF($AF399&lt;&gt;Constants!$B$7,"",IF(AN399=1,AI399,AL399)))</f>
        <v/>
      </c>
      <c r="AZ399" s="73" t="str">
        <f aca="false">IF(ISBLANK($C399),"",IF($AF399&lt;&gt;Constants!$B$7,$AF399,AP399))</f>
        <v/>
      </c>
      <c r="BA399" s="74" t="str">
        <f aca="false">IF(ISBLANK($C399),"",IF($AF399&lt;&gt;Constants!$B$7,$AF399,AG399))</f>
        <v/>
      </c>
      <c r="BB399" s="75" t="str">
        <f aca="false">IF(ISBLANK($C399),"",AU399)</f>
        <v/>
      </c>
      <c r="BC399" s="75" t="str">
        <f aca="false">IF(ISBLANK($C399),"",AT399)</f>
        <v/>
      </c>
      <c r="BD399" s="76" t="str">
        <f aca="false">IF(ISBLANK($C399),"",IFERROR(_xlfn.SWITCH(BC399,Constants!$B$4,COUNTA($C$8:$C$507)+2,Constants!$B$5,COUNTA($C$8:$C$507)+1,Constants!$B$6,COUNTA($C$8:$C$507)),BC399))</f>
        <v/>
      </c>
      <c r="BE399" s="5"/>
      <c r="BF399" s="77" t="n">
        <f aca="false">IF(OR(ISNUMBER(BC399),BC399=Constants!$B$4,BC399=Constants!$B$6,BC399=Constants!$B$5),1,0)</f>
        <v>0</v>
      </c>
      <c r="BG399" s="77" t="n">
        <v>392</v>
      </c>
      <c r="BH399" s="77" t="str">
        <f aca="false">IF(ISBLANK($C399),"",IF(ISNUMBER(BD399),BD399+ROW($B399)/1000,""))</f>
        <v/>
      </c>
      <c r="BI399" s="77" t="str">
        <f aca="false">IF(ISNUMBER(BH399),RANK(BH399,$BH$8:$BH$507,1),"")</f>
        <v/>
      </c>
      <c r="BJ399" s="77" t="str">
        <f aca="false">IF(ISBLANK($C399),"",$B399)</f>
        <v/>
      </c>
      <c r="BK399" s="77" t="str">
        <f aca="false">IF(ISBLANK($C399),"",$C399)</f>
        <v/>
      </c>
      <c r="BL399" s="77" t="str">
        <f aca="false">IF(ISBLANK($C399),"",$D399)</f>
        <v/>
      </c>
      <c r="BM399" s="78" t="str">
        <f aca="false">BA399</f>
        <v/>
      </c>
      <c r="BN399" s="79" t="str">
        <f aca="false">AZ399</f>
        <v/>
      </c>
      <c r="BO399" s="77" t="str">
        <f aca="false">IF(ISBLANK($C399),"",BC399)</f>
        <v/>
      </c>
      <c r="BP399" s="80" t="str">
        <f aca="false">IF($BG399&gt;$BF$7,"",VLOOKUP($BG399,$BI$8:$BO$507,7,FALSE()))</f>
        <v/>
      </c>
      <c r="BQ399" s="81" t="str">
        <f aca="false">IF($BG399&gt;$BF$7,"",VLOOKUP($BG399,$BI$8:$BO$507,2,FALSE()))</f>
        <v/>
      </c>
      <c r="BR399" s="81" t="str">
        <f aca="false">IF($BG399&gt;$BF$7,"",VLOOKUP($BG399,$BI$8:$BO$507,3,FALSE()))</f>
        <v/>
      </c>
      <c r="BS399" s="81" t="str">
        <f aca="false">IF($BG399&gt;$BF$7,"",VLOOKUP($BG399,$BI$8:$BO$507,4,FALSE()))</f>
        <v/>
      </c>
      <c r="BT399" s="81" t="str">
        <f aca="false">IF($BG399&gt;$BF$7,"",VLOOKUP($BG399,$BI$8:$BO$507,5,FALSE()))</f>
        <v/>
      </c>
      <c r="BU399" s="82" t="str">
        <f aca="false">IF($BG399&gt;$BF$7,"",VLOOKUP($BG399,$BI$8:$BO$507,6,FALSE()))</f>
        <v/>
      </c>
      <c r="BV399" s="54"/>
    </row>
    <row r="400" customFormat="false" ht="15.75" hidden="false" customHeight="false" outlineLevel="0" collapsed="false">
      <c r="A400" s="5"/>
      <c r="B400" s="135"/>
      <c r="C400" s="56"/>
      <c r="D400" s="57"/>
      <c r="E400" s="84"/>
      <c r="F400" s="136"/>
      <c r="G400" s="60"/>
      <c r="H400" s="137"/>
      <c r="I400" s="62"/>
      <c r="J400" s="62"/>
      <c r="K400" s="60"/>
      <c r="L400" s="138"/>
      <c r="M400" s="62"/>
      <c r="N400" s="62"/>
      <c r="O400" s="60"/>
      <c r="P400" s="84"/>
      <c r="Q400" s="65"/>
      <c r="R400" s="67" t="str">
        <f aca="false">IF(ISBLANK($C400),"",IF(E400=Constants!$B$2, TRUE(), IF(E400=Constants!$B$3, FALSE(), TRUE())))</f>
        <v/>
      </c>
      <c r="S400" s="67" t="str">
        <f aca="false">IF(ISBLANK($C400),"",IF(F400=Constants!$B$2, TRUE(), IF(F400=Constants!$B$3, FALSE(), TRUE())))</f>
        <v/>
      </c>
      <c r="T400" s="67" t="str">
        <f aca="false">IF(ISBLANK($C400),"",IF(G400=Constants!$B$16,Constants!$B$9,IF(G400=Constants!$B$17,Constants!$B$10,Constants!$B$8)))</f>
        <v/>
      </c>
      <c r="U400" s="67" t="str">
        <f aca="false">IF(ISBLANK($C400),"",IF(H400=Constants!$B$19,Constants!$B$19,Constants!$B$18))</f>
        <v/>
      </c>
      <c r="V400" s="67" t="str">
        <f aca="false">IF(ISBLANK($C400),"",IF(ISNUMBER(I400),IF(I400&gt;=0,I400,""),""))</f>
        <v/>
      </c>
      <c r="W400" s="67" t="str">
        <f aca="false">IF(ISBLANK($C400),"",IF(J400=Constants!$B$2, TRUE(), IF(J400=Constants!$B$3, FALSE(), TRUE())))</f>
        <v/>
      </c>
      <c r="X400" s="67" t="str">
        <f aca="false">IF(ISBLANK($C400),"",IF(K400=Constants!$B$2, TRUE(), IF(K400=Constants!$B$3, FALSE(), TRUE())))</f>
        <v/>
      </c>
      <c r="Y400" s="67" t="str">
        <f aca="false">IF(ISBLANK($C400),"",IF(L400=Constants!$B$19,Constants!$B$19,Constants!$B$18))</f>
        <v/>
      </c>
      <c r="Z400" s="67" t="str">
        <f aca="false">IF(ISBLANK($C400),"",IF(ISNUMBER(M400),IF(M400&gt;=0,M400,""),""))</f>
        <v/>
      </c>
      <c r="AA400" s="67" t="str">
        <f aca="false">IF(ISBLANK($C400),"",IF(N400=Constants!$B$2, TRUE(), IF(N400=Constants!$B$3, FALSE(), TRUE())))</f>
        <v/>
      </c>
      <c r="AB400" s="67" t="str">
        <f aca="false">IF(ISBLANK($C400),"",IF(O400=Constants!$B$2, TRUE(), IF(O400=Constants!$B$3, FALSE(), TRUE())))</f>
        <v/>
      </c>
      <c r="AC400" s="67" t="str">
        <f aca="false">IF(ISBLANK($C400),"",IF(P400=Constants!$B$2, TRUE(), IF(P400=Constants!$B$3, FALSE(), FALSE())))</f>
        <v/>
      </c>
      <c r="AD400" s="67" t="str">
        <f aca="false">IF(ISBLANK($C400),"",AND(V400&lt;&gt;"",IF(U400=Constants!$B$19,S400,R400)))</f>
        <v/>
      </c>
      <c r="AE400" s="67" t="str">
        <f aca="false">IF(ISBLANK($C400),"",AND(Z400&lt;&gt;"",IF(Y400=Constants!$B$19,S400,R400)))</f>
        <v/>
      </c>
      <c r="AF400" s="67" t="str">
        <f aca="false">IF(ISBLANK($C400),"",IF(AC400,Constants!$B$4,IF(COUNTA(E400:O400)=0,Constants!$B$5,IF(AND(NOT(AD400),NOT(AE400)),Constants!$B$6,Constants!$B$7))))</f>
        <v/>
      </c>
      <c r="AG400" s="67" t="str">
        <f aca="false">IF(ISBLANK($C400),"",IF($AF400&lt;&gt;Constants!$B$7,$AF400,Constants!$B$20))</f>
        <v/>
      </c>
      <c r="AH400" s="67" t="str">
        <f aca="false">IF($AF400=Constants!$B$7,IF(AD400,V400,Constants!$B$13),"")</f>
        <v/>
      </c>
      <c r="AI400" s="67" t="str">
        <f aca="false">IF($AF400=Constants!$B$7,IF(AD400,T400*IF(W400, 1, Constants!$B$11)*IF(X400, 1, Constants!$B$12),Constants!$B$13),"")</f>
        <v/>
      </c>
      <c r="AJ400" s="67" t="str">
        <f aca="false">IF($AF400=Constants!$B$7,AH400*AI400,"")</f>
        <v/>
      </c>
      <c r="AK400" s="67" t="str">
        <f aca="false">IF($AF400=Constants!$B$7,IF(AE400,Z400,Constants!$B$13),"")</f>
        <v/>
      </c>
      <c r="AL400" s="67" t="str">
        <f aca="false">IF($AF400=Constants!$B$7,IF(AE400,T400*IF(AA400, 1, Constants!$B$11)*IF(AB400, 1, Constants!$B$12),Constants!$B$13),"")</f>
        <v/>
      </c>
      <c r="AM400" s="67" t="str">
        <f aca="false">IF($AF400=Constants!$B$7,AK400*AL400,"")</f>
        <v/>
      </c>
      <c r="AN400" s="67" t="str">
        <f aca="false">IF($AF400=Constants!$B$7,IF(AM400&gt;AJ400,2,1),"")</f>
        <v/>
      </c>
      <c r="AO400" s="67" t="str">
        <f aca="false">IF($AF400=Constants!$B$7,IF(AN400=1,2,1),"")</f>
        <v/>
      </c>
      <c r="AP400" s="67" t="str">
        <f aca="false">IF(ISBLANK($C400),"",IF($AF400&lt;&gt;Constants!$B$7,$AF400,IF(AN400=1,AJ400,AM400)))</f>
        <v/>
      </c>
      <c r="AQ400" s="67" t="str">
        <f aca="false">IF(ISBLANK($C400),"",IF($AF400=Constants!$B$7,IF(ISNUMBER(AP400),RANK(AP400,$AP$8:$AP$507),Constants!$B$14),$AF400))</f>
        <v/>
      </c>
      <c r="AR400" s="67" t="str">
        <f aca="false">IF(ISBLANK($C400),"",IF($AF400=Constants!$B$7,IF(AO400=1,AJ400,AM400),""))</f>
        <v/>
      </c>
      <c r="AS400" s="67" t="str">
        <f aca="false">IF(ISBLANK($C400),"",IF($AF400=Constants!$B$7,RANK(AR400,$AR$8:$AR$507),$AF400))</f>
        <v/>
      </c>
      <c r="AT400" s="67" t="str">
        <f aca="false">IF(ISBLANK($C400),"",IF($AF400=Constants!$B$7,IF(ISNUMBER(AQ400),COUNTIFS($AQ$8:$AQ$507,"&lt;"&amp;$AQ400)+COUNTIFS($AQ$8:$AQ$507,$AQ400,$AS$8:$AS$507,"&lt;"&amp;$AS400)+1,Constants!$B$14),$AF400))</f>
        <v/>
      </c>
      <c r="AU400" s="67" t="str">
        <f aca="false">IF(ISBLANK($C400),"",IF($AF400=Constants!$B$7,IF(ISNUMBER(AQ400),AQ400-AT400,Constants!$B$14),$AF400))</f>
        <v/>
      </c>
      <c r="AV400" s="69"/>
      <c r="AW400" s="70" t="str">
        <f aca="false">IF(ISBLANK($C400),"",IF($AF400&lt;&gt;Constants!$B$7,"",AN400))</f>
        <v/>
      </c>
      <c r="AX400" s="85" t="str">
        <f aca="false">IF(ISBLANK($C400),"",IF($AF400&lt;&gt;Constants!$B$7,"",IF(AN400=1,AH400,AK400)))</f>
        <v/>
      </c>
      <c r="AY400" s="72" t="str">
        <f aca="false">IF(ISBLANK($C400),"",IF($AF400&lt;&gt;Constants!$B$7,"",IF(AN400=1,AI400,AL400)))</f>
        <v/>
      </c>
      <c r="AZ400" s="73" t="str">
        <f aca="false">IF(ISBLANK($C400),"",IF($AF400&lt;&gt;Constants!$B$7,$AF400,AP400))</f>
        <v/>
      </c>
      <c r="BA400" s="74" t="str">
        <f aca="false">IF(ISBLANK($C400),"",IF($AF400&lt;&gt;Constants!$B$7,$AF400,AG400))</f>
        <v/>
      </c>
      <c r="BB400" s="75" t="str">
        <f aca="false">IF(ISBLANK($C400),"",AU400)</f>
        <v/>
      </c>
      <c r="BC400" s="75" t="str">
        <f aca="false">IF(ISBLANK($C400),"",AT400)</f>
        <v/>
      </c>
      <c r="BD400" s="76" t="str">
        <f aca="false">IF(ISBLANK($C400),"",IFERROR(_xlfn.SWITCH(BC400,Constants!$B$4,COUNTA($C$8:$C$507)+2,Constants!$B$5,COUNTA($C$8:$C$507)+1,Constants!$B$6,COUNTA($C$8:$C$507)),BC400))</f>
        <v/>
      </c>
      <c r="BE400" s="5"/>
      <c r="BF400" s="77" t="n">
        <f aca="false">IF(OR(ISNUMBER(BC400),BC400=Constants!$B$4,BC400=Constants!$B$6,BC400=Constants!$B$5),1,0)</f>
        <v>0</v>
      </c>
      <c r="BG400" s="77" t="n">
        <v>393</v>
      </c>
      <c r="BH400" s="77" t="str">
        <f aca="false">IF(ISBLANK($C400),"",IF(ISNUMBER(BD400),BD400+ROW($B400)/1000,""))</f>
        <v/>
      </c>
      <c r="BI400" s="77" t="str">
        <f aca="false">IF(ISNUMBER(BH400),RANK(BH400,$BH$8:$BH$507,1),"")</f>
        <v/>
      </c>
      <c r="BJ400" s="77" t="str">
        <f aca="false">IF(ISBLANK($C400),"",$B400)</f>
        <v/>
      </c>
      <c r="BK400" s="77" t="str">
        <f aca="false">IF(ISBLANK($C400),"",$C400)</f>
        <v/>
      </c>
      <c r="BL400" s="77" t="str">
        <f aca="false">IF(ISBLANK($C400),"",$D400)</f>
        <v/>
      </c>
      <c r="BM400" s="78" t="str">
        <f aca="false">BA400</f>
        <v/>
      </c>
      <c r="BN400" s="79" t="str">
        <f aca="false">AZ400</f>
        <v/>
      </c>
      <c r="BO400" s="77" t="str">
        <f aca="false">IF(ISBLANK($C400),"",BC400)</f>
        <v/>
      </c>
      <c r="BP400" s="80" t="str">
        <f aca="false">IF($BG400&gt;$BF$7,"",VLOOKUP($BG400,$BI$8:$BO$507,7,FALSE()))</f>
        <v/>
      </c>
      <c r="BQ400" s="81" t="str">
        <f aca="false">IF($BG400&gt;$BF$7,"",VLOOKUP($BG400,$BI$8:$BO$507,2,FALSE()))</f>
        <v/>
      </c>
      <c r="BR400" s="81" t="str">
        <f aca="false">IF($BG400&gt;$BF$7,"",VLOOKUP($BG400,$BI$8:$BO$507,3,FALSE()))</f>
        <v/>
      </c>
      <c r="BS400" s="81" t="str">
        <f aca="false">IF($BG400&gt;$BF$7,"",VLOOKUP($BG400,$BI$8:$BO$507,4,FALSE()))</f>
        <v/>
      </c>
      <c r="BT400" s="81" t="str">
        <f aca="false">IF($BG400&gt;$BF$7,"",VLOOKUP($BG400,$BI$8:$BO$507,5,FALSE()))</f>
        <v/>
      </c>
      <c r="BU400" s="82" t="str">
        <f aca="false">IF($BG400&gt;$BF$7,"",VLOOKUP($BG400,$BI$8:$BO$507,6,FALSE()))</f>
        <v/>
      </c>
      <c r="BV400" s="54"/>
    </row>
    <row r="401" customFormat="false" ht="15.75" hidden="false" customHeight="false" outlineLevel="0" collapsed="false">
      <c r="A401" s="5"/>
      <c r="B401" s="128"/>
      <c r="C401" s="129"/>
      <c r="D401" s="114"/>
      <c r="E401" s="134"/>
      <c r="F401" s="139"/>
      <c r="G401" s="93"/>
      <c r="H401" s="140"/>
      <c r="I401" s="95"/>
      <c r="J401" s="95"/>
      <c r="K401" s="93"/>
      <c r="L401" s="141"/>
      <c r="M401" s="95"/>
      <c r="N401" s="95"/>
      <c r="O401" s="93"/>
      <c r="P401" s="134"/>
      <c r="Q401" s="98"/>
      <c r="R401" s="99" t="str">
        <f aca="false">IF(ISBLANK($C401),"",IF(E401=Constants!$B$2, TRUE(), IF(E401=Constants!$B$3, FALSE(), TRUE())))</f>
        <v/>
      </c>
      <c r="S401" s="99" t="str">
        <f aca="false">IF(ISBLANK($C401),"",IF(F401=Constants!$B$2, TRUE(), IF(F401=Constants!$B$3, FALSE(), TRUE())))</f>
        <v/>
      </c>
      <c r="T401" s="99" t="str">
        <f aca="false">IF(ISBLANK($C401),"",IF(G401=Constants!$B$16,Constants!$B$9,IF(G401=Constants!$B$17,Constants!$B$10,Constants!$B$8)))</f>
        <v/>
      </c>
      <c r="U401" s="99" t="str">
        <f aca="false">IF(ISBLANK($C401),"",IF(H401=Constants!$B$19,Constants!$B$19,Constants!$B$18))</f>
        <v/>
      </c>
      <c r="V401" s="99" t="str">
        <f aca="false">IF(ISBLANK($C401),"",IF(ISNUMBER(I401),IF(I401&gt;=0,I401,""),""))</f>
        <v/>
      </c>
      <c r="W401" s="99" t="str">
        <f aca="false">IF(ISBLANK($C401),"",IF(J401=Constants!$B$2, TRUE(), IF(J401=Constants!$B$3, FALSE(), TRUE())))</f>
        <v/>
      </c>
      <c r="X401" s="99" t="str">
        <f aca="false">IF(ISBLANK($C401),"",IF(K401=Constants!$B$2, TRUE(), IF(K401=Constants!$B$3, FALSE(), TRUE())))</f>
        <v/>
      </c>
      <c r="Y401" s="99" t="str">
        <f aca="false">IF(ISBLANK($C401),"",IF(L401=Constants!$B$19,Constants!$B$19,Constants!$B$18))</f>
        <v/>
      </c>
      <c r="Z401" s="99" t="str">
        <f aca="false">IF(ISBLANK($C401),"",IF(ISNUMBER(M401),IF(M401&gt;=0,M401,""),""))</f>
        <v/>
      </c>
      <c r="AA401" s="99" t="str">
        <f aca="false">IF(ISBLANK($C401),"",IF(N401=Constants!$B$2, TRUE(), IF(N401=Constants!$B$3, FALSE(), TRUE())))</f>
        <v/>
      </c>
      <c r="AB401" s="99" t="str">
        <f aca="false">IF(ISBLANK($C401),"",IF(O401=Constants!$B$2, TRUE(), IF(O401=Constants!$B$3, FALSE(), TRUE())))</f>
        <v/>
      </c>
      <c r="AC401" s="99" t="str">
        <f aca="false">IF(ISBLANK($C401),"",IF(P401=Constants!$B$2, TRUE(), IF(P401=Constants!$B$3, FALSE(), FALSE())))</f>
        <v/>
      </c>
      <c r="AD401" s="99" t="str">
        <f aca="false">IF(ISBLANK($C401),"",AND(V401&lt;&gt;"",IF(U401=Constants!$B$19,S401,R401)))</f>
        <v/>
      </c>
      <c r="AE401" s="99" t="str">
        <f aca="false">IF(ISBLANK($C401),"",AND(Z401&lt;&gt;"",IF(Y401=Constants!$B$19,S401,R401)))</f>
        <v/>
      </c>
      <c r="AF401" s="99" t="str">
        <f aca="false">IF(ISBLANK($C401),"",IF(AC401,Constants!$B$4,IF(COUNTA(E401:O401)=0,Constants!$B$5,IF(AND(NOT(AD401),NOT(AE401)),Constants!$B$6,Constants!$B$7))))</f>
        <v/>
      </c>
      <c r="AG401" s="99" t="str">
        <f aca="false">IF(ISBLANK($C401),"",IF($AF401&lt;&gt;Constants!$B$7,$AF401,Constants!$B$20))</f>
        <v/>
      </c>
      <c r="AH401" s="99" t="str">
        <f aca="false">IF($AF401=Constants!$B$7,IF(AD401,V401,Constants!$B$13),"")</f>
        <v/>
      </c>
      <c r="AI401" s="99" t="str">
        <f aca="false">IF($AF401=Constants!$B$7,IF(AD401,T401*IF(W401, 1, Constants!$B$11)*IF(X401, 1, Constants!$B$12),Constants!$B$13),"")</f>
        <v/>
      </c>
      <c r="AJ401" s="99" t="str">
        <f aca="false">IF($AF401=Constants!$B$7,AH401*AI401,"")</f>
        <v/>
      </c>
      <c r="AK401" s="99" t="str">
        <f aca="false">IF($AF401=Constants!$B$7,IF(AE401,Z401,Constants!$B$13),"")</f>
        <v/>
      </c>
      <c r="AL401" s="99" t="str">
        <f aca="false">IF($AF401=Constants!$B$7,IF(AE401,T401*IF(AA401, 1, Constants!$B$11)*IF(AB401, 1, Constants!$B$12),Constants!$B$13),"")</f>
        <v/>
      </c>
      <c r="AM401" s="99" t="str">
        <f aca="false">IF($AF401=Constants!$B$7,AK401*AL401,"")</f>
        <v/>
      </c>
      <c r="AN401" s="99" t="str">
        <f aca="false">IF($AF401=Constants!$B$7,IF(AM401&gt;AJ401,2,1),"")</f>
        <v/>
      </c>
      <c r="AO401" s="99" t="str">
        <f aca="false">IF($AF401=Constants!$B$7,IF(AN401=1,2,1),"")</f>
        <v/>
      </c>
      <c r="AP401" s="99" t="str">
        <f aca="false">IF(ISBLANK($C401),"",IF($AF401&lt;&gt;Constants!$B$7,$AF401,IF(AN401=1,AJ401,AM401)))</f>
        <v/>
      </c>
      <c r="AQ401" s="99" t="str">
        <f aca="false">IF(ISBLANK($C401),"",IF($AF401=Constants!$B$7,IF(ISNUMBER(AP401),RANK(AP401,$AP$8:$AP$507),Constants!$B$14),$AF401))</f>
        <v/>
      </c>
      <c r="AR401" s="99" t="str">
        <f aca="false">IF(ISBLANK($C401),"",IF($AF401=Constants!$B$7,IF(AO401=1,AJ401,AM401),""))</f>
        <v/>
      </c>
      <c r="AS401" s="99" t="str">
        <f aca="false">IF(ISBLANK($C401),"",IF($AF401=Constants!$B$7,RANK(AR401,$AR$8:$AR$507),$AF401))</f>
        <v/>
      </c>
      <c r="AT401" s="99" t="str">
        <f aca="false">IF(ISBLANK($C401),"",IF($AF401=Constants!$B$7,IF(ISNUMBER(AQ401),COUNTIFS($AQ$8:$AQ$507,"&lt;"&amp;$AQ401)+COUNTIFS($AQ$8:$AQ$507,$AQ401,$AS$8:$AS$507,"&lt;"&amp;$AS401)+1,Constants!$B$14),$AF401))</f>
        <v/>
      </c>
      <c r="AU401" s="99" t="str">
        <f aca="false">IF(ISBLANK($C401),"",IF($AF401=Constants!$B$7,IF(ISNUMBER(AQ401),AQ401-AT401,Constants!$B$14),$AF401))</f>
        <v/>
      </c>
      <c r="AV401" s="100"/>
      <c r="AW401" s="101" t="str">
        <f aca="false">IF(ISBLANK($C401),"",IF($AF401&lt;&gt;Constants!$B$7,"",AN401))</f>
        <v/>
      </c>
      <c r="AX401" s="102" t="str">
        <f aca="false">IF(ISBLANK($C401),"",IF($AF401&lt;&gt;Constants!$B$7,"",IF(AN401=1,AH401,AK401)))</f>
        <v/>
      </c>
      <c r="AY401" s="103" t="str">
        <f aca="false">IF(ISBLANK($C401),"",IF($AF401&lt;&gt;Constants!$B$7,"",IF(AN401=1,AI401,AL401)))</f>
        <v/>
      </c>
      <c r="AZ401" s="104" t="str">
        <f aca="false">IF(ISBLANK($C401),"",IF($AF401&lt;&gt;Constants!$B$7,$AF401,AP401))</f>
        <v/>
      </c>
      <c r="BA401" s="105" t="str">
        <f aca="false">IF(ISBLANK($C401),"",IF($AF401&lt;&gt;Constants!$B$7,$AF401,AG401))</f>
        <v/>
      </c>
      <c r="BB401" s="106" t="str">
        <f aca="false">IF(ISBLANK($C401),"",AU401)</f>
        <v/>
      </c>
      <c r="BC401" s="106" t="str">
        <f aca="false">IF(ISBLANK($C401),"",AT401)</f>
        <v/>
      </c>
      <c r="BD401" s="107" t="str">
        <f aca="false">IF(ISBLANK($C401),"",IFERROR(_xlfn.SWITCH(BC401,Constants!$B$4,COUNTA($C$8:$C$507)+2,Constants!$B$5,COUNTA($C$8:$C$507)+1,Constants!$B$6,COUNTA($C$8:$C$507)),BC401))</f>
        <v/>
      </c>
      <c r="BE401" s="5"/>
      <c r="BF401" s="108" t="n">
        <f aca="false">IF(OR(ISNUMBER(BC401),BC401=Constants!$B$4,BC401=Constants!$B$6,BC401=Constants!$B$5),1,0)</f>
        <v>0</v>
      </c>
      <c r="BG401" s="108" t="n">
        <v>394</v>
      </c>
      <c r="BH401" s="108" t="str">
        <f aca="false">IF(ISBLANK($C401),"",IF(ISNUMBER(BD401),BD401+ROW($B401)/1000,""))</f>
        <v/>
      </c>
      <c r="BI401" s="108" t="str">
        <f aca="false">IF(ISNUMBER(BH401),RANK(BH401,$BH$8:$BH$507,1),"")</f>
        <v/>
      </c>
      <c r="BJ401" s="108" t="str">
        <f aca="false">IF(ISBLANK($C401),"",$B401)</f>
        <v/>
      </c>
      <c r="BK401" s="108" t="str">
        <f aca="false">IF(ISBLANK($C401),"",$C401)</f>
        <v/>
      </c>
      <c r="BL401" s="108" t="str">
        <f aca="false">IF(ISBLANK($C401),"",$D401)</f>
        <v/>
      </c>
      <c r="BM401" s="109" t="str">
        <f aca="false">BA401</f>
        <v/>
      </c>
      <c r="BN401" s="110" t="str">
        <f aca="false">AZ401</f>
        <v/>
      </c>
      <c r="BO401" s="108" t="str">
        <f aca="false">IF(ISBLANK($C401),"",BC401)</f>
        <v/>
      </c>
      <c r="BP401" s="111" t="str">
        <f aca="false">IF($BG401&gt;$BF$7,"",VLOOKUP($BG401,$BI$8:$BO$507,7,FALSE()))</f>
        <v/>
      </c>
      <c r="BQ401" s="112" t="str">
        <f aca="false">IF($BG401&gt;$BF$7,"",VLOOKUP($BG401,$BI$8:$BO$507,2,FALSE()))</f>
        <v/>
      </c>
      <c r="BR401" s="112" t="str">
        <f aca="false">IF($BG401&gt;$BF$7,"",VLOOKUP($BG401,$BI$8:$BO$507,3,FALSE()))</f>
        <v/>
      </c>
      <c r="BS401" s="112" t="str">
        <f aca="false">IF($BG401&gt;$BF$7,"",VLOOKUP($BG401,$BI$8:$BO$507,4,FALSE()))</f>
        <v/>
      </c>
      <c r="BT401" s="112" t="str">
        <f aca="false">IF($BG401&gt;$BF$7,"",VLOOKUP($BG401,$BI$8:$BO$507,5,FALSE()))</f>
        <v/>
      </c>
      <c r="BU401" s="113" t="str">
        <f aca="false">IF($BG401&gt;$BF$7,"",VLOOKUP($BG401,$BI$8:$BO$507,6,FALSE()))</f>
        <v/>
      </c>
      <c r="BV401" s="54"/>
    </row>
    <row r="402" customFormat="false" ht="15.75" hidden="false" customHeight="false" outlineLevel="0" collapsed="false">
      <c r="A402" s="5"/>
      <c r="B402" s="128"/>
      <c r="C402" s="129"/>
      <c r="D402" s="114"/>
      <c r="E402" s="134"/>
      <c r="F402" s="139"/>
      <c r="G402" s="93"/>
      <c r="H402" s="140"/>
      <c r="I402" s="95"/>
      <c r="J402" s="95"/>
      <c r="K402" s="93"/>
      <c r="L402" s="141"/>
      <c r="M402" s="95"/>
      <c r="N402" s="95"/>
      <c r="O402" s="93"/>
      <c r="P402" s="134"/>
      <c r="Q402" s="98"/>
      <c r="R402" s="99" t="str">
        <f aca="false">IF(ISBLANK($C402),"",IF(E402=Constants!$B$2, TRUE(), IF(E402=Constants!$B$3, FALSE(), TRUE())))</f>
        <v/>
      </c>
      <c r="S402" s="99" t="str">
        <f aca="false">IF(ISBLANK($C402),"",IF(F402=Constants!$B$2, TRUE(), IF(F402=Constants!$B$3, FALSE(), TRUE())))</f>
        <v/>
      </c>
      <c r="T402" s="99" t="str">
        <f aca="false">IF(ISBLANK($C402),"",IF(G402=Constants!$B$16,Constants!$B$9,IF(G402=Constants!$B$17,Constants!$B$10,Constants!$B$8)))</f>
        <v/>
      </c>
      <c r="U402" s="99" t="str">
        <f aca="false">IF(ISBLANK($C402),"",IF(H402=Constants!$B$19,Constants!$B$19,Constants!$B$18))</f>
        <v/>
      </c>
      <c r="V402" s="99" t="str">
        <f aca="false">IF(ISBLANK($C402),"",IF(ISNUMBER(I402),IF(I402&gt;=0,I402,""),""))</f>
        <v/>
      </c>
      <c r="W402" s="99" t="str">
        <f aca="false">IF(ISBLANK($C402),"",IF(J402=Constants!$B$2, TRUE(), IF(J402=Constants!$B$3, FALSE(), TRUE())))</f>
        <v/>
      </c>
      <c r="X402" s="99" t="str">
        <f aca="false">IF(ISBLANK($C402),"",IF(K402=Constants!$B$2, TRUE(), IF(K402=Constants!$B$3, FALSE(), TRUE())))</f>
        <v/>
      </c>
      <c r="Y402" s="99" t="str">
        <f aca="false">IF(ISBLANK($C402),"",IF(L402=Constants!$B$19,Constants!$B$19,Constants!$B$18))</f>
        <v/>
      </c>
      <c r="Z402" s="99" t="str">
        <f aca="false">IF(ISBLANK($C402),"",IF(ISNUMBER(M402),IF(M402&gt;=0,M402,""),""))</f>
        <v/>
      </c>
      <c r="AA402" s="99" t="str">
        <f aca="false">IF(ISBLANK($C402),"",IF(N402=Constants!$B$2, TRUE(), IF(N402=Constants!$B$3, FALSE(), TRUE())))</f>
        <v/>
      </c>
      <c r="AB402" s="99" t="str">
        <f aca="false">IF(ISBLANK($C402),"",IF(O402=Constants!$B$2, TRUE(), IF(O402=Constants!$B$3, FALSE(), TRUE())))</f>
        <v/>
      </c>
      <c r="AC402" s="99" t="str">
        <f aca="false">IF(ISBLANK($C402),"",IF(P402=Constants!$B$2, TRUE(), IF(P402=Constants!$B$3, FALSE(), FALSE())))</f>
        <v/>
      </c>
      <c r="AD402" s="99" t="str">
        <f aca="false">IF(ISBLANK($C402),"",AND(V402&lt;&gt;"",IF(U402=Constants!$B$19,S402,R402)))</f>
        <v/>
      </c>
      <c r="AE402" s="99" t="str">
        <f aca="false">IF(ISBLANK($C402),"",AND(Z402&lt;&gt;"",IF(Y402=Constants!$B$19,S402,R402)))</f>
        <v/>
      </c>
      <c r="AF402" s="99" t="str">
        <f aca="false">IF(ISBLANK($C402),"",IF(AC402,Constants!$B$4,IF(COUNTA(E402:O402)=0,Constants!$B$5,IF(AND(NOT(AD402),NOT(AE402)),Constants!$B$6,Constants!$B$7))))</f>
        <v/>
      </c>
      <c r="AG402" s="99" t="str">
        <f aca="false">IF(ISBLANK($C402),"",IF($AF402&lt;&gt;Constants!$B$7,$AF402,Constants!$B$20))</f>
        <v/>
      </c>
      <c r="AH402" s="99" t="str">
        <f aca="false">IF($AF402=Constants!$B$7,IF(AD402,V402,Constants!$B$13),"")</f>
        <v/>
      </c>
      <c r="AI402" s="99" t="str">
        <f aca="false">IF($AF402=Constants!$B$7,IF(AD402,T402*IF(W402, 1, Constants!$B$11)*IF(X402, 1, Constants!$B$12),Constants!$B$13),"")</f>
        <v/>
      </c>
      <c r="AJ402" s="99" t="str">
        <f aca="false">IF($AF402=Constants!$B$7,AH402*AI402,"")</f>
        <v/>
      </c>
      <c r="AK402" s="99" t="str">
        <f aca="false">IF($AF402=Constants!$B$7,IF(AE402,Z402,Constants!$B$13),"")</f>
        <v/>
      </c>
      <c r="AL402" s="99" t="str">
        <f aca="false">IF($AF402=Constants!$B$7,IF(AE402,T402*IF(AA402, 1, Constants!$B$11)*IF(AB402, 1, Constants!$B$12),Constants!$B$13),"")</f>
        <v/>
      </c>
      <c r="AM402" s="99" t="str">
        <f aca="false">IF($AF402=Constants!$B$7,AK402*AL402,"")</f>
        <v/>
      </c>
      <c r="AN402" s="99" t="str">
        <f aca="false">IF($AF402=Constants!$B$7,IF(AM402&gt;AJ402,2,1),"")</f>
        <v/>
      </c>
      <c r="AO402" s="99" t="str">
        <f aca="false">IF($AF402=Constants!$B$7,IF(AN402=1,2,1),"")</f>
        <v/>
      </c>
      <c r="AP402" s="99" t="str">
        <f aca="false">IF(ISBLANK($C402),"",IF($AF402&lt;&gt;Constants!$B$7,$AF402,IF(AN402=1,AJ402,AM402)))</f>
        <v/>
      </c>
      <c r="AQ402" s="99" t="str">
        <f aca="false">IF(ISBLANK($C402),"",IF($AF402=Constants!$B$7,IF(ISNUMBER(AP402),RANK(AP402,$AP$8:$AP$507),Constants!$B$14),$AF402))</f>
        <v/>
      </c>
      <c r="AR402" s="99" t="str">
        <f aca="false">IF(ISBLANK($C402),"",IF($AF402=Constants!$B$7,IF(AO402=1,AJ402,AM402),""))</f>
        <v/>
      </c>
      <c r="AS402" s="99" t="str">
        <f aca="false">IF(ISBLANK($C402),"",IF($AF402=Constants!$B$7,RANK(AR402,$AR$8:$AR$507),$AF402))</f>
        <v/>
      </c>
      <c r="AT402" s="99" t="str">
        <f aca="false">IF(ISBLANK($C402),"",IF($AF402=Constants!$B$7,IF(ISNUMBER(AQ402),COUNTIFS($AQ$8:$AQ$507,"&lt;"&amp;$AQ402)+COUNTIFS($AQ$8:$AQ$507,$AQ402,$AS$8:$AS$507,"&lt;"&amp;$AS402)+1,Constants!$B$14),$AF402))</f>
        <v/>
      </c>
      <c r="AU402" s="99" t="str">
        <f aca="false">IF(ISBLANK($C402),"",IF($AF402=Constants!$B$7,IF(ISNUMBER(AQ402),AQ402-AT402,Constants!$B$14),$AF402))</f>
        <v/>
      </c>
      <c r="AV402" s="100"/>
      <c r="AW402" s="101" t="str">
        <f aca="false">IF(ISBLANK($C402),"",IF($AF402&lt;&gt;Constants!$B$7,"",AN402))</f>
        <v/>
      </c>
      <c r="AX402" s="102" t="str">
        <f aca="false">IF(ISBLANK($C402),"",IF($AF402&lt;&gt;Constants!$B$7,"",IF(AN402=1,AH402,AK402)))</f>
        <v/>
      </c>
      <c r="AY402" s="103" t="str">
        <f aca="false">IF(ISBLANK($C402),"",IF($AF402&lt;&gt;Constants!$B$7,"",IF(AN402=1,AI402,AL402)))</f>
        <v/>
      </c>
      <c r="AZ402" s="104" t="str">
        <f aca="false">IF(ISBLANK($C402),"",IF($AF402&lt;&gt;Constants!$B$7,$AF402,AP402))</f>
        <v/>
      </c>
      <c r="BA402" s="105" t="str">
        <f aca="false">IF(ISBLANK($C402),"",IF($AF402&lt;&gt;Constants!$B$7,$AF402,AG402))</f>
        <v/>
      </c>
      <c r="BB402" s="106" t="str">
        <f aca="false">IF(ISBLANK($C402),"",AU402)</f>
        <v/>
      </c>
      <c r="BC402" s="106" t="str">
        <f aca="false">IF(ISBLANK($C402),"",AT402)</f>
        <v/>
      </c>
      <c r="BD402" s="107" t="str">
        <f aca="false">IF(ISBLANK($C402),"",IFERROR(_xlfn.SWITCH(BC402,Constants!$B$4,COUNTA($C$8:$C$507)+2,Constants!$B$5,COUNTA($C$8:$C$507)+1,Constants!$B$6,COUNTA($C$8:$C$507)),BC402))</f>
        <v/>
      </c>
      <c r="BE402" s="5"/>
      <c r="BF402" s="108" t="n">
        <f aca="false">IF(OR(ISNUMBER(BC402),BC402=Constants!$B$4,BC402=Constants!$B$6,BC402=Constants!$B$5),1,0)</f>
        <v>0</v>
      </c>
      <c r="BG402" s="108" t="n">
        <v>395</v>
      </c>
      <c r="BH402" s="108" t="str">
        <f aca="false">IF(ISBLANK($C402),"",IF(ISNUMBER(BD402),BD402+ROW($B402)/1000,""))</f>
        <v/>
      </c>
      <c r="BI402" s="108" t="str">
        <f aca="false">IF(ISNUMBER(BH402),RANK(BH402,$BH$8:$BH$507,1),"")</f>
        <v/>
      </c>
      <c r="BJ402" s="108" t="str">
        <f aca="false">IF(ISBLANK($C402),"",$B402)</f>
        <v/>
      </c>
      <c r="BK402" s="108" t="str">
        <f aca="false">IF(ISBLANK($C402),"",$C402)</f>
        <v/>
      </c>
      <c r="BL402" s="108" t="str">
        <f aca="false">IF(ISBLANK($C402),"",$D402)</f>
        <v/>
      </c>
      <c r="BM402" s="109" t="str">
        <f aca="false">BA402</f>
        <v/>
      </c>
      <c r="BN402" s="110" t="str">
        <f aca="false">AZ402</f>
        <v/>
      </c>
      <c r="BO402" s="108" t="str">
        <f aca="false">IF(ISBLANK($C402),"",BC402)</f>
        <v/>
      </c>
      <c r="BP402" s="111" t="str">
        <f aca="false">IF($BG402&gt;$BF$7,"",VLOOKUP($BG402,$BI$8:$BO$507,7,FALSE()))</f>
        <v/>
      </c>
      <c r="BQ402" s="112" t="str">
        <f aca="false">IF($BG402&gt;$BF$7,"",VLOOKUP($BG402,$BI$8:$BO$507,2,FALSE()))</f>
        <v/>
      </c>
      <c r="BR402" s="112" t="str">
        <f aca="false">IF($BG402&gt;$BF$7,"",VLOOKUP($BG402,$BI$8:$BO$507,3,FALSE()))</f>
        <v/>
      </c>
      <c r="BS402" s="112" t="str">
        <f aca="false">IF($BG402&gt;$BF$7,"",VLOOKUP($BG402,$BI$8:$BO$507,4,FALSE()))</f>
        <v/>
      </c>
      <c r="BT402" s="112" t="str">
        <f aca="false">IF($BG402&gt;$BF$7,"",VLOOKUP($BG402,$BI$8:$BO$507,5,FALSE()))</f>
        <v/>
      </c>
      <c r="BU402" s="113" t="str">
        <f aca="false">IF($BG402&gt;$BF$7,"",VLOOKUP($BG402,$BI$8:$BO$507,6,FALSE()))</f>
        <v/>
      </c>
      <c r="BV402" s="54"/>
    </row>
    <row r="403" customFormat="false" ht="15.75" hidden="false" customHeight="false" outlineLevel="0" collapsed="false">
      <c r="A403" s="5"/>
      <c r="B403" s="128"/>
      <c r="C403" s="129"/>
      <c r="D403" s="114"/>
      <c r="E403" s="134"/>
      <c r="F403" s="139"/>
      <c r="G403" s="93"/>
      <c r="H403" s="140"/>
      <c r="I403" s="95"/>
      <c r="J403" s="95"/>
      <c r="K403" s="93"/>
      <c r="L403" s="141"/>
      <c r="M403" s="95"/>
      <c r="N403" s="95"/>
      <c r="O403" s="93"/>
      <c r="P403" s="134"/>
      <c r="Q403" s="98"/>
      <c r="R403" s="99" t="str">
        <f aca="false">IF(ISBLANK($C403),"",IF(E403=Constants!$B$2, TRUE(), IF(E403=Constants!$B$3, FALSE(), TRUE())))</f>
        <v/>
      </c>
      <c r="S403" s="99" t="str">
        <f aca="false">IF(ISBLANK($C403),"",IF(F403=Constants!$B$2, TRUE(), IF(F403=Constants!$B$3, FALSE(), TRUE())))</f>
        <v/>
      </c>
      <c r="T403" s="99" t="str">
        <f aca="false">IF(ISBLANK($C403),"",IF(G403=Constants!$B$16,Constants!$B$9,IF(G403=Constants!$B$17,Constants!$B$10,Constants!$B$8)))</f>
        <v/>
      </c>
      <c r="U403" s="99" t="str">
        <f aca="false">IF(ISBLANK($C403),"",IF(H403=Constants!$B$19,Constants!$B$19,Constants!$B$18))</f>
        <v/>
      </c>
      <c r="V403" s="99" t="str">
        <f aca="false">IF(ISBLANK($C403),"",IF(ISNUMBER(I403),IF(I403&gt;=0,I403,""),""))</f>
        <v/>
      </c>
      <c r="W403" s="99" t="str">
        <f aca="false">IF(ISBLANK($C403),"",IF(J403=Constants!$B$2, TRUE(), IF(J403=Constants!$B$3, FALSE(), TRUE())))</f>
        <v/>
      </c>
      <c r="X403" s="99" t="str">
        <f aca="false">IF(ISBLANK($C403),"",IF(K403=Constants!$B$2, TRUE(), IF(K403=Constants!$B$3, FALSE(), TRUE())))</f>
        <v/>
      </c>
      <c r="Y403" s="99" t="str">
        <f aca="false">IF(ISBLANK($C403),"",IF(L403=Constants!$B$19,Constants!$B$19,Constants!$B$18))</f>
        <v/>
      </c>
      <c r="Z403" s="99" t="str">
        <f aca="false">IF(ISBLANK($C403),"",IF(ISNUMBER(M403),IF(M403&gt;=0,M403,""),""))</f>
        <v/>
      </c>
      <c r="AA403" s="99" t="str">
        <f aca="false">IF(ISBLANK($C403),"",IF(N403=Constants!$B$2, TRUE(), IF(N403=Constants!$B$3, FALSE(), TRUE())))</f>
        <v/>
      </c>
      <c r="AB403" s="99" t="str">
        <f aca="false">IF(ISBLANK($C403),"",IF(O403=Constants!$B$2, TRUE(), IF(O403=Constants!$B$3, FALSE(), TRUE())))</f>
        <v/>
      </c>
      <c r="AC403" s="99" t="str">
        <f aca="false">IF(ISBLANK($C403),"",IF(P403=Constants!$B$2, TRUE(), IF(P403=Constants!$B$3, FALSE(), FALSE())))</f>
        <v/>
      </c>
      <c r="AD403" s="99" t="str">
        <f aca="false">IF(ISBLANK($C403),"",AND(V403&lt;&gt;"",IF(U403=Constants!$B$19,S403,R403)))</f>
        <v/>
      </c>
      <c r="AE403" s="99" t="str">
        <f aca="false">IF(ISBLANK($C403),"",AND(Z403&lt;&gt;"",IF(Y403=Constants!$B$19,S403,R403)))</f>
        <v/>
      </c>
      <c r="AF403" s="99" t="str">
        <f aca="false">IF(ISBLANK($C403),"",IF(AC403,Constants!$B$4,IF(COUNTA(E403:O403)=0,Constants!$B$5,IF(AND(NOT(AD403),NOT(AE403)),Constants!$B$6,Constants!$B$7))))</f>
        <v/>
      </c>
      <c r="AG403" s="99" t="str">
        <f aca="false">IF(ISBLANK($C403),"",IF($AF403&lt;&gt;Constants!$B$7,$AF403,Constants!$B$20))</f>
        <v/>
      </c>
      <c r="AH403" s="99" t="str">
        <f aca="false">IF($AF403=Constants!$B$7,IF(AD403,V403,Constants!$B$13),"")</f>
        <v/>
      </c>
      <c r="AI403" s="99" t="str">
        <f aca="false">IF($AF403=Constants!$B$7,IF(AD403,T403*IF(W403, 1, Constants!$B$11)*IF(X403, 1, Constants!$B$12),Constants!$B$13),"")</f>
        <v/>
      </c>
      <c r="AJ403" s="99" t="str">
        <f aca="false">IF($AF403=Constants!$B$7,AH403*AI403,"")</f>
        <v/>
      </c>
      <c r="AK403" s="99" t="str">
        <f aca="false">IF($AF403=Constants!$B$7,IF(AE403,Z403,Constants!$B$13),"")</f>
        <v/>
      </c>
      <c r="AL403" s="99" t="str">
        <f aca="false">IF($AF403=Constants!$B$7,IF(AE403,T403*IF(AA403, 1, Constants!$B$11)*IF(AB403, 1, Constants!$B$12),Constants!$B$13),"")</f>
        <v/>
      </c>
      <c r="AM403" s="99" t="str">
        <f aca="false">IF($AF403=Constants!$B$7,AK403*AL403,"")</f>
        <v/>
      </c>
      <c r="AN403" s="99" t="str">
        <f aca="false">IF($AF403=Constants!$B$7,IF(AM403&gt;AJ403,2,1),"")</f>
        <v/>
      </c>
      <c r="AO403" s="99" t="str">
        <f aca="false">IF($AF403=Constants!$B$7,IF(AN403=1,2,1),"")</f>
        <v/>
      </c>
      <c r="AP403" s="99" t="str">
        <f aca="false">IF(ISBLANK($C403),"",IF($AF403&lt;&gt;Constants!$B$7,$AF403,IF(AN403=1,AJ403,AM403)))</f>
        <v/>
      </c>
      <c r="AQ403" s="99" t="str">
        <f aca="false">IF(ISBLANK($C403),"",IF($AF403=Constants!$B$7,IF(ISNUMBER(AP403),RANK(AP403,$AP$8:$AP$507),Constants!$B$14),$AF403))</f>
        <v/>
      </c>
      <c r="AR403" s="99" t="str">
        <f aca="false">IF(ISBLANK($C403),"",IF($AF403=Constants!$B$7,IF(AO403=1,AJ403,AM403),""))</f>
        <v/>
      </c>
      <c r="AS403" s="99" t="str">
        <f aca="false">IF(ISBLANK($C403),"",IF($AF403=Constants!$B$7,RANK(AR403,$AR$8:$AR$507),$AF403))</f>
        <v/>
      </c>
      <c r="AT403" s="99" t="str">
        <f aca="false">IF(ISBLANK($C403),"",IF($AF403=Constants!$B$7,IF(ISNUMBER(AQ403),COUNTIFS($AQ$8:$AQ$507,"&lt;"&amp;$AQ403)+COUNTIFS($AQ$8:$AQ$507,$AQ403,$AS$8:$AS$507,"&lt;"&amp;$AS403)+1,Constants!$B$14),$AF403))</f>
        <v/>
      </c>
      <c r="AU403" s="99" t="str">
        <f aca="false">IF(ISBLANK($C403),"",IF($AF403=Constants!$B$7,IF(ISNUMBER(AQ403),AQ403-AT403,Constants!$B$14),$AF403))</f>
        <v/>
      </c>
      <c r="AV403" s="100"/>
      <c r="AW403" s="101" t="str">
        <f aca="false">IF(ISBLANK($C403),"",IF($AF403&lt;&gt;Constants!$B$7,"",AN403))</f>
        <v/>
      </c>
      <c r="AX403" s="102" t="str">
        <f aca="false">IF(ISBLANK($C403),"",IF($AF403&lt;&gt;Constants!$B$7,"",IF(AN403=1,AH403,AK403)))</f>
        <v/>
      </c>
      <c r="AY403" s="103" t="str">
        <f aca="false">IF(ISBLANK($C403),"",IF($AF403&lt;&gt;Constants!$B$7,"",IF(AN403=1,AI403,AL403)))</f>
        <v/>
      </c>
      <c r="AZ403" s="104" t="str">
        <f aca="false">IF(ISBLANK($C403),"",IF($AF403&lt;&gt;Constants!$B$7,$AF403,AP403))</f>
        <v/>
      </c>
      <c r="BA403" s="105" t="str">
        <f aca="false">IF(ISBLANK($C403),"",IF($AF403&lt;&gt;Constants!$B$7,$AF403,AG403))</f>
        <v/>
      </c>
      <c r="BB403" s="106" t="str">
        <f aca="false">IF(ISBLANK($C403),"",AU403)</f>
        <v/>
      </c>
      <c r="BC403" s="106" t="str">
        <f aca="false">IF(ISBLANK($C403),"",AT403)</f>
        <v/>
      </c>
      <c r="BD403" s="107" t="str">
        <f aca="false">IF(ISBLANK($C403),"",IFERROR(_xlfn.SWITCH(BC403,Constants!$B$4,COUNTA($C$8:$C$507)+2,Constants!$B$5,COUNTA($C$8:$C$507)+1,Constants!$B$6,COUNTA($C$8:$C$507)),BC403))</f>
        <v/>
      </c>
      <c r="BE403" s="5"/>
      <c r="BF403" s="108" t="n">
        <f aca="false">IF(OR(ISNUMBER(BC403),BC403=Constants!$B$4,BC403=Constants!$B$6,BC403=Constants!$B$5),1,0)</f>
        <v>0</v>
      </c>
      <c r="BG403" s="108" t="n">
        <v>396</v>
      </c>
      <c r="BH403" s="108" t="str">
        <f aca="false">IF(ISBLANK($C403),"",IF(ISNUMBER(BD403),BD403+ROW($B403)/1000,""))</f>
        <v/>
      </c>
      <c r="BI403" s="108" t="str">
        <f aca="false">IF(ISNUMBER(BH403),RANK(BH403,$BH$8:$BH$507,1),"")</f>
        <v/>
      </c>
      <c r="BJ403" s="108" t="str">
        <f aca="false">IF(ISBLANK($C403),"",$B403)</f>
        <v/>
      </c>
      <c r="BK403" s="108" t="str">
        <f aca="false">IF(ISBLANK($C403),"",$C403)</f>
        <v/>
      </c>
      <c r="BL403" s="108" t="str">
        <f aca="false">IF(ISBLANK($C403),"",$D403)</f>
        <v/>
      </c>
      <c r="BM403" s="109" t="str">
        <f aca="false">BA403</f>
        <v/>
      </c>
      <c r="BN403" s="110" t="str">
        <f aca="false">AZ403</f>
        <v/>
      </c>
      <c r="BO403" s="108" t="str">
        <f aca="false">IF(ISBLANK($C403),"",BC403)</f>
        <v/>
      </c>
      <c r="BP403" s="111" t="str">
        <f aca="false">IF($BG403&gt;$BF$7,"",VLOOKUP($BG403,$BI$8:$BO$507,7,FALSE()))</f>
        <v/>
      </c>
      <c r="BQ403" s="112" t="str">
        <f aca="false">IF($BG403&gt;$BF$7,"",VLOOKUP($BG403,$BI$8:$BO$507,2,FALSE()))</f>
        <v/>
      </c>
      <c r="BR403" s="112" t="str">
        <f aca="false">IF($BG403&gt;$BF$7,"",VLOOKUP($BG403,$BI$8:$BO$507,3,FALSE()))</f>
        <v/>
      </c>
      <c r="BS403" s="112" t="str">
        <f aca="false">IF($BG403&gt;$BF$7,"",VLOOKUP($BG403,$BI$8:$BO$507,4,FALSE()))</f>
        <v/>
      </c>
      <c r="BT403" s="112" t="str">
        <f aca="false">IF($BG403&gt;$BF$7,"",VLOOKUP($BG403,$BI$8:$BO$507,5,FALSE()))</f>
        <v/>
      </c>
      <c r="BU403" s="113" t="str">
        <f aca="false">IF($BG403&gt;$BF$7,"",VLOOKUP($BG403,$BI$8:$BO$507,6,FALSE()))</f>
        <v/>
      </c>
      <c r="BV403" s="54"/>
    </row>
    <row r="404" customFormat="false" ht="15.75" hidden="false" customHeight="false" outlineLevel="0" collapsed="false">
      <c r="A404" s="5"/>
      <c r="B404" s="135"/>
      <c r="C404" s="56"/>
      <c r="D404" s="57"/>
      <c r="E404" s="84"/>
      <c r="F404" s="136"/>
      <c r="G404" s="60"/>
      <c r="H404" s="137"/>
      <c r="I404" s="62"/>
      <c r="J404" s="62"/>
      <c r="K404" s="60"/>
      <c r="L404" s="138"/>
      <c r="M404" s="62"/>
      <c r="N404" s="62"/>
      <c r="O404" s="60"/>
      <c r="P404" s="84"/>
      <c r="Q404" s="65"/>
      <c r="R404" s="67" t="str">
        <f aca="false">IF(ISBLANK($C404),"",IF(E404=Constants!$B$2, TRUE(), IF(E404=Constants!$B$3, FALSE(), TRUE())))</f>
        <v/>
      </c>
      <c r="S404" s="67" t="str">
        <f aca="false">IF(ISBLANK($C404),"",IF(F404=Constants!$B$2, TRUE(), IF(F404=Constants!$B$3, FALSE(), TRUE())))</f>
        <v/>
      </c>
      <c r="T404" s="67" t="str">
        <f aca="false">IF(ISBLANK($C404),"",IF(G404=Constants!$B$16,Constants!$B$9,IF(G404=Constants!$B$17,Constants!$B$10,Constants!$B$8)))</f>
        <v/>
      </c>
      <c r="U404" s="67" t="str">
        <f aca="false">IF(ISBLANK($C404),"",IF(H404=Constants!$B$19,Constants!$B$19,Constants!$B$18))</f>
        <v/>
      </c>
      <c r="V404" s="67" t="str">
        <f aca="false">IF(ISBLANK($C404),"",IF(ISNUMBER(I404),IF(I404&gt;=0,I404,""),""))</f>
        <v/>
      </c>
      <c r="W404" s="67" t="str">
        <f aca="false">IF(ISBLANK($C404),"",IF(J404=Constants!$B$2, TRUE(), IF(J404=Constants!$B$3, FALSE(), TRUE())))</f>
        <v/>
      </c>
      <c r="X404" s="67" t="str">
        <f aca="false">IF(ISBLANK($C404),"",IF(K404=Constants!$B$2, TRUE(), IF(K404=Constants!$B$3, FALSE(), TRUE())))</f>
        <v/>
      </c>
      <c r="Y404" s="67" t="str">
        <f aca="false">IF(ISBLANK($C404),"",IF(L404=Constants!$B$19,Constants!$B$19,Constants!$B$18))</f>
        <v/>
      </c>
      <c r="Z404" s="67" t="str">
        <f aca="false">IF(ISBLANK($C404),"",IF(ISNUMBER(M404),IF(M404&gt;=0,M404,""),""))</f>
        <v/>
      </c>
      <c r="AA404" s="67" t="str">
        <f aca="false">IF(ISBLANK($C404),"",IF(N404=Constants!$B$2, TRUE(), IF(N404=Constants!$B$3, FALSE(), TRUE())))</f>
        <v/>
      </c>
      <c r="AB404" s="67" t="str">
        <f aca="false">IF(ISBLANK($C404),"",IF(O404=Constants!$B$2, TRUE(), IF(O404=Constants!$B$3, FALSE(), TRUE())))</f>
        <v/>
      </c>
      <c r="AC404" s="67" t="str">
        <f aca="false">IF(ISBLANK($C404),"",IF(P404=Constants!$B$2, TRUE(), IF(P404=Constants!$B$3, FALSE(), FALSE())))</f>
        <v/>
      </c>
      <c r="AD404" s="67" t="str">
        <f aca="false">IF(ISBLANK($C404),"",AND(V404&lt;&gt;"",IF(U404=Constants!$B$19,S404,R404)))</f>
        <v/>
      </c>
      <c r="AE404" s="67" t="str">
        <f aca="false">IF(ISBLANK($C404),"",AND(Z404&lt;&gt;"",IF(Y404=Constants!$B$19,S404,R404)))</f>
        <v/>
      </c>
      <c r="AF404" s="67" t="str">
        <f aca="false">IF(ISBLANK($C404),"",IF(AC404,Constants!$B$4,IF(COUNTA(E404:O404)=0,Constants!$B$5,IF(AND(NOT(AD404),NOT(AE404)),Constants!$B$6,Constants!$B$7))))</f>
        <v/>
      </c>
      <c r="AG404" s="67" t="str">
        <f aca="false">IF(ISBLANK($C404),"",IF($AF404&lt;&gt;Constants!$B$7,$AF404,Constants!$B$20))</f>
        <v/>
      </c>
      <c r="AH404" s="67" t="str">
        <f aca="false">IF($AF404=Constants!$B$7,IF(AD404,V404,Constants!$B$13),"")</f>
        <v/>
      </c>
      <c r="AI404" s="67" t="str">
        <f aca="false">IF($AF404=Constants!$B$7,IF(AD404,T404*IF(W404, 1, Constants!$B$11)*IF(X404, 1, Constants!$B$12),Constants!$B$13),"")</f>
        <v/>
      </c>
      <c r="AJ404" s="67" t="str">
        <f aca="false">IF($AF404=Constants!$B$7,AH404*AI404,"")</f>
        <v/>
      </c>
      <c r="AK404" s="67" t="str">
        <f aca="false">IF($AF404=Constants!$B$7,IF(AE404,Z404,Constants!$B$13),"")</f>
        <v/>
      </c>
      <c r="AL404" s="67" t="str">
        <f aca="false">IF($AF404=Constants!$B$7,IF(AE404,T404*IF(AA404, 1, Constants!$B$11)*IF(AB404, 1, Constants!$B$12),Constants!$B$13),"")</f>
        <v/>
      </c>
      <c r="AM404" s="67" t="str">
        <f aca="false">IF($AF404=Constants!$B$7,AK404*AL404,"")</f>
        <v/>
      </c>
      <c r="AN404" s="67" t="str">
        <f aca="false">IF($AF404=Constants!$B$7,IF(AM404&gt;AJ404,2,1),"")</f>
        <v/>
      </c>
      <c r="AO404" s="67" t="str">
        <f aca="false">IF($AF404=Constants!$B$7,IF(AN404=1,2,1),"")</f>
        <v/>
      </c>
      <c r="AP404" s="67" t="str">
        <f aca="false">IF(ISBLANK($C404),"",IF($AF404&lt;&gt;Constants!$B$7,$AF404,IF(AN404=1,AJ404,AM404)))</f>
        <v/>
      </c>
      <c r="AQ404" s="67" t="str">
        <f aca="false">IF(ISBLANK($C404),"",IF($AF404=Constants!$B$7,IF(ISNUMBER(AP404),RANK(AP404,$AP$8:$AP$507),Constants!$B$14),$AF404))</f>
        <v/>
      </c>
      <c r="AR404" s="67" t="str">
        <f aca="false">IF(ISBLANK($C404),"",IF($AF404=Constants!$B$7,IF(AO404=1,AJ404,AM404),""))</f>
        <v/>
      </c>
      <c r="AS404" s="67" t="str">
        <f aca="false">IF(ISBLANK($C404),"",IF($AF404=Constants!$B$7,RANK(AR404,$AR$8:$AR$507),$AF404))</f>
        <v/>
      </c>
      <c r="AT404" s="67" t="str">
        <f aca="false">IF(ISBLANK($C404),"",IF($AF404=Constants!$B$7,IF(ISNUMBER(AQ404),COUNTIFS($AQ$8:$AQ$507,"&lt;"&amp;$AQ404)+COUNTIFS($AQ$8:$AQ$507,$AQ404,$AS$8:$AS$507,"&lt;"&amp;$AS404)+1,Constants!$B$14),$AF404))</f>
        <v/>
      </c>
      <c r="AU404" s="67" t="str">
        <f aca="false">IF(ISBLANK($C404),"",IF($AF404=Constants!$B$7,IF(ISNUMBER(AQ404),AQ404-AT404,Constants!$B$14),$AF404))</f>
        <v/>
      </c>
      <c r="AV404" s="69"/>
      <c r="AW404" s="70" t="str">
        <f aca="false">IF(ISBLANK($C404),"",IF($AF404&lt;&gt;Constants!$B$7,"",AN404))</f>
        <v/>
      </c>
      <c r="AX404" s="85" t="str">
        <f aca="false">IF(ISBLANK($C404),"",IF($AF404&lt;&gt;Constants!$B$7,"",IF(AN404=1,AH404,AK404)))</f>
        <v/>
      </c>
      <c r="AY404" s="72" t="str">
        <f aca="false">IF(ISBLANK($C404),"",IF($AF404&lt;&gt;Constants!$B$7,"",IF(AN404=1,AI404,AL404)))</f>
        <v/>
      </c>
      <c r="AZ404" s="73" t="str">
        <f aca="false">IF(ISBLANK($C404),"",IF($AF404&lt;&gt;Constants!$B$7,$AF404,AP404))</f>
        <v/>
      </c>
      <c r="BA404" s="74" t="str">
        <f aca="false">IF(ISBLANK($C404),"",IF($AF404&lt;&gt;Constants!$B$7,$AF404,AG404))</f>
        <v/>
      </c>
      <c r="BB404" s="75" t="str">
        <f aca="false">IF(ISBLANK($C404),"",AU404)</f>
        <v/>
      </c>
      <c r="BC404" s="75" t="str">
        <f aca="false">IF(ISBLANK($C404),"",AT404)</f>
        <v/>
      </c>
      <c r="BD404" s="76" t="str">
        <f aca="false">IF(ISBLANK($C404),"",IFERROR(_xlfn.SWITCH(BC404,Constants!$B$4,COUNTA($C$8:$C$507)+2,Constants!$B$5,COUNTA($C$8:$C$507)+1,Constants!$B$6,COUNTA($C$8:$C$507)),BC404))</f>
        <v/>
      </c>
      <c r="BE404" s="5"/>
      <c r="BF404" s="77" t="n">
        <f aca="false">IF(OR(ISNUMBER(BC404),BC404=Constants!$B$4,BC404=Constants!$B$6,BC404=Constants!$B$5),1,0)</f>
        <v>0</v>
      </c>
      <c r="BG404" s="77" t="n">
        <v>397</v>
      </c>
      <c r="BH404" s="77" t="str">
        <f aca="false">IF(ISBLANK($C404),"",IF(ISNUMBER(BD404),BD404+ROW($B404)/1000,""))</f>
        <v/>
      </c>
      <c r="BI404" s="77" t="str">
        <f aca="false">IF(ISNUMBER(BH404),RANK(BH404,$BH$8:$BH$507,1),"")</f>
        <v/>
      </c>
      <c r="BJ404" s="77" t="str">
        <f aca="false">IF(ISBLANK($C404),"",$B404)</f>
        <v/>
      </c>
      <c r="BK404" s="77" t="str">
        <f aca="false">IF(ISBLANK($C404),"",$C404)</f>
        <v/>
      </c>
      <c r="BL404" s="77" t="str">
        <f aca="false">IF(ISBLANK($C404),"",$D404)</f>
        <v/>
      </c>
      <c r="BM404" s="78" t="str">
        <f aca="false">BA404</f>
        <v/>
      </c>
      <c r="BN404" s="79" t="str">
        <f aca="false">AZ404</f>
        <v/>
      </c>
      <c r="BO404" s="77" t="str">
        <f aca="false">IF(ISBLANK($C404),"",BC404)</f>
        <v/>
      </c>
      <c r="BP404" s="80" t="str">
        <f aca="false">IF($BG404&gt;$BF$7,"",VLOOKUP($BG404,$BI$8:$BO$507,7,FALSE()))</f>
        <v/>
      </c>
      <c r="BQ404" s="81" t="str">
        <f aca="false">IF($BG404&gt;$BF$7,"",VLOOKUP($BG404,$BI$8:$BO$507,2,FALSE()))</f>
        <v/>
      </c>
      <c r="BR404" s="81" t="str">
        <f aca="false">IF($BG404&gt;$BF$7,"",VLOOKUP($BG404,$BI$8:$BO$507,3,FALSE()))</f>
        <v/>
      </c>
      <c r="BS404" s="81" t="str">
        <f aca="false">IF($BG404&gt;$BF$7,"",VLOOKUP($BG404,$BI$8:$BO$507,4,FALSE()))</f>
        <v/>
      </c>
      <c r="BT404" s="81" t="str">
        <f aca="false">IF($BG404&gt;$BF$7,"",VLOOKUP($BG404,$BI$8:$BO$507,5,FALSE()))</f>
        <v/>
      </c>
      <c r="BU404" s="82" t="str">
        <f aca="false">IF($BG404&gt;$BF$7,"",VLOOKUP($BG404,$BI$8:$BO$507,6,FALSE()))</f>
        <v/>
      </c>
      <c r="BV404" s="54"/>
    </row>
    <row r="405" customFormat="false" ht="15.75" hidden="false" customHeight="false" outlineLevel="0" collapsed="false">
      <c r="A405" s="5"/>
      <c r="B405" s="135"/>
      <c r="C405" s="56"/>
      <c r="D405" s="57"/>
      <c r="E405" s="84"/>
      <c r="F405" s="136"/>
      <c r="G405" s="60"/>
      <c r="H405" s="137"/>
      <c r="I405" s="62"/>
      <c r="J405" s="62"/>
      <c r="K405" s="60"/>
      <c r="L405" s="138"/>
      <c r="M405" s="62"/>
      <c r="N405" s="62"/>
      <c r="O405" s="60"/>
      <c r="P405" s="84"/>
      <c r="Q405" s="65"/>
      <c r="R405" s="67" t="str">
        <f aca="false">IF(ISBLANK($C405),"",IF(E405=Constants!$B$2, TRUE(), IF(E405=Constants!$B$3, FALSE(), TRUE())))</f>
        <v/>
      </c>
      <c r="S405" s="67" t="str">
        <f aca="false">IF(ISBLANK($C405),"",IF(F405=Constants!$B$2, TRUE(), IF(F405=Constants!$B$3, FALSE(), TRUE())))</f>
        <v/>
      </c>
      <c r="T405" s="67" t="str">
        <f aca="false">IF(ISBLANK($C405),"",IF(G405=Constants!$B$16,Constants!$B$9,IF(G405=Constants!$B$17,Constants!$B$10,Constants!$B$8)))</f>
        <v/>
      </c>
      <c r="U405" s="67" t="str">
        <f aca="false">IF(ISBLANK($C405),"",IF(H405=Constants!$B$19,Constants!$B$19,Constants!$B$18))</f>
        <v/>
      </c>
      <c r="V405" s="67" t="str">
        <f aca="false">IF(ISBLANK($C405),"",IF(ISNUMBER(I405),IF(I405&gt;=0,I405,""),""))</f>
        <v/>
      </c>
      <c r="W405" s="67" t="str">
        <f aca="false">IF(ISBLANK($C405),"",IF(J405=Constants!$B$2, TRUE(), IF(J405=Constants!$B$3, FALSE(), TRUE())))</f>
        <v/>
      </c>
      <c r="X405" s="67" t="str">
        <f aca="false">IF(ISBLANK($C405),"",IF(K405=Constants!$B$2, TRUE(), IF(K405=Constants!$B$3, FALSE(), TRUE())))</f>
        <v/>
      </c>
      <c r="Y405" s="67" t="str">
        <f aca="false">IF(ISBLANK($C405),"",IF(L405=Constants!$B$19,Constants!$B$19,Constants!$B$18))</f>
        <v/>
      </c>
      <c r="Z405" s="67" t="str">
        <f aca="false">IF(ISBLANK($C405),"",IF(ISNUMBER(M405),IF(M405&gt;=0,M405,""),""))</f>
        <v/>
      </c>
      <c r="AA405" s="67" t="str">
        <f aca="false">IF(ISBLANK($C405),"",IF(N405=Constants!$B$2, TRUE(), IF(N405=Constants!$B$3, FALSE(), TRUE())))</f>
        <v/>
      </c>
      <c r="AB405" s="67" t="str">
        <f aca="false">IF(ISBLANK($C405),"",IF(O405=Constants!$B$2, TRUE(), IF(O405=Constants!$B$3, FALSE(), TRUE())))</f>
        <v/>
      </c>
      <c r="AC405" s="67" t="str">
        <f aca="false">IF(ISBLANK($C405),"",IF(P405=Constants!$B$2, TRUE(), IF(P405=Constants!$B$3, FALSE(), FALSE())))</f>
        <v/>
      </c>
      <c r="AD405" s="67" t="str">
        <f aca="false">IF(ISBLANK($C405),"",AND(V405&lt;&gt;"",IF(U405=Constants!$B$19,S405,R405)))</f>
        <v/>
      </c>
      <c r="AE405" s="67" t="str">
        <f aca="false">IF(ISBLANK($C405),"",AND(Z405&lt;&gt;"",IF(Y405=Constants!$B$19,S405,R405)))</f>
        <v/>
      </c>
      <c r="AF405" s="67" t="str">
        <f aca="false">IF(ISBLANK($C405),"",IF(AC405,Constants!$B$4,IF(COUNTA(E405:O405)=0,Constants!$B$5,IF(AND(NOT(AD405),NOT(AE405)),Constants!$B$6,Constants!$B$7))))</f>
        <v/>
      </c>
      <c r="AG405" s="67" t="str">
        <f aca="false">IF(ISBLANK($C405),"",IF($AF405&lt;&gt;Constants!$B$7,$AF405,Constants!$B$20))</f>
        <v/>
      </c>
      <c r="AH405" s="67" t="str">
        <f aca="false">IF($AF405=Constants!$B$7,IF(AD405,V405,Constants!$B$13),"")</f>
        <v/>
      </c>
      <c r="AI405" s="67" t="str">
        <f aca="false">IF($AF405=Constants!$B$7,IF(AD405,T405*IF(W405, 1, Constants!$B$11)*IF(X405, 1, Constants!$B$12),Constants!$B$13),"")</f>
        <v/>
      </c>
      <c r="AJ405" s="67" t="str">
        <f aca="false">IF($AF405=Constants!$B$7,AH405*AI405,"")</f>
        <v/>
      </c>
      <c r="AK405" s="67" t="str">
        <f aca="false">IF($AF405=Constants!$B$7,IF(AE405,Z405,Constants!$B$13),"")</f>
        <v/>
      </c>
      <c r="AL405" s="67" t="str">
        <f aca="false">IF($AF405=Constants!$B$7,IF(AE405,T405*IF(AA405, 1, Constants!$B$11)*IF(AB405, 1, Constants!$B$12),Constants!$B$13),"")</f>
        <v/>
      </c>
      <c r="AM405" s="67" t="str">
        <f aca="false">IF($AF405=Constants!$B$7,AK405*AL405,"")</f>
        <v/>
      </c>
      <c r="AN405" s="67" t="str">
        <f aca="false">IF($AF405=Constants!$B$7,IF(AM405&gt;AJ405,2,1),"")</f>
        <v/>
      </c>
      <c r="AO405" s="67" t="str">
        <f aca="false">IF($AF405=Constants!$B$7,IF(AN405=1,2,1),"")</f>
        <v/>
      </c>
      <c r="AP405" s="67" t="str">
        <f aca="false">IF(ISBLANK($C405),"",IF($AF405&lt;&gt;Constants!$B$7,$AF405,IF(AN405=1,AJ405,AM405)))</f>
        <v/>
      </c>
      <c r="AQ405" s="67" t="str">
        <f aca="false">IF(ISBLANK($C405),"",IF($AF405=Constants!$B$7,IF(ISNUMBER(AP405),RANK(AP405,$AP$8:$AP$507),Constants!$B$14),$AF405))</f>
        <v/>
      </c>
      <c r="AR405" s="67" t="str">
        <f aca="false">IF(ISBLANK($C405),"",IF($AF405=Constants!$B$7,IF(AO405=1,AJ405,AM405),""))</f>
        <v/>
      </c>
      <c r="AS405" s="67" t="str">
        <f aca="false">IF(ISBLANK($C405),"",IF($AF405=Constants!$B$7,RANK(AR405,$AR$8:$AR$507),$AF405))</f>
        <v/>
      </c>
      <c r="AT405" s="67" t="str">
        <f aca="false">IF(ISBLANK($C405),"",IF($AF405=Constants!$B$7,IF(ISNUMBER(AQ405),COUNTIFS($AQ$8:$AQ$507,"&lt;"&amp;$AQ405)+COUNTIFS($AQ$8:$AQ$507,$AQ405,$AS$8:$AS$507,"&lt;"&amp;$AS405)+1,Constants!$B$14),$AF405))</f>
        <v/>
      </c>
      <c r="AU405" s="67" t="str">
        <f aca="false">IF(ISBLANK($C405),"",IF($AF405=Constants!$B$7,IF(ISNUMBER(AQ405),AQ405-AT405,Constants!$B$14),$AF405))</f>
        <v/>
      </c>
      <c r="AV405" s="69"/>
      <c r="AW405" s="70" t="str">
        <f aca="false">IF(ISBLANK($C405),"",IF($AF405&lt;&gt;Constants!$B$7,"",AN405))</f>
        <v/>
      </c>
      <c r="AX405" s="85" t="str">
        <f aca="false">IF(ISBLANK($C405),"",IF($AF405&lt;&gt;Constants!$B$7,"",IF(AN405=1,AH405,AK405)))</f>
        <v/>
      </c>
      <c r="AY405" s="72" t="str">
        <f aca="false">IF(ISBLANK($C405),"",IF($AF405&lt;&gt;Constants!$B$7,"",IF(AN405=1,AI405,AL405)))</f>
        <v/>
      </c>
      <c r="AZ405" s="73" t="str">
        <f aca="false">IF(ISBLANK($C405),"",IF($AF405&lt;&gt;Constants!$B$7,$AF405,AP405))</f>
        <v/>
      </c>
      <c r="BA405" s="74" t="str">
        <f aca="false">IF(ISBLANK($C405),"",IF($AF405&lt;&gt;Constants!$B$7,$AF405,AG405))</f>
        <v/>
      </c>
      <c r="BB405" s="75" t="str">
        <f aca="false">IF(ISBLANK($C405),"",AU405)</f>
        <v/>
      </c>
      <c r="BC405" s="75" t="str">
        <f aca="false">IF(ISBLANK($C405),"",AT405)</f>
        <v/>
      </c>
      <c r="BD405" s="76" t="str">
        <f aca="false">IF(ISBLANK($C405),"",IFERROR(_xlfn.SWITCH(BC405,Constants!$B$4,COUNTA($C$8:$C$507)+2,Constants!$B$5,COUNTA($C$8:$C$507)+1,Constants!$B$6,COUNTA($C$8:$C$507)),BC405))</f>
        <v/>
      </c>
      <c r="BE405" s="5"/>
      <c r="BF405" s="77" t="n">
        <f aca="false">IF(OR(ISNUMBER(BC405),BC405=Constants!$B$4,BC405=Constants!$B$6,BC405=Constants!$B$5),1,0)</f>
        <v>0</v>
      </c>
      <c r="BG405" s="77" t="n">
        <v>398</v>
      </c>
      <c r="BH405" s="77" t="str">
        <f aca="false">IF(ISBLANK($C405),"",IF(ISNUMBER(BD405),BD405+ROW($B405)/1000,""))</f>
        <v/>
      </c>
      <c r="BI405" s="77" t="str">
        <f aca="false">IF(ISNUMBER(BH405),RANK(BH405,$BH$8:$BH$507,1),"")</f>
        <v/>
      </c>
      <c r="BJ405" s="77" t="str">
        <f aca="false">IF(ISBLANK($C405),"",$B405)</f>
        <v/>
      </c>
      <c r="BK405" s="77" t="str">
        <f aca="false">IF(ISBLANK($C405),"",$C405)</f>
        <v/>
      </c>
      <c r="BL405" s="77" t="str">
        <f aca="false">IF(ISBLANK($C405),"",$D405)</f>
        <v/>
      </c>
      <c r="BM405" s="78" t="str">
        <f aca="false">BA405</f>
        <v/>
      </c>
      <c r="BN405" s="79" t="str">
        <f aca="false">AZ405</f>
        <v/>
      </c>
      <c r="BO405" s="77" t="str">
        <f aca="false">IF(ISBLANK($C405),"",BC405)</f>
        <v/>
      </c>
      <c r="BP405" s="80" t="str">
        <f aca="false">IF($BG405&gt;$BF$7,"",VLOOKUP($BG405,$BI$8:$BO$507,7,FALSE()))</f>
        <v/>
      </c>
      <c r="BQ405" s="81" t="str">
        <f aca="false">IF($BG405&gt;$BF$7,"",VLOOKUP($BG405,$BI$8:$BO$507,2,FALSE()))</f>
        <v/>
      </c>
      <c r="BR405" s="81" t="str">
        <f aca="false">IF($BG405&gt;$BF$7,"",VLOOKUP($BG405,$BI$8:$BO$507,3,FALSE()))</f>
        <v/>
      </c>
      <c r="BS405" s="81" t="str">
        <f aca="false">IF($BG405&gt;$BF$7,"",VLOOKUP($BG405,$BI$8:$BO$507,4,FALSE()))</f>
        <v/>
      </c>
      <c r="BT405" s="81" t="str">
        <f aca="false">IF($BG405&gt;$BF$7,"",VLOOKUP($BG405,$BI$8:$BO$507,5,FALSE()))</f>
        <v/>
      </c>
      <c r="BU405" s="82" t="str">
        <f aca="false">IF($BG405&gt;$BF$7,"",VLOOKUP($BG405,$BI$8:$BO$507,6,FALSE()))</f>
        <v/>
      </c>
      <c r="BV405" s="54"/>
    </row>
    <row r="406" customFormat="false" ht="15.75" hidden="false" customHeight="false" outlineLevel="0" collapsed="false">
      <c r="A406" s="5"/>
      <c r="B406" s="135"/>
      <c r="C406" s="56"/>
      <c r="D406" s="57"/>
      <c r="E406" s="84"/>
      <c r="F406" s="136"/>
      <c r="G406" s="60"/>
      <c r="H406" s="137"/>
      <c r="I406" s="62"/>
      <c r="J406" s="62"/>
      <c r="K406" s="60"/>
      <c r="L406" s="138"/>
      <c r="M406" s="62"/>
      <c r="N406" s="62"/>
      <c r="O406" s="60"/>
      <c r="P406" s="84"/>
      <c r="Q406" s="65"/>
      <c r="R406" s="67" t="str">
        <f aca="false">IF(ISBLANK($C406),"",IF(E406=Constants!$B$2, TRUE(), IF(E406=Constants!$B$3, FALSE(), TRUE())))</f>
        <v/>
      </c>
      <c r="S406" s="67" t="str">
        <f aca="false">IF(ISBLANK($C406),"",IF(F406=Constants!$B$2, TRUE(), IF(F406=Constants!$B$3, FALSE(), TRUE())))</f>
        <v/>
      </c>
      <c r="T406" s="67" t="str">
        <f aca="false">IF(ISBLANK($C406),"",IF(G406=Constants!$B$16,Constants!$B$9,IF(G406=Constants!$B$17,Constants!$B$10,Constants!$B$8)))</f>
        <v/>
      </c>
      <c r="U406" s="67" t="str">
        <f aca="false">IF(ISBLANK($C406),"",IF(H406=Constants!$B$19,Constants!$B$19,Constants!$B$18))</f>
        <v/>
      </c>
      <c r="V406" s="67" t="str">
        <f aca="false">IF(ISBLANK($C406),"",IF(ISNUMBER(I406),IF(I406&gt;=0,I406,""),""))</f>
        <v/>
      </c>
      <c r="W406" s="67" t="str">
        <f aca="false">IF(ISBLANK($C406),"",IF(J406=Constants!$B$2, TRUE(), IF(J406=Constants!$B$3, FALSE(), TRUE())))</f>
        <v/>
      </c>
      <c r="X406" s="67" t="str">
        <f aca="false">IF(ISBLANK($C406),"",IF(K406=Constants!$B$2, TRUE(), IF(K406=Constants!$B$3, FALSE(), TRUE())))</f>
        <v/>
      </c>
      <c r="Y406" s="67" t="str">
        <f aca="false">IF(ISBLANK($C406),"",IF(L406=Constants!$B$19,Constants!$B$19,Constants!$B$18))</f>
        <v/>
      </c>
      <c r="Z406" s="67" t="str">
        <f aca="false">IF(ISBLANK($C406),"",IF(ISNUMBER(M406),IF(M406&gt;=0,M406,""),""))</f>
        <v/>
      </c>
      <c r="AA406" s="67" t="str">
        <f aca="false">IF(ISBLANK($C406),"",IF(N406=Constants!$B$2, TRUE(), IF(N406=Constants!$B$3, FALSE(), TRUE())))</f>
        <v/>
      </c>
      <c r="AB406" s="67" t="str">
        <f aca="false">IF(ISBLANK($C406),"",IF(O406=Constants!$B$2, TRUE(), IF(O406=Constants!$B$3, FALSE(), TRUE())))</f>
        <v/>
      </c>
      <c r="AC406" s="67" t="str">
        <f aca="false">IF(ISBLANK($C406),"",IF(P406=Constants!$B$2, TRUE(), IF(P406=Constants!$B$3, FALSE(), FALSE())))</f>
        <v/>
      </c>
      <c r="AD406" s="67" t="str">
        <f aca="false">IF(ISBLANK($C406),"",AND(V406&lt;&gt;"",IF(U406=Constants!$B$19,S406,R406)))</f>
        <v/>
      </c>
      <c r="AE406" s="67" t="str">
        <f aca="false">IF(ISBLANK($C406),"",AND(Z406&lt;&gt;"",IF(Y406=Constants!$B$19,S406,R406)))</f>
        <v/>
      </c>
      <c r="AF406" s="67" t="str">
        <f aca="false">IF(ISBLANK($C406),"",IF(AC406,Constants!$B$4,IF(COUNTA(E406:O406)=0,Constants!$B$5,IF(AND(NOT(AD406),NOT(AE406)),Constants!$B$6,Constants!$B$7))))</f>
        <v/>
      </c>
      <c r="AG406" s="67" t="str">
        <f aca="false">IF(ISBLANK($C406),"",IF($AF406&lt;&gt;Constants!$B$7,$AF406,Constants!$B$20))</f>
        <v/>
      </c>
      <c r="AH406" s="67" t="str">
        <f aca="false">IF($AF406=Constants!$B$7,IF(AD406,V406,Constants!$B$13),"")</f>
        <v/>
      </c>
      <c r="AI406" s="67" t="str">
        <f aca="false">IF($AF406=Constants!$B$7,IF(AD406,T406*IF(W406, 1, Constants!$B$11)*IF(X406, 1, Constants!$B$12),Constants!$B$13),"")</f>
        <v/>
      </c>
      <c r="AJ406" s="67" t="str">
        <f aca="false">IF($AF406=Constants!$B$7,AH406*AI406,"")</f>
        <v/>
      </c>
      <c r="AK406" s="67" t="str">
        <f aca="false">IF($AF406=Constants!$B$7,IF(AE406,Z406,Constants!$B$13),"")</f>
        <v/>
      </c>
      <c r="AL406" s="67" t="str">
        <f aca="false">IF($AF406=Constants!$B$7,IF(AE406,T406*IF(AA406, 1, Constants!$B$11)*IF(AB406, 1, Constants!$B$12),Constants!$B$13),"")</f>
        <v/>
      </c>
      <c r="AM406" s="67" t="str">
        <f aca="false">IF($AF406=Constants!$B$7,AK406*AL406,"")</f>
        <v/>
      </c>
      <c r="AN406" s="67" t="str">
        <f aca="false">IF($AF406=Constants!$B$7,IF(AM406&gt;AJ406,2,1),"")</f>
        <v/>
      </c>
      <c r="AO406" s="67" t="str">
        <f aca="false">IF($AF406=Constants!$B$7,IF(AN406=1,2,1),"")</f>
        <v/>
      </c>
      <c r="AP406" s="67" t="str">
        <f aca="false">IF(ISBLANK($C406),"",IF($AF406&lt;&gt;Constants!$B$7,$AF406,IF(AN406=1,AJ406,AM406)))</f>
        <v/>
      </c>
      <c r="AQ406" s="67" t="str">
        <f aca="false">IF(ISBLANK($C406),"",IF($AF406=Constants!$B$7,IF(ISNUMBER(AP406),RANK(AP406,$AP$8:$AP$507),Constants!$B$14),$AF406))</f>
        <v/>
      </c>
      <c r="AR406" s="67" t="str">
        <f aca="false">IF(ISBLANK($C406),"",IF($AF406=Constants!$B$7,IF(AO406=1,AJ406,AM406),""))</f>
        <v/>
      </c>
      <c r="AS406" s="67" t="str">
        <f aca="false">IF(ISBLANK($C406),"",IF($AF406=Constants!$B$7,RANK(AR406,$AR$8:$AR$507),$AF406))</f>
        <v/>
      </c>
      <c r="AT406" s="67" t="str">
        <f aca="false">IF(ISBLANK($C406),"",IF($AF406=Constants!$B$7,IF(ISNUMBER(AQ406),COUNTIFS($AQ$8:$AQ$507,"&lt;"&amp;$AQ406)+COUNTIFS($AQ$8:$AQ$507,$AQ406,$AS$8:$AS$507,"&lt;"&amp;$AS406)+1,Constants!$B$14),$AF406))</f>
        <v/>
      </c>
      <c r="AU406" s="67" t="str">
        <f aca="false">IF(ISBLANK($C406),"",IF($AF406=Constants!$B$7,IF(ISNUMBER(AQ406),AQ406-AT406,Constants!$B$14),$AF406))</f>
        <v/>
      </c>
      <c r="AV406" s="69"/>
      <c r="AW406" s="70" t="str">
        <f aca="false">IF(ISBLANK($C406),"",IF($AF406&lt;&gt;Constants!$B$7,"",AN406))</f>
        <v/>
      </c>
      <c r="AX406" s="85" t="str">
        <f aca="false">IF(ISBLANK($C406),"",IF($AF406&lt;&gt;Constants!$B$7,"",IF(AN406=1,AH406,AK406)))</f>
        <v/>
      </c>
      <c r="AY406" s="72" t="str">
        <f aca="false">IF(ISBLANK($C406),"",IF($AF406&lt;&gt;Constants!$B$7,"",IF(AN406=1,AI406,AL406)))</f>
        <v/>
      </c>
      <c r="AZ406" s="73" t="str">
        <f aca="false">IF(ISBLANK($C406),"",IF($AF406&lt;&gt;Constants!$B$7,$AF406,AP406))</f>
        <v/>
      </c>
      <c r="BA406" s="74" t="str">
        <f aca="false">IF(ISBLANK($C406),"",IF($AF406&lt;&gt;Constants!$B$7,$AF406,AG406))</f>
        <v/>
      </c>
      <c r="BB406" s="75" t="str">
        <f aca="false">IF(ISBLANK($C406),"",AU406)</f>
        <v/>
      </c>
      <c r="BC406" s="75" t="str">
        <f aca="false">IF(ISBLANK($C406),"",AT406)</f>
        <v/>
      </c>
      <c r="BD406" s="76" t="str">
        <f aca="false">IF(ISBLANK($C406),"",IFERROR(_xlfn.SWITCH(BC406,Constants!$B$4,COUNTA($C$8:$C$507)+2,Constants!$B$5,COUNTA($C$8:$C$507)+1,Constants!$B$6,COUNTA($C$8:$C$507)),BC406))</f>
        <v/>
      </c>
      <c r="BE406" s="5"/>
      <c r="BF406" s="77" t="n">
        <f aca="false">IF(OR(ISNUMBER(BC406),BC406=Constants!$B$4,BC406=Constants!$B$6,BC406=Constants!$B$5),1,0)</f>
        <v>0</v>
      </c>
      <c r="BG406" s="77" t="n">
        <v>399</v>
      </c>
      <c r="BH406" s="77" t="str">
        <f aca="false">IF(ISBLANK($C406),"",IF(ISNUMBER(BD406),BD406+ROW($B406)/1000,""))</f>
        <v/>
      </c>
      <c r="BI406" s="77" t="str">
        <f aca="false">IF(ISNUMBER(BH406),RANK(BH406,$BH$8:$BH$507,1),"")</f>
        <v/>
      </c>
      <c r="BJ406" s="77" t="str">
        <f aca="false">IF(ISBLANK($C406),"",$B406)</f>
        <v/>
      </c>
      <c r="BK406" s="77" t="str">
        <f aca="false">IF(ISBLANK($C406),"",$C406)</f>
        <v/>
      </c>
      <c r="BL406" s="77" t="str">
        <f aca="false">IF(ISBLANK($C406),"",$D406)</f>
        <v/>
      </c>
      <c r="BM406" s="78" t="str">
        <f aca="false">BA406</f>
        <v/>
      </c>
      <c r="BN406" s="79" t="str">
        <f aca="false">AZ406</f>
        <v/>
      </c>
      <c r="BO406" s="77" t="str">
        <f aca="false">IF(ISBLANK($C406),"",BC406)</f>
        <v/>
      </c>
      <c r="BP406" s="80" t="str">
        <f aca="false">IF($BG406&gt;$BF$7,"",VLOOKUP($BG406,$BI$8:$BO$507,7,FALSE()))</f>
        <v/>
      </c>
      <c r="BQ406" s="81" t="str">
        <f aca="false">IF($BG406&gt;$BF$7,"",VLOOKUP($BG406,$BI$8:$BO$507,2,FALSE()))</f>
        <v/>
      </c>
      <c r="BR406" s="81" t="str">
        <f aca="false">IF($BG406&gt;$BF$7,"",VLOOKUP($BG406,$BI$8:$BO$507,3,FALSE()))</f>
        <v/>
      </c>
      <c r="BS406" s="81" t="str">
        <f aca="false">IF($BG406&gt;$BF$7,"",VLOOKUP($BG406,$BI$8:$BO$507,4,FALSE()))</f>
        <v/>
      </c>
      <c r="BT406" s="81" t="str">
        <f aca="false">IF($BG406&gt;$BF$7,"",VLOOKUP($BG406,$BI$8:$BO$507,5,FALSE()))</f>
        <v/>
      </c>
      <c r="BU406" s="82" t="str">
        <f aca="false">IF($BG406&gt;$BF$7,"",VLOOKUP($BG406,$BI$8:$BO$507,6,FALSE()))</f>
        <v/>
      </c>
      <c r="BV406" s="54"/>
    </row>
    <row r="407" customFormat="false" ht="15.75" hidden="false" customHeight="false" outlineLevel="0" collapsed="false">
      <c r="A407" s="5"/>
      <c r="B407" s="128"/>
      <c r="C407" s="129"/>
      <c r="D407" s="114"/>
      <c r="E407" s="134"/>
      <c r="F407" s="139"/>
      <c r="G407" s="93"/>
      <c r="H407" s="140"/>
      <c r="I407" s="95"/>
      <c r="J407" s="95"/>
      <c r="K407" s="93"/>
      <c r="L407" s="141"/>
      <c r="M407" s="95"/>
      <c r="N407" s="95"/>
      <c r="O407" s="93"/>
      <c r="P407" s="134"/>
      <c r="Q407" s="98"/>
      <c r="R407" s="99" t="str">
        <f aca="false">IF(ISBLANK($C407),"",IF(E407=Constants!$B$2, TRUE(), IF(E407=Constants!$B$3, FALSE(), TRUE())))</f>
        <v/>
      </c>
      <c r="S407" s="99" t="str">
        <f aca="false">IF(ISBLANK($C407),"",IF(F407=Constants!$B$2, TRUE(), IF(F407=Constants!$B$3, FALSE(), TRUE())))</f>
        <v/>
      </c>
      <c r="T407" s="99" t="str">
        <f aca="false">IF(ISBLANK($C407),"",IF(G407=Constants!$B$16,Constants!$B$9,IF(G407=Constants!$B$17,Constants!$B$10,Constants!$B$8)))</f>
        <v/>
      </c>
      <c r="U407" s="99" t="str">
        <f aca="false">IF(ISBLANK($C407),"",IF(H407=Constants!$B$19,Constants!$B$19,Constants!$B$18))</f>
        <v/>
      </c>
      <c r="V407" s="99" t="str">
        <f aca="false">IF(ISBLANK($C407),"",IF(ISNUMBER(I407),IF(I407&gt;=0,I407,""),""))</f>
        <v/>
      </c>
      <c r="W407" s="99" t="str">
        <f aca="false">IF(ISBLANK($C407),"",IF(J407=Constants!$B$2, TRUE(), IF(J407=Constants!$B$3, FALSE(), TRUE())))</f>
        <v/>
      </c>
      <c r="X407" s="99" t="str">
        <f aca="false">IF(ISBLANK($C407),"",IF(K407=Constants!$B$2, TRUE(), IF(K407=Constants!$B$3, FALSE(), TRUE())))</f>
        <v/>
      </c>
      <c r="Y407" s="99" t="str">
        <f aca="false">IF(ISBLANK($C407),"",IF(L407=Constants!$B$19,Constants!$B$19,Constants!$B$18))</f>
        <v/>
      </c>
      <c r="Z407" s="99" t="str">
        <f aca="false">IF(ISBLANK($C407),"",IF(ISNUMBER(M407),IF(M407&gt;=0,M407,""),""))</f>
        <v/>
      </c>
      <c r="AA407" s="99" t="str">
        <f aca="false">IF(ISBLANK($C407),"",IF(N407=Constants!$B$2, TRUE(), IF(N407=Constants!$B$3, FALSE(), TRUE())))</f>
        <v/>
      </c>
      <c r="AB407" s="99" t="str">
        <f aca="false">IF(ISBLANK($C407),"",IF(O407=Constants!$B$2, TRUE(), IF(O407=Constants!$B$3, FALSE(), TRUE())))</f>
        <v/>
      </c>
      <c r="AC407" s="99" t="str">
        <f aca="false">IF(ISBLANK($C407),"",IF(P407=Constants!$B$2, TRUE(), IF(P407=Constants!$B$3, FALSE(), FALSE())))</f>
        <v/>
      </c>
      <c r="AD407" s="99" t="str">
        <f aca="false">IF(ISBLANK($C407),"",AND(V407&lt;&gt;"",IF(U407=Constants!$B$19,S407,R407)))</f>
        <v/>
      </c>
      <c r="AE407" s="99" t="str">
        <f aca="false">IF(ISBLANK($C407),"",AND(Z407&lt;&gt;"",IF(Y407=Constants!$B$19,S407,R407)))</f>
        <v/>
      </c>
      <c r="AF407" s="99" t="str">
        <f aca="false">IF(ISBLANK($C407),"",IF(AC407,Constants!$B$4,IF(COUNTA(E407:O407)=0,Constants!$B$5,IF(AND(NOT(AD407),NOT(AE407)),Constants!$B$6,Constants!$B$7))))</f>
        <v/>
      </c>
      <c r="AG407" s="99" t="str">
        <f aca="false">IF(ISBLANK($C407),"",IF($AF407&lt;&gt;Constants!$B$7,$AF407,Constants!$B$20))</f>
        <v/>
      </c>
      <c r="AH407" s="99" t="str">
        <f aca="false">IF($AF407=Constants!$B$7,IF(AD407,V407,Constants!$B$13),"")</f>
        <v/>
      </c>
      <c r="AI407" s="99" t="str">
        <f aca="false">IF($AF407=Constants!$B$7,IF(AD407,T407*IF(W407, 1, Constants!$B$11)*IF(X407, 1, Constants!$B$12),Constants!$B$13),"")</f>
        <v/>
      </c>
      <c r="AJ407" s="99" t="str">
        <f aca="false">IF($AF407=Constants!$B$7,AH407*AI407,"")</f>
        <v/>
      </c>
      <c r="AK407" s="99" t="str">
        <f aca="false">IF($AF407=Constants!$B$7,IF(AE407,Z407,Constants!$B$13),"")</f>
        <v/>
      </c>
      <c r="AL407" s="99" t="str">
        <f aca="false">IF($AF407=Constants!$B$7,IF(AE407,T407*IF(AA407, 1, Constants!$B$11)*IF(AB407, 1, Constants!$B$12),Constants!$B$13),"")</f>
        <v/>
      </c>
      <c r="AM407" s="99" t="str">
        <f aca="false">IF($AF407=Constants!$B$7,AK407*AL407,"")</f>
        <v/>
      </c>
      <c r="AN407" s="99" t="str">
        <f aca="false">IF($AF407=Constants!$B$7,IF(AM407&gt;AJ407,2,1),"")</f>
        <v/>
      </c>
      <c r="AO407" s="99" t="str">
        <f aca="false">IF($AF407=Constants!$B$7,IF(AN407=1,2,1),"")</f>
        <v/>
      </c>
      <c r="AP407" s="99" t="str">
        <f aca="false">IF(ISBLANK($C407),"",IF($AF407&lt;&gt;Constants!$B$7,$AF407,IF(AN407=1,AJ407,AM407)))</f>
        <v/>
      </c>
      <c r="AQ407" s="99" t="str">
        <f aca="false">IF(ISBLANK($C407),"",IF($AF407=Constants!$B$7,IF(ISNUMBER(AP407),RANK(AP407,$AP$8:$AP$507),Constants!$B$14),$AF407))</f>
        <v/>
      </c>
      <c r="AR407" s="99" t="str">
        <f aca="false">IF(ISBLANK($C407),"",IF($AF407=Constants!$B$7,IF(AO407=1,AJ407,AM407),""))</f>
        <v/>
      </c>
      <c r="AS407" s="99" t="str">
        <f aca="false">IF(ISBLANK($C407),"",IF($AF407=Constants!$B$7,RANK(AR407,$AR$8:$AR$507),$AF407))</f>
        <v/>
      </c>
      <c r="AT407" s="99" t="str">
        <f aca="false">IF(ISBLANK($C407),"",IF($AF407=Constants!$B$7,IF(ISNUMBER(AQ407),COUNTIFS($AQ$8:$AQ$507,"&lt;"&amp;$AQ407)+COUNTIFS($AQ$8:$AQ$507,$AQ407,$AS$8:$AS$507,"&lt;"&amp;$AS407)+1,Constants!$B$14),$AF407))</f>
        <v/>
      </c>
      <c r="AU407" s="99" t="str">
        <f aca="false">IF(ISBLANK($C407),"",IF($AF407=Constants!$B$7,IF(ISNUMBER(AQ407),AQ407-AT407,Constants!$B$14),$AF407))</f>
        <v/>
      </c>
      <c r="AV407" s="100"/>
      <c r="AW407" s="101" t="str">
        <f aca="false">IF(ISBLANK($C407),"",IF($AF407&lt;&gt;Constants!$B$7,"",AN407))</f>
        <v/>
      </c>
      <c r="AX407" s="102" t="str">
        <f aca="false">IF(ISBLANK($C407),"",IF($AF407&lt;&gt;Constants!$B$7,"",IF(AN407=1,AH407,AK407)))</f>
        <v/>
      </c>
      <c r="AY407" s="103" t="str">
        <f aca="false">IF(ISBLANK($C407),"",IF($AF407&lt;&gt;Constants!$B$7,"",IF(AN407=1,AI407,AL407)))</f>
        <v/>
      </c>
      <c r="AZ407" s="104" t="str">
        <f aca="false">IF(ISBLANK($C407),"",IF($AF407&lt;&gt;Constants!$B$7,$AF407,AP407))</f>
        <v/>
      </c>
      <c r="BA407" s="105" t="str">
        <f aca="false">IF(ISBLANK($C407),"",IF($AF407&lt;&gt;Constants!$B$7,$AF407,AG407))</f>
        <v/>
      </c>
      <c r="BB407" s="106" t="str">
        <f aca="false">IF(ISBLANK($C407),"",AU407)</f>
        <v/>
      </c>
      <c r="BC407" s="106" t="str">
        <f aca="false">IF(ISBLANK($C407),"",AT407)</f>
        <v/>
      </c>
      <c r="BD407" s="107" t="str">
        <f aca="false">IF(ISBLANK($C407),"",IFERROR(_xlfn.SWITCH(BC407,Constants!$B$4,COUNTA($C$8:$C$507)+2,Constants!$B$5,COUNTA($C$8:$C$507)+1,Constants!$B$6,COUNTA($C$8:$C$507)),BC407))</f>
        <v/>
      </c>
      <c r="BE407" s="5"/>
      <c r="BF407" s="108" t="n">
        <f aca="false">IF(OR(ISNUMBER(BC407),BC407=Constants!$B$4,BC407=Constants!$B$6,BC407=Constants!$B$5),1,0)</f>
        <v>0</v>
      </c>
      <c r="BG407" s="108" t="n">
        <v>400</v>
      </c>
      <c r="BH407" s="108" t="str">
        <f aca="false">IF(ISBLANK($C407),"",IF(ISNUMBER(BD407),BD407+ROW($B407)/1000,""))</f>
        <v/>
      </c>
      <c r="BI407" s="108" t="str">
        <f aca="false">IF(ISNUMBER(BH407),RANK(BH407,$BH$8:$BH$507,1),"")</f>
        <v/>
      </c>
      <c r="BJ407" s="108" t="str">
        <f aca="false">IF(ISBLANK($C407),"",$B407)</f>
        <v/>
      </c>
      <c r="BK407" s="108" t="str">
        <f aca="false">IF(ISBLANK($C407),"",$C407)</f>
        <v/>
      </c>
      <c r="BL407" s="108" t="str">
        <f aca="false">IF(ISBLANK($C407),"",$D407)</f>
        <v/>
      </c>
      <c r="BM407" s="109" t="str">
        <f aca="false">BA407</f>
        <v/>
      </c>
      <c r="BN407" s="110" t="str">
        <f aca="false">AZ407</f>
        <v/>
      </c>
      <c r="BO407" s="108" t="str">
        <f aca="false">IF(ISBLANK($C407),"",BC407)</f>
        <v/>
      </c>
      <c r="BP407" s="111" t="str">
        <f aca="false">IF($BG407&gt;$BF$7,"",VLOOKUP($BG407,$BI$8:$BO$507,7,FALSE()))</f>
        <v/>
      </c>
      <c r="BQ407" s="112" t="str">
        <f aca="false">IF($BG407&gt;$BF$7,"",VLOOKUP($BG407,$BI$8:$BO$507,2,FALSE()))</f>
        <v/>
      </c>
      <c r="BR407" s="112" t="str">
        <f aca="false">IF($BG407&gt;$BF$7,"",VLOOKUP($BG407,$BI$8:$BO$507,3,FALSE()))</f>
        <v/>
      </c>
      <c r="BS407" s="112" t="str">
        <f aca="false">IF($BG407&gt;$BF$7,"",VLOOKUP($BG407,$BI$8:$BO$507,4,FALSE()))</f>
        <v/>
      </c>
      <c r="BT407" s="112" t="str">
        <f aca="false">IF($BG407&gt;$BF$7,"",VLOOKUP($BG407,$BI$8:$BO$507,5,FALSE()))</f>
        <v/>
      </c>
      <c r="BU407" s="113" t="str">
        <f aca="false">IF($BG407&gt;$BF$7,"",VLOOKUP($BG407,$BI$8:$BO$507,6,FALSE()))</f>
        <v/>
      </c>
      <c r="BV407" s="54"/>
    </row>
    <row r="408" customFormat="false" ht="15.75" hidden="false" customHeight="false" outlineLevel="0" collapsed="false">
      <c r="A408" s="5"/>
      <c r="B408" s="128"/>
      <c r="C408" s="129"/>
      <c r="D408" s="114"/>
      <c r="E408" s="134"/>
      <c r="F408" s="139"/>
      <c r="G408" s="93"/>
      <c r="H408" s="140"/>
      <c r="I408" s="95"/>
      <c r="J408" s="95"/>
      <c r="K408" s="93"/>
      <c r="L408" s="141"/>
      <c r="M408" s="95"/>
      <c r="N408" s="95"/>
      <c r="O408" s="93"/>
      <c r="P408" s="134"/>
      <c r="Q408" s="98"/>
      <c r="R408" s="99" t="str">
        <f aca="false">IF(ISBLANK($C408),"",IF(E408=Constants!$B$2, TRUE(), IF(E408=Constants!$B$3, FALSE(), TRUE())))</f>
        <v/>
      </c>
      <c r="S408" s="99" t="str">
        <f aca="false">IF(ISBLANK($C408),"",IF(F408=Constants!$B$2, TRUE(), IF(F408=Constants!$B$3, FALSE(), TRUE())))</f>
        <v/>
      </c>
      <c r="T408" s="99" t="str">
        <f aca="false">IF(ISBLANK($C408),"",IF(G408=Constants!$B$16,Constants!$B$9,IF(G408=Constants!$B$17,Constants!$B$10,Constants!$B$8)))</f>
        <v/>
      </c>
      <c r="U408" s="99" t="str">
        <f aca="false">IF(ISBLANK($C408),"",IF(H408=Constants!$B$19,Constants!$B$19,Constants!$B$18))</f>
        <v/>
      </c>
      <c r="V408" s="99" t="str">
        <f aca="false">IF(ISBLANK($C408),"",IF(ISNUMBER(I408),IF(I408&gt;=0,I408,""),""))</f>
        <v/>
      </c>
      <c r="W408" s="99" t="str">
        <f aca="false">IF(ISBLANK($C408),"",IF(J408=Constants!$B$2, TRUE(), IF(J408=Constants!$B$3, FALSE(), TRUE())))</f>
        <v/>
      </c>
      <c r="X408" s="99" t="str">
        <f aca="false">IF(ISBLANK($C408),"",IF(K408=Constants!$B$2, TRUE(), IF(K408=Constants!$B$3, FALSE(), TRUE())))</f>
        <v/>
      </c>
      <c r="Y408" s="99" t="str">
        <f aca="false">IF(ISBLANK($C408),"",IF(L408=Constants!$B$19,Constants!$B$19,Constants!$B$18))</f>
        <v/>
      </c>
      <c r="Z408" s="99" t="str">
        <f aca="false">IF(ISBLANK($C408),"",IF(ISNUMBER(M408),IF(M408&gt;=0,M408,""),""))</f>
        <v/>
      </c>
      <c r="AA408" s="99" t="str">
        <f aca="false">IF(ISBLANK($C408),"",IF(N408=Constants!$B$2, TRUE(), IF(N408=Constants!$B$3, FALSE(), TRUE())))</f>
        <v/>
      </c>
      <c r="AB408" s="99" t="str">
        <f aca="false">IF(ISBLANK($C408),"",IF(O408=Constants!$B$2, TRUE(), IF(O408=Constants!$B$3, FALSE(), TRUE())))</f>
        <v/>
      </c>
      <c r="AC408" s="99" t="str">
        <f aca="false">IF(ISBLANK($C408),"",IF(P408=Constants!$B$2, TRUE(), IF(P408=Constants!$B$3, FALSE(), FALSE())))</f>
        <v/>
      </c>
      <c r="AD408" s="99" t="str">
        <f aca="false">IF(ISBLANK($C408),"",AND(V408&lt;&gt;"",IF(U408=Constants!$B$19,S408,R408)))</f>
        <v/>
      </c>
      <c r="AE408" s="99" t="str">
        <f aca="false">IF(ISBLANK($C408),"",AND(Z408&lt;&gt;"",IF(Y408=Constants!$B$19,S408,R408)))</f>
        <v/>
      </c>
      <c r="AF408" s="99" t="str">
        <f aca="false">IF(ISBLANK($C408),"",IF(AC408,Constants!$B$4,IF(COUNTA(E408:O408)=0,Constants!$B$5,IF(AND(NOT(AD408),NOT(AE408)),Constants!$B$6,Constants!$B$7))))</f>
        <v/>
      </c>
      <c r="AG408" s="99" t="str">
        <f aca="false">IF(ISBLANK($C408),"",IF($AF408&lt;&gt;Constants!$B$7,$AF408,Constants!$B$20))</f>
        <v/>
      </c>
      <c r="AH408" s="99" t="str">
        <f aca="false">IF($AF408=Constants!$B$7,IF(AD408,V408,Constants!$B$13),"")</f>
        <v/>
      </c>
      <c r="AI408" s="99" t="str">
        <f aca="false">IF($AF408=Constants!$B$7,IF(AD408,T408*IF(W408, 1, Constants!$B$11)*IF(X408, 1, Constants!$B$12),Constants!$B$13),"")</f>
        <v/>
      </c>
      <c r="AJ408" s="99" t="str">
        <f aca="false">IF($AF408=Constants!$B$7,AH408*AI408,"")</f>
        <v/>
      </c>
      <c r="AK408" s="99" t="str">
        <f aca="false">IF($AF408=Constants!$B$7,IF(AE408,Z408,Constants!$B$13),"")</f>
        <v/>
      </c>
      <c r="AL408" s="99" t="str">
        <f aca="false">IF($AF408=Constants!$B$7,IF(AE408,T408*IF(AA408, 1, Constants!$B$11)*IF(AB408, 1, Constants!$B$12),Constants!$B$13),"")</f>
        <v/>
      </c>
      <c r="AM408" s="99" t="str">
        <f aca="false">IF($AF408=Constants!$B$7,AK408*AL408,"")</f>
        <v/>
      </c>
      <c r="AN408" s="99" t="str">
        <f aca="false">IF($AF408=Constants!$B$7,IF(AM408&gt;AJ408,2,1),"")</f>
        <v/>
      </c>
      <c r="AO408" s="99" t="str">
        <f aca="false">IF($AF408=Constants!$B$7,IF(AN408=1,2,1),"")</f>
        <v/>
      </c>
      <c r="AP408" s="99" t="str">
        <f aca="false">IF(ISBLANK($C408),"",IF($AF408&lt;&gt;Constants!$B$7,$AF408,IF(AN408=1,AJ408,AM408)))</f>
        <v/>
      </c>
      <c r="AQ408" s="99" t="str">
        <f aca="false">IF(ISBLANK($C408),"",IF($AF408=Constants!$B$7,IF(ISNUMBER(AP408),RANK(AP408,$AP$8:$AP$507),Constants!$B$14),$AF408))</f>
        <v/>
      </c>
      <c r="AR408" s="99" t="str">
        <f aca="false">IF(ISBLANK($C408),"",IF($AF408=Constants!$B$7,IF(AO408=1,AJ408,AM408),""))</f>
        <v/>
      </c>
      <c r="AS408" s="99" t="str">
        <f aca="false">IF(ISBLANK($C408),"",IF($AF408=Constants!$B$7,RANK(AR408,$AR$8:$AR$507),$AF408))</f>
        <v/>
      </c>
      <c r="AT408" s="99" t="str">
        <f aca="false">IF(ISBLANK($C408),"",IF($AF408=Constants!$B$7,IF(ISNUMBER(AQ408),COUNTIFS($AQ$8:$AQ$507,"&lt;"&amp;$AQ408)+COUNTIFS($AQ$8:$AQ$507,$AQ408,$AS$8:$AS$507,"&lt;"&amp;$AS408)+1,Constants!$B$14),$AF408))</f>
        <v/>
      </c>
      <c r="AU408" s="99" t="str">
        <f aca="false">IF(ISBLANK($C408),"",IF($AF408=Constants!$B$7,IF(ISNUMBER(AQ408),AQ408-AT408,Constants!$B$14),$AF408))</f>
        <v/>
      </c>
      <c r="AV408" s="100"/>
      <c r="AW408" s="101" t="str">
        <f aca="false">IF(ISBLANK($C408),"",IF($AF408&lt;&gt;Constants!$B$7,"",AN408))</f>
        <v/>
      </c>
      <c r="AX408" s="102" t="str">
        <f aca="false">IF(ISBLANK($C408),"",IF($AF408&lt;&gt;Constants!$B$7,"",IF(AN408=1,AH408,AK408)))</f>
        <v/>
      </c>
      <c r="AY408" s="103" t="str">
        <f aca="false">IF(ISBLANK($C408),"",IF($AF408&lt;&gt;Constants!$B$7,"",IF(AN408=1,AI408,AL408)))</f>
        <v/>
      </c>
      <c r="AZ408" s="104" t="str">
        <f aca="false">IF(ISBLANK($C408),"",IF($AF408&lt;&gt;Constants!$B$7,$AF408,AP408))</f>
        <v/>
      </c>
      <c r="BA408" s="105" t="str">
        <f aca="false">IF(ISBLANK($C408),"",IF($AF408&lt;&gt;Constants!$B$7,$AF408,AG408))</f>
        <v/>
      </c>
      <c r="BB408" s="106" t="str">
        <f aca="false">IF(ISBLANK($C408),"",AU408)</f>
        <v/>
      </c>
      <c r="BC408" s="106" t="str">
        <f aca="false">IF(ISBLANK($C408),"",AT408)</f>
        <v/>
      </c>
      <c r="BD408" s="107" t="str">
        <f aca="false">IF(ISBLANK($C408),"",IFERROR(_xlfn.SWITCH(BC408,Constants!$B$4,COUNTA($C$8:$C$507)+2,Constants!$B$5,COUNTA($C$8:$C$507)+1,Constants!$B$6,COUNTA($C$8:$C$507)),BC408))</f>
        <v/>
      </c>
      <c r="BE408" s="5"/>
      <c r="BF408" s="108" t="n">
        <f aca="false">IF(OR(ISNUMBER(BC408),BC408=Constants!$B$4,BC408=Constants!$B$6,BC408=Constants!$B$5),1,0)</f>
        <v>0</v>
      </c>
      <c r="BG408" s="108" t="n">
        <v>401</v>
      </c>
      <c r="BH408" s="108" t="str">
        <f aca="false">IF(ISBLANK($C408),"",IF(ISNUMBER(BD408),BD408+ROW($B408)/1000,""))</f>
        <v/>
      </c>
      <c r="BI408" s="108" t="str">
        <f aca="false">IF(ISNUMBER(BH408),RANK(BH408,$BH$8:$BH$507,1),"")</f>
        <v/>
      </c>
      <c r="BJ408" s="108" t="str">
        <f aca="false">IF(ISBLANK($C408),"",$B408)</f>
        <v/>
      </c>
      <c r="BK408" s="108" t="str">
        <f aca="false">IF(ISBLANK($C408),"",$C408)</f>
        <v/>
      </c>
      <c r="BL408" s="108" t="str">
        <f aca="false">IF(ISBLANK($C408),"",$D408)</f>
        <v/>
      </c>
      <c r="BM408" s="109" t="str">
        <f aca="false">BA408</f>
        <v/>
      </c>
      <c r="BN408" s="110" t="str">
        <f aca="false">AZ408</f>
        <v/>
      </c>
      <c r="BO408" s="108" t="str">
        <f aca="false">IF(ISBLANK($C408),"",BC408)</f>
        <v/>
      </c>
      <c r="BP408" s="111" t="str">
        <f aca="false">IF($BG408&gt;$BF$7,"",VLOOKUP($BG408,$BI$8:$BO$507,7,FALSE()))</f>
        <v/>
      </c>
      <c r="BQ408" s="112" t="str">
        <f aca="false">IF($BG408&gt;$BF$7,"",VLOOKUP($BG408,$BI$8:$BO$507,2,FALSE()))</f>
        <v/>
      </c>
      <c r="BR408" s="112" t="str">
        <f aca="false">IF($BG408&gt;$BF$7,"",VLOOKUP($BG408,$BI$8:$BO$507,3,FALSE()))</f>
        <v/>
      </c>
      <c r="BS408" s="112" t="str">
        <f aca="false">IF($BG408&gt;$BF$7,"",VLOOKUP($BG408,$BI$8:$BO$507,4,FALSE()))</f>
        <v/>
      </c>
      <c r="BT408" s="112" t="str">
        <f aca="false">IF($BG408&gt;$BF$7,"",VLOOKUP($BG408,$BI$8:$BO$507,5,FALSE()))</f>
        <v/>
      </c>
      <c r="BU408" s="113" t="str">
        <f aca="false">IF($BG408&gt;$BF$7,"",VLOOKUP($BG408,$BI$8:$BO$507,6,FALSE()))</f>
        <v/>
      </c>
      <c r="BV408" s="54"/>
    </row>
    <row r="409" customFormat="false" ht="15.75" hidden="false" customHeight="false" outlineLevel="0" collapsed="false">
      <c r="A409" s="5"/>
      <c r="B409" s="128"/>
      <c r="C409" s="129"/>
      <c r="D409" s="114"/>
      <c r="E409" s="134"/>
      <c r="F409" s="139"/>
      <c r="G409" s="93"/>
      <c r="H409" s="140"/>
      <c r="I409" s="95"/>
      <c r="J409" s="95"/>
      <c r="K409" s="93"/>
      <c r="L409" s="141"/>
      <c r="M409" s="95"/>
      <c r="N409" s="95"/>
      <c r="O409" s="93"/>
      <c r="P409" s="134"/>
      <c r="Q409" s="98"/>
      <c r="R409" s="99" t="str">
        <f aca="false">IF(ISBLANK($C409),"",IF(E409=Constants!$B$2, TRUE(), IF(E409=Constants!$B$3, FALSE(), TRUE())))</f>
        <v/>
      </c>
      <c r="S409" s="99" t="str">
        <f aca="false">IF(ISBLANK($C409),"",IF(F409=Constants!$B$2, TRUE(), IF(F409=Constants!$B$3, FALSE(), TRUE())))</f>
        <v/>
      </c>
      <c r="T409" s="99" t="str">
        <f aca="false">IF(ISBLANK($C409),"",IF(G409=Constants!$B$16,Constants!$B$9,IF(G409=Constants!$B$17,Constants!$B$10,Constants!$B$8)))</f>
        <v/>
      </c>
      <c r="U409" s="99" t="str">
        <f aca="false">IF(ISBLANK($C409),"",IF(H409=Constants!$B$19,Constants!$B$19,Constants!$B$18))</f>
        <v/>
      </c>
      <c r="V409" s="99" t="str">
        <f aca="false">IF(ISBLANK($C409),"",IF(ISNUMBER(I409),IF(I409&gt;=0,I409,""),""))</f>
        <v/>
      </c>
      <c r="W409" s="99" t="str">
        <f aca="false">IF(ISBLANK($C409),"",IF(J409=Constants!$B$2, TRUE(), IF(J409=Constants!$B$3, FALSE(), TRUE())))</f>
        <v/>
      </c>
      <c r="X409" s="99" t="str">
        <f aca="false">IF(ISBLANK($C409),"",IF(K409=Constants!$B$2, TRUE(), IF(K409=Constants!$B$3, FALSE(), TRUE())))</f>
        <v/>
      </c>
      <c r="Y409" s="99" t="str">
        <f aca="false">IF(ISBLANK($C409),"",IF(L409=Constants!$B$19,Constants!$B$19,Constants!$B$18))</f>
        <v/>
      </c>
      <c r="Z409" s="99" t="str">
        <f aca="false">IF(ISBLANK($C409),"",IF(ISNUMBER(M409),IF(M409&gt;=0,M409,""),""))</f>
        <v/>
      </c>
      <c r="AA409" s="99" t="str">
        <f aca="false">IF(ISBLANK($C409),"",IF(N409=Constants!$B$2, TRUE(), IF(N409=Constants!$B$3, FALSE(), TRUE())))</f>
        <v/>
      </c>
      <c r="AB409" s="99" t="str">
        <f aca="false">IF(ISBLANK($C409),"",IF(O409=Constants!$B$2, TRUE(), IF(O409=Constants!$B$3, FALSE(), TRUE())))</f>
        <v/>
      </c>
      <c r="AC409" s="99" t="str">
        <f aca="false">IF(ISBLANK($C409),"",IF(P409=Constants!$B$2, TRUE(), IF(P409=Constants!$B$3, FALSE(), FALSE())))</f>
        <v/>
      </c>
      <c r="AD409" s="99" t="str">
        <f aca="false">IF(ISBLANK($C409),"",AND(V409&lt;&gt;"",IF(U409=Constants!$B$19,S409,R409)))</f>
        <v/>
      </c>
      <c r="AE409" s="99" t="str">
        <f aca="false">IF(ISBLANK($C409),"",AND(Z409&lt;&gt;"",IF(Y409=Constants!$B$19,S409,R409)))</f>
        <v/>
      </c>
      <c r="AF409" s="99" t="str">
        <f aca="false">IF(ISBLANK($C409),"",IF(AC409,Constants!$B$4,IF(COUNTA(E409:O409)=0,Constants!$B$5,IF(AND(NOT(AD409),NOT(AE409)),Constants!$B$6,Constants!$B$7))))</f>
        <v/>
      </c>
      <c r="AG409" s="99" t="str">
        <f aca="false">IF(ISBLANK($C409),"",IF($AF409&lt;&gt;Constants!$B$7,$AF409,Constants!$B$20))</f>
        <v/>
      </c>
      <c r="AH409" s="99" t="str">
        <f aca="false">IF($AF409=Constants!$B$7,IF(AD409,V409,Constants!$B$13),"")</f>
        <v/>
      </c>
      <c r="AI409" s="99" t="str">
        <f aca="false">IF($AF409=Constants!$B$7,IF(AD409,T409*IF(W409, 1, Constants!$B$11)*IF(X409, 1, Constants!$B$12),Constants!$B$13),"")</f>
        <v/>
      </c>
      <c r="AJ409" s="99" t="str">
        <f aca="false">IF($AF409=Constants!$B$7,AH409*AI409,"")</f>
        <v/>
      </c>
      <c r="AK409" s="99" t="str">
        <f aca="false">IF($AF409=Constants!$B$7,IF(AE409,Z409,Constants!$B$13),"")</f>
        <v/>
      </c>
      <c r="AL409" s="99" t="str">
        <f aca="false">IF($AF409=Constants!$B$7,IF(AE409,T409*IF(AA409, 1, Constants!$B$11)*IF(AB409, 1, Constants!$B$12),Constants!$B$13),"")</f>
        <v/>
      </c>
      <c r="AM409" s="99" t="str">
        <f aca="false">IF($AF409=Constants!$B$7,AK409*AL409,"")</f>
        <v/>
      </c>
      <c r="AN409" s="99" t="str">
        <f aca="false">IF($AF409=Constants!$B$7,IF(AM409&gt;AJ409,2,1),"")</f>
        <v/>
      </c>
      <c r="AO409" s="99" t="str">
        <f aca="false">IF($AF409=Constants!$B$7,IF(AN409=1,2,1),"")</f>
        <v/>
      </c>
      <c r="AP409" s="99" t="str">
        <f aca="false">IF(ISBLANK($C409),"",IF($AF409&lt;&gt;Constants!$B$7,$AF409,IF(AN409=1,AJ409,AM409)))</f>
        <v/>
      </c>
      <c r="AQ409" s="99" t="str">
        <f aca="false">IF(ISBLANK($C409),"",IF($AF409=Constants!$B$7,IF(ISNUMBER(AP409),RANK(AP409,$AP$8:$AP$507),Constants!$B$14),$AF409))</f>
        <v/>
      </c>
      <c r="AR409" s="99" t="str">
        <f aca="false">IF(ISBLANK($C409),"",IF($AF409=Constants!$B$7,IF(AO409=1,AJ409,AM409),""))</f>
        <v/>
      </c>
      <c r="AS409" s="99" t="str">
        <f aca="false">IF(ISBLANK($C409),"",IF($AF409=Constants!$B$7,RANK(AR409,$AR$8:$AR$507),$AF409))</f>
        <v/>
      </c>
      <c r="AT409" s="99" t="str">
        <f aca="false">IF(ISBLANK($C409),"",IF($AF409=Constants!$B$7,IF(ISNUMBER(AQ409),COUNTIFS($AQ$8:$AQ$507,"&lt;"&amp;$AQ409)+COUNTIFS($AQ$8:$AQ$507,$AQ409,$AS$8:$AS$507,"&lt;"&amp;$AS409)+1,Constants!$B$14),$AF409))</f>
        <v/>
      </c>
      <c r="AU409" s="99" t="str">
        <f aca="false">IF(ISBLANK($C409),"",IF($AF409=Constants!$B$7,IF(ISNUMBER(AQ409),AQ409-AT409,Constants!$B$14),$AF409))</f>
        <v/>
      </c>
      <c r="AV409" s="100"/>
      <c r="AW409" s="101" t="str">
        <f aca="false">IF(ISBLANK($C409),"",IF($AF409&lt;&gt;Constants!$B$7,"",AN409))</f>
        <v/>
      </c>
      <c r="AX409" s="102" t="str">
        <f aca="false">IF(ISBLANK($C409),"",IF($AF409&lt;&gt;Constants!$B$7,"",IF(AN409=1,AH409,AK409)))</f>
        <v/>
      </c>
      <c r="AY409" s="103" t="str">
        <f aca="false">IF(ISBLANK($C409),"",IF($AF409&lt;&gt;Constants!$B$7,"",IF(AN409=1,AI409,AL409)))</f>
        <v/>
      </c>
      <c r="AZ409" s="104" t="str">
        <f aca="false">IF(ISBLANK($C409),"",IF($AF409&lt;&gt;Constants!$B$7,$AF409,AP409))</f>
        <v/>
      </c>
      <c r="BA409" s="105" t="str">
        <f aca="false">IF(ISBLANK($C409),"",IF($AF409&lt;&gt;Constants!$B$7,$AF409,AG409))</f>
        <v/>
      </c>
      <c r="BB409" s="106" t="str">
        <f aca="false">IF(ISBLANK($C409),"",AU409)</f>
        <v/>
      </c>
      <c r="BC409" s="106" t="str">
        <f aca="false">IF(ISBLANK($C409),"",AT409)</f>
        <v/>
      </c>
      <c r="BD409" s="107" t="str">
        <f aca="false">IF(ISBLANK($C409),"",IFERROR(_xlfn.SWITCH(BC409,Constants!$B$4,COUNTA($C$8:$C$507)+2,Constants!$B$5,COUNTA($C$8:$C$507)+1,Constants!$B$6,COUNTA($C$8:$C$507)),BC409))</f>
        <v/>
      </c>
      <c r="BE409" s="5"/>
      <c r="BF409" s="108" t="n">
        <f aca="false">IF(OR(ISNUMBER(BC409),BC409=Constants!$B$4,BC409=Constants!$B$6,BC409=Constants!$B$5),1,0)</f>
        <v>0</v>
      </c>
      <c r="BG409" s="108" t="n">
        <v>402</v>
      </c>
      <c r="BH409" s="108" t="str">
        <f aca="false">IF(ISBLANK($C409),"",IF(ISNUMBER(BD409),BD409+ROW($B409)/1000,""))</f>
        <v/>
      </c>
      <c r="BI409" s="108" t="str">
        <f aca="false">IF(ISNUMBER(BH409),RANK(BH409,$BH$8:$BH$507,1),"")</f>
        <v/>
      </c>
      <c r="BJ409" s="108" t="str">
        <f aca="false">IF(ISBLANK($C409),"",$B409)</f>
        <v/>
      </c>
      <c r="BK409" s="108" t="str">
        <f aca="false">IF(ISBLANK($C409),"",$C409)</f>
        <v/>
      </c>
      <c r="BL409" s="108" t="str">
        <f aca="false">IF(ISBLANK($C409),"",$D409)</f>
        <v/>
      </c>
      <c r="BM409" s="109" t="str">
        <f aca="false">BA409</f>
        <v/>
      </c>
      <c r="BN409" s="110" t="str">
        <f aca="false">AZ409</f>
        <v/>
      </c>
      <c r="BO409" s="108" t="str">
        <f aca="false">IF(ISBLANK($C409),"",BC409)</f>
        <v/>
      </c>
      <c r="BP409" s="111" t="str">
        <f aca="false">IF($BG409&gt;$BF$7,"",VLOOKUP($BG409,$BI$8:$BO$507,7,FALSE()))</f>
        <v/>
      </c>
      <c r="BQ409" s="112" t="str">
        <f aca="false">IF($BG409&gt;$BF$7,"",VLOOKUP($BG409,$BI$8:$BO$507,2,FALSE()))</f>
        <v/>
      </c>
      <c r="BR409" s="112" t="str">
        <f aca="false">IF($BG409&gt;$BF$7,"",VLOOKUP($BG409,$BI$8:$BO$507,3,FALSE()))</f>
        <v/>
      </c>
      <c r="BS409" s="112" t="str">
        <f aca="false">IF($BG409&gt;$BF$7,"",VLOOKUP($BG409,$BI$8:$BO$507,4,FALSE()))</f>
        <v/>
      </c>
      <c r="BT409" s="112" t="str">
        <f aca="false">IF($BG409&gt;$BF$7,"",VLOOKUP($BG409,$BI$8:$BO$507,5,FALSE()))</f>
        <v/>
      </c>
      <c r="BU409" s="113" t="str">
        <f aca="false">IF($BG409&gt;$BF$7,"",VLOOKUP($BG409,$BI$8:$BO$507,6,FALSE()))</f>
        <v/>
      </c>
      <c r="BV409" s="54"/>
    </row>
    <row r="410" customFormat="false" ht="15.75" hidden="false" customHeight="false" outlineLevel="0" collapsed="false">
      <c r="A410" s="5"/>
      <c r="B410" s="135"/>
      <c r="C410" s="56"/>
      <c r="D410" s="57"/>
      <c r="E410" s="84"/>
      <c r="F410" s="136"/>
      <c r="G410" s="60"/>
      <c r="H410" s="137"/>
      <c r="I410" s="62"/>
      <c r="J410" s="62"/>
      <c r="K410" s="60"/>
      <c r="L410" s="138"/>
      <c r="M410" s="62"/>
      <c r="N410" s="62"/>
      <c r="O410" s="60"/>
      <c r="P410" s="84"/>
      <c r="Q410" s="65"/>
      <c r="R410" s="67" t="str">
        <f aca="false">IF(ISBLANK($C410),"",IF(E410=Constants!$B$2, TRUE(), IF(E410=Constants!$B$3, FALSE(), TRUE())))</f>
        <v/>
      </c>
      <c r="S410" s="67" t="str">
        <f aca="false">IF(ISBLANK($C410),"",IF(F410=Constants!$B$2, TRUE(), IF(F410=Constants!$B$3, FALSE(), TRUE())))</f>
        <v/>
      </c>
      <c r="T410" s="67" t="str">
        <f aca="false">IF(ISBLANK($C410),"",IF(G410=Constants!$B$16,Constants!$B$9,IF(G410=Constants!$B$17,Constants!$B$10,Constants!$B$8)))</f>
        <v/>
      </c>
      <c r="U410" s="67" t="str">
        <f aca="false">IF(ISBLANK($C410),"",IF(H410=Constants!$B$19,Constants!$B$19,Constants!$B$18))</f>
        <v/>
      </c>
      <c r="V410" s="67" t="str">
        <f aca="false">IF(ISBLANK($C410),"",IF(ISNUMBER(I410),IF(I410&gt;=0,I410,""),""))</f>
        <v/>
      </c>
      <c r="W410" s="67" t="str">
        <f aca="false">IF(ISBLANK($C410),"",IF(J410=Constants!$B$2, TRUE(), IF(J410=Constants!$B$3, FALSE(), TRUE())))</f>
        <v/>
      </c>
      <c r="X410" s="67" t="str">
        <f aca="false">IF(ISBLANK($C410),"",IF(K410=Constants!$B$2, TRUE(), IF(K410=Constants!$B$3, FALSE(), TRUE())))</f>
        <v/>
      </c>
      <c r="Y410" s="67" t="str">
        <f aca="false">IF(ISBLANK($C410),"",IF(L410=Constants!$B$19,Constants!$B$19,Constants!$B$18))</f>
        <v/>
      </c>
      <c r="Z410" s="67" t="str">
        <f aca="false">IF(ISBLANK($C410),"",IF(ISNUMBER(M410),IF(M410&gt;=0,M410,""),""))</f>
        <v/>
      </c>
      <c r="AA410" s="67" t="str">
        <f aca="false">IF(ISBLANK($C410),"",IF(N410=Constants!$B$2, TRUE(), IF(N410=Constants!$B$3, FALSE(), TRUE())))</f>
        <v/>
      </c>
      <c r="AB410" s="67" t="str">
        <f aca="false">IF(ISBLANK($C410),"",IF(O410=Constants!$B$2, TRUE(), IF(O410=Constants!$B$3, FALSE(), TRUE())))</f>
        <v/>
      </c>
      <c r="AC410" s="67" t="str">
        <f aca="false">IF(ISBLANK($C410),"",IF(P410=Constants!$B$2, TRUE(), IF(P410=Constants!$B$3, FALSE(), FALSE())))</f>
        <v/>
      </c>
      <c r="AD410" s="67" t="str">
        <f aca="false">IF(ISBLANK($C410),"",AND(V410&lt;&gt;"",IF(U410=Constants!$B$19,S410,R410)))</f>
        <v/>
      </c>
      <c r="AE410" s="67" t="str">
        <f aca="false">IF(ISBLANK($C410),"",AND(Z410&lt;&gt;"",IF(Y410=Constants!$B$19,S410,R410)))</f>
        <v/>
      </c>
      <c r="AF410" s="67" t="str">
        <f aca="false">IF(ISBLANK($C410),"",IF(AC410,Constants!$B$4,IF(COUNTA(E410:O410)=0,Constants!$B$5,IF(AND(NOT(AD410),NOT(AE410)),Constants!$B$6,Constants!$B$7))))</f>
        <v/>
      </c>
      <c r="AG410" s="67" t="str">
        <f aca="false">IF(ISBLANK($C410),"",IF($AF410&lt;&gt;Constants!$B$7,$AF410,Constants!$B$20))</f>
        <v/>
      </c>
      <c r="AH410" s="67" t="str">
        <f aca="false">IF($AF410=Constants!$B$7,IF(AD410,V410,Constants!$B$13),"")</f>
        <v/>
      </c>
      <c r="AI410" s="67" t="str">
        <f aca="false">IF($AF410=Constants!$B$7,IF(AD410,T410*IF(W410, 1, Constants!$B$11)*IF(X410, 1, Constants!$B$12),Constants!$B$13),"")</f>
        <v/>
      </c>
      <c r="AJ410" s="67" t="str">
        <f aca="false">IF($AF410=Constants!$B$7,AH410*AI410,"")</f>
        <v/>
      </c>
      <c r="AK410" s="67" t="str">
        <f aca="false">IF($AF410=Constants!$B$7,IF(AE410,Z410,Constants!$B$13),"")</f>
        <v/>
      </c>
      <c r="AL410" s="67" t="str">
        <f aca="false">IF($AF410=Constants!$B$7,IF(AE410,T410*IF(AA410, 1, Constants!$B$11)*IF(AB410, 1, Constants!$B$12),Constants!$B$13),"")</f>
        <v/>
      </c>
      <c r="AM410" s="67" t="str">
        <f aca="false">IF($AF410=Constants!$B$7,AK410*AL410,"")</f>
        <v/>
      </c>
      <c r="AN410" s="67" t="str">
        <f aca="false">IF($AF410=Constants!$B$7,IF(AM410&gt;AJ410,2,1),"")</f>
        <v/>
      </c>
      <c r="AO410" s="67" t="str">
        <f aca="false">IF($AF410=Constants!$B$7,IF(AN410=1,2,1),"")</f>
        <v/>
      </c>
      <c r="AP410" s="67" t="str">
        <f aca="false">IF(ISBLANK($C410),"",IF($AF410&lt;&gt;Constants!$B$7,$AF410,IF(AN410=1,AJ410,AM410)))</f>
        <v/>
      </c>
      <c r="AQ410" s="67" t="str">
        <f aca="false">IF(ISBLANK($C410),"",IF($AF410=Constants!$B$7,IF(ISNUMBER(AP410),RANK(AP410,$AP$8:$AP$507),Constants!$B$14),$AF410))</f>
        <v/>
      </c>
      <c r="AR410" s="67" t="str">
        <f aca="false">IF(ISBLANK($C410),"",IF($AF410=Constants!$B$7,IF(AO410=1,AJ410,AM410),""))</f>
        <v/>
      </c>
      <c r="AS410" s="67" t="str">
        <f aca="false">IF(ISBLANK($C410),"",IF($AF410=Constants!$B$7,RANK(AR410,$AR$8:$AR$507),$AF410))</f>
        <v/>
      </c>
      <c r="AT410" s="67" t="str">
        <f aca="false">IF(ISBLANK($C410),"",IF($AF410=Constants!$B$7,IF(ISNUMBER(AQ410),COUNTIFS($AQ$8:$AQ$507,"&lt;"&amp;$AQ410)+COUNTIFS($AQ$8:$AQ$507,$AQ410,$AS$8:$AS$507,"&lt;"&amp;$AS410)+1,Constants!$B$14),$AF410))</f>
        <v/>
      </c>
      <c r="AU410" s="67" t="str">
        <f aca="false">IF(ISBLANK($C410),"",IF($AF410=Constants!$B$7,IF(ISNUMBER(AQ410),AQ410-AT410,Constants!$B$14),$AF410))</f>
        <v/>
      </c>
      <c r="AV410" s="69"/>
      <c r="AW410" s="70" t="str">
        <f aca="false">IF(ISBLANK($C410),"",IF($AF410&lt;&gt;Constants!$B$7,"",AN410))</f>
        <v/>
      </c>
      <c r="AX410" s="85" t="str">
        <f aca="false">IF(ISBLANK($C410),"",IF($AF410&lt;&gt;Constants!$B$7,"",IF(AN410=1,AH410,AK410)))</f>
        <v/>
      </c>
      <c r="AY410" s="72" t="str">
        <f aca="false">IF(ISBLANK($C410),"",IF($AF410&lt;&gt;Constants!$B$7,"",IF(AN410=1,AI410,AL410)))</f>
        <v/>
      </c>
      <c r="AZ410" s="73" t="str">
        <f aca="false">IF(ISBLANK($C410),"",IF($AF410&lt;&gt;Constants!$B$7,$AF410,AP410))</f>
        <v/>
      </c>
      <c r="BA410" s="74" t="str">
        <f aca="false">IF(ISBLANK($C410),"",IF($AF410&lt;&gt;Constants!$B$7,$AF410,AG410))</f>
        <v/>
      </c>
      <c r="BB410" s="75" t="str">
        <f aca="false">IF(ISBLANK($C410),"",AU410)</f>
        <v/>
      </c>
      <c r="BC410" s="75" t="str">
        <f aca="false">IF(ISBLANK($C410),"",AT410)</f>
        <v/>
      </c>
      <c r="BD410" s="76" t="str">
        <f aca="false">IF(ISBLANK($C410),"",IFERROR(_xlfn.SWITCH(BC410,Constants!$B$4,COUNTA($C$8:$C$507)+2,Constants!$B$5,COUNTA($C$8:$C$507)+1,Constants!$B$6,COUNTA($C$8:$C$507)),BC410))</f>
        <v/>
      </c>
      <c r="BE410" s="5"/>
      <c r="BF410" s="77" t="n">
        <f aca="false">IF(OR(ISNUMBER(BC410),BC410=Constants!$B$4,BC410=Constants!$B$6,BC410=Constants!$B$5),1,0)</f>
        <v>0</v>
      </c>
      <c r="BG410" s="77" t="n">
        <v>403</v>
      </c>
      <c r="BH410" s="77" t="str">
        <f aca="false">IF(ISBLANK($C410),"",IF(ISNUMBER(BD410),BD410+ROW($B410)/1000,""))</f>
        <v/>
      </c>
      <c r="BI410" s="77" t="str">
        <f aca="false">IF(ISNUMBER(BH410),RANK(BH410,$BH$8:$BH$507,1),"")</f>
        <v/>
      </c>
      <c r="BJ410" s="77" t="str">
        <f aca="false">IF(ISBLANK($C410),"",$B410)</f>
        <v/>
      </c>
      <c r="BK410" s="77" t="str">
        <f aca="false">IF(ISBLANK($C410),"",$C410)</f>
        <v/>
      </c>
      <c r="BL410" s="77" t="str">
        <f aca="false">IF(ISBLANK($C410),"",$D410)</f>
        <v/>
      </c>
      <c r="BM410" s="78" t="str">
        <f aca="false">BA410</f>
        <v/>
      </c>
      <c r="BN410" s="79" t="str">
        <f aca="false">AZ410</f>
        <v/>
      </c>
      <c r="BO410" s="77" t="str">
        <f aca="false">IF(ISBLANK($C410),"",BC410)</f>
        <v/>
      </c>
      <c r="BP410" s="80" t="str">
        <f aca="false">IF($BG410&gt;$BF$7,"",VLOOKUP($BG410,$BI$8:$BO$507,7,FALSE()))</f>
        <v/>
      </c>
      <c r="BQ410" s="81" t="str">
        <f aca="false">IF($BG410&gt;$BF$7,"",VLOOKUP($BG410,$BI$8:$BO$507,2,FALSE()))</f>
        <v/>
      </c>
      <c r="BR410" s="81" t="str">
        <f aca="false">IF($BG410&gt;$BF$7,"",VLOOKUP($BG410,$BI$8:$BO$507,3,FALSE()))</f>
        <v/>
      </c>
      <c r="BS410" s="81" t="str">
        <f aca="false">IF($BG410&gt;$BF$7,"",VLOOKUP($BG410,$BI$8:$BO$507,4,FALSE()))</f>
        <v/>
      </c>
      <c r="BT410" s="81" t="str">
        <f aca="false">IF($BG410&gt;$BF$7,"",VLOOKUP($BG410,$BI$8:$BO$507,5,FALSE()))</f>
        <v/>
      </c>
      <c r="BU410" s="82" t="str">
        <f aca="false">IF($BG410&gt;$BF$7,"",VLOOKUP($BG410,$BI$8:$BO$507,6,FALSE()))</f>
        <v/>
      </c>
      <c r="BV410" s="54"/>
    </row>
    <row r="411" customFormat="false" ht="15.75" hidden="false" customHeight="false" outlineLevel="0" collapsed="false">
      <c r="A411" s="5"/>
      <c r="B411" s="135"/>
      <c r="C411" s="56"/>
      <c r="D411" s="57"/>
      <c r="E411" s="84"/>
      <c r="F411" s="136"/>
      <c r="G411" s="60"/>
      <c r="H411" s="137"/>
      <c r="I411" s="62"/>
      <c r="J411" s="62"/>
      <c r="K411" s="60"/>
      <c r="L411" s="138"/>
      <c r="M411" s="62"/>
      <c r="N411" s="62"/>
      <c r="O411" s="60"/>
      <c r="P411" s="84"/>
      <c r="Q411" s="65"/>
      <c r="R411" s="67" t="str">
        <f aca="false">IF(ISBLANK($C411),"",IF(E411=Constants!$B$2, TRUE(), IF(E411=Constants!$B$3, FALSE(), TRUE())))</f>
        <v/>
      </c>
      <c r="S411" s="67" t="str">
        <f aca="false">IF(ISBLANK($C411),"",IF(F411=Constants!$B$2, TRUE(), IF(F411=Constants!$B$3, FALSE(), TRUE())))</f>
        <v/>
      </c>
      <c r="T411" s="67" t="str">
        <f aca="false">IF(ISBLANK($C411),"",IF(G411=Constants!$B$16,Constants!$B$9,IF(G411=Constants!$B$17,Constants!$B$10,Constants!$B$8)))</f>
        <v/>
      </c>
      <c r="U411" s="67" t="str">
        <f aca="false">IF(ISBLANK($C411),"",IF(H411=Constants!$B$19,Constants!$B$19,Constants!$B$18))</f>
        <v/>
      </c>
      <c r="V411" s="67" t="str">
        <f aca="false">IF(ISBLANK($C411),"",IF(ISNUMBER(I411),IF(I411&gt;=0,I411,""),""))</f>
        <v/>
      </c>
      <c r="W411" s="67" t="str">
        <f aca="false">IF(ISBLANK($C411),"",IF(J411=Constants!$B$2, TRUE(), IF(J411=Constants!$B$3, FALSE(), TRUE())))</f>
        <v/>
      </c>
      <c r="X411" s="67" t="str">
        <f aca="false">IF(ISBLANK($C411),"",IF(K411=Constants!$B$2, TRUE(), IF(K411=Constants!$B$3, FALSE(), TRUE())))</f>
        <v/>
      </c>
      <c r="Y411" s="67" t="str">
        <f aca="false">IF(ISBLANK($C411),"",IF(L411=Constants!$B$19,Constants!$B$19,Constants!$B$18))</f>
        <v/>
      </c>
      <c r="Z411" s="67" t="str">
        <f aca="false">IF(ISBLANK($C411),"",IF(ISNUMBER(M411),IF(M411&gt;=0,M411,""),""))</f>
        <v/>
      </c>
      <c r="AA411" s="67" t="str">
        <f aca="false">IF(ISBLANK($C411),"",IF(N411=Constants!$B$2, TRUE(), IF(N411=Constants!$B$3, FALSE(), TRUE())))</f>
        <v/>
      </c>
      <c r="AB411" s="67" t="str">
        <f aca="false">IF(ISBLANK($C411),"",IF(O411=Constants!$B$2, TRUE(), IF(O411=Constants!$B$3, FALSE(), TRUE())))</f>
        <v/>
      </c>
      <c r="AC411" s="67" t="str">
        <f aca="false">IF(ISBLANK($C411),"",IF(P411=Constants!$B$2, TRUE(), IF(P411=Constants!$B$3, FALSE(), FALSE())))</f>
        <v/>
      </c>
      <c r="AD411" s="67" t="str">
        <f aca="false">IF(ISBLANK($C411),"",AND(V411&lt;&gt;"",IF(U411=Constants!$B$19,S411,R411)))</f>
        <v/>
      </c>
      <c r="AE411" s="67" t="str">
        <f aca="false">IF(ISBLANK($C411),"",AND(Z411&lt;&gt;"",IF(Y411=Constants!$B$19,S411,R411)))</f>
        <v/>
      </c>
      <c r="AF411" s="67" t="str">
        <f aca="false">IF(ISBLANK($C411),"",IF(AC411,Constants!$B$4,IF(COUNTA(E411:O411)=0,Constants!$B$5,IF(AND(NOT(AD411),NOT(AE411)),Constants!$B$6,Constants!$B$7))))</f>
        <v/>
      </c>
      <c r="AG411" s="67" t="str">
        <f aca="false">IF(ISBLANK($C411),"",IF($AF411&lt;&gt;Constants!$B$7,$AF411,Constants!$B$20))</f>
        <v/>
      </c>
      <c r="AH411" s="67" t="str">
        <f aca="false">IF($AF411=Constants!$B$7,IF(AD411,V411,Constants!$B$13),"")</f>
        <v/>
      </c>
      <c r="AI411" s="67" t="str">
        <f aca="false">IF($AF411=Constants!$B$7,IF(AD411,T411*IF(W411, 1, Constants!$B$11)*IF(X411, 1, Constants!$B$12),Constants!$B$13),"")</f>
        <v/>
      </c>
      <c r="AJ411" s="67" t="str">
        <f aca="false">IF($AF411=Constants!$B$7,AH411*AI411,"")</f>
        <v/>
      </c>
      <c r="AK411" s="67" t="str">
        <f aca="false">IF($AF411=Constants!$B$7,IF(AE411,Z411,Constants!$B$13),"")</f>
        <v/>
      </c>
      <c r="AL411" s="67" t="str">
        <f aca="false">IF($AF411=Constants!$B$7,IF(AE411,T411*IF(AA411, 1, Constants!$B$11)*IF(AB411, 1, Constants!$B$12),Constants!$B$13),"")</f>
        <v/>
      </c>
      <c r="AM411" s="67" t="str">
        <f aca="false">IF($AF411=Constants!$B$7,AK411*AL411,"")</f>
        <v/>
      </c>
      <c r="AN411" s="67" t="str">
        <f aca="false">IF($AF411=Constants!$B$7,IF(AM411&gt;AJ411,2,1),"")</f>
        <v/>
      </c>
      <c r="AO411" s="67" t="str">
        <f aca="false">IF($AF411=Constants!$B$7,IF(AN411=1,2,1),"")</f>
        <v/>
      </c>
      <c r="AP411" s="67" t="str">
        <f aca="false">IF(ISBLANK($C411),"",IF($AF411&lt;&gt;Constants!$B$7,$AF411,IF(AN411=1,AJ411,AM411)))</f>
        <v/>
      </c>
      <c r="AQ411" s="67" t="str">
        <f aca="false">IF(ISBLANK($C411),"",IF($AF411=Constants!$B$7,IF(ISNUMBER(AP411),RANK(AP411,$AP$8:$AP$507),Constants!$B$14),$AF411))</f>
        <v/>
      </c>
      <c r="AR411" s="67" t="str">
        <f aca="false">IF(ISBLANK($C411),"",IF($AF411=Constants!$B$7,IF(AO411=1,AJ411,AM411),""))</f>
        <v/>
      </c>
      <c r="AS411" s="67" t="str">
        <f aca="false">IF(ISBLANK($C411),"",IF($AF411=Constants!$B$7,RANK(AR411,$AR$8:$AR$507),$AF411))</f>
        <v/>
      </c>
      <c r="AT411" s="67" t="str">
        <f aca="false">IF(ISBLANK($C411),"",IF($AF411=Constants!$B$7,IF(ISNUMBER(AQ411),COUNTIFS($AQ$8:$AQ$507,"&lt;"&amp;$AQ411)+COUNTIFS($AQ$8:$AQ$507,$AQ411,$AS$8:$AS$507,"&lt;"&amp;$AS411)+1,Constants!$B$14),$AF411))</f>
        <v/>
      </c>
      <c r="AU411" s="67" t="str">
        <f aca="false">IF(ISBLANK($C411),"",IF($AF411=Constants!$B$7,IF(ISNUMBER(AQ411),AQ411-AT411,Constants!$B$14),$AF411))</f>
        <v/>
      </c>
      <c r="AV411" s="69"/>
      <c r="AW411" s="70" t="str">
        <f aca="false">IF(ISBLANK($C411),"",IF($AF411&lt;&gt;Constants!$B$7,"",AN411))</f>
        <v/>
      </c>
      <c r="AX411" s="85" t="str">
        <f aca="false">IF(ISBLANK($C411),"",IF($AF411&lt;&gt;Constants!$B$7,"",IF(AN411=1,AH411,AK411)))</f>
        <v/>
      </c>
      <c r="AY411" s="72" t="str">
        <f aca="false">IF(ISBLANK($C411),"",IF($AF411&lt;&gt;Constants!$B$7,"",IF(AN411=1,AI411,AL411)))</f>
        <v/>
      </c>
      <c r="AZ411" s="73" t="str">
        <f aca="false">IF(ISBLANK($C411),"",IF($AF411&lt;&gt;Constants!$B$7,$AF411,AP411))</f>
        <v/>
      </c>
      <c r="BA411" s="74" t="str">
        <f aca="false">IF(ISBLANK($C411),"",IF($AF411&lt;&gt;Constants!$B$7,$AF411,AG411))</f>
        <v/>
      </c>
      <c r="BB411" s="75" t="str">
        <f aca="false">IF(ISBLANK($C411),"",AU411)</f>
        <v/>
      </c>
      <c r="BC411" s="75" t="str">
        <f aca="false">IF(ISBLANK($C411),"",AT411)</f>
        <v/>
      </c>
      <c r="BD411" s="76" t="str">
        <f aca="false">IF(ISBLANK($C411),"",IFERROR(_xlfn.SWITCH(BC411,Constants!$B$4,COUNTA($C$8:$C$507)+2,Constants!$B$5,COUNTA($C$8:$C$507)+1,Constants!$B$6,COUNTA($C$8:$C$507)),BC411))</f>
        <v/>
      </c>
      <c r="BE411" s="5"/>
      <c r="BF411" s="77" t="n">
        <f aca="false">IF(OR(ISNUMBER(BC411),BC411=Constants!$B$4,BC411=Constants!$B$6,BC411=Constants!$B$5),1,0)</f>
        <v>0</v>
      </c>
      <c r="BG411" s="77" t="n">
        <v>404</v>
      </c>
      <c r="BH411" s="77" t="str">
        <f aca="false">IF(ISBLANK($C411),"",IF(ISNUMBER(BD411),BD411+ROW($B411)/1000,""))</f>
        <v/>
      </c>
      <c r="BI411" s="77" t="str">
        <f aca="false">IF(ISNUMBER(BH411),RANK(BH411,$BH$8:$BH$507,1),"")</f>
        <v/>
      </c>
      <c r="BJ411" s="77" t="str">
        <f aca="false">IF(ISBLANK($C411),"",$B411)</f>
        <v/>
      </c>
      <c r="BK411" s="77" t="str">
        <f aca="false">IF(ISBLANK($C411),"",$C411)</f>
        <v/>
      </c>
      <c r="BL411" s="77" t="str">
        <f aca="false">IF(ISBLANK($C411),"",$D411)</f>
        <v/>
      </c>
      <c r="BM411" s="78" t="str">
        <f aca="false">BA411</f>
        <v/>
      </c>
      <c r="BN411" s="79" t="str">
        <f aca="false">AZ411</f>
        <v/>
      </c>
      <c r="BO411" s="77" t="str">
        <f aca="false">IF(ISBLANK($C411),"",BC411)</f>
        <v/>
      </c>
      <c r="BP411" s="80" t="str">
        <f aca="false">IF($BG411&gt;$BF$7,"",VLOOKUP($BG411,$BI$8:$BO$507,7,FALSE()))</f>
        <v/>
      </c>
      <c r="BQ411" s="81" t="str">
        <f aca="false">IF($BG411&gt;$BF$7,"",VLOOKUP($BG411,$BI$8:$BO$507,2,FALSE()))</f>
        <v/>
      </c>
      <c r="BR411" s="81" t="str">
        <f aca="false">IF($BG411&gt;$BF$7,"",VLOOKUP($BG411,$BI$8:$BO$507,3,FALSE()))</f>
        <v/>
      </c>
      <c r="BS411" s="81" t="str">
        <f aca="false">IF($BG411&gt;$BF$7,"",VLOOKUP($BG411,$BI$8:$BO$507,4,FALSE()))</f>
        <v/>
      </c>
      <c r="BT411" s="81" t="str">
        <f aca="false">IF($BG411&gt;$BF$7,"",VLOOKUP($BG411,$BI$8:$BO$507,5,FALSE()))</f>
        <v/>
      </c>
      <c r="BU411" s="82" t="str">
        <f aca="false">IF($BG411&gt;$BF$7,"",VLOOKUP($BG411,$BI$8:$BO$507,6,FALSE()))</f>
        <v/>
      </c>
      <c r="BV411" s="54"/>
    </row>
    <row r="412" customFormat="false" ht="15.75" hidden="false" customHeight="false" outlineLevel="0" collapsed="false">
      <c r="A412" s="5"/>
      <c r="B412" s="135"/>
      <c r="C412" s="56"/>
      <c r="D412" s="57"/>
      <c r="E412" s="84"/>
      <c r="F412" s="136"/>
      <c r="G412" s="60"/>
      <c r="H412" s="137"/>
      <c r="I412" s="62"/>
      <c r="J412" s="62"/>
      <c r="K412" s="60"/>
      <c r="L412" s="138"/>
      <c r="M412" s="62"/>
      <c r="N412" s="62"/>
      <c r="O412" s="60"/>
      <c r="P412" s="84"/>
      <c r="Q412" s="65"/>
      <c r="R412" s="67" t="str">
        <f aca="false">IF(ISBLANK($C412),"",IF(E412=Constants!$B$2, TRUE(), IF(E412=Constants!$B$3, FALSE(), TRUE())))</f>
        <v/>
      </c>
      <c r="S412" s="67" t="str">
        <f aca="false">IF(ISBLANK($C412),"",IF(F412=Constants!$B$2, TRUE(), IF(F412=Constants!$B$3, FALSE(), TRUE())))</f>
        <v/>
      </c>
      <c r="T412" s="67" t="str">
        <f aca="false">IF(ISBLANK($C412),"",IF(G412=Constants!$B$16,Constants!$B$9,IF(G412=Constants!$B$17,Constants!$B$10,Constants!$B$8)))</f>
        <v/>
      </c>
      <c r="U412" s="67" t="str">
        <f aca="false">IF(ISBLANK($C412),"",IF(H412=Constants!$B$19,Constants!$B$19,Constants!$B$18))</f>
        <v/>
      </c>
      <c r="V412" s="67" t="str">
        <f aca="false">IF(ISBLANK($C412),"",IF(ISNUMBER(I412),IF(I412&gt;=0,I412,""),""))</f>
        <v/>
      </c>
      <c r="W412" s="67" t="str">
        <f aca="false">IF(ISBLANK($C412),"",IF(J412=Constants!$B$2, TRUE(), IF(J412=Constants!$B$3, FALSE(), TRUE())))</f>
        <v/>
      </c>
      <c r="X412" s="67" t="str">
        <f aca="false">IF(ISBLANK($C412),"",IF(K412=Constants!$B$2, TRUE(), IF(K412=Constants!$B$3, FALSE(), TRUE())))</f>
        <v/>
      </c>
      <c r="Y412" s="67" t="str">
        <f aca="false">IF(ISBLANK($C412),"",IF(L412=Constants!$B$19,Constants!$B$19,Constants!$B$18))</f>
        <v/>
      </c>
      <c r="Z412" s="67" t="str">
        <f aca="false">IF(ISBLANK($C412),"",IF(ISNUMBER(M412),IF(M412&gt;=0,M412,""),""))</f>
        <v/>
      </c>
      <c r="AA412" s="67" t="str">
        <f aca="false">IF(ISBLANK($C412),"",IF(N412=Constants!$B$2, TRUE(), IF(N412=Constants!$B$3, FALSE(), TRUE())))</f>
        <v/>
      </c>
      <c r="AB412" s="67" t="str">
        <f aca="false">IF(ISBLANK($C412),"",IF(O412=Constants!$B$2, TRUE(), IF(O412=Constants!$B$3, FALSE(), TRUE())))</f>
        <v/>
      </c>
      <c r="AC412" s="67" t="str">
        <f aca="false">IF(ISBLANK($C412),"",IF(P412=Constants!$B$2, TRUE(), IF(P412=Constants!$B$3, FALSE(), FALSE())))</f>
        <v/>
      </c>
      <c r="AD412" s="67" t="str">
        <f aca="false">IF(ISBLANK($C412),"",AND(V412&lt;&gt;"",IF(U412=Constants!$B$19,S412,R412)))</f>
        <v/>
      </c>
      <c r="AE412" s="67" t="str">
        <f aca="false">IF(ISBLANK($C412),"",AND(Z412&lt;&gt;"",IF(Y412=Constants!$B$19,S412,R412)))</f>
        <v/>
      </c>
      <c r="AF412" s="67" t="str">
        <f aca="false">IF(ISBLANK($C412),"",IF(AC412,Constants!$B$4,IF(COUNTA(E412:O412)=0,Constants!$B$5,IF(AND(NOT(AD412),NOT(AE412)),Constants!$B$6,Constants!$B$7))))</f>
        <v/>
      </c>
      <c r="AG412" s="67" t="str">
        <f aca="false">IF(ISBLANK($C412),"",IF($AF412&lt;&gt;Constants!$B$7,$AF412,Constants!$B$20))</f>
        <v/>
      </c>
      <c r="AH412" s="67" t="str">
        <f aca="false">IF($AF412=Constants!$B$7,IF(AD412,V412,Constants!$B$13),"")</f>
        <v/>
      </c>
      <c r="AI412" s="67" t="str">
        <f aca="false">IF($AF412=Constants!$B$7,IF(AD412,T412*IF(W412, 1, Constants!$B$11)*IF(X412, 1, Constants!$B$12),Constants!$B$13),"")</f>
        <v/>
      </c>
      <c r="AJ412" s="67" t="str">
        <f aca="false">IF($AF412=Constants!$B$7,AH412*AI412,"")</f>
        <v/>
      </c>
      <c r="AK412" s="67" t="str">
        <f aca="false">IF($AF412=Constants!$B$7,IF(AE412,Z412,Constants!$B$13),"")</f>
        <v/>
      </c>
      <c r="AL412" s="67" t="str">
        <f aca="false">IF($AF412=Constants!$B$7,IF(AE412,T412*IF(AA412, 1, Constants!$B$11)*IF(AB412, 1, Constants!$B$12),Constants!$B$13),"")</f>
        <v/>
      </c>
      <c r="AM412" s="67" t="str">
        <f aca="false">IF($AF412=Constants!$B$7,AK412*AL412,"")</f>
        <v/>
      </c>
      <c r="AN412" s="67" t="str">
        <f aca="false">IF($AF412=Constants!$B$7,IF(AM412&gt;AJ412,2,1),"")</f>
        <v/>
      </c>
      <c r="AO412" s="67" t="str">
        <f aca="false">IF($AF412=Constants!$B$7,IF(AN412=1,2,1),"")</f>
        <v/>
      </c>
      <c r="AP412" s="67" t="str">
        <f aca="false">IF(ISBLANK($C412),"",IF($AF412&lt;&gt;Constants!$B$7,$AF412,IF(AN412=1,AJ412,AM412)))</f>
        <v/>
      </c>
      <c r="AQ412" s="67" t="str">
        <f aca="false">IF(ISBLANK($C412),"",IF($AF412=Constants!$B$7,IF(ISNUMBER(AP412),RANK(AP412,$AP$8:$AP$507),Constants!$B$14),$AF412))</f>
        <v/>
      </c>
      <c r="AR412" s="67" t="str">
        <f aca="false">IF(ISBLANK($C412),"",IF($AF412=Constants!$B$7,IF(AO412=1,AJ412,AM412),""))</f>
        <v/>
      </c>
      <c r="AS412" s="67" t="str">
        <f aca="false">IF(ISBLANK($C412),"",IF($AF412=Constants!$B$7,RANK(AR412,$AR$8:$AR$507),$AF412))</f>
        <v/>
      </c>
      <c r="AT412" s="67" t="str">
        <f aca="false">IF(ISBLANK($C412),"",IF($AF412=Constants!$B$7,IF(ISNUMBER(AQ412),COUNTIFS($AQ$8:$AQ$507,"&lt;"&amp;$AQ412)+COUNTIFS($AQ$8:$AQ$507,$AQ412,$AS$8:$AS$507,"&lt;"&amp;$AS412)+1,Constants!$B$14),$AF412))</f>
        <v/>
      </c>
      <c r="AU412" s="67" t="str">
        <f aca="false">IF(ISBLANK($C412),"",IF($AF412=Constants!$B$7,IF(ISNUMBER(AQ412),AQ412-AT412,Constants!$B$14),$AF412))</f>
        <v/>
      </c>
      <c r="AV412" s="69"/>
      <c r="AW412" s="70" t="str">
        <f aca="false">IF(ISBLANK($C412),"",IF($AF412&lt;&gt;Constants!$B$7,"",AN412))</f>
        <v/>
      </c>
      <c r="AX412" s="85" t="str">
        <f aca="false">IF(ISBLANK($C412),"",IF($AF412&lt;&gt;Constants!$B$7,"",IF(AN412=1,AH412,AK412)))</f>
        <v/>
      </c>
      <c r="AY412" s="72" t="str">
        <f aca="false">IF(ISBLANK($C412),"",IF($AF412&lt;&gt;Constants!$B$7,"",IF(AN412=1,AI412,AL412)))</f>
        <v/>
      </c>
      <c r="AZ412" s="73" t="str">
        <f aca="false">IF(ISBLANK($C412),"",IF($AF412&lt;&gt;Constants!$B$7,$AF412,AP412))</f>
        <v/>
      </c>
      <c r="BA412" s="74" t="str">
        <f aca="false">IF(ISBLANK($C412),"",IF($AF412&lt;&gt;Constants!$B$7,$AF412,AG412))</f>
        <v/>
      </c>
      <c r="BB412" s="75" t="str">
        <f aca="false">IF(ISBLANK($C412),"",AU412)</f>
        <v/>
      </c>
      <c r="BC412" s="75" t="str">
        <f aca="false">IF(ISBLANK($C412),"",AT412)</f>
        <v/>
      </c>
      <c r="BD412" s="76" t="str">
        <f aca="false">IF(ISBLANK($C412),"",IFERROR(_xlfn.SWITCH(BC412,Constants!$B$4,COUNTA($C$8:$C$507)+2,Constants!$B$5,COUNTA($C$8:$C$507)+1,Constants!$B$6,COUNTA($C$8:$C$507)),BC412))</f>
        <v/>
      </c>
      <c r="BE412" s="5"/>
      <c r="BF412" s="77" t="n">
        <f aca="false">IF(OR(ISNUMBER(BC412),BC412=Constants!$B$4,BC412=Constants!$B$6,BC412=Constants!$B$5),1,0)</f>
        <v>0</v>
      </c>
      <c r="BG412" s="77" t="n">
        <v>405</v>
      </c>
      <c r="BH412" s="77" t="str">
        <f aca="false">IF(ISBLANK($C412),"",IF(ISNUMBER(BD412),BD412+ROW($B412)/1000,""))</f>
        <v/>
      </c>
      <c r="BI412" s="77" t="str">
        <f aca="false">IF(ISNUMBER(BH412),RANK(BH412,$BH$8:$BH$507,1),"")</f>
        <v/>
      </c>
      <c r="BJ412" s="77" t="str">
        <f aca="false">IF(ISBLANK($C412),"",$B412)</f>
        <v/>
      </c>
      <c r="BK412" s="77" t="str">
        <f aca="false">IF(ISBLANK($C412),"",$C412)</f>
        <v/>
      </c>
      <c r="BL412" s="77" t="str">
        <f aca="false">IF(ISBLANK($C412),"",$D412)</f>
        <v/>
      </c>
      <c r="BM412" s="78" t="str">
        <f aca="false">BA412</f>
        <v/>
      </c>
      <c r="BN412" s="79" t="str">
        <f aca="false">AZ412</f>
        <v/>
      </c>
      <c r="BO412" s="77" t="str">
        <f aca="false">IF(ISBLANK($C412),"",BC412)</f>
        <v/>
      </c>
      <c r="BP412" s="80" t="str">
        <f aca="false">IF($BG412&gt;$BF$7,"",VLOOKUP($BG412,$BI$8:$BO$507,7,FALSE()))</f>
        <v/>
      </c>
      <c r="BQ412" s="81" t="str">
        <f aca="false">IF($BG412&gt;$BF$7,"",VLOOKUP($BG412,$BI$8:$BO$507,2,FALSE()))</f>
        <v/>
      </c>
      <c r="BR412" s="81" t="str">
        <f aca="false">IF($BG412&gt;$BF$7,"",VLOOKUP($BG412,$BI$8:$BO$507,3,FALSE()))</f>
        <v/>
      </c>
      <c r="BS412" s="81" t="str">
        <f aca="false">IF($BG412&gt;$BF$7,"",VLOOKUP($BG412,$BI$8:$BO$507,4,FALSE()))</f>
        <v/>
      </c>
      <c r="BT412" s="81" t="str">
        <f aca="false">IF($BG412&gt;$BF$7,"",VLOOKUP($BG412,$BI$8:$BO$507,5,FALSE()))</f>
        <v/>
      </c>
      <c r="BU412" s="82" t="str">
        <f aca="false">IF($BG412&gt;$BF$7,"",VLOOKUP($BG412,$BI$8:$BO$507,6,FALSE()))</f>
        <v/>
      </c>
      <c r="BV412" s="54"/>
    </row>
    <row r="413" customFormat="false" ht="15.75" hidden="false" customHeight="false" outlineLevel="0" collapsed="false">
      <c r="A413" s="5"/>
      <c r="B413" s="128"/>
      <c r="C413" s="129"/>
      <c r="D413" s="114"/>
      <c r="E413" s="134"/>
      <c r="F413" s="139"/>
      <c r="G413" s="93"/>
      <c r="H413" s="140"/>
      <c r="I413" s="95"/>
      <c r="J413" s="95"/>
      <c r="K413" s="93"/>
      <c r="L413" s="141"/>
      <c r="M413" s="95"/>
      <c r="N413" s="95"/>
      <c r="O413" s="93"/>
      <c r="P413" s="134"/>
      <c r="Q413" s="98"/>
      <c r="R413" s="99" t="str">
        <f aca="false">IF(ISBLANK($C413),"",IF(E413=Constants!$B$2, TRUE(), IF(E413=Constants!$B$3, FALSE(), TRUE())))</f>
        <v/>
      </c>
      <c r="S413" s="99" t="str">
        <f aca="false">IF(ISBLANK($C413),"",IF(F413=Constants!$B$2, TRUE(), IF(F413=Constants!$B$3, FALSE(), TRUE())))</f>
        <v/>
      </c>
      <c r="T413" s="99" t="str">
        <f aca="false">IF(ISBLANK($C413),"",IF(G413=Constants!$B$16,Constants!$B$9,IF(G413=Constants!$B$17,Constants!$B$10,Constants!$B$8)))</f>
        <v/>
      </c>
      <c r="U413" s="99" t="str">
        <f aca="false">IF(ISBLANK($C413),"",IF(H413=Constants!$B$19,Constants!$B$19,Constants!$B$18))</f>
        <v/>
      </c>
      <c r="V413" s="99" t="str">
        <f aca="false">IF(ISBLANK($C413),"",IF(ISNUMBER(I413),IF(I413&gt;=0,I413,""),""))</f>
        <v/>
      </c>
      <c r="W413" s="99" t="str">
        <f aca="false">IF(ISBLANK($C413),"",IF(J413=Constants!$B$2, TRUE(), IF(J413=Constants!$B$3, FALSE(), TRUE())))</f>
        <v/>
      </c>
      <c r="X413" s="99" t="str">
        <f aca="false">IF(ISBLANK($C413),"",IF(K413=Constants!$B$2, TRUE(), IF(K413=Constants!$B$3, FALSE(), TRUE())))</f>
        <v/>
      </c>
      <c r="Y413" s="99" t="str">
        <f aca="false">IF(ISBLANK($C413),"",IF(L413=Constants!$B$19,Constants!$B$19,Constants!$B$18))</f>
        <v/>
      </c>
      <c r="Z413" s="99" t="str">
        <f aca="false">IF(ISBLANK($C413),"",IF(ISNUMBER(M413),IF(M413&gt;=0,M413,""),""))</f>
        <v/>
      </c>
      <c r="AA413" s="99" t="str">
        <f aca="false">IF(ISBLANK($C413),"",IF(N413=Constants!$B$2, TRUE(), IF(N413=Constants!$B$3, FALSE(), TRUE())))</f>
        <v/>
      </c>
      <c r="AB413" s="99" t="str">
        <f aca="false">IF(ISBLANK($C413),"",IF(O413=Constants!$B$2, TRUE(), IF(O413=Constants!$B$3, FALSE(), TRUE())))</f>
        <v/>
      </c>
      <c r="AC413" s="99" t="str">
        <f aca="false">IF(ISBLANK($C413),"",IF(P413=Constants!$B$2, TRUE(), IF(P413=Constants!$B$3, FALSE(), FALSE())))</f>
        <v/>
      </c>
      <c r="AD413" s="99" t="str">
        <f aca="false">IF(ISBLANK($C413),"",AND(V413&lt;&gt;"",IF(U413=Constants!$B$19,S413,R413)))</f>
        <v/>
      </c>
      <c r="AE413" s="99" t="str">
        <f aca="false">IF(ISBLANK($C413),"",AND(Z413&lt;&gt;"",IF(Y413=Constants!$B$19,S413,R413)))</f>
        <v/>
      </c>
      <c r="AF413" s="99" t="str">
        <f aca="false">IF(ISBLANK($C413),"",IF(AC413,Constants!$B$4,IF(COUNTA(E413:O413)=0,Constants!$B$5,IF(AND(NOT(AD413),NOT(AE413)),Constants!$B$6,Constants!$B$7))))</f>
        <v/>
      </c>
      <c r="AG413" s="99" t="str">
        <f aca="false">IF(ISBLANK($C413),"",IF($AF413&lt;&gt;Constants!$B$7,$AF413,Constants!$B$20))</f>
        <v/>
      </c>
      <c r="AH413" s="99" t="str">
        <f aca="false">IF($AF413=Constants!$B$7,IF(AD413,V413,Constants!$B$13),"")</f>
        <v/>
      </c>
      <c r="AI413" s="99" t="str">
        <f aca="false">IF($AF413=Constants!$B$7,IF(AD413,T413*IF(W413, 1, Constants!$B$11)*IF(X413, 1, Constants!$B$12),Constants!$B$13),"")</f>
        <v/>
      </c>
      <c r="AJ413" s="99" t="str">
        <f aca="false">IF($AF413=Constants!$B$7,AH413*AI413,"")</f>
        <v/>
      </c>
      <c r="AK413" s="99" t="str">
        <f aca="false">IF($AF413=Constants!$B$7,IF(AE413,Z413,Constants!$B$13),"")</f>
        <v/>
      </c>
      <c r="AL413" s="99" t="str">
        <f aca="false">IF($AF413=Constants!$B$7,IF(AE413,T413*IF(AA413, 1, Constants!$B$11)*IF(AB413, 1, Constants!$B$12),Constants!$B$13),"")</f>
        <v/>
      </c>
      <c r="AM413" s="99" t="str">
        <f aca="false">IF($AF413=Constants!$B$7,AK413*AL413,"")</f>
        <v/>
      </c>
      <c r="AN413" s="99" t="str">
        <f aca="false">IF($AF413=Constants!$B$7,IF(AM413&gt;AJ413,2,1),"")</f>
        <v/>
      </c>
      <c r="AO413" s="99" t="str">
        <f aca="false">IF($AF413=Constants!$B$7,IF(AN413=1,2,1),"")</f>
        <v/>
      </c>
      <c r="AP413" s="99" t="str">
        <f aca="false">IF(ISBLANK($C413),"",IF($AF413&lt;&gt;Constants!$B$7,$AF413,IF(AN413=1,AJ413,AM413)))</f>
        <v/>
      </c>
      <c r="AQ413" s="99" t="str">
        <f aca="false">IF(ISBLANK($C413),"",IF($AF413=Constants!$B$7,IF(ISNUMBER(AP413),RANK(AP413,$AP$8:$AP$507),Constants!$B$14),$AF413))</f>
        <v/>
      </c>
      <c r="AR413" s="99" t="str">
        <f aca="false">IF(ISBLANK($C413),"",IF($AF413=Constants!$B$7,IF(AO413=1,AJ413,AM413),""))</f>
        <v/>
      </c>
      <c r="AS413" s="99" t="str">
        <f aca="false">IF(ISBLANK($C413),"",IF($AF413=Constants!$B$7,RANK(AR413,$AR$8:$AR$507),$AF413))</f>
        <v/>
      </c>
      <c r="AT413" s="99" t="str">
        <f aca="false">IF(ISBLANK($C413),"",IF($AF413=Constants!$B$7,IF(ISNUMBER(AQ413),COUNTIFS($AQ$8:$AQ$507,"&lt;"&amp;$AQ413)+COUNTIFS($AQ$8:$AQ$507,$AQ413,$AS$8:$AS$507,"&lt;"&amp;$AS413)+1,Constants!$B$14),$AF413))</f>
        <v/>
      </c>
      <c r="AU413" s="99" t="str">
        <f aca="false">IF(ISBLANK($C413),"",IF($AF413=Constants!$B$7,IF(ISNUMBER(AQ413),AQ413-AT413,Constants!$B$14),$AF413))</f>
        <v/>
      </c>
      <c r="AV413" s="100"/>
      <c r="AW413" s="101" t="str">
        <f aca="false">IF(ISBLANK($C413),"",IF($AF413&lt;&gt;Constants!$B$7,"",AN413))</f>
        <v/>
      </c>
      <c r="AX413" s="102" t="str">
        <f aca="false">IF(ISBLANK($C413),"",IF($AF413&lt;&gt;Constants!$B$7,"",IF(AN413=1,AH413,AK413)))</f>
        <v/>
      </c>
      <c r="AY413" s="103" t="str">
        <f aca="false">IF(ISBLANK($C413),"",IF($AF413&lt;&gt;Constants!$B$7,"",IF(AN413=1,AI413,AL413)))</f>
        <v/>
      </c>
      <c r="AZ413" s="104" t="str">
        <f aca="false">IF(ISBLANK($C413),"",IF($AF413&lt;&gt;Constants!$B$7,$AF413,AP413))</f>
        <v/>
      </c>
      <c r="BA413" s="105" t="str">
        <f aca="false">IF(ISBLANK($C413),"",IF($AF413&lt;&gt;Constants!$B$7,$AF413,AG413))</f>
        <v/>
      </c>
      <c r="BB413" s="106" t="str">
        <f aca="false">IF(ISBLANK($C413),"",AU413)</f>
        <v/>
      </c>
      <c r="BC413" s="106" t="str">
        <f aca="false">IF(ISBLANK($C413),"",AT413)</f>
        <v/>
      </c>
      <c r="BD413" s="107" t="str">
        <f aca="false">IF(ISBLANK($C413),"",IFERROR(_xlfn.SWITCH(BC413,Constants!$B$4,COUNTA($C$8:$C$507)+2,Constants!$B$5,COUNTA($C$8:$C$507)+1,Constants!$B$6,COUNTA($C$8:$C$507)),BC413))</f>
        <v/>
      </c>
      <c r="BE413" s="5"/>
      <c r="BF413" s="108" t="n">
        <f aca="false">IF(OR(ISNUMBER(BC413),BC413=Constants!$B$4,BC413=Constants!$B$6,BC413=Constants!$B$5),1,0)</f>
        <v>0</v>
      </c>
      <c r="BG413" s="108" t="n">
        <v>406</v>
      </c>
      <c r="BH413" s="108" t="str">
        <f aca="false">IF(ISBLANK($C413),"",IF(ISNUMBER(BD413),BD413+ROW($B413)/1000,""))</f>
        <v/>
      </c>
      <c r="BI413" s="108" t="str">
        <f aca="false">IF(ISNUMBER(BH413),RANK(BH413,$BH$8:$BH$507,1),"")</f>
        <v/>
      </c>
      <c r="BJ413" s="108" t="str">
        <f aca="false">IF(ISBLANK($C413),"",$B413)</f>
        <v/>
      </c>
      <c r="BK413" s="108" t="str">
        <f aca="false">IF(ISBLANK($C413),"",$C413)</f>
        <v/>
      </c>
      <c r="BL413" s="108" t="str">
        <f aca="false">IF(ISBLANK($C413),"",$D413)</f>
        <v/>
      </c>
      <c r="BM413" s="109" t="str">
        <f aca="false">BA413</f>
        <v/>
      </c>
      <c r="BN413" s="110" t="str">
        <f aca="false">AZ413</f>
        <v/>
      </c>
      <c r="BO413" s="108" t="str">
        <f aca="false">IF(ISBLANK($C413),"",BC413)</f>
        <v/>
      </c>
      <c r="BP413" s="111" t="str">
        <f aca="false">IF($BG413&gt;$BF$7,"",VLOOKUP($BG413,$BI$8:$BO$507,7,FALSE()))</f>
        <v/>
      </c>
      <c r="BQ413" s="112" t="str">
        <f aca="false">IF($BG413&gt;$BF$7,"",VLOOKUP($BG413,$BI$8:$BO$507,2,FALSE()))</f>
        <v/>
      </c>
      <c r="BR413" s="112" t="str">
        <f aca="false">IF($BG413&gt;$BF$7,"",VLOOKUP($BG413,$BI$8:$BO$507,3,FALSE()))</f>
        <v/>
      </c>
      <c r="BS413" s="112" t="str">
        <f aca="false">IF($BG413&gt;$BF$7,"",VLOOKUP($BG413,$BI$8:$BO$507,4,FALSE()))</f>
        <v/>
      </c>
      <c r="BT413" s="112" t="str">
        <f aca="false">IF($BG413&gt;$BF$7,"",VLOOKUP($BG413,$BI$8:$BO$507,5,FALSE()))</f>
        <v/>
      </c>
      <c r="BU413" s="113" t="str">
        <f aca="false">IF($BG413&gt;$BF$7,"",VLOOKUP($BG413,$BI$8:$BO$507,6,FALSE()))</f>
        <v/>
      </c>
      <c r="BV413" s="54"/>
    </row>
    <row r="414" customFormat="false" ht="15.75" hidden="false" customHeight="false" outlineLevel="0" collapsed="false">
      <c r="A414" s="5"/>
      <c r="B414" s="128"/>
      <c r="C414" s="129"/>
      <c r="D414" s="114"/>
      <c r="E414" s="134"/>
      <c r="F414" s="139"/>
      <c r="G414" s="93"/>
      <c r="H414" s="140"/>
      <c r="I414" s="95"/>
      <c r="J414" s="95"/>
      <c r="K414" s="93"/>
      <c r="L414" s="141"/>
      <c r="M414" s="95"/>
      <c r="N414" s="95"/>
      <c r="O414" s="93"/>
      <c r="P414" s="134"/>
      <c r="Q414" s="98"/>
      <c r="R414" s="99" t="str">
        <f aca="false">IF(ISBLANK($C414),"",IF(E414=Constants!$B$2, TRUE(), IF(E414=Constants!$B$3, FALSE(), TRUE())))</f>
        <v/>
      </c>
      <c r="S414" s="99" t="str">
        <f aca="false">IF(ISBLANK($C414),"",IF(F414=Constants!$B$2, TRUE(), IF(F414=Constants!$B$3, FALSE(), TRUE())))</f>
        <v/>
      </c>
      <c r="T414" s="99" t="str">
        <f aca="false">IF(ISBLANK($C414),"",IF(G414=Constants!$B$16,Constants!$B$9,IF(G414=Constants!$B$17,Constants!$B$10,Constants!$B$8)))</f>
        <v/>
      </c>
      <c r="U414" s="99" t="str">
        <f aca="false">IF(ISBLANK($C414),"",IF(H414=Constants!$B$19,Constants!$B$19,Constants!$B$18))</f>
        <v/>
      </c>
      <c r="V414" s="99" t="str">
        <f aca="false">IF(ISBLANK($C414),"",IF(ISNUMBER(I414),IF(I414&gt;=0,I414,""),""))</f>
        <v/>
      </c>
      <c r="W414" s="99" t="str">
        <f aca="false">IF(ISBLANK($C414),"",IF(J414=Constants!$B$2, TRUE(), IF(J414=Constants!$B$3, FALSE(), TRUE())))</f>
        <v/>
      </c>
      <c r="X414" s="99" t="str">
        <f aca="false">IF(ISBLANK($C414),"",IF(K414=Constants!$B$2, TRUE(), IF(K414=Constants!$B$3, FALSE(), TRUE())))</f>
        <v/>
      </c>
      <c r="Y414" s="99" t="str">
        <f aca="false">IF(ISBLANK($C414),"",IF(L414=Constants!$B$19,Constants!$B$19,Constants!$B$18))</f>
        <v/>
      </c>
      <c r="Z414" s="99" t="str">
        <f aca="false">IF(ISBLANK($C414),"",IF(ISNUMBER(M414),IF(M414&gt;=0,M414,""),""))</f>
        <v/>
      </c>
      <c r="AA414" s="99" t="str">
        <f aca="false">IF(ISBLANK($C414),"",IF(N414=Constants!$B$2, TRUE(), IF(N414=Constants!$B$3, FALSE(), TRUE())))</f>
        <v/>
      </c>
      <c r="AB414" s="99" t="str">
        <f aca="false">IF(ISBLANK($C414),"",IF(O414=Constants!$B$2, TRUE(), IF(O414=Constants!$B$3, FALSE(), TRUE())))</f>
        <v/>
      </c>
      <c r="AC414" s="99" t="str">
        <f aca="false">IF(ISBLANK($C414),"",IF(P414=Constants!$B$2, TRUE(), IF(P414=Constants!$B$3, FALSE(), FALSE())))</f>
        <v/>
      </c>
      <c r="AD414" s="99" t="str">
        <f aca="false">IF(ISBLANK($C414),"",AND(V414&lt;&gt;"",IF(U414=Constants!$B$19,S414,R414)))</f>
        <v/>
      </c>
      <c r="AE414" s="99" t="str">
        <f aca="false">IF(ISBLANK($C414),"",AND(Z414&lt;&gt;"",IF(Y414=Constants!$B$19,S414,R414)))</f>
        <v/>
      </c>
      <c r="AF414" s="99" t="str">
        <f aca="false">IF(ISBLANK($C414),"",IF(AC414,Constants!$B$4,IF(COUNTA(E414:O414)=0,Constants!$B$5,IF(AND(NOT(AD414),NOT(AE414)),Constants!$B$6,Constants!$B$7))))</f>
        <v/>
      </c>
      <c r="AG414" s="99" t="str">
        <f aca="false">IF(ISBLANK($C414),"",IF($AF414&lt;&gt;Constants!$B$7,$AF414,Constants!$B$20))</f>
        <v/>
      </c>
      <c r="AH414" s="99" t="str">
        <f aca="false">IF($AF414=Constants!$B$7,IF(AD414,V414,Constants!$B$13),"")</f>
        <v/>
      </c>
      <c r="AI414" s="99" t="str">
        <f aca="false">IF($AF414=Constants!$B$7,IF(AD414,T414*IF(W414, 1, Constants!$B$11)*IF(X414, 1, Constants!$B$12),Constants!$B$13),"")</f>
        <v/>
      </c>
      <c r="AJ414" s="99" t="str">
        <f aca="false">IF($AF414=Constants!$B$7,AH414*AI414,"")</f>
        <v/>
      </c>
      <c r="AK414" s="99" t="str">
        <f aca="false">IF($AF414=Constants!$B$7,IF(AE414,Z414,Constants!$B$13),"")</f>
        <v/>
      </c>
      <c r="AL414" s="99" t="str">
        <f aca="false">IF($AF414=Constants!$B$7,IF(AE414,T414*IF(AA414, 1, Constants!$B$11)*IF(AB414, 1, Constants!$B$12),Constants!$B$13),"")</f>
        <v/>
      </c>
      <c r="AM414" s="99" t="str">
        <f aca="false">IF($AF414=Constants!$B$7,AK414*AL414,"")</f>
        <v/>
      </c>
      <c r="AN414" s="99" t="str">
        <f aca="false">IF($AF414=Constants!$B$7,IF(AM414&gt;AJ414,2,1),"")</f>
        <v/>
      </c>
      <c r="AO414" s="99" t="str">
        <f aca="false">IF($AF414=Constants!$B$7,IF(AN414=1,2,1),"")</f>
        <v/>
      </c>
      <c r="AP414" s="99" t="str">
        <f aca="false">IF(ISBLANK($C414),"",IF($AF414&lt;&gt;Constants!$B$7,$AF414,IF(AN414=1,AJ414,AM414)))</f>
        <v/>
      </c>
      <c r="AQ414" s="99" t="str">
        <f aca="false">IF(ISBLANK($C414),"",IF($AF414=Constants!$B$7,IF(ISNUMBER(AP414),RANK(AP414,$AP$8:$AP$507),Constants!$B$14),$AF414))</f>
        <v/>
      </c>
      <c r="AR414" s="99" t="str">
        <f aca="false">IF(ISBLANK($C414),"",IF($AF414=Constants!$B$7,IF(AO414=1,AJ414,AM414),""))</f>
        <v/>
      </c>
      <c r="AS414" s="99" t="str">
        <f aca="false">IF(ISBLANK($C414),"",IF($AF414=Constants!$B$7,RANK(AR414,$AR$8:$AR$507),$AF414))</f>
        <v/>
      </c>
      <c r="AT414" s="99" t="str">
        <f aca="false">IF(ISBLANK($C414),"",IF($AF414=Constants!$B$7,IF(ISNUMBER(AQ414),COUNTIFS($AQ$8:$AQ$507,"&lt;"&amp;$AQ414)+COUNTIFS($AQ$8:$AQ$507,$AQ414,$AS$8:$AS$507,"&lt;"&amp;$AS414)+1,Constants!$B$14),$AF414))</f>
        <v/>
      </c>
      <c r="AU414" s="99" t="str">
        <f aca="false">IF(ISBLANK($C414),"",IF($AF414=Constants!$B$7,IF(ISNUMBER(AQ414),AQ414-AT414,Constants!$B$14),$AF414))</f>
        <v/>
      </c>
      <c r="AV414" s="100"/>
      <c r="AW414" s="101" t="str">
        <f aca="false">IF(ISBLANK($C414),"",IF($AF414&lt;&gt;Constants!$B$7,"",AN414))</f>
        <v/>
      </c>
      <c r="AX414" s="102" t="str">
        <f aca="false">IF(ISBLANK($C414),"",IF($AF414&lt;&gt;Constants!$B$7,"",IF(AN414=1,AH414,AK414)))</f>
        <v/>
      </c>
      <c r="AY414" s="103" t="str">
        <f aca="false">IF(ISBLANK($C414),"",IF($AF414&lt;&gt;Constants!$B$7,"",IF(AN414=1,AI414,AL414)))</f>
        <v/>
      </c>
      <c r="AZ414" s="104" t="str">
        <f aca="false">IF(ISBLANK($C414),"",IF($AF414&lt;&gt;Constants!$B$7,$AF414,AP414))</f>
        <v/>
      </c>
      <c r="BA414" s="105" t="str">
        <f aca="false">IF(ISBLANK($C414),"",IF($AF414&lt;&gt;Constants!$B$7,$AF414,AG414))</f>
        <v/>
      </c>
      <c r="BB414" s="106" t="str">
        <f aca="false">IF(ISBLANK($C414),"",AU414)</f>
        <v/>
      </c>
      <c r="BC414" s="106" t="str">
        <f aca="false">IF(ISBLANK($C414),"",AT414)</f>
        <v/>
      </c>
      <c r="BD414" s="107" t="str">
        <f aca="false">IF(ISBLANK($C414),"",IFERROR(_xlfn.SWITCH(BC414,Constants!$B$4,COUNTA($C$8:$C$507)+2,Constants!$B$5,COUNTA($C$8:$C$507)+1,Constants!$B$6,COUNTA($C$8:$C$507)),BC414))</f>
        <v/>
      </c>
      <c r="BE414" s="5"/>
      <c r="BF414" s="108" t="n">
        <f aca="false">IF(OR(ISNUMBER(BC414),BC414=Constants!$B$4,BC414=Constants!$B$6,BC414=Constants!$B$5),1,0)</f>
        <v>0</v>
      </c>
      <c r="BG414" s="108" t="n">
        <v>407</v>
      </c>
      <c r="BH414" s="108" t="str">
        <f aca="false">IF(ISBLANK($C414),"",IF(ISNUMBER(BD414),BD414+ROW($B414)/1000,""))</f>
        <v/>
      </c>
      <c r="BI414" s="108" t="str">
        <f aca="false">IF(ISNUMBER(BH414),RANK(BH414,$BH$8:$BH$507,1),"")</f>
        <v/>
      </c>
      <c r="BJ414" s="108" t="str">
        <f aca="false">IF(ISBLANK($C414),"",$B414)</f>
        <v/>
      </c>
      <c r="BK414" s="108" t="str">
        <f aca="false">IF(ISBLANK($C414),"",$C414)</f>
        <v/>
      </c>
      <c r="BL414" s="108" t="str">
        <f aca="false">IF(ISBLANK($C414),"",$D414)</f>
        <v/>
      </c>
      <c r="BM414" s="109" t="str">
        <f aca="false">BA414</f>
        <v/>
      </c>
      <c r="BN414" s="110" t="str">
        <f aca="false">AZ414</f>
        <v/>
      </c>
      <c r="BO414" s="108" t="str">
        <f aca="false">IF(ISBLANK($C414),"",BC414)</f>
        <v/>
      </c>
      <c r="BP414" s="111" t="str">
        <f aca="false">IF($BG414&gt;$BF$7,"",VLOOKUP($BG414,$BI$8:$BO$507,7,FALSE()))</f>
        <v/>
      </c>
      <c r="BQ414" s="112" t="str">
        <f aca="false">IF($BG414&gt;$BF$7,"",VLOOKUP($BG414,$BI$8:$BO$507,2,FALSE()))</f>
        <v/>
      </c>
      <c r="BR414" s="112" t="str">
        <f aca="false">IF($BG414&gt;$BF$7,"",VLOOKUP($BG414,$BI$8:$BO$507,3,FALSE()))</f>
        <v/>
      </c>
      <c r="BS414" s="112" t="str">
        <f aca="false">IF($BG414&gt;$BF$7,"",VLOOKUP($BG414,$BI$8:$BO$507,4,FALSE()))</f>
        <v/>
      </c>
      <c r="BT414" s="112" t="str">
        <f aca="false">IF($BG414&gt;$BF$7,"",VLOOKUP($BG414,$BI$8:$BO$507,5,FALSE()))</f>
        <v/>
      </c>
      <c r="BU414" s="113" t="str">
        <f aca="false">IF($BG414&gt;$BF$7,"",VLOOKUP($BG414,$BI$8:$BO$507,6,FALSE()))</f>
        <v/>
      </c>
      <c r="BV414" s="54"/>
    </row>
    <row r="415" customFormat="false" ht="15.75" hidden="false" customHeight="false" outlineLevel="0" collapsed="false">
      <c r="A415" s="5"/>
      <c r="B415" s="128"/>
      <c r="C415" s="129"/>
      <c r="D415" s="114"/>
      <c r="E415" s="134"/>
      <c r="F415" s="139"/>
      <c r="G415" s="93"/>
      <c r="H415" s="140"/>
      <c r="I415" s="95"/>
      <c r="J415" s="95"/>
      <c r="K415" s="93"/>
      <c r="L415" s="141"/>
      <c r="M415" s="95"/>
      <c r="N415" s="95"/>
      <c r="O415" s="93"/>
      <c r="P415" s="134"/>
      <c r="Q415" s="98"/>
      <c r="R415" s="99" t="str">
        <f aca="false">IF(ISBLANK($C415),"",IF(E415=Constants!$B$2, TRUE(), IF(E415=Constants!$B$3, FALSE(), TRUE())))</f>
        <v/>
      </c>
      <c r="S415" s="99" t="str">
        <f aca="false">IF(ISBLANK($C415),"",IF(F415=Constants!$B$2, TRUE(), IF(F415=Constants!$B$3, FALSE(), TRUE())))</f>
        <v/>
      </c>
      <c r="T415" s="99" t="str">
        <f aca="false">IF(ISBLANK($C415),"",IF(G415=Constants!$B$16,Constants!$B$9,IF(G415=Constants!$B$17,Constants!$B$10,Constants!$B$8)))</f>
        <v/>
      </c>
      <c r="U415" s="99" t="str">
        <f aca="false">IF(ISBLANK($C415),"",IF(H415=Constants!$B$19,Constants!$B$19,Constants!$B$18))</f>
        <v/>
      </c>
      <c r="V415" s="99" t="str">
        <f aca="false">IF(ISBLANK($C415),"",IF(ISNUMBER(I415),IF(I415&gt;=0,I415,""),""))</f>
        <v/>
      </c>
      <c r="W415" s="99" t="str">
        <f aca="false">IF(ISBLANK($C415),"",IF(J415=Constants!$B$2, TRUE(), IF(J415=Constants!$B$3, FALSE(), TRUE())))</f>
        <v/>
      </c>
      <c r="X415" s="99" t="str">
        <f aca="false">IF(ISBLANK($C415),"",IF(K415=Constants!$B$2, TRUE(), IF(K415=Constants!$B$3, FALSE(), TRUE())))</f>
        <v/>
      </c>
      <c r="Y415" s="99" t="str">
        <f aca="false">IF(ISBLANK($C415),"",IF(L415=Constants!$B$19,Constants!$B$19,Constants!$B$18))</f>
        <v/>
      </c>
      <c r="Z415" s="99" t="str">
        <f aca="false">IF(ISBLANK($C415),"",IF(ISNUMBER(M415),IF(M415&gt;=0,M415,""),""))</f>
        <v/>
      </c>
      <c r="AA415" s="99" t="str">
        <f aca="false">IF(ISBLANK($C415),"",IF(N415=Constants!$B$2, TRUE(), IF(N415=Constants!$B$3, FALSE(), TRUE())))</f>
        <v/>
      </c>
      <c r="AB415" s="99" t="str">
        <f aca="false">IF(ISBLANK($C415),"",IF(O415=Constants!$B$2, TRUE(), IF(O415=Constants!$B$3, FALSE(), TRUE())))</f>
        <v/>
      </c>
      <c r="AC415" s="99" t="str">
        <f aca="false">IF(ISBLANK($C415),"",IF(P415=Constants!$B$2, TRUE(), IF(P415=Constants!$B$3, FALSE(), FALSE())))</f>
        <v/>
      </c>
      <c r="AD415" s="99" t="str">
        <f aca="false">IF(ISBLANK($C415),"",AND(V415&lt;&gt;"",IF(U415=Constants!$B$19,S415,R415)))</f>
        <v/>
      </c>
      <c r="AE415" s="99" t="str">
        <f aca="false">IF(ISBLANK($C415),"",AND(Z415&lt;&gt;"",IF(Y415=Constants!$B$19,S415,R415)))</f>
        <v/>
      </c>
      <c r="AF415" s="99" t="str">
        <f aca="false">IF(ISBLANK($C415),"",IF(AC415,Constants!$B$4,IF(COUNTA(E415:O415)=0,Constants!$B$5,IF(AND(NOT(AD415),NOT(AE415)),Constants!$B$6,Constants!$B$7))))</f>
        <v/>
      </c>
      <c r="AG415" s="99" t="str">
        <f aca="false">IF(ISBLANK($C415),"",IF($AF415&lt;&gt;Constants!$B$7,$AF415,Constants!$B$20))</f>
        <v/>
      </c>
      <c r="AH415" s="99" t="str">
        <f aca="false">IF($AF415=Constants!$B$7,IF(AD415,V415,Constants!$B$13),"")</f>
        <v/>
      </c>
      <c r="AI415" s="99" t="str">
        <f aca="false">IF($AF415=Constants!$B$7,IF(AD415,T415*IF(W415, 1, Constants!$B$11)*IF(X415, 1, Constants!$B$12),Constants!$B$13),"")</f>
        <v/>
      </c>
      <c r="AJ415" s="99" t="str">
        <f aca="false">IF($AF415=Constants!$B$7,AH415*AI415,"")</f>
        <v/>
      </c>
      <c r="AK415" s="99" t="str">
        <f aca="false">IF($AF415=Constants!$B$7,IF(AE415,Z415,Constants!$B$13),"")</f>
        <v/>
      </c>
      <c r="AL415" s="99" t="str">
        <f aca="false">IF($AF415=Constants!$B$7,IF(AE415,T415*IF(AA415, 1, Constants!$B$11)*IF(AB415, 1, Constants!$B$12),Constants!$B$13),"")</f>
        <v/>
      </c>
      <c r="AM415" s="99" t="str">
        <f aca="false">IF($AF415=Constants!$B$7,AK415*AL415,"")</f>
        <v/>
      </c>
      <c r="AN415" s="99" t="str">
        <f aca="false">IF($AF415=Constants!$B$7,IF(AM415&gt;AJ415,2,1),"")</f>
        <v/>
      </c>
      <c r="AO415" s="99" t="str">
        <f aca="false">IF($AF415=Constants!$B$7,IF(AN415=1,2,1),"")</f>
        <v/>
      </c>
      <c r="AP415" s="99" t="str">
        <f aca="false">IF(ISBLANK($C415),"",IF($AF415&lt;&gt;Constants!$B$7,$AF415,IF(AN415=1,AJ415,AM415)))</f>
        <v/>
      </c>
      <c r="AQ415" s="99" t="str">
        <f aca="false">IF(ISBLANK($C415),"",IF($AF415=Constants!$B$7,IF(ISNUMBER(AP415),RANK(AP415,$AP$8:$AP$507),Constants!$B$14),$AF415))</f>
        <v/>
      </c>
      <c r="AR415" s="99" t="str">
        <f aca="false">IF(ISBLANK($C415),"",IF($AF415=Constants!$B$7,IF(AO415=1,AJ415,AM415),""))</f>
        <v/>
      </c>
      <c r="AS415" s="99" t="str">
        <f aca="false">IF(ISBLANK($C415),"",IF($AF415=Constants!$B$7,RANK(AR415,$AR$8:$AR$507),$AF415))</f>
        <v/>
      </c>
      <c r="AT415" s="99" t="str">
        <f aca="false">IF(ISBLANK($C415),"",IF($AF415=Constants!$B$7,IF(ISNUMBER(AQ415),COUNTIFS($AQ$8:$AQ$507,"&lt;"&amp;$AQ415)+COUNTIFS($AQ$8:$AQ$507,$AQ415,$AS$8:$AS$507,"&lt;"&amp;$AS415)+1,Constants!$B$14),$AF415))</f>
        <v/>
      </c>
      <c r="AU415" s="99" t="str">
        <f aca="false">IF(ISBLANK($C415),"",IF($AF415=Constants!$B$7,IF(ISNUMBER(AQ415),AQ415-AT415,Constants!$B$14),$AF415))</f>
        <v/>
      </c>
      <c r="AV415" s="100"/>
      <c r="AW415" s="101" t="str">
        <f aca="false">IF(ISBLANK($C415),"",IF($AF415&lt;&gt;Constants!$B$7,"",AN415))</f>
        <v/>
      </c>
      <c r="AX415" s="102" t="str">
        <f aca="false">IF(ISBLANK($C415),"",IF($AF415&lt;&gt;Constants!$B$7,"",IF(AN415=1,AH415,AK415)))</f>
        <v/>
      </c>
      <c r="AY415" s="103" t="str">
        <f aca="false">IF(ISBLANK($C415),"",IF($AF415&lt;&gt;Constants!$B$7,"",IF(AN415=1,AI415,AL415)))</f>
        <v/>
      </c>
      <c r="AZ415" s="104" t="str">
        <f aca="false">IF(ISBLANK($C415),"",IF($AF415&lt;&gt;Constants!$B$7,$AF415,AP415))</f>
        <v/>
      </c>
      <c r="BA415" s="105" t="str">
        <f aca="false">IF(ISBLANK($C415),"",IF($AF415&lt;&gt;Constants!$B$7,$AF415,AG415))</f>
        <v/>
      </c>
      <c r="BB415" s="106" t="str">
        <f aca="false">IF(ISBLANK($C415),"",AU415)</f>
        <v/>
      </c>
      <c r="BC415" s="106" t="str">
        <f aca="false">IF(ISBLANK($C415),"",AT415)</f>
        <v/>
      </c>
      <c r="BD415" s="107" t="str">
        <f aca="false">IF(ISBLANK($C415),"",IFERROR(_xlfn.SWITCH(BC415,Constants!$B$4,COUNTA($C$8:$C$507)+2,Constants!$B$5,COUNTA($C$8:$C$507)+1,Constants!$B$6,COUNTA($C$8:$C$507)),BC415))</f>
        <v/>
      </c>
      <c r="BE415" s="5"/>
      <c r="BF415" s="108" t="n">
        <f aca="false">IF(OR(ISNUMBER(BC415),BC415=Constants!$B$4,BC415=Constants!$B$6,BC415=Constants!$B$5),1,0)</f>
        <v>0</v>
      </c>
      <c r="BG415" s="108" t="n">
        <v>408</v>
      </c>
      <c r="BH415" s="108" t="str">
        <f aca="false">IF(ISBLANK($C415),"",IF(ISNUMBER(BD415),BD415+ROW($B415)/1000,""))</f>
        <v/>
      </c>
      <c r="BI415" s="108" t="str">
        <f aca="false">IF(ISNUMBER(BH415),RANK(BH415,$BH$8:$BH$507,1),"")</f>
        <v/>
      </c>
      <c r="BJ415" s="108" t="str">
        <f aca="false">IF(ISBLANK($C415),"",$B415)</f>
        <v/>
      </c>
      <c r="BK415" s="108" t="str">
        <f aca="false">IF(ISBLANK($C415),"",$C415)</f>
        <v/>
      </c>
      <c r="BL415" s="108" t="str">
        <f aca="false">IF(ISBLANK($C415),"",$D415)</f>
        <v/>
      </c>
      <c r="BM415" s="109" t="str">
        <f aca="false">BA415</f>
        <v/>
      </c>
      <c r="BN415" s="110" t="str">
        <f aca="false">AZ415</f>
        <v/>
      </c>
      <c r="BO415" s="108" t="str">
        <f aca="false">IF(ISBLANK($C415),"",BC415)</f>
        <v/>
      </c>
      <c r="BP415" s="111" t="str">
        <f aca="false">IF($BG415&gt;$BF$7,"",VLOOKUP($BG415,$BI$8:$BO$507,7,FALSE()))</f>
        <v/>
      </c>
      <c r="BQ415" s="112" t="str">
        <f aca="false">IF($BG415&gt;$BF$7,"",VLOOKUP($BG415,$BI$8:$BO$507,2,FALSE()))</f>
        <v/>
      </c>
      <c r="BR415" s="112" t="str">
        <f aca="false">IF($BG415&gt;$BF$7,"",VLOOKUP($BG415,$BI$8:$BO$507,3,FALSE()))</f>
        <v/>
      </c>
      <c r="BS415" s="112" t="str">
        <f aca="false">IF($BG415&gt;$BF$7,"",VLOOKUP($BG415,$BI$8:$BO$507,4,FALSE()))</f>
        <v/>
      </c>
      <c r="BT415" s="112" t="str">
        <f aca="false">IF($BG415&gt;$BF$7,"",VLOOKUP($BG415,$BI$8:$BO$507,5,FALSE()))</f>
        <v/>
      </c>
      <c r="BU415" s="113" t="str">
        <f aca="false">IF($BG415&gt;$BF$7,"",VLOOKUP($BG415,$BI$8:$BO$507,6,FALSE()))</f>
        <v/>
      </c>
      <c r="BV415" s="54"/>
    </row>
    <row r="416" customFormat="false" ht="15.75" hidden="false" customHeight="false" outlineLevel="0" collapsed="false">
      <c r="A416" s="5"/>
      <c r="B416" s="135"/>
      <c r="C416" s="56"/>
      <c r="D416" s="57"/>
      <c r="E416" s="84"/>
      <c r="F416" s="136"/>
      <c r="G416" s="60"/>
      <c r="H416" s="137"/>
      <c r="I416" s="62"/>
      <c r="J416" s="62"/>
      <c r="K416" s="60"/>
      <c r="L416" s="138"/>
      <c r="M416" s="62"/>
      <c r="N416" s="62"/>
      <c r="O416" s="60"/>
      <c r="P416" s="84"/>
      <c r="Q416" s="65"/>
      <c r="R416" s="67" t="str">
        <f aca="false">IF(ISBLANK($C416),"",IF(E416=Constants!$B$2, TRUE(), IF(E416=Constants!$B$3, FALSE(), TRUE())))</f>
        <v/>
      </c>
      <c r="S416" s="67" t="str">
        <f aca="false">IF(ISBLANK($C416),"",IF(F416=Constants!$B$2, TRUE(), IF(F416=Constants!$B$3, FALSE(), TRUE())))</f>
        <v/>
      </c>
      <c r="T416" s="67" t="str">
        <f aca="false">IF(ISBLANK($C416),"",IF(G416=Constants!$B$16,Constants!$B$9,IF(G416=Constants!$B$17,Constants!$B$10,Constants!$B$8)))</f>
        <v/>
      </c>
      <c r="U416" s="67" t="str">
        <f aca="false">IF(ISBLANK($C416),"",IF(H416=Constants!$B$19,Constants!$B$19,Constants!$B$18))</f>
        <v/>
      </c>
      <c r="V416" s="67" t="str">
        <f aca="false">IF(ISBLANK($C416),"",IF(ISNUMBER(I416),IF(I416&gt;=0,I416,""),""))</f>
        <v/>
      </c>
      <c r="W416" s="67" t="str">
        <f aca="false">IF(ISBLANK($C416),"",IF(J416=Constants!$B$2, TRUE(), IF(J416=Constants!$B$3, FALSE(), TRUE())))</f>
        <v/>
      </c>
      <c r="X416" s="67" t="str">
        <f aca="false">IF(ISBLANK($C416),"",IF(K416=Constants!$B$2, TRUE(), IF(K416=Constants!$B$3, FALSE(), TRUE())))</f>
        <v/>
      </c>
      <c r="Y416" s="67" t="str">
        <f aca="false">IF(ISBLANK($C416),"",IF(L416=Constants!$B$19,Constants!$B$19,Constants!$B$18))</f>
        <v/>
      </c>
      <c r="Z416" s="67" t="str">
        <f aca="false">IF(ISBLANK($C416),"",IF(ISNUMBER(M416),IF(M416&gt;=0,M416,""),""))</f>
        <v/>
      </c>
      <c r="AA416" s="67" t="str">
        <f aca="false">IF(ISBLANK($C416),"",IF(N416=Constants!$B$2, TRUE(), IF(N416=Constants!$B$3, FALSE(), TRUE())))</f>
        <v/>
      </c>
      <c r="AB416" s="67" t="str">
        <f aca="false">IF(ISBLANK($C416),"",IF(O416=Constants!$B$2, TRUE(), IF(O416=Constants!$B$3, FALSE(), TRUE())))</f>
        <v/>
      </c>
      <c r="AC416" s="67" t="str">
        <f aca="false">IF(ISBLANK($C416),"",IF(P416=Constants!$B$2, TRUE(), IF(P416=Constants!$B$3, FALSE(), FALSE())))</f>
        <v/>
      </c>
      <c r="AD416" s="67" t="str">
        <f aca="false">IF(ISBLANK($C416),"",AND(V416&lt;&gt;"",IF(U416=Constants!$B$19,S416,R416)))</f>
        <v/>
      </c>
      <c r="AE416" s="67" t="str">
        <f aca="false">IF(ISBLANK($C416),"",AND(Z416&lt;&gt;"",IF(Y416=Constants!$B$19,S416,R416)))</f>
        <v/>
      </c>
      <c r="AF416" s="67" t="str">
        <f aca="false">IF(ISBLANK($C416),"",IF(AC416,Constants!$B$4,IF(COUNTA(E416:O416)=0,Constants!$B$5,IF(AND(NOT(AD416),NOT(AE416)),Constants!$B$6,Constants!$B$7))))</f>
        <v/>
      </c>
      <c r="AG416" s="67" t="str">
        <f aca="false">IF(ISBLANK($C416),"",IF($AF416&lt;&gt;Constants!$B$7,$AF416,Constants!$B$20))</f>
        <v/>
      </c>
      <c r="AH416" s="67" t="str">
        <f aca="false">IF($AF416=Constants!$B$7,IF(AD416,V416,Constants!$B$13),"")</f>
        <v/>
      </c>
      <c r="AI416" s="67" t="str">
        <f aca="false">IF($AF416=Constants!$B$7,IF(AD416,T416*IF(W416, 1, Constants!$B$11)*IF(X416, 1, Constants!$B$12),Constants!$B$13),"")</f>
        <v/>
      </c>
      <c r="AJ416" s="67" t="str">
        <f aca="false">IF($AF416=Constants!$B$7,AH416*AI416,"")</f>
        <v/>
      </c>
      <c r="AK416" s="67" t="str">
        <f aca="false">IF($AF416=Constants!$B$7,IF(AE416,Z416,Constants!$B$13),"")</f>
        <v/>
      </c>
      <c r="AL416" s="67" t="str">
        <f aca="false">IF($AF416=Constants!$B$7,IF(AE416,T416*IF(AA416, 1, Constants!$B$11)*IF(AB416, 1, Constants!$B$12),Constants!$B$13),"")</f>
        <v/>
      </c>
      <c r="AM416" s="67" t="str">
        <f aca="false">IF($AF416=Constants!$B$7,AK416*AL416,"")</f>
        <v/>
      </c>
      <c r="AN416" s="67" t="str">
        <f aca="false">IF($AF416=Constants!$B$7,IF(AM416&gt;AJ416,2,1),"")</f>
        <v/>
      </c>
      <c r="AO416" s="67" t="str">
        <f aca="false">IF($AF416=Constants!$B$7,IF(AN416=1,2,1),"")</f>
        <v/>
      </c>
      <c r="AP416" s="67" t="str">
        <f aca="false">IF(ISBLANK($C416),"",IF($AF416&lt;&gt;Constants!$B$7,$AF416,IF(AN416=1,AJ416,AM416)))</f>
        <v/>
      </c>
      <c r="AQ416" s="67" t="str">
        <f aca="false">IF(ISBLANK($C416),"",IF($AF416=Constants!$B$7,IF(ISNUMBER(AP416),RANK(AP416,$AP$8:$AP$507),Constants!$B$14),$AF416))</f>
        <v/>
      </c>
      <c r="AR416" s="67" t="str">
        <f aca="false">IF(ISBLANK($C416),"",IF($AF416=Constants!$B$7,IF(AO416=1,AJ416,AM416),""))</f>
        <v/>
      </c>
      <c r="AS416" s="67" t="str">
        <f aca="false">IF(ISBLANK($C416),"",IF($AF416=Constants!$B$7,RANK(AR416,$AR$8:$AR$507),$AF416))</f>
        <v/>
      </c>
      <c r="AT416" s="67" t="str">
        <f aca="false">IF(ISBLANK($C416),"",IF($AF416=Constants!$B$7,IF(ISNUMBER(AQ416),COUNTIFS($AQ$8:$AQ$507,"&lt;"&amp;$AQ416)+COUNTIFS($AQ$8:$AQ$507,$AQ416,$AS$8:$AS$507,"&lt;"&amp;$AS416)+1,Constants!$B$14),$AF416))</f>
        <v/>
      </c>
      <c r="AU416" s="67" t="str">
        <f aca="false">IF(ISBLANK($C416),"",IF($AF416=Constants!$B$7,IF(ISNUMBER(AQ416),AQ416-AT416,Constants!$B$14),$AF416))</f>
        <v/>
      </c>
      <c r="AV416" s="69"/>
      <c r="AW416" s="70" t="str">
        <f aca="false">IF(ISBLANK($C416),"",IF($AF416&lt;&gt;Constants!$B$7,"",AN416))</f>
        <v/>
      </c>
      <c r="AX416" s="85" t="str">
        <f aca="false">IF(ISBLANK($C416),"",IF($AF416&lt;&gt;Constants!$B$7,"",IF(AN416=1,AH416,AK416)))</f>
        <v/>
      </c>
      <c r="AY416" s="72" t="str">
        <f aca="false">IF(ISBLANK($C416),"",IF($AF416&lt;&gt;Constants!$B$7,"",IF(AN416=1,AI416,AL416)))</f>
        <v/>
      </c>
      <c r="AZ416" s="73" t="str">
        <f aca="false">IF(ISBLANK($C416),"",IF($AF416&lt;&gt;Constants!$B$7,$AF416,AP416))</f>
        <v/>
      </c>
      <c r="BA416" s="74" t="str">
        <f aca="false">IF(ISBLANK($C416),"",IF($AF416&lt;&gt;Constants!$B$7,$AF416,AG416))</f>
        <v/>
      </c>
      <c r="BB416" s="75" t="str">
        <f aca="false">IF(ISBLANK($C416),"",AU416)</f>
        <v/>
      </c>
      <c r="BC416" s="75" t="str">
        <f aca="false">IF(ISBLANK($C416),"",AT416)</f>
        <v/>
      </c>
      <c r="BD416" s="76" t="str">
        <f aca="false">IF(ISBLANK($C416),"",IFERROR(_xlfn.SWITCH(BC416,Constants!$B$4,COUNTA($C$8:$C$507)+2,Constants!$B$5,COUNTA($C$8:$C$507)+1,Constants!$B$6,COUNTA($C$8:$C$507)),BC416))</f>
        <v/>
      </c>
      <c r="BE416" s="5"/>
      <c r="BF416" s="77" t="n">
        <f aca="false">IF(OR(ISNUMBER(BC416),BC416=Constants!$B$4,BC416=Constants!$B$6,BC416=Constants!$B$5),1,0)</f>
        <v>0</v>
      </c>
      <c r="BG416" s="77" t="n">
        <v>409</v>
      </c>
      <c r="BH416" s="77" t="str">
        <f aca="false">IF(ISBLANK($C416),"",IF(ISNUMBER(BD416),BD416+ROW($B416)/1000,""))</f>
        <v/>
      </c>
      <c r="BI416" s="77" t="str">
        <f aca="false">IF(ISNUMBER(BH416),RANK(BH416,$BH$8:$BH$507,1),"")</f>
        <v/>
      </c>
      <c r="BJ416" s="77" t="str">
        <f aca="false">IF(ISBLANK($C416),"",$B416)</f>
        <v/>
      </c>
      <c r="BK416" s="77" t="str">
        <f aca="false">IF(ISBLANK($C416),"",$C416)</f>
        <v/>
      </c>
      <c r="BL416" s="77" t="str">
        <f aca="false">IF(ISBLANK($C416),"",$D416)</f>
        <v/>
      </c>
      <c r="BM416" s="78" t="str">
        <f aca="false">BA416</f>
        <v/>
      </c>
      <c r="BN416" s="79" t="str">
        <f aca="false">AZ416</f>
        <v/>
      </c>
      <c r="BO416" s="77" t="str">
        <f aca="false">IF(ISBLANK($C416),"",BC416)</f>
        <v/>
      </c>
      <c r="BP416" s="80" t="str">
        <f aca="false">IF($BG416&gt;$BF$7,"",VLOOKUP($BG416,$BI$8:$BO$507,7,FALSE()))</f>
        <v/>
      </c>
      <c r="BQ416" s="81" t="str">
        <f aca="false">IF($BG416&gt;$BF$7,"",VLOOKUP($BG416,$BI$8:$BO$507,2,FALSE()))</f>
        <v/>
      </c>
      <c r="BR416" s="81" t="str">
        <f aca="false">IF($BG416&gt;$BF$7,"",VLOOKUP($BG416,$BI$8:$BO$507,3,FALSE()))</f>
        <v/>
      </c>
      <c r="BS416" s="81" t="str">
        <f aca="false">IF($BG416&gt;$BF$7,"",VLOOKUP($BG416,$BI$8:$BO$507,4,FALSE()))</f>
        <v/>
      </c>
      <c r="BT416" s="81" t="str">
        <f aca="false">IF($BG416&gt;$BF$7,"",VLOOKUP($BG416,$BI$8:$BO$507,5,FALSE()))</f>
        <v/>
      </c>
      <c r="BU416" s="82" t="str">
        <f aca="false">IF($BG416&gt;$BF$7,"",VLOOKUP($BG416,$BI$8:$BO$507,6,FALSE()))</f>
        <v/>
      </c>
      <c r="BV416" s="54"/>
    </row>
    <row r="417" customFormat="false" ht="15.75" hidden="false" customHeight="false" outlineLevel="0" collapsed="false">
      <c r="A417" s="5"/>
      <c r="B417" s="135"/>
      <c r="C417" s="56"/>
      <c r="D417" s="57"/>
      <c r="E417" s="84"/>
      <c r="F417" s="136"/>
      <c r="G417" s="60"/>
      <c r="H417" s="137"/>
      <c r="I417" s="62"/>
      <c r="J417" s="62"/>
      <c r="K417" s="60"/>
      <c r="L417" s="138"/>
      <c r="M417" s="62"/>
      <c r="N417" s="62"/>
      <c r="O417" s="60"/>
      <c r="P417" s="84"/>
      <c r="Q417" s="65"/>
      <c r="R417" s="67" t="str">
        <f aca="false">IF(ISBLANK($C417),"",IF(E417=Constants!$B$2, TRUE(), IF(E417=Constants!$B$3, FALSE(), TRUE())))</f>
        <v/>
      </c>
      <c r="S417" s="67" t="str">
        <f aca="false">IF(ISBLANK($C417),"",IF(F417=Constants!$B$2, TRUE(), IF(F417=Constants!$B$3, FALSE(), TRUE())))</f>
        <v/>
      </c>
      <c r="T417" s="67" t="str">
        <f aca="false">IF(ISBLANK($C417),"",IF(G417=Constants!$B$16,Constants!$B$9,IF(G417=Constants!$B$17,Constants!$B$10,Constants!$B$8)))</f>
        <v/>
      </c>
      <c r="U417" s="67" t="str">
        <f aca="false">IF(ISBLANK($C417),"",IF(H417=Constants!$B$19,Constants!$B$19,Constants!$B$18))</f>
        <v/>
      </c>
      <c r="V417" s="67" t="str">
        <f aca="false">IF(ISBLANK($C417),"",IF(ISNUMBER(I417),IF(I417&gt;=0,I417,""),""))</f>
        <v/>
      </c>
      <c r="W417" s="67" t="str">
        <f aca="false">IF(ISBLANK($C417),"",IF(J417=Constants!$B$2, TRUE(), IF(J417=Constants!$B$3, FALSE(), TRUE())))</f>
        <v/>
      </c>
      <c r="X417" s="67" t="str">
        <f aca="false">IF(ISBLANK($C417),"",IF(K417=Constants!$B$2, TRUE(), IF(K417=Constants!$B$3, FALSE(), TRUE())))</f>
        <v/>
      </c>
      <c r="Y417" s="67" t="str">
        <f aca="false">IF(ISBLANK($C417),"",IF(L417=Constants!$B$19,Constants!$B$19,Constants!$B$18))</f>
        <v/>
      </c>
      <c r="Z417" s="67" t="str">
        <f aca="false">IF(ISBLANK($C417),"",IF(ISNUMBER(M417),IF(M417&gt;=0,M417,""),""))</f>
        <v/>
      </c>
      <c r="AA417" s="67" t="str">
        <f aca="false">IF(ISBLANK($C417),"",IF(N417=Constants!$B$2, TRUE(), IF(N417=Constants!$B$3, FALSE(), TRUE())))</f>
        <v/>
      </c>
      <c r="AB417" s="67" t="str">
        <f aca="false">IF(ISBLANK($C417),"",IF(O417=Constants!$B$2, TRUE(), IF(O417=Constants!$B$3, FALSE(), TRUE())))</f>
        <v/>
      </c>
      <c r="AC417" s="67" t="str">
        <f aca="false">IF(ISBLANK($C417),"",IF(P417=Constants!$B$2, TRUE(), IF(P417=Constants!$B$3, FALSE(), FALSE())))</f>
        <v/>
      </c>
      <c r="AD417" s="67" t="str">
        <f aca="false">IF(ISBLANK($C417),"",AND(V417&lt;&gt;"",IF(U417=Constants!$B$19,S417,R417)))</f>
        <v/>
      </c>
      <c r="AE417" s="67" t="str">
        <f aca="false">IF(ISBLANK($C417),"",AND(Z417&lt;&gt;"",IF(Y417=Constants!$B$19,S417,R417)))</f>
        <v/>
      </c>
      <c r="AF417" s="67" t="str">
        <f aca="false">IF(ISBLANK($C417),"",IF(AC417,Constants!$B$4,IF(COUNTA(E417:O417)=0,Constants!$B$5,IF(AND(NOT(AD417),NOT(AE417)),Constants!$B$6,Constants!$B$7))))</f>
        <v/>
      </c>
      <c r="AG417" s="67" t="str">
        <f aca="false">IF(ISBLANK($C417),"",IF($AF417&lt;&gt;Constants!$B$7,$AF417,Constants!$B$20))</f>
        <v/>
      </c>
      <c r="AH417" s="67" t="str">
        <f aca="false">IF($AF417=Constants!$B$7,IF(AD417,V417,Constants!$B$13),"")</f>
        <v/>
      </c>
      <c r="AI417" s="67" t="str">
        <f aca="false">IF($AF417=Constants!$B$7,IF(AD417,T417*IF(W417, 1, Constants!$B$11)*IF(X417, 1, Constants!$B$12),Constants!$B$13),"")</f>
        <v/>
      </c>
      <c r="AJ417" s="67" t="str">
        <f aca="false">IF($AF417=Constants!$B$7,AH417*AI417,"")</f>
        <v/>
      </c>
      <c r="AK417" s="67" t="str">
        <f aca="false">IF($AF417=Constants!$B$7,IF(AE417,Z417,Constants!$B$13),"")</f>
        <v/>
      </c>
      <c r="AL417" s="67" t="str">
        <f aca="false">IF($AF417=Constants!$B$7,IF(AE417,T417*IF(AA417, 1, Constants!$B$11)*IF(AB417, 1, Constants!$B$12),Constants!$B$13),"")</f>
        <v/>
      </c>
      <c r="AM417" s="67" t="str">
        <f aca="false">IF($AF417=Constants!$B$7,AK417*AL417,"")</f>
        <v/>
      </c>
      <c r="AN417" s="67" t="str">
        <f aca="false">IF($AF417=Constants!$B$7,IF(AM417&gt;AJ417,2,1),"")</f>
        <v/>
      </c>
      <c r="AO417" s="67" t="str">
        <f aca="false">IF($AF417=Constants!$B$7,IF(AN417=1,2,1),"")</f>
        <v/>
      </c>
      <c r="AP417" s="67" t="str">
        <f aca="false">IF(ISBLANK($C417),"",IF($AF417&lt;&gt;Constants!$B$7,$AF417,IF(AN417=1,AJ417,AM417)))</f>
        <v/>
      </c>
      <c r="AQ417" s="67" t="str">
        <f aca="false">IF(ISBLANK($C417),"",IF($AF417=Constants!$B$7,IF(ISNUMBER(AP417),RANK(AP417,$AP$8:$AP$507),Constants!$B$14),$AF417))</f>
        <v/>
      </c>
      <c r="AR417" s="67" t="str">
        <f aca="false">IF(ISBLANK($C417),"",IF($AF417=Constants!$B$7,IF(AO417=1,AJ417,AM417),""))</f>
        <v/>
      </c>
      <c r="AS417" s="67" t="str">
        <f aca="false">IF(ISBLANK($C417),"",IF($AF417=Constants!$B$7,RANK(AR417,$AR$8:$AR$507),$AF417))</f>
        <v/>
      </c>
      <c r="AT417" s="67" t="str">
        <f aca="false">IF(ISBLANK($C417),"",IF($AF417=Constants!$B$7,IF(ISNUMBER(AQ417),COUNTIFS($AQ$8:$AQ$507,"&lt;"&amp;$AQ417)+COUNTIFS($AQ$8:$AQ$507,$AQ417,$AS$8:$AS$507,"&lt;"&amp;$AS417)+1,Constants!$B$14),$AF417))</f>
        <v/>
      </c>
      <c r="AU417" s="67" t="str">
        <f aca="false">IF(ISBLANK($C417),"",IF($AF417=Constants!$B$7,IF(ISNUMBER(AQ417),AQ417-AT417,Constants!$B$14),$AF417))</f>
        <v/>
      </c>
      <c r="AV417" s="69"/>
      <c r="AW417" s="70" t="str">
        <f aca="false">IF(ISBLANK($C417),"",IF($AF417&lt;&gt;Constants!$B$7,"",AN417))</f>
        <v/>
      </c>
      <c r="AX417" s="85" t="str">
        <f aca="false">IF(ISBLANK($C417),"",IF($AF417&lt;&gt;Constants!$B$7,"",IF(AN417=1,AH417,AK417)))</f>
        <v/>
      </c>
      <c r="AY417" s="72" t="str">
        <f aca="false">IF(ISBLANK($C417),"",IF($AF417&lt;&gt;Constants!$B$7,"",IF(AN417=1,AI417,AL417)))</f>
        <v/>
      </c>
      <c r="AZ417" s="73" t="str">
        <f aca="false">IF(ISBLANK($C417),"",IF($AF417&lt;&gt;Constants!$B$7,$AF417,AP417))</f>
        <v/>
      </c>
      <c r="BA417" s="74" t="str">
        <f aca="false">IF(ISBLANK($C417),"",IF($AF417&lt;&gt;Constants!$B$7,$AF417,AG417))</f>
        <v/>
      </c>
      <c r="BB417" s="75" t="str">
        <f aca="false">IF(ISBLANK($C417),"",AU417)</f>
        <v/>
      </c>
      <c r="BC417" s="75" t="str">
        <f aca="false">IF(ISBLANK($C417),"",AT417)</f>
        <v/>
      </c>
      <c r="BD417" s="76" t="str">
        <f aca="false">IF(ISBLANK($C417),"",IFERROR(_xlfn.SWITCH(BC417,Constants!$B$4,COUNTA($C$8:$C$507)+2,Constants!$B$5,COUNTA($C$8:$C$507)+1,Constants!$B$6,COUNTA($C$8:$C$507)),BC417))</f>
        <v/>
      </c>
      <c r="BE417" s="5"/>
      <c r="BF417" s="77" t="n">
        <f aca="false">IF(OR(ISNUMBER(BC417),BC417=Constants!$B$4,BC417=Constants!$B$6,BC417=Constants!$B$5),1,0)</f>
        <v>0</v>
      </c>
      <c r="BG417" s="77" t="n">
        <v>410</v>
      </c>
      <c r="BH417" s="77" t="str">
        <f aca="false">IF(ISBLANK($C417),"",IF(ISNUMBER(BD417),BD417+ROW($B417)/1000,""))</f>
        <v/>
      </c>
      <c r="BI417" s="77" t="str">
        <f aca="false">IF(ISNUMBER(BH417),RANK(BH417,$BH$8:$BH$507,1),"")</f>
        <v/>
      </c>
      <c r="BJ417" s="77" t="str">
        <f aca="false">IF(ISBLANK($C417),"",$B417)</f>
        <v/>
      </c>
      <c r="BK417" s="77" t="str">
        <f aca="false">IF(ISBLANK($C417),"",$C417)</f>
        <v/>
      </c>
      <c r="BL417" s="77" t="str">
        <f aca="false">IF(ISBLANK($C417),"",$D417)</f>
        <v/>
      </c>
      <c r="BM417" s="78" t="str">
        <f aca="false">BA417</f>
        <v/>
      </c>
      <c r="BN417" s="79" t="str">
        <f aca="false">AZ417</f>
        <v/>
      </c>
      <c r="BO417" s="77" t="str">
        <f aca="false">IF(ISBLANK($C417),"",BC417)</f>
        <v/>
      </c>
      <c r="BP417" s="80" t="str">
        <f aca="false">IF($BG417&gt;$BF$7,"",VLOOKUP($BG417,$BI$8:$BO$507,7,FALSE()))</f>
        <v/>
      </c>
      <c r="BQ417" s="81" t="str">
        <f aca="false">IF($BG417&gt;$BF$7,"",VLOOKUP($BG417,$BI$8:$BO$507,2,FALSE()))</f>
        <v/>
      </c>
      <c r="BR417" s="81" t="str">
        <f aca="false">IF($BG417&gt;$BF$7,"",VLOOKUP($BG417,$BI$8:$BO$507,3,FALSE()))</f>
        <v/>
      </c>
      <c r="BS417" s="81" t="str">
        <f aca="false">IF($BG417&gt;$BF$7,"",VLOOKUP($BG417,$BI$8:$BO$507,4,FALSE()))</f>
        <v/>
      </c>
      <c r="BT417" s="81" t="str">
        <f aca="false">IF($BG417&gt;$BF$7,"",VLOOKUP($BG417,$BI$8:$BO$507,5,FALSE()))</f>
        <v/>
      </c>
      <c r="BU417" s="82" t="str">
        <f aca="false">IF($BG417&gt;$BF$7,"",VLOOKUP($BG417,$BI$8:$BO$507,6,FALSE()))</f>
        <v/>
      </c>
      <c r="BV417" s="54"/>
    </row>
    <row r="418" customFormat="false" ht="15.75" hidden="false" customHeight="false" outlineLevel="0" collapsed="false">
      <c r="A418" s="5"/>
      <c r="B418" s="135"/>
      <c r="C418" s="56"/>
      <c r="D418" s="57"/>
      <c r="E418" s="84"/>
      <c r="F418" s="136"/>
      <c r="G418" s="60"/>
      <c r="H418" s="137"/>
      <c r="I418" s="62"/>
      <c r="J418" s="62"/>
      <c r="K418" s="60"/>
      <c r="L418" s="138"/>
      <c r="M418" s="62"/>
      <c r="N418" s="62"/>
      <c r="O418" s="60"/>
      <c r="P418" s="84"/>
      <c r="Q418" s="65"/>
      <c r="R418" s="67" t="str">
        <f aca="false">IF(ISBLANK($C418),"",IF(E418=Constants!$B$2, TRUE(), IF(E418=Constants!$B$3, FALSE(), TRUE())))</f>
        <v/>
      </c>
      <c r="S418" s="67" t="str">
        <f aca="false">IF(ISBLANK($C418),"",IF(F418=Constants!$B$2, TRUE(), IF(F418=Constants!$B$3, FALSE(), TRUE())))</f>
        <v/>
      </c>
      <c r="T418" s="67" t="str">
        <f aca="false">IF(ISBLANK($C418),"",IF(G418=Constants!$B$16,Constants!$B$9,IF(G418=Constants!$B$17,Constants!$B$10,Constants!$B$8)))</f>
        <v/>
      </c>
      <c r="U418" s="67" t="str">
        <f aca="false">IF(ISBLANK($C418),"",IF(H418=Constants!$B$19,Constants!$B$19,Constants!$B$18))</f>
        <v/>
      </c>
      <c r="V418" s="67" t="str">
        <f aca="false">IF(ISBLANK($C418),"",IF(ISNUMBER(I418),IF(I418&gt;=0,I418,""),""))</f>
        <v/>
      </c>
      <c r="W418" s="67" t="str">
        <f aca="false">IF(ISBLANK($C418),"",IF(J418=Constants!$B$2, TRUE(), IF(J418=Constants!$B$3, FALSE(), TRUE())))</f>
        <v/>
      </c>
      <c r="X418" s="67" t="str">
        <f aca="false">IF(ISBLANK($C418),"",IF(K418=Constants!$B$2, TRUE(), IF(K418=Constants!$B$3, FALSE(), TRUE())))</f>
        <v/>
      </c>
      <c r="Y418" s="67" t="str">
        <f aca="false">IF(ISBLANK($C418),"",IF(L418=Constants!$B$19,Constants!$B$19,Constants!$B$18))</f>
        <v/>
      </c>
      <c r="Z418" s="67" t="str">
        <f aca="false">IF(ISBLANK($C418),"",IF(ISNUMBER(M418),IF(M418&gt;=0,M418,""),""))</f>
        <v/>
      </c>
      <c r="AA418" s="67" t="str">
        <f aca="false">IF(ISBLANK($C418),"",IF(N418=Constants!$B$2, TRUE(), IF(N418=Constants!$B$3, FALSE(), TRUE())))</f>
        <v/>
      </c>
      <c r="AB418" s="67" t="str">
        <f aca="false">IF(ISBLANK($C418),"",IF(O418=Constants!$B$2, TRUE(), IF(O418=Constants!$B$3, FALSE(), TRUE())))</f>
        <v/>
      </c>
      <c r="AC418" s="67" t="str">
        <f aca="false">IF(ISBLANK($C418),"",IF(P418=Constants!$B$2, TRUE(), IF(P418=Constants!$B$3, FALSE(), FALSE())))</f>
        <v/>
      </c>
      <c r="AD418" s="67" t="str">
        <f aca="false">IF(ISBLANK($C418),"",AND(V418&lt;&gt;"",IF(U418=Constants!$B$19,S418,R418)))</f>
        <v/>
      </c>
      <c r="AE418" s="67" t="str">
        <f aca="false">IF(ISBLANK($C418),"",AND(Z418&lt;&gt;"",IF(Y418=Constants!$B$19,S418,R418)))</f>
        <v/>
      </c>
      <c r="AF418" s="67" t="str">
        <f aca="false">IF(ISBLANK($C418),"",IF(AC418,Constants!$B$4,IF(COUNTA(E418:O418)=0,Constants!$B$5,IF(AND(NOT(AD418),NOT(AE418)),Constants!$B$6,Constants!$B$7))))</f>
        <v/>
      </c>
      <c r="AG418" s="67" t="str">
        <f aca="false">IF(ISBLANK($C418),"",IF($AF418&lt;&gt;Constants!$B$7,$AF418,Constants!$B$20))</f>
        <v/>
      </c>
      <c r="AH418" s="67" t="str">
        <f aca="false">IF($AF418=Constants!$B$7,IF(AD418,V418,Constants!$B$13),"")</f>
        <v/>
      </c>
      <c r="AI418" s="67" t="str">
        <f aca="false">IF($AF418=Constants!$B$7,IF(AD418,T418*IF(W418, 1, Constants!$B$11)*IF(X418, 1, Constants!$B$12),Constants!$B$13),"")</f>
        <v/>
      </c>
      <c r="AJ418" s="67" t="str">
        <f aca="false">IF($AF418=Constants!$B$7,AH418*AI418,"")</f>
        <v/>
      </c>
      <c r="AK418" s="67" t="str">
        <f aca="false">IF($AF418=Constants!$B$7,IF(AE418,Z418,Constants!$B$13),"")</f>
        <v/>
      </c>
      <c r="AL418" s="67" t="str">
        <f aca="false">IF($AF418=Constants!$B$7,IF(AE418,T418*IF(AA418, 1, Constants!$B$11)*IF(AB418, 1, Constants!$B$12),Constants!$B$13),"")</f>
        <v/>
      </c>
      <c r="AM418" s="67" t="str">
        <f aca="false">IF($AF418=Constants!$B$7,AK418*AL418,"")</f>
        <v/>
      </c>
      <c r="AN418" s="67" t="str">
        <f aca="false">IF($AF418=Constants!$B$7,IF(AM418&gt;AJ418,2,1),"")</f>
        <v/>
      </c>
      <c r="AO418" s="67" t="str">
        <f aca="false">IF($AF418=Constants!$B$7,IF(AN418=1,2,1),"")</f>
        <v/>
      </c>
      <c r="AP418" s="67" t="str">
        <f aca="false">IF(ISBLANK($C418),"",IF($AF418&lt;&gt;Constants!$B$7,$AF418,IF(AN418=1,AJ418,AM418)))</f>
        <v/>
      </c>
      <c r="AQ418" s="67" t="str">
        <f aca="false">IF(ISBLANK($C418),"",IF($AF418=Constants!$B$7,IF(ISNUMBER(AP418),RANK(AP418,$AP$8:$AP$507),Constants!$B$14),$AF418))</f>
        <v/>
      </c>
      <c r="AR418" s="67" t="str">
        <f aca="false">IF(ISBLANK($C418),"",IF($AF418=Constants!$B$7,IF(AO418=1,AJ418,AM418),""))</f>
        <v/>
      </c>
      <c r="AS418" s="67" t="str">
        <f aca="false">IF(ISBLANK($C418),"",IF($AF418=Constants!$B$7,RANK(AR418,$AR$8:$AR$507),$AF418))</f>
        <v/>
      </c>
      <c r="AT418" s="67" t="str">
        <f aca="false">IF(ISBLANK($C418),"",IF($AF418=Constants!$B$7,IF(ISNUMBER(AQ418),COUNTIFS($AQ$8:$AQ$507,"&lt;"&amp;$AQ418)+COUNTIFS($AQ$8:$AQ$507,$AQ418,$AS$8:$AS$507,"&lt;"&amp;$AS418)+1,Constants!$B$14),$AF418))</f>
        <v/>
      </c>
      <c r="AU418" s="67" t="str">
        <f aca="false">IF(ISBLANK($C418),"",IF($AF418=Constants!$B$7,IF(ISNUMBER(AQ418),AQ418-AT418,Constants!$B$14),$AF418))</f>
        <v/>
      </c>
      <c r="AV418" s="69"/>
      <c r="AW418" s="70" t="str">
        <f aca="false">IF(ISBLANK($C418),"",IF($AF418&lt;&gt;Constants!$B$7,"",AN418))</f>
        <v/>
      </c>
      <c r="AX418" s="85" t="str">
        <f aca="false">IF(ISBLANK($C418),"",IF($AF418&lt;&gt;Constants!$B$7,"",IF(AN418=1,AH418,AK418)))</f>
        <v/>
      </c>
      <c r="AY418" s="72" t="str">
        <f aca="false">IF(ISBLANK($C418),"",IF($AF418&lt;&gt;Constants!$B$7,"",IF(AN418=1,AI418,AL418)))</f>
        <v/>
      </c>
      <c r="AZ418" s="73" t="str">
        <f aca="false">IF(ISBLANK($C418),"",IF($AF418&lt;&gt;Constants!$B$7,$AF418,AP418))</f>
        <v/>
      </c>
      <c r="BA418" s="74" t="str">
        <f aca="false">IF(ISBLANK($C418),"",IF($AF418&lt;&gt;Constants!$B$7,$AF418,AG418))</f>
        <v/>
      </c>
      <c r="BB418" s="75" t="str">
        <f aca="false">IF(ISBLANK($C418),"",AU418)</f>
        <v/>
      </c>
      <c r="BC418" s="75" t="str">
        <f aca="false">IF(ISBLANK($C418),"",AT418)</f>
        <v/>
      </c>
      <c r="BD418" s="76" t="str">
        <f aca="false">IF(ISBLANK($C418),"",IFERROR(_xlfn.SWITCH(BC418,Constants!$B$4,COUNTA($C$8:$C$507)+2,Constants!$B$5,COUNTA($C$8:$C$507)+1,Constants!$B$6,COUNTA($C$8:$C$507)),BC418))</f>
        <v/>
      </c>
      <c r="BE418" s="5"/>
      <c r="BF418" s="77" t="n">
        <f aca="false">IF(OR(ISNUMBER(BC418),BC418=Constants!$B$4,BC418=Constants!$B$6,BC418=Constants!$B$5),1,0)</f>
        <v>0</v>
      </c>
      <c r="BG418" s="77" t="n">
        <v>411</v>
      </c>
      <c r="BH418" s="77" t="str">
        <f aca="false">IF(ISBLANK($C418),"",IF(ISNUMBER(BD418),BD418+ROW($B418)/1000,""))</f>
        <v/>
      </c>
      <c r="BI418" s="77" t="str">
        <f aca="false">IF(ISNUMBER(BH418),RANK(BH418,$BH$8:$BH$507,1),"")</f>
        <v/>
      </c>
      <c r="BJ418" s="77" t="str">
        <f aca="false">IF(ISBLANK($C418),"",$B418)</f>
        <v/>
      </c>
      <c r="BK418" s="77" t="str">
        <f aca="false">IF(ISBLANK($C418),"",$C418)</f>
        <v/>
      </c>
      <c r="BL418" s="77" t="str">
        <f aca="false">IF(ISBLANK($C418),"",$D418)</f>
        <v/>
      </c>
      <c r="BM418" s="78" t="str">
        <f aca="false">BA418</f>
        <v/>
      </c>
      <c r="BN418" s="79" t="str">
        <f aca="false">AZ418</f>
        <v/>
      </c>
      <c r="BO418" s="77" t="str">
        <f aca="false">IF(ISBLANK($C418),"",BC418)</f>
        <v/>
      </c>
      <c r="BP418" s="80" t="str">
        <f aca="false">IF($BG418&gt;$BF$7,"",VLOOKUP($BG418,$BI$8:$BO$507,7,FALSE()))</f>
        <v/>
      </c>
      <c r="BQ418" s="81" t="str">
        <f aca="false">IF($BG418&gt;$BF$7,"",VLOOKUP($BG418,$BI$8:$BO$507,2,FALSE()))</f>
        <v/>
      </c>
      <c r="BR418" s="81" t="str">
        <f aca="false">IF($BG418&gt;$BF$7,"",VLOOKUP($BG418,$BI$8:$BO$507,3,FALSE()))</f>
        <v/>
      </c>
      <c r="BS418" s="81" t="str">
        <f aca="false">IF($BG418&gt;$BF$7,"",VLOOKUP($BG418,$BI$8:$BO$507,4,FALSE()))</f>
        <v/>
      </c>
      <c r="BT418" s="81" t="str">
        <f aca="false">IF($BG418&gt;$BF$7,"",VLOOKUP($BG418,$BI$8:$BO$507,5,FALSE()))</f>
        <v/>
      </c>
      <c r="BU418" s="82" t="str">
        <f aca="false">IF($BG418&gt;$BF$7,"",VLOOKUP($BG418,$BI$8:$BO$507,6,FALSE()))</f>
        <v/>
      </c>
      <c r="BV418" s="54"/>
    </row>
    <row r="419" customFormat="false" ht="15.75" hidden="false" customHeight="false" outlineLevel="0" collapsed="false">
      <c r="A419" s="5"/>
      <c r="B419" s="128"/>
      <c r="C419" s="129"/>
      <c r="D419" s="114"/>
      <c r="E419" s="134"/>
      <c r="F419" s="139"/>
      <c r="G419" s="93"/>
      <c r="H419" s="140"/>
      <c r="I419" s="95"/>
      <c r="J419" s="95"/>
      <c r="K419" s="93"/>
      <c r="L419" s="141"/>
      <c r="M419" s="95"/>
      <c r="N419" s="95"/>
      <c r="O419" s="93"/>
      <c r="P419" s="134"/>
      <c r="Q419" s="98"/>
      <c r="R419" s="99" t="str">
        <f aca="false">IF(ISBLANK($C419),"",IF(E419=Constants!$B$2, TRUE(), IF(E419=Constants!$B$3, FALSE(), TRUE())))</f>
        <v/>
      </c>
      <c r="S419" s="99" t="str">
        <f aca="false">IF(ISBLANK($C419),"",IF(F419=Constants!$B$2, TRUE(), IF(F419=Constants!$B$3, FALSE(), TRUE())))</f>
        <v/>
      </c>
      <c r="T419" s="99" t="str">
        <f aca="false">IF(ISBLANK($C419),"",IF(G419=Constants!$B$16,Constants!$B$9,IF(G419=Constants!$B$17,Constants!$B$10,Constants!$B$8)))</f>
        <v/>
      </c>
      <c r="U419" s="99" t="str">
        <f aca="false">IF(ISBLANK($C419),"",IF(H419=Constants!$B$19,Constants!$B$19,Constants!$B$18))</f>
        <v/>
      </c>
      <c r="V419" s="99" t="str">
        <f aca="false">IF(ISBLANK($C419),"",IF(ISNUMBER(I419),IF(I419&gt;=0,I419,""),""))</f>
        <v/>
      </c>
      <c r="W419" s="99" t="str">
        <f aca="false">IF(ISBLANK($C419),"",IF(J419=Constants!$B$2, TRUE(), IF(J419=Constants!$B$3, FALSE(), TRUE())))</f>
        <v/>
      </c>
      <c r="X419" s="99" t="str">
        <f aca="false">IF(ISBLANK($C419),"",IF(K419=Constants!$B$2, TRUE(), IF(K419=Constants!$B$3, FALSE(), TRUE())))</f>
        <v/>
      </c>
      <c r="Y419" s="99" t="str">
        <f aca="false">IF(ISBLANK($C419),"",IF(L419=Constants!$B$19,Constants!$B$19,Constants!$B$18))</f>
        <v/>
      </c>
      <c r="Z419" s="99" t="str">
        <f aca="false">IF(ISBLANK($C419),"",IF(ISNUMBER(M419),IF(M419&gt;=0,M419,""),""))</f>
        <v/>
      </c>
      <c r="AA419" s="99" t="str">
        <f aca="false">IF(ISBLANK($C419),"",IF(N419=Constants!$B$2, TRUE(), IF(N419=Constants!$B$3, FALSE(), TRUE())))</f>
        <v/>
      </c>
      <c r="AB419" s="99" t="str">
        <f aca="false">IF(ISBLANK($C419),"",IF(O419=Constants!$B$2, TRUE(), IF(O419=Constants!$B$3, FALSE(), TRUE())))</f>
        <v/>
      </c>
      <c r="AC419" s="99" t="str">
        <f aca="false">IF(ISBLANK($C419),"",IF(P419=Constants!$B$2, TRUE(), IF(P419=Constants!$B$3, FALSE(), FALSE())))</f>
        <v/>
      </c>
      <c r="AD419" s="99" t="str">
        <f aca="false">IF(ISBLANK($C419),"",AND(V419&lt;&gt;"",IF(U419=Constants!$B$19,S419,R419)))</f>
        <v/>
      </c>
      <c r="AE419" s="99" t="str">
        <f aca="false">IF(ISBLANK($C419),"",AND(Z419&lt;&gt;"",IF(Y419=Constants!$B$19,S419,R419)))</f>
        <v/>
      </c>
      <c r="AF419" s="99" t="str">
        <f aca="false">IF(ISBLANK($C419),"",IF(AC419,Constants!$B$4,IF(COUNTA(E419:O419)=0,Constants!$B$5,IF(AND(NOT(AD419),NOT(AE419)),Constants!$B$6,Constants!$B$7))))</f>
        <v/>
      </c>
      <c r="AG419" s="99" t="str">
        <f aca="false">IF(ISBLANK($C419),"",IF($AF419&lt;&gt;Constants!$B$7,$AF419,Constants!$B$20))</f>
        <v/>
      </c>
      <c r="AH419" s="99" t="str">
        <f aca="false">IF($AF419=Constants!$B$7,IF(AD419,V419,Constants!$B$13),"")</f>
        <v/>
      </c>
      <c r="AI419" s="99" t="str">
        <f aca="false">IF($AF419=Constants!$B$7,IF(AD419,T419*IF(W419, 1, Constants!$B$11)*IF(X419, 1, Constants!$B$12),Constants!$B$13),"")</f>
        <v/>
      </c>
      <c r="AJ419" s="99" t="str">
        <f aca="false">IF($AF419=Constants!$B$7,AH419*AI419,"")</f>
        <v/>
      </c>
      <c r="AK419" s="99" t="str">
        <f aca="false">IF($AF419=Constants!$B$7,IF(AE419,Z419,Constants!$B$13),"")</f>
        <v/>
      </c>
      <c r="AL419" s="99" t="str">
        <f aca="false">IF($AF419=Constants!$B$7,IF(AE419,T419*IF(AA419, 1, Constants!$B$11)*IF(AB419, 1, Constants!$B$12),Constants!$B$13),"")</f>
        <v/>
      </c>
      <c r="AM419" s="99" t="str">
        <f aca="false">IF($AF419=Constants!$B$7,AK419*AL419,"")</f>
        <v/>
      </c>
      <c r="AN419" s="99" t="str">
        <f aca="false">IF($AF419=Constants!$B$7,IF(AM419&gt;AJ419,2,1),"")</f>
        <v/>
      </c>
      <c r="AO419" s="99" t="str">
        <f aca="false">IF($AF419=Constants!$B$7,IF(AN419=1,2,1),"")</f>
        <v/>
      </c>
      <c r="AP419" s="99" t="str">
        <f aca="false">IF(ISBLANK($C419),"",IF($AF419&lt;&gt;Constants!$B$7,$AF419,IF(AN419=1,AJ419,AM419)))</f>
        <v/>
      </c>
      <c r="AQ419" s="99" t="str">
        <f aca="false">IF(ISBLANK($C419),"",IF($AF419=Constants!$B$7,IF(ISNUMBER(AP419),RANK(AP419,$AP$8:$AP$507),Constants!$B$14),$AF419))</f>
        <v/>
      </c>
      <c r="AR419" s="99" t="str">
        <f aca="false">IF(ISBLANK($C419),"",IF($AF419=Constants!$B$7,IF(AO419=1,AJ419,AM419),""))</f>
        <v/>
      </c>
      <c r="AS419" s="99" t="str">
        <f aca="false">IF(ISBLANK($C419),"",IF($AF419=Constants!$B$7,RANK(AR419,$AR$8:$AR$507),$AF419))</f>
        <v/>
      </c>
      <c r="AT419" s="99" t="str">
        <f aca="false">IF(ISBLANK($C419),"",IF($AF419=Constants!$B$7,IF(ISNUMBER(AQ419),COUNTIFS($AQ$8:$AQ$507,"&lt;"&amp;$AQ419)+COUNTIFS($AQ$8:$AQ$507,$AQ419,$AS$8:$AS$507,"&lt;"&amp;$AS419)+1,Constants!$B$14),$AF419))</f>
        <v/>
      </c>
      <c r="AU419" s="99" t="str">
        <f aca="false">IF(ISBLANK($C419),"",IF($AF419=Constants!$B$7,IF(ISNUMBER(AQ419),AQ419-AT419,Constants!$B$14),$AF419))</f>
        <v/>
      </c>
      <c r="AV419" s="100"/>
      <c r="AW419" s="101" t="str">
        <f aca="false">IF(ISBLANK($C419),"",IF($AF419&lt;&gt;Constants!$B$7,"",AN419))</f>
        <v/>
      </c>
      <c r="AX419" s="102" t="str">
        <f aca="false">IF(ISBLANK($C419),"",IF($AF419&lt;&gt;Constants!$B$7,"",IF(AN419=1,AH419,AK419)))</f>
        <v/>
      </c>
      <c r="AY419" s="103" t="str">
        <f aca="false">IF(ISBLANK($C419),"",IF($AF419&lt;&gt;Constants!$B$7,"",IF(AN419=1,AI419,AL419)))</f>
        <v/>
      </c>
      <c r="AZ419" s="104" t="str">
        <f aca="false">IF(ISBLANK($C419),"",IF($AF419&lt;&gt;Constants!$B$7,$AF419,AP419))</f>
        <v/>
      </c>
      <c r="BA419" s="105" t="str">
        <f aca="false">IF(ISBLANK($C419),"",IF($AF419&lt;&gt;Constants!$B$7,$AF419,AG419))</f>
        <v/>
      </c>
      <c r="BB419" s="106" t="str">
        <f aca="false">IF(ISBLANK($C419),"",AU419)</f>
        <v/>
      </c>
      <c r="BC419" s="106" t="str">
        <f aca="false">IF(ISBLANK($C419),"",AT419)</f>
        <v/>
      </c>
      <c r="BD419" s="107" t="str">
        <f aca="false">IF(ISBLANK($C419),"",IFERROR(_xlfn.SWITCH(BC419,Constants!$B$4,COUNTA($C$8:$C$507)+2,Constants!$B$5,COUNTA($C$8:$C$507)+1,Constants!$B$6,COUNTA($C$8:$C$507)),BC419))</f>
        <v/>
      </c>
      <c r="BE419" s="5"/>
      <c r="BF419" s="108" t="n">
        <f aca="false">IF(OR(ISNUMBER(BC419),BC419=Constants!$B$4,BC419=Constants!$B$6,BC419=Constants!$B$5),1,0)</f>
        <v>0</v>
      </c>
      <c r="BG419" s="108" t="n">
        <v>412</v>
      </c>
      <c r="BH419" s="108" t="str">
        <f aca="false">IF(ISBLANK($C419),"",IF(ISNUMBER(BD419),BD419+ROW($B419)/1000,""))</f>
        <v/>
      </c>
      <c r="BI419" s="108" t="str">
        <f aca="false">IF(ISNUMBER(BH419),RANK(BH419,$BH$8:$BH$507,1),"")</f>
        <v/>
      </c>
      <c r="BJ419" s="108" t="str">
        <f aca="false">IF(ISBLANK($C419),"",$B419)</f>
        <v/>
      </c>
      <c r="BK419" s="108" t="str">
        <f aca="false">IF(ISBLANK($C419),"",$C419)</f>
        <v/>
      </c>
      <c r="BL419" s="108" t="str">
        <f aca="false">IF(ISBLANK($C419),"",$D419)</f>
        <v/>
      </c>
      <c r="BM419" s="109" t="str">
        <f aca="false">BA419</f>
        <v/>
      </c>
      <c r="BN419" s="110" t="str">
        <f aca="false">AZ419</f>
        <v/>
      </c>
      <c r="BO419" s="108" t="str">
        <f aca="false">IF(ISBLANK($C419),"",BC419)</f>
        <v/>
      </c>
      <c r="BP419" s="111" t="str">
        <f aca="false">IF($BG419&gt;$BF$7,"",VLOOKUP($BG419,$BI$8:$BO$507,7,FALSE()))</f>
        <v/>
      </c>
      <c r="BQ419" s="112" t="str">
        <f aca="false">IF($BG419&gt;$BF$7,"",VLOOKUP($BG419,$BI$8:$BO$507,2,FALSE()))</f>
        <v/>
      </c>
      <c r="BR419" s="112" t="str">
        <f aca="false">IF($BG419&gt;$BF$7,"",VLOOKUP($BG419,$BI$8:$BO$507,3,FALSE()))</f>
        <v/>
      </c>
      <c r="BS419" s="112" t="str">
        <f aca="false">IF($BG419&gt;$BF$7,"",VLOOKUP($BG419,$BI$8:$BO$507,4,FALSE()))</f>
        <v/>
      </c>
      <c r="BT419" s="112" t="str">
        <f aca="false">IF($BG419&gt;$BF$7,"",VLOOKUP($BG419,$BI$8:$BO$507,5,FALSE()))</f>
        <v/>
      </c>
      <c r="BU419" s="113" t="str">
        <f aca="false">IF($BG419&gt;$BF$7,"",VLOOKUP($BG419,$BI$8:$BO$507,6,FALSE()))</f>
        <v/>
      </c>
      <c r="BV419" s="54"/>
    </row>
    <row r="420" customFormat="false" ht="15.75" hidden="false" customHeight="false" outlineLevel="0" collapsed="false">
      <c r="A420" s="5"/>
      <c r="B420" s="128"/>
      <c r="C420" s="129"/>
      <c r="D420" s="114"/>
      <c r="E420" s="134"/>
      <c r="F420" s="139"/>
      <c r="G420" s="93"/>
      <c r="H420" s="140"/>
      <c r="I420" s="95"/>
      <c r="J420" s="95"/>
      <c r="K420" s="93"/>
      <c r="L420" s="141"/>
      <c r="M420" s="95"/>
      <c r="N420" s="95"/>
      <c r="O420" s="93"/>
      <c r="P420" s="134"/>
      <c r="Q420" s="98"/>
      <c r="R420" s="99" t="str">
        <f aca="false">IF(ISBLANK($C420),"",IF(E420=Constants!$B$2, TRUE(), IF(E420=Constants!$B$3, FALSE(), TRUE())))</f>
        <v/>
      </c>
      <c r="S420" s="99" t="str">
        <f aca="false">IF(ISBLANK($C420),"",IF(F420=Constants!$B$2, TRUE(), IF(F420=Constants!$B$3, FALSE(), TRUE())))</f>
        <v/>
      </c>
      <c r="T420" s="99" t="str">
        <f aca="false">IF(ISBLANK($C420),"",IF(G420=Constants!$B$16,Constants!$B$9,IF(G420=Constants!$B$17,Constants!$B$10,Constants!$B$8)))</f>
        <v/>
      </c>
      <c r="U420" s="99" t="str">
        <f aca="false">IF(ISBLANK($C420),"",IF(H420=Constants!$B$19,Constants!$B$19,Constants!$B$18))</f>
        <v/>
      </c>
      <c r="V420" s="99" t="str">
        <f aca="false">IF(ISBLANK($C420),"",IF(ISNUMBER(I420),IF(I420&gt;=0,I420,""),""))</f>
        <v/>
      </c>
      <c r="W420" s="99" t="str">
        <f aca="false">IF(ISBLANK($C420),"",IF(J420=Constants!$B$2, TRUE(), IF(J420=Constants!$B$3, FALSE(), TRUE())))</f>
        <v/>
      </c>
      <c r="X420" s="99" t="str">
        <f aca="false">IF(ISBLANK($C420),"",IF(K420=Constants!$B$2, TRUE(), IF(K420=Constants!$B$3, FALSE(), TRUE())))</f>
        <v/>
      </c>
      <c r="Y420" s="99" t="str">
        <f aca="false">IF(ISBLANK($C420),"",IF(L420=Constants!$B$19,Constants!$B$19,Constants!$B$18))</f>
        <v/>
      </c>
      <c r="Z420" s="99" t="str">
        <f aca="false">IF(ISBLANK($C420),"",IF(ISNUMBER(M420),IF(M420&gt;=0,M420,""),""))</f>
        <v/>
      </c>
      <c r="AA420" s="99" t="str">
        <f aca="false">IF(ISBLANK($C420),"",IF(N420=Constants!$B$2, TRUE(), IF(N420=Constants!$B$3, FALSE(), TRUE())))</f>
        <v/>
      </c>
      <c r="AB420" s="99" t="str">
        <f aca="false">IF(ISBLANK($C420),"",IF(O420=Constants!$B$2, TRUE(), IF(O420=Constants!$B$3, FALSE(), TRUE())))</f>
        <v/>
      </c>
      <c r="AC420" s="99" t="str">
        <f aca="false">IF(ISBLANK($C420),"",IF(P420=Constants!$B$2, TRUE(), IF(P420=Constants!$B$3, FALSE(), FALSE())))</f>
        <v/>
      </c>
      <c r="AD420" s="99" t="str">
        <f aca="false">IF(ISBLANK($C420),"",AND(V420&lt;&gt;"",IF(U420=Constants!$B$19,S420,R420)))</f>
        <v/>
      </c>
      <c r="AE420" s="99" t="str">
        <f aca="false">IF(ISBLANK($C420),"",AND(Z420&lt;&gt;"",IF(Y420=Constants!$B$19,S420,R420)))</f>
        <v/>
      </c>
      <c r="AF420" s="99" t="str">
        <f aca="false">IF(ISBLANK($C420),"",IF(AC420,Constants!$B$4,IF(COUNTA(E420:O420)=0,Constants!$B$5,IF(AND(NOT(AD420),NOT(AE420)),Constants!$B$6,Constants!$B$7))))</f>
        <v/>
      </c>
      <c r="AG420" s="99" t="str">
        <f aca="false">IF(ISBLANK($C420),"",IF($AF420&lt;&gt;Constants!$B$7,$AF420,Constants!$B$20))</f>
        <v/>
      </c>
      <c r="AH420" s="99" t="str">
        <f aca="false">IF($AF420=Constants!$B$7,IF(AD420,V420,Constants!$B$13),"")</f>
        <v/>
      </c>
      <c r="AI420" s="99" t="str">
        <f aca="false">IF($AF420=Constants!$B$7,IF(AD420,T420*IF(W420, 1, Constants!$B$11)*IF(X420, 1, Constants!$B$12),Constants!$B$13),"")</f>
        <v/>
      </c>
      <c r="AJ420" s="99" t="str">
        <f aca="false">IF($AF420=Constants!$B$7,AH420*AI420,"")</f>
        <v/>
      </c>
      <c r="AK420" s="99" t="str">
        <f aca="false">IF($AF420=Constants!$B$7,IF(AE420,Z420,Constants!$B$13),"")</f>
        <v/>
      </c>
      <c r="AL420" s="99" t="str">
        <f aca="false">IF($AF420=Constants!$B$7,IF(AE420,T420*IF(AA420, 1, Constants!$B$11)*IF(AB420, 1, Constants!$B$12),Constants!$B$13),"")</f>
        <v/>
      </c>
      <c r="AM420" s="99" t="str">
        <f aca="false">IF($AF420=Constants!$B$7,AK420*AL420,"")</f>
        <v/>
      </c>
      <c r="AN420" s="99" t="str">
        <f aca="false">IF($AF420=Constants!$B$7,IF(AM420&gt;AJ420,2,1),"")</f>
        <v/>
      </c>
      <c r="AO420" s="99" t="str">
        <f aca="false">IF($AF420=Constants!$B$7,IF(AN420=1,2,1),"")</f>
        <v/>
      </c>
      <c r="AP420" s="99" t="str">
        <f aca="false">IF(ISBLANK($C420),"",IF($AF420&lt;&gt;Constants!$B$7,$AF420,IF(AN420=1,AJ420,AM420)))</f>
        <v/>
      </c>
      <c r="AQ420" s="99" t="str">
        <f aca="false">IF(ISBLANK($C420),"",IF($AF420=Constants!$B$7,IF(ISNUMBER(AP420),RANK(AP420,$AP$8:$AP$507),Constants!$B$14),$AF420))</f>
        <v/>
      </c>
      <c r="AR420" s="99" t="str">
        <f aca="false">IF(ISBLANK($C420),"",IF($AF420=Constants!$B$7,IF(AO420=1,AJ420,AM420),""))</f>
        <v/>
      </c>
      <c r="AS420" s="99" t="str">
        <f aca="false">IF(ISBLANK($C420),"",IF($AF420=Constants!$B$7,RANK(AR420,$AR$8:$AR$507),$AF420))</f>
        <v/>
      </c>
      <c r="AT420" s="99" t="str">
        <f aca="false">IF(ISBLANK($C420),"",IF($AF420=Constants!$B$7,IF(ISNUMBER(AQ420),COUNTIFS($AQ$8:$AQ$507,"&lt;"&amp;$AQ420)+COUNTIFS($AQ$8:$AQ$507,$AQ420,$AS$8:$AS$507,"&lt;"&amp;$AS420)+1,Constants!$B$14),$AF420))</f>
        <v/>
      </c>
      <c r="AU420" s="99" t="str">
        <f aca="false">IF(ISBLANK($C420),"",IF($AF420=Constants!$B$7,IF(ISNUMBER(AQ420),AQ420-AT420,Constants!$B$14),$AF420))</f>
        <v/>
      </c>
      <c r="AV420" s="100"/>
      <c r="AW420" s="101" t="str">
        <f aca="false">IF(ISBLANK($C420),"",IF($AF420&lt;&gt;Constants!$B$7,"",AN420))</f>
        <v/>
      </c>
      <c r="AX420" s="102" t="str">
        <f aca="false">IF(ISBLANK($C420),"",IF($AF420&lt;&gt;Constants!$B$7,"",IF(AN420=1,AH420,AK420)))</f>
        <v/>
      </c>
      <c r="AY420" s="103" t="str">
        <f aca="false">IF(ISBLANK($C420),"",IF($AF420&lt;&gt;Constants!$B$7,"",IF(AN420=1,AI420,AL420)))</f>
        <v/>
      </c>
      <c r="AZ420" s="104" t="str">
        <f aca="false">IF(ISBLANK($C420),"",IF($AF420&lt;&gt;Constants!$B$7,$AF420,AP420))</f>
        <v/>
      </c>
      <c r="BA420" s="105" t="str">
        <f aca="false">IF(ISBLANK($C420),"",IF($AF420&lt;&gt;Constants!$B$7,$AF420,AG420))</f>
        <v/>
      </c>
      <c r="BB420" s="106" t="str">
        <f aca="false">IF(ISBLANK($C420),"",AU420)</f>
        <v/>
      </c>
      <c r="BC420" s="106" t="str">
        <f aca="false">IF(ISBLANK($C420),"",AT420)</f>
        <v/>
      </c>
      <c r="BD420" s="107" t="str">
        <f aca="false">IF(ISBLANK($C420),"",IFERROR(_xlfn.SWITCH(BC420,Constants!$B$4,COUNTA($C$8:$C$507)+2,Constants!$B$5,COUNTA($C$8:$C$507)+1,Constants!$B$6,COUNTA($C$8:$C$507)),BC420))</f>
        <v/>
      </c>
      <c r="BE420" s="5"/>
      <c r="BF420" s="108" t="n">
        <f aca="false">IF(OR(ISNUMBER(BC420),BC420=Constants!$B$4,BC420=Constants!$B$6,BC420=Constants!$B$5),1,0)</f>
        <v>0</v>
      </c>
      <c r="BG420" s="108" t="n">
        <v>413</v>
      </c>
      <c r="BH420" s="108" t="str">
        <f aca="false">IF(ISBLANK($C420),"",IF(ISNUMBER(BD420),BD420+ROW($B420)/1000,""))</f>
        <v/>
      </c>
      <c r="BI420" s="108" t="str">
        <f aca="false">IF(ISNUMBER(BH420),RANK(BH420,$BH$8:$BH$507,1),"")</f>
        <v/>
      </c>
      <c r="BJ420" s="108" t="str">
        <f aca="false">IF(ISBLANK($C420),"",$B420)</f>
        <v/>
      </c>
      <c r="BK420" s="108" t="str">
        <f aca="false">IF(ISBLANK($C420),"",$C420)</f>
        <v/>
      </c>
      <c r="BL420" s="108" t="str">
        <f aca="false">IF(ISBLANK($C420),"",$D420)</f>
        <v/>
      </c>
      <c r="BM420" s="109" t="str">
        <f aca="false">BA420</f>
        <v/>
      </c>
      <c r="BN420" s="110" t="str">
        <f aca="false">AZ420</f>
        <v/>
      </c>
      <c r="BO420" s="108" t="str">
        <f aca="false">IF(ISBLANK($C420),"",BC420)</f>
        <v/>
      </c>
      <c r="BP420" s="111" t="str">
        <f aca="false">IF($BG420&gt;$BF$7,"",VLOOKUP($BG420,$BI$8:$BO$507,7,FALSE()))</f>
        <v/>
      </c>
      <c r="BQ420" s="112" t="str">
        <f aca="false">IF($BG420&gt;$BF$7,"",VLOOKUP($BG420,$BI$8:$BO$507,2,FALSE()))</f>
        <v/>
      </c>
      <c r="BR420" s="112" t="str">
        <f aca="false">IF($BG420&gt;$BF$7,"",VLOOKUP($BG420,$BI$8:$BO$507,3,FALSE()))</f>
        <v/>
      </c>
      <c r="BS420" s="112" t="str">
        <f aca="false">IF($BG420&gt;$BF$7,"",VLOOKUP($BG420,$BI$8:$BO$507,4,FALSE()))</f>
        <v/>
      </c>
      <c r="BT420" s="112" t="str">
        <f aca="false">IF($BG420&gt;$BF$7,"",VLOOKUP($BG420,$BI$8:$BO$507,5,FALSE()))</f>
        <v/>
      </c>
      <c r="BU420" s="113" t="str">
        <f aca="false">IF($BG420&gt;$BF$7,"",VLOOKUP($BG420,$BI$8:$BO$507,6,FALSE()))</f>
        <v/>
      </c>
      <c r="BV420" s="54"/>
    </row>
    <row r="421" customFormat="false" ht="15.75" hidden="false" customHeight="false" outlineLevel="0" collapsed="false">
      <c r="A421" s="5"/>
      <c r="B421" s="128"/>
      <c r="C421" s="129"/>
      <c r="D421" s="114"/>
      <c r="E421" s="134"/>
      <c r="F421" s="139"/>
      <c r="G421" s="93"/>
      <c r="H421" s="140"/>
      <c r="I421" s="95"/>
      <c r="J421" s="95"/>
      <c r="K421" s="93"/>
      <c r="L421" s="141"/>
      <c r="M421" s="95"/>
      <c r="N421" s="95"/>
      <c r="O421" s="93"/>
      <c r="P421" s="134"/>
      <c r="Q421" s="98"/>
      <c r="R421" s="99" t="str">
        <f aca="false">IF(ISBLANK($C421),"",IF(E421=Constants!$B$2, TRUE(), IF(E421=Constants!$B$3, FALSE(), TRUE())))</f>
        <v/>
      </c>
      <c r="S421" s="99" t="str">
        <f aca="false">IF(ISBLANK($C421),"",IF(F421=Constants!$B$2, TRUE(), IF(F421=Constants!$B$3, FALSE(), TRUE())))</f>
        <v/>
      </c>
      <c r="T421" s="99" t="str">
        <f aca="false">IF(ISBLANK($C421),"",IF(G421=Constants!$B$16,Constants!$B$9,IF(G421=Constants!$B$17,Constants!$B$10,Constants!$B$8)))</f>
        <v/>
      </c>
      <c r="U421" s="99" t="str">
        <f aca="false">IF(ISBLANK($C421),"",IF(H421=Constants!$B$19,Constants!$B$19,Constants!$B$18))</f>
        <v/>
      </c>
      <c r="V421" s="99" t="str">
        <f aca="false">IF(ISBLANK($C421),"",IF(ISNUMBER(I421),IF(I421&gt;=0,I421,""),""))</f>
        <v/>
      </c>
      <c r="W421" s="99" t="str">
        <f aca="false">IF(ISBLANK($C421),"",IF(J421=Constants!$B$2, TRUE(), IF(J421=Constants!$B$3, FALSE(), TRUE())))</f>
        <v/>
      </c>
      <c r="X421" s="99" t="str">
        <f aca="false">IF(ISBLANK($C421),"",IF(K421=Constants!$B$2, TRUE(), IF(K421=Constants!$B$3, FALSE(), TRUE())))</f>
        <v/>
      </c>
      <c r="Y421" s="99" t="str">
        <f aca="false">IF(ISBLANK($C421),"",IF(L421=Constants!$B$19,Constants!$B$19,Constants!$B$18))</f>
        <v/>
      </c>
      <c r="Z421" s="99" t="str">
        <f aca="false">IF(ISBLANK($C421),"",IF(ISNUMBER(M421),IF(M421&gt;=0,M421,""),""))</f>
        <v/>
      </c>
      <c r="AA421" s="99" t="str">
        <f aca="false">IF(ISBLANK($C421),"",IF(N421=Constants!$B$2, TRUE(), IF(N421=Constants!$B$3, FALSE(), TRUE())))</f>
        <v/>
      </c>
      <c r="AB421" s="99" t="str">
        <f aca="false">IF(ISBLANK($C421),"",IF(O421=Constants!$B$2, TRUE(), IF(O421=Constants!$B$3, FALSE(), TRUE())))</f>
        <v/>
      </c>
      <c r="AC421" s="99" t="str">
        <f aca="false">IF(ISBLANK($C421),"",IF(P421=Constants!$B$2, TRUE(), IF(P421=Constants!$B$3, FALSE(), FALSE())))</f>
        <v/>
      </c>
      <c r="AD421" s="99" t="str">
        <f aca="false">IF(ISBLANK($C421),"",AND(V421&lt;&gt;"",IF(U421=Constants!$B$19,S421,R421)))</f>
        <v/>
      </c>
      <c r="AE421" s="99" t="str">
        <f aca="false">IF(ISBLANK($C421),"",AND(Z421&lt;&gt;"",IF(Y421=Constants!$B$19,S421,R421)))</f>
        <v/>
      </c>
      <c r="AF421" s="99" t="str">
        <f aca="false">IF(ISBLANK($C421),"",IF(AC421,Constants!$B$4,IF(COUNTA(E421:O421)=0,Constants!$B$5,IF(AND(NOT(AD421),NOT(AE421)),Constants!$B$6,Constants!$B$7))))</f>
        <v/>
      </c>
      <c r="AG421" s="99" t="str">
        <f aca="false">IF(ISBLANK($C421),"",IF($AF421&lt;&gt;Constants!$B$7,$AF421,Constants!$B$20))</f>
        <v/>
      </c>
      <c r="AH421" s="99" t="str">
        <f aca="false">IF($AF421=Constants!$B$7,IF(AD421,V421,Constants!$B$13),"")</f>
        <v/>
      </c>
      <c r="AI421" s="99" t="str">
        <f aca="false">IF($AF421=Constants!$B$7,IF(AD421,T421*IF(W421, 1, Constants!$B$11)*IF(X421, 1, Constants!$B$12),Constants!$B$13),"")</f>
        <v/>
      </c>
      <c r="AJ421" s="99" t="str">
        <f aca="false">IF($AF421=Constants!$B$7,AH421*AI421,"")</f>
        <v/>
      </c>
      <c r="AK421" s="99" t="str">
        <f aca="false">IF($AF421=Constants!$B$7,IF(AE421,Z421,Constants!$B$13),"")</f>
        <v/>
      </c>
      <c r="AL421" s="99" t="str">
        <f aca="false">IF($AF421=Constants!$B$7,IF(AE421,T421*IF(AA421, 1, Constants!$B$11)*IF(AB421, 1, Constants!$B$12),Constants!$B$13),"")</f>
        <v/>
      </c>
      <c r="AM421" s="99" t="str">
        <f aca="false">IF($AF421=Constants!$B$7,AK421*AL421,"")</f>
        <v/>
      </c>
      <c r="AN421" s="99" t="str">
        <f aca="false">IF($AF421=Constants!$B$7,IF(AM421&gt;AJ421,2,1),"")</f>
        <v/>
      </c>
      <c r="AO421" s="99" t="str">
        <f aca="false">IF($AF421=Constants!$B$7,IF(AN421=1,2,1),"")</f>
        <v/>
      </c>
      <c r="AP421" s="99" t="str">
        <f aca="false">IF(ISBLANK($C421),"",IF($AF421&lt;&gt;Constants!$B$7,$AF421,IF(AN421=1,AJ421,AM421)))</f>
        <v/>
      </c>
      <c r="AQ421" s="99" t="str">
        <f aca="false">IF(ISBLANK($C421),"",IF($AF421=Constants!$B$7,IF(ISNUMBER(AP421),RANK(AP421,$AP$8:$AP$507),Constants!$B$14),$AF421))</f>
        <v/>
      </c>
      <c r="AR421" s="99" t="str">
        <f aca="false">IF(ISBLANK($C421),"",IF($AF421=Constants!$B$7,IF(AO421=1,AJ421,AM421),""))</f>
        <v/>
      </c>
      <c r="AS421" s="99" t="str">
        <f aca="false">IF(ISBLANK($C421),"",IF($AF421=Constants!$B$7,RANK(AR421,$AR$8:$AR$507),$AF421))</f>
        <v/>
      </c>
      <c r="AT421" s="99" t="str">
        <f aca="false">IF(ISBLANK($C421),"",IF($AF421=Constants!$B$7,IF(ISNUMBER(AQ421),COUNTIFS($AQ$8:$AQ$507,"&lt;"&amp;$AQ421)+COUNTIFS($AQ$8:$AQ$507,$AQ421,$AS$8:$AS$507,"&lt;"&amp;$AS421)+1,Constants!$B$14),$AF421))</f>
        <v/>
      </c>
      <c r="AU421" s="99" t="str">
        <f aca="false">IF(ISBLANK($C421),"",IF($AF421=Constants!$B$7,IF(ISNUMBER(AQ421),AQ421-AT421,Constants!$B$14),$AF421))</f>
        <v/>
      </c>
      <c r="AV421" s="100"/>
      <c r="AW421" s="101" t="str">
        <f aca="false">IF(ISBLANK($C421),"",IF($AF421&lt;&gt;Constants!$B$7,"",AN421))</f>
        <v/>
      </c>
      <c r="AX421" s="102" t="str">
        <f aca="false">IF(ISBLANK($C421),"",IF($AF421&lt;&gt;Constants!$B$7,"",IF(AN421=1,AH421,AK421)))</f>
        <v/>
      </c>
      <c r="AY421" s="103" t="str">
        <f aca="false">IF(ISBLANK($C421),"",IF($AF421&lt;&gt;Constants!$B$7,"",IF(AN421=1,AI421,AL421)))</f>
        <v/>
      </c>
      <c r="AZ421" s="104" t="str">
        <f aca="false">IF(ISBLANK($C421),"",IF($AF421&lt;&gt;Constants!$B$7,$AF421,AP421))</f>
        <v/>
      </c>
      <c r="BA421" s="105" t="str">
        <f aca="false">IF(ISBLANK($C421),"",IF($AF421&lt;&gt;Constants!$B$7,$AF421,AG421))</f>
        <v/>
      </c>
      <c r="BB421" s="106" t="str">
        <f aca="false">IF(ISBLANK($C421),"",AU421)</f>
        <v/>
      </c>
      <c r="BC421" s="106" t="str">
        <f aca="false">IF(ISBLANK($C421),"",AT421)</f>
        <v/>
      </c>
      <c r="BD421" s="107" t="str">
        <f aca="false">IF(ISBLANK($C421),"",IFERROR(_xlfn.SWITCH(BC421,Constants!$B$4,COUNTA($C$8:$C$507)+2,Constants!$B$5,COUNTA($C$8:$C$507)+1,Constants!$B$6,COUNTA($C$8:$C$507)),BC421))</f>
        <v/>
      </c>
      <c r="BE421" s="5"/>
      <c r="BF421" s="108" t="n">
        <f aca="false">IF(OR(ISNUMBER(BC421),BC421=Constants!$B$4,BC421=Constants!$B$6,BC421=Constants!$B$5),1,0)</f>
        <v>0</v>
      </c>
      <c r="BG421" s="108" t="n">
        <v>414</v>
      </c>
      <c r="BH421" s="108" t="str">
        <f aca="false">IF(ISBLANK($C421),"",IF(ISNUMBER(BD421),BD421+ROW($B421)/1000,""))</f>
        <v/>
      </c>
      <c r="BI421" s="108" t="str">
        <f aca="false">IF(ISNUMBER(BH421),RANK(BH421,$BH$8:$BH$507,1),"")</f>
        <v/>
      </c>
      <c r="BJ421" s="108" t="str">
        <f aca="false">IF(ISBLANK($C421),"",$B421)</f>
        <v/>
      </c>
      <c r="BK421" s="108" t="str">
        <f aca="false">IF(ISBLANK($C421),"",$C421)</f>
        <v/>
      </c>
      <c r="BL421" s="108" t="str">
        <f aca="false">IF(ISBLANK($C421),"",$D421)</f>
        <v/>
      </c>
      <c r="BM421" s="109" t="str">
        <f aca="false">BA421</f>
        <v/>
      </c>
      <c r="BN421" s="110" t="str">
        <f aca="false">AZ421</f>
        <v/>
      </c>
      <c r="BO421" s="108" t="str">
        <f aca="false">IF(ISBLANK($C421),"",BC421)</f>
        <v/>
      </c>
      <c r="BP421" s="111" t="str">
        <f aca="false">IF($BG421&gt;$BF$7,"",VLOOKUP($BG421,$BI$8:$BO$507,7,FALSE()))</f>
        <v/>
      </c>
      <c r="BQ421" s="112" t="str">
        <f aca="false">IF($BG421&gt;$BF$7,"",VLOOKUP($BG421,$BI$8:$BO$507,2,FALSE()))</f>
        <v/>
      </c>
      <c r="BR421" s="112" t="str">
        <f aca="false">IF($BG421&gt;$BF$7,"",VLOOKUP($BG421,$BI$8:$BO$507,3,FALSE()))</f>
        <v/>
      </c>
      <c r="BS421" s="112" t="str">
        <f aca="false">IF($BG421&gt;$BF$7,"",VLOOKUP($BG421,$BI$8:$BO$507,4,FALSE()))</f>
        <v/>
      </c>
      <c r="BT421" s="112" t="str">
        <f aca="false">IF($BG421&gt;$BF$7,"",VLOOKUP($BG421,$BI$8:$BO$507,5,FALSE()))</f>
        <v/>
      </c>
      <c r="BU421" s="113" t="str">
        <f aca="false">IF($BG421&gt;$BF$7,"",VLOOKUP($BG421,$BI$8:$BO$507,6,FALSE()))</f>
        <v/>
      </c>
      <c r="BV421" s="54"/>
    </row>
    <row r="422" customFormat="false" ht="15.75" hidden="false" customHeight="false" outlineLevel="0" collapsed="false">
      <c r="A422" s="5"/>
      <c r="B422" s="135"/>
      <c r="C422" s="56"/>
      <c r="D422" s="57"/>
      <c r="E422" s="84"/>
      <c r="F422" s="136"/>
      <c r="G422" s="60"/>
      <c r="H422" s="137"/>
      <c r="I422" s="62"/>
      <c r="J422" s="62"/>
      <c r="K422" s="60"/>
      <c r="L422" s="138"/>
      <c r="M422" s="62"/>
      <c r="N422" s="62"/>
      <c r="O422" s="60"/>
      <c r="P422" s="84"/>
      <c r="Q422" s="65"/>
      <c r="R422" s="67" t="str">
        <f aca="false">IF(ISBLANK($C422),"",IF(E422=Constants!$B$2, TRUE(), IF(E422=Constants!$B$3, FALSE(), TRUE())))</f>
        <v/>
      </c>
      <c r="S422" s="67" t="str">
        <f aca="false">IF(ISBLANK($C422),"",IF(F422=Constants!$B$2, TRUE(), IF(F422=Constants!$B$3, FALSE(), TRUE())))</f>
        <v/>
      </c>
      <c r="T422" s="67" t="str">
        <f aca="false">IF(ISBLANK($C422),"",IF(G422=Constants!$B$16,Constants!$B$9,IF(G422=Constants!$B$17,Constants!$B$10,Constants!$B$8)))</f>
        <v/>
      </c>
      <c r="U422" s="67" t="str">
        <f aca="false">IF(ISBLANK($C422),"",IF(H422=Constants!$B$19,Constants!$B$19,Constants!$B$18))</f>
        <v/>
      </c>
      <c r="V422" s="67" t="str">
        <f aca="false">IF(ISBLANK($C422),"",IF(ISNUMBER(I422),IF(I422&gt;=0,I422,""),""))</f>
        <v/>
      </c>
      <c r="W422" s="67" t="str">
        <f aca="false">IF(ISBLANK($C422),"",IF(J422=Constants!$B$2, TRUE(), IF(J422=Constants!$B$3, FALSE(), TRUE())))</f>
        <v/>
      </c>
      <c r="X422" s="67" t="str">
        <f aca="false">IF(ISBLANK($C422),"",IF(K422=Constants!$B$2, TRUE(), IF(K422=Constants!$B$3, FALSE(), TRUE())))</f>
        <v/>
      </c>
      <c r="Y422" s="67" t="str">
        <f aca="false">IF(ISBLANK($C422),"",IF(L422=Constants!$B$19,Constants!$B$19,Constants!$B$18))</f>
        <v/>
      </c>
      <c r="Z422" s="67" t="str">
        <f aca="false">IF(ISBLANK($C422),"",IF(ISNUMBER(M422),IF(M422&gt;=0,M422,""),""))</f>
        <v/>
      </c>
      <c r="AA422" s="67" t="str">
        <f aca="false">IF(ISBLANK($C422),"",IF(N422=Constants!$B$2, TRUE(), IF(N422=Constants!$B$3, FALSE(), TRUE())))</f>
        <v/>
      </c>
      <c r="AB422" s="67" t="str">
        <f aca="false">IF(ISBLANK($C422),"",IF(O422=Constants!$B$2, TRUE(), IF(O422=Constants!$B$3, FALSE(), TRUE())))</f>
        <v/>
      </c>
      <c r="AC422" s="67" t="str">
        <f aca="false">IF(ISBLANK($C422),"",IF(P422=Constants!$B$2, TRUE(), IF(P422=Constants!$B$3, FALSE(), FALSE())))</f>
        <v/>
      </c>
      <c r="AD422" s="67" t="str">
        <f aca="false">IF(ISBLANK($C422),"",AND(V422&lt;&gt;"",IF(U422=Constants!$B$19,S422,R422)))</f>
        <v/>
      </c>
      <c r="AE422" s="67" t="str">
        <f aca="false">IF(ISBLANK($C422),"",AND(Z422&lt;&gt;"",IF(Y422=Constants!$B$19,S422,R422)))</f>
        <v/>
      </c>
      <c r="AF422" s="67" t="str">
        <f aca="false">IF(ISBLANK($C422),"",IF(AC422,Constants!$B$4,IF(COUNTA(E422:O422)=0,Constants!$B$5,IF(AND(NOT(AD422),NOT(AE422)),Constants!$B$6,Constants!$B$7))))</f>
        <v/>
      </c>
      <c r="AG422" s="67" t="str">
        <f aca="false">IF(ISBLANK($C422),"",IF($AF422&lt;&gt;Constants!$B$7,$AF422,Constants!$B$20))</f>
        <v/>
      </c>
      <c r="AH422" s="67" t="str">
        <f aca="false">IF($AF422=Constants!$B$7,IF(AD422,V422,Constants!$B$13),"")</f>
        <v/>
      </c>
      <c r="AI422" s="67" t="str">
        <f aca="false">IF($AF422=Constants!$B$7,IF(AD422,T422*IF(W422, 1, Constants!$B$11)*IF(X422, 1, Constants!$B$12),Constants!$B$13),"")</f>
        <v/>
      </c>
      <c r="AJ422" s="67" t="str">
        <f aca="false">IF($AF422=Constants!$B$7,AH422*AI422,"")</f>
        <v/>
      </c>
      <c r="AK422" s="67" t="str">
        <f aca="false">IF($AF422=Constants!$B$7,IF(AE422,Z422,Constants!$B$13),"")</f>
        <v/>
      </c>
      <c r="AL422" s="67" t="str">
        <f aca="false">IF($AF422=Constants!$B$7,IF(AE422,T422*IF(AA422, 1, Constants!$B$11)*IF(AB422, 1, Constants!$B$12),Constants!$B$13),"")</f>
        <v/>
      </c>
      <c r="AM422" s="67" t="str">
        <f aca="false">IF($AF422=Constants!$B$7,AK422*AL422,"")</f>
        <v/>
      </c>
      <c r="AN422" s="67" t="str">
        <f aca="false">IF($AF422=Constants!$B$7,IF(AM422&gt;AJ422,2,1),"")</f>
        <v/>
      </c>
      <c r="AO422" s="67" t="str">
        <f aca="false">IF($AF422=Constants!$B$7,IF(AN422=1,2,1),"")</f>
        <v/>
      </c>
      <c r="AP422" s="67" t="str">
        <f aca="false">IF(ISBLANK($C422),"",IF($AF422&lt;&gt;Constants!$B$7,$AF422,IF(AN422=1,AJ422,AM422)))</f>
        <v/>
      </c>
      <c r="AQ422" s="67" t="str">
        <f aca="false">IF(ISBLANK($C422),"",IF($AF422=Constants!$B$7,IF(ISNUMBER(AP422),RANK(AP422,$AP$8:$AP$507),Constants!$B$14),$AF422))</f>
        <v/>
      </c>
      <c r="AR422" s="67" t="str">
        <f aca="false">IF(ISBLANK($C422),"",IF($AF422=Constants!$B$7,IF(AO422=1,AJ422,AM422),""))</f>
        <v/>
      </c>
      <c r="AS422" s="67" t="str">
        <f aca="false">IF(ISBLANK($C422),"",IF($AF422=Constants!$B$7,RANK(AR422,$AR$8:$AR$507),$AF422))</f>
        <v/>
      </c>
      <c r="AT422" s="67" t="str">
        <f aca="false">IF(ISBLANK($C422),"",IF($AF422=Constants!$B$7,IF(ISNUMBER(AQ422),COUNTIFS($AQ$8:$AQ$507,"&lt;"&amp;$AQ422)+COUNTIFS($AQ$8:$AQ$507,$AQ422,$AS$8:$AS$507,"&lt;"&amp;$AS422)+1,Constants!$B$14),$AF422))</f>
        <v/>
      </c>
      <c r="AU422" s="67" t="str">
        <f aca="false">IF(ISBLANK($C422),"",IF($AF422=Constants!$B$7,IF(ISNUMBER(AQ422),AQ422-AT422,Constants!$B$14),$AF422))</f>
        <v/>
      </c>
      <c r="AV422" s="69"/>
      <c r="AW422" s="70" t="str">
        <f aca="false">IF(ISBLANK($C422),"",IF($AF422&lt;&gt;Constants!$B$7,"",AN422))</f>
        <v/>
      </c>
      <c r="AX422" s="85" t="str">
        <f aca="false">IF(ISBLANK($C422),"",IF($AF422&lt;&gt;Constants!$B$7,"",IF(AN422=1,AH422,AK422)))</f>
        <v/>
      </c>
      <c r="AY422" s="72" t="str">
        <f aca="false">IF(ISBLANK($C422),"",IF($AF422&lt;&gt;Constants!$B$7,"",IF(AN422=1,AI422,AL422)))</f>
        <v/>
      </c>
      <c r="AZ422" s="73" t="str">
        <f aca="false">IF(ISBLANK($C422),"",IF($AF422&lt;&gt;Constants!$B$7,$AF422,AP422))</f>
        <v/>
      </c>
      <c r="BA422" s="74" t="str">
        <f aca="false">IF(ISBLANK($C422),"",IF($AF422&lt;&gt;Constants!$B$7,$AF422,AG422))</f>
        <v/>
      </c>
      <c r="BB422" s="75" t="str">
        <f aca="false">IF(ISBLANK($C422),"",AU422)</f>
        <v/>
      </c>
      <c r="BC422" s="75" t="str">
        <f aca="false">IF(ISBLANK($C422),"",AT422)</f>
        <v/>
      </c>
      <c r="BD422" s="76" t="str">
        <f aca="false">IF(ISBLANK($C422),"",IFERROR(_xlfn.SWITCH(BC422,Constants!$B$4,COUNTA($C$8:$C$507)+2,Constants!$B$5,COUNTA($C$8:$C$507)+1,Constants!$B$6,COUNTA($C$8:$C$507)),BC422))</f>
        <v/>
      </c>
      <c r="BE422" s="5"/>
      <c r="BF422" s="77" t="n">
        <f aca="false">IF(OR(ISNUMBER(BC422),BC422=Constants!$B$4,BC422=Constants!$B$6,BC422=Constants!$B$5),1,0)</f>
        <v>0</v>
      </c>
      <c r="BG422" s="77" t="n">
        <v>415</v>
      </c>
      <c r="BH422" s="77" t="str">
        <f aca="false">IF(ISBLANK($C422),"",IF(ISNUMBER(BD422),BD422+ROW($B422)/1000,""))</f>
        <v/>
      </c>
      <c r="BI422" s="77" t="str">
        <f aca="false">IF(ISNUMBER(BH422),RANK(BH422,$BH$8:$BH$507,1),"")</f>
        <v/>
      </c>
      <c r="BJ422" s="77" t="str">
        <f aca="false">IF(ISBLANK($C422),"",$B422)</f>
        <v/>
      </c>
      <c r="BK422" s="77" t="str">
        <f aca="false">IF(ISBLANK($C422),"",$C422)</f>
        <v/>
      </c>
      <c r="BL422" s="77" t="str">
        <f aca="false">IF(ISBLANK($C422),"",$D422)</f>
        <v/>
      </c>
      <c r="BM422" s="78" t="str">
        <f aca="false">BA422</f>
        <v/>
      </c>
      <c r="BN422" s="79" t="str">
        <f aca="false">AZ422</f>
        <v/>
      </c>
      <c r="BO422" s="77" t="str">
        <f aca="false">IF(ISBLANK($C422),"",BC422)</f>
        <v/>
      </c>
      <c r="BP422" s="80" t="str">
        <f aca="false">IF($BG422&gt;$BF$7,"",VLOOKUP($BG422,$BI$8:$BO$507,7,FALSE()))</f>
        <v/>
      </c>
      <c r="BQ422" s="81" t="str">
        <f aca="false">IF($BG422&gt;$BF$7,"",VLOOKUP($BG422,$BI$8:$BO$507,2,FALSE()))</f>
        <v/>
      </c>
      <c r="BR422" s="81" t="str">
        <f aca="false">IF($BG422&gt;$BF$7,"",VLOOKUP($BG422,$BI$8:$BO$507,3,FALSE()))</f>
        <v/>
      </c>
      <c r="BS422" s="81" t="str">
        <f aca="false">IF($BG422&gt;$BF$7,"",VLOOKUP($BG422,$BI$8:$BO$507,4,FALSE()))</f>
        <v/>
      </c>
      <c r="BT422" s="81" t="str">
        <f aca="false">IF($BG422&gt;$BF$7,"",VLOOKUP($BG422,$BI$8:$BO$507,5,FALSE()))</f>
        <v/>
      </c>
      <c r="BU422" s="82" t="str">
        <f aca="false">IF($BG422&gt;$BF$7,"",VLOOKUP($BG422,$BI$8:$BO$507,6,FALSE()))</f>
        <v/>
      </c>
      <c r="BV422" s="54"/>
    </row>
    <row r="423" customFormat="false" ht="15.75" hidden="false" customHeight="false" outlineLevel="0" collapsed="false">
      <c r="A423" s="5"/>
      <c r="B423" s="135"/>
      <c r="C423" s="56"/>
      <c r="D423" s="57"/>
      <c r="E423" s="84"/>
      <c r="F423" s="136"/>
      <c r="G423" s="60"/>
      <c r="H423" s="137"/>
      <c r="I423" s="62"/>
      <c r="J423" s="62"/>
      <c r="K423" s="60"/>
      <c r="L423" s="138"/>
      <c r="M423" s="62"/>
      <c r="N423" s="62"/>
      <c r="O423" s="60"/>
      <c r="P423" s="84"/>
      <c r="Q423" s="65"/>
      <c r="R423" s="67" t="str">
        <f aca="false">IF(ISBLANK($C423),"",IF(E423=Constants!$B$2, TRUE(), IF(E423=Constants!$B$3, FALSE(), TRUE())))</f>
        <v/>
      </c>
      <c r="S423" s="67" t="str">
        <f aca="false">IF(ISBLANK($C423),"",IF(F423=Constants!$B$2, TRUE(), IF(F423=Constants!$B$3, FALSE(), TRUE())))</f>
        <v/>
      </c>
      <c r="T423" s="67" t="str">
        <f aca="false">IF(ISBLANK($C423),"",IF(G423=Constants!$B$16,Constants!$B$9,IF(G423=Constants!$B$17,Constants!$B$10,Constants!$B$8)))</f>
        <v/>
      </c>
      <c r="U423" s="67" t="str">
        <f aca="false">IF(ISBLANK($C423),"",IF(H423=Constants!$B$19,Constants!$B$19,Constants!$B$18))</f>
        <v/>
      </c>
      <c r="V423" s="67" t="str">
        <f aca="false">IF(ISBLANK($C423),"",IF(ISNUMBER(I423),IF(I423&gt;=0,I423,""),""))</f>
        <v/>
      </c>
      <c r="W423" s="67" t="str">
        <f aca="false">IF(ISBLANK($C423),"",IF(J423=Constants!$B$2, TRUE(), IF(J423=Constants!$B$3, FALSE(), TRUE())))</f>
        <v/>
      </c>
      <c r="X423" s="67" t="str">
        <f aca="false">IF(ISBLANK($C423),"",IF(K423=Constants!$B$2, TRUE(), IF(K423=Constants!$B$3, FALSE(), TRUE())))</f>
        <v/>
      </c>
      <c r="Y423" s="67" t="str">
        <f aca="false">IF(ISBLANK($C423),"",IF(L423=Constants!$B$19,Constants!$B$19,Constants!$B$18))</f>
        <v/>
      </c>
      <c r="Z423" s="67" t="str">
        <f aca="false">IF(ISBLANK($C423),"",IF(ISNUMBER(M423),IF(M423&gt;=0,M423,""),""))</f>
        <v/>
      </c>
      <c r="AA423" s="67" t="str">
        <f aca="false">IF(ISBLANK($C423),"",IF(N423=Constants!$B$2, TRUE(), IF(N423=Constants!$B$3, FALSE(), TRUE())))</f>
        <v/>
      </c>
      <c r="AB423" s="67" t="str">
        <f aca="false">IF(ISBLANK($C423),"",IF(O423=Constants!$B$2, TRUE(), IF(O423=Constants!$B$3, FALSE(), TRUE())))</f>
        <v/>
      </c>
      <c r="AC423" s="67" t="str">
        <f aca="false">IF(ISBLANK($C423),"",IF(P423=Constants!$B$2, TRUE(), IF(P423=Constants!$B$3, FALSE(), FALSE())))</f>
        <v/>
      </c>
      <c r="AD423" s="67" t="str">
        <f aca="false">IF(ISBLANK($C423),"",AND(V423&lt;&gt;"",IF(U423=Constants!$B$19,S423,R423)))</f>
        <v/>
      </c>
      <c r="AE423" s="67" t="str">
        <f aca="false">IF(ISBLANK($C423),"",AND(Z423&lt;&gt;"",IF(Y423=Constants!$B$19,S423,R423)))</f>
        <v/>
      </c>
      <c r="AF423" s="67" t="str">
        <f aca="false">IF(ISBLANK($C423),"",IF(AC423,Constants!$B$4,IF(COUNTA(E423:O423)=0,Constants!$B$5,IF(AND(NOT(AD423),NOT(AE423)),Constants!$B$6,Constants!$B$7))))</f>
        <v/>
      </c>
      <c r="AG423" s="67" t="str">
        <f aca="false">IF(ISBLANK($C423),"",IF($AF423&lt;&gt;Constants!$B$7,$AF423,Constants!$B$20))</f>
        <v/>
      </c>
      <c r="AH423" s="67" t="str">
        <f aca="false">IF($AF423=Constants!$B$7,IF(AD423,V423,Constants!$B$13),"")</f>
        <v/>
      </c>
      <c r="AI423" s="67" t="str">
        <f aca="false">IF($AF423=Constants!$B$7,IF(AD423,T423*IF(W423, 1, Constants!$B$11)*IF(X423, 1, Constants!$B$12),Constants!$B$13),"")</f>
        <v/>
      </c>
      <c r="AJ423" s="67" t="str">
        <f aca="false">IF($AF423=Constants!$B$7,AH423*AI423,"")</f>
        <v/>
      </c>
      <c r="AK423" s="67" t="str">
        <f aca="false">IF($AF423=Constants!$B$7,IF(AE423,Z423,Constants!$B$13),"")</f>
        <v/>
      </c>
      <c r="AL423" s="67" t="str">
        <f aca="false">IF($AF423=Constants!$B$7,IF(AE423,T423*IF(AA423, 1, Constants!$B$11)*IF(AB423, 1, Constants!$B$12),Constants!$B$13),"")</f>
        <v/>
      </c>
      <c r="AM423" s="67" t="str">
        <f aca="false">IF($AF423=Constants!$B$7,AK423*AL423,"")</f>
        <v/>
      </c>
      <c r="AN423" s="67" t="str">
        <f aca="false">IF($AF423=Constants!$B$7,IF(AM423&gt;AJ423,2,1),"")</f>
        <v/>
      </c>
      <c r="AO423" s="67" t="str">
        <f aca="false">IF($AF423=Constants!$B$7,IF(AN423=1,2,1),"")</f>
        <v/>
      </c>
      <c r="AP423" s="67" t="str">
        <f aca="false">IF(ISBLANK($C423),"",IF($AF423&lt;&gt;Constants!$B$7,$AF423,IF(AN423=1,AJ423,AM423)))</f>
        <v/>
      </c>
      <c r="AQ423" s="67" t="str">
        <f aca="false">IF(ISBLANK($C423),"",IF($AF423=Constants!$B$7,IF(ISNUMBER(AP423),RANK(AP423,$AP$8:$AP$507),Constants!$B$14),$AF423))</f>
        <v/>
      </c>
      <c r="AR423" s="67" t="str">
        <f aca="false">IF(ISBLANK($C423),"",IF($AF423=Constants!$B$7,IF(AO423=1,AJ423,AM423),""))</f>
        <v/>
      </c>
      <c r="AS423" s="67" t="str">
        <f aca="false">IF(ISBLANK($C423),"",IF($AF423=Constants!$B$7,RANK(AR423,$AR$8:$AR$507),$AF423))</f>
        <v/>
      </c>
      <c r="AT423" s="67" t="str">
        <f aca="false">IF(ISBLANK($C423),"",IF($AF423=Constants!$B$7,IF(ISNUMBER(AQ423),COUNTIFS($AQ$8:$AQ$507,"&lt;"&amp;$AQ423)+COUNTIFS($AQ$8:$AQ$507,$AQ423,$AS$8:$AS$507,"&lt;"&amp;$AS423)+1,Constants!$B$14),$AF423))</f>
        <v/>
      </c>
      <c r="AU423" s="67" t="str">
        <f aca="false">IF(ISBLANK($C423),"",IF($AF423=Constants!$B$7,IF(ISNUMBER(AQ423),AQ423-AT423,Constants!$B$14),$AF423))</f>
        <v/>
      </c>
      <c r="AV423" s="69"/>
      <c r="AW423" s="70" t="str">
        <f aca="false">IF(ISBLANK($C423),"",IF($AF423&lt;&gt;Constants!$B$7,"",AN423))</f>
        <v/>
      </c>
      <c r="AX423" s="85" t="str">
        <f aca="false">IF(ISBLANK($C423),"",IF($AF423&lt;&gt;Constants!$B$7,"",IF(AN423=1,AH423,AK423)))</f>
        <v/>
      </c>
      <c r="AY423" s="72" t="str">
        <f aca="false">IF(ISBLANK($C423),"",IF($AF423&lt;&gt;Constants!$B$7,"",IF(AN423=1,AI423,AL423)))</f>
        <v/>
      </c>
      <c r="AZ423" s="73" t="str">
        <f aca="false">IF(ISBLANK($C423),"",IF($AF423&lt;&gt;Constants!$B$7,$AF423,AP423))</f>
        <v/>
      </c>
      <c r="BA423" s="74" t="str">
        <f aca="false">IF(ISBLANK($C423),"",IF($AF423&lt;&gt;Constants!$B$7,$AF423,AG423))</f>
        <v/>
      </c>
      <c r="BB423" s="75" t="str">
        <f aca="false">IF(ISBLANK($C423),"",AU423)</f>
        <v/>
      </c>
      <c r="BC423" s="75" t="str">
        <f aca="false">IF(ISBLANK($C423),"",AT423)</f>
        <v/>
      </c>
      <c r="BD423" s="76" t="str">
        <f aca="false">IF(ISBLANK($C423),"",IFERROR(_xlfn.SWITCH(BC423,Constants!$B$4,COUNTA($C$8:$C$507)+2,Constants!$B$5,COUNTA($C$8:$C$507)+1,Constants!$B$6,COUNTA($C$8:$C$507)),BC423))</f>
        <v/>
      </c>
      <c r="BE423" s="5"/>
      <c r="BF423" s="77" t="n">
        <f aca="false">IF(OR(ISNUMBER(BC423),BC423=Constants!$B$4,BC423=Constants!$B$6,BC423=Constants!$B$5),1,0)</f>
        <v>0</v>
      </c>
      <c r="BG423" s="77" t="n">
        <v>416</v>
      </c>
      <c r="BH423" s="77" t="str">
        <f aca="false">IF(ISBLANK($C423),"",IF(ISNUMBER(BD423),BD423+ROW($B423)/1000,""))</f>
        <v/>
      </c>
      <c r="BI423" s="77" t="str">
        <f aca="false">IF(ISNUMBER(BH423),RANK(BH423,$BH$8:$BH$507,1),"")</f>
        <v/>
      </c>
      <c r="BJ423" s="77" t="str">
        <f aca="false">IF(ISBLANK($C423),"",$B423)</f>
        <v/>
      </c>
      <c r="BK423" s="77" t="str">
        <f aca="false">IF(ISBLANK($C423),"",$C423)</f>
        <v/>
      </c>
      <c r="BL423" s="77" t="str">
        <f aca="false">IF(ISBLANK($C423),"",$D423)</f>
        <v/>
      </c>
      <c r="BM423" s="78" t="str">
        <f aca="false">BA423</f>
        <v/>
      </c>
      <c r="BN423" s="79" t="str">
        <f aca="false">AZ423</f>
        <v/>
      </c>
      <c r="BO423" s="77" t="str">
        <f aca="false">IF(ISBLANK($C423),"",BC423)</f>
        <v/>
      </c>
      <c r="BP423" s="80" t="str">
        <f aca="false">IF($BG423&gt;$BF$7,"",VLOOKUP($BG423,$BI$8:$BO$507,7,FALSE()))</f>
        <v/>
      </c>
      <c r="BQ423" s="81" t="str">
        <f aca="false">IF($BG423&gt;$BF$7,"",VLOOKUP($BG423,$BI$8:$BO$507,2,FALSE()))</f>
        <v/>
      </c>
      <c r="BR423" s="81" t="str">
        <f aca="false">IF($BG423&gt;$BF$7,"",VLOOKUP($BG423,$BI$8:$BO$507,3,FALSE()))</f>
        <v/>
      </c>
      <c r="BS423" s="81" t="str">
        <f aca="false">IF($BG423&gt;$BF$7,"",VLOOKUP($BG423,$BI$8:$BO$507,4,FALSE()))</f>
        <v/>
      </c>
      <c r="BT423" s="81" t="str">
        <f aca="false">IF($BG423&gt;$BF$7,"",VLOOKUP($BG423,$BI$8:$BO$507,5,FALSE()))</f>
        <v/>
      </c>
      <c r="BU423" s="82" t="str">
        <f aca="false">IF($BG423&gt;$BF$7,"",VLOOKUP($BG423,$BI$8:$BO$507,6,FALSE()))</f>
        <v/>
      </c>
      <c r="BV423" s="54"/>
    </row>
    <row r="424" customFormat="false" ht="15.75" hidden="false" customHeight="false" outlineLevel="0" collapsed="false">
      <c r="A424" s="5"/>
      <c r="B424" s="135"/>
      <c r="C424" s="56"/>
      <c r="D424" s="57"/>
      <c r="E424" s="84"/>
      <c r="F424" s="136"/>
      <c r="G424" s="60"/>
      <c r="H424" s="137"/>
      <c r="I424" s="62"/>
      <c r="J424" s="62"/>
      <c r="K424" s="60"/>
      <c r="L424" s="138"/>
      <c r="M424" s="62"/>
      <c r="N424" s="62"/>
      <c r="O424" s="60"/>
      <c r="P424" s="84"/>
      <c r="Q424" s="65"/>
      <c r="R424" s="67" t="str">
        <f aca="false">IF(ISBLANK($C424),"",IF(E424=Constants!$B$2, TRUE(), IF(E424=Constants!$B$3, FALSE(), TRUE())))</f>
        <v/>
      </c>
      <c r="S424" s="67" t="str">
        <f aca="false">IF(ISBLANK($C424),"",IF(F424=Constants!$B$2, TRUE(), IF(F424=Constants!$B$3, FALSE(), TRUE())))</f>
        <v/>
      </c>
      <c r="T424" s="67" t="str">
        <f aca="false">IF(ISBLANK($C424),"",IF(G424=Constants!$B$16,Constants!$B$9,IF(G424=Constants!$B$17,Constants!$B$10,Constants!$B$8)))</f>
        <v/>
      </c>
      <c r="U424" s="67" t="str">
        <f aca="false">IF(ISBLANK($C424),"",IF(H424=Constants!$B$19,Constants!$B$19,Constants!$B$18))</f>
        <v/>
      </c>
      <c r="V424" s="67" t="str">
        <f aca="false">IF(ISBLANK($C424),"",IF(ISNUMBER(I424),IF(I424&gt;=0,I424,""),""))</f>
        <v/>
      </c>
      <c r="W424" s="67" t="str">
        <f aca="false">IF(ISBLANK($C424),"",IF(J424=Constants!$B$2, TRUE(), IF(J424=Constants!$B$3, FALSE(), TRUE())))</f>
        <v/>
      </c>
      <c r="X424" s="67" t="str">
        <f aca="false">IF(ISBLANK($C424),"",IF(K424=Constants!$B$2, TRUE(), IF(K424=Constants!$B$3, FALSE(), TRUE())))</f>
        <v/>
      </c>
      <c r="Y424" s="67" t="str">
        <f aca="false">IF(ISBLANK($C424),"",IF(L424=Constants!$B$19,Constants!$B$19,Constants!$B$18))</f>
        <v/>
      </c>
      <c r="Z424" s="67" t="str">
        <f aca="false">IF(ISBLANK($C424),"",IF(ISNUMBER(M424),IF(M424&gt;=0,M424,""),""))</f>
        <v/>
      </c>
      <c r="AA424" s="67" t="str">
        <f aca="false">IF(ISBLANK($C424),"",IF(N424=Constants!$B$2, TRUE(), IF(N424=Constants!$B$3, FALSE(), TRUE())))</f>
        <v/>
      </c>
      <c r="AB424" s="67" t="str">
        <f aca="false">IF(ISBLANK($C424),"",IF(O424=Constants!$B$2, TRUE(), IF(O424=Constants!$B$3, FALSE(), TRUE())))</f>
        <v/>
      </c>
      <c r="AC424" s="67" t="str">
        <f aca="false">IF(ISBLANK($C424),"",IF(P424=Constants!$B$2, TRUE(), IF(P424=Constants!$B$3, FALSE(), FALSE())))</f>
        <v/>
      </c>
      <c r="AD424" s="67" t="str">
        <f aca="false">IF(ISBLANK($C424),"",AND(V424&lt;&gt;"",IF(U424=Constants!$B$19,S424,R424)))</f>
        <v/>
      </c>
      <c r="AE424" s="67" t="str">
        <f aca="false">IF(ISBLANK($C424),"",AND(Z424&lt;&gt;"",IF(Y424=Constants!$B$19,S424,R424)))</f>
        <v/>
      </c>
      <c r="AF424" s="67" t="str">
        <f aca="false">IF(ISBLANK($C424),"",IF(AC424,Constants!$B$4,IF(COUNTA(E424:O424)=0,Constants!$B$5,IF(AND(NOT(AD424),NOT(AE424)),Constants!$B$6,Constants!$B$7))))</f>
        <v/>
      </c>
      <c r="AG424" s="67" t="str">
        <f aca="false">IF(ISBLANK($C424),"",IF($AF424&lt;&gt;Constants!$B$7,$AF424,Constants!$B$20))</f>
        <v/>
      </c>
      <c r="AH424" s="67" t="str">
        <f aca="false">IF($AF424=Constants!$B$7,IF(AD424,V424,Constants!$B$13),"")</f>
        <v/>
      </c>
      <c r="AI424" s="67" t="str">
        <f aca="false">IF($AF424=Constants!$B$7,IF(AD424,T424*IF(W424, 1, Constants!$B$11)*IF(X424, 1, Constants!$B$12),Constants!$B$13),"")</f>
        <v/>
      </c>
      <c r="AJ424" s="67" t="str">
        <f aca="false">IF($AF424=Constants!$B$7,AH424*AI424,"")</f>
        <v/>
      </c>
      <c r="AK424" s="67" t="str">
        <f aca="false">IF($AF424=Constants!$B$7,IF(AE424,Z424,Constants!$B$13),"")</f>
        <v/>
      </c>
      <c r="AL424" s="67" t="str">
        <f aca="false">IF($AF424=Constants!$B$7,IF(AE424,T424*IF(AA424, 1, Constants!$B$11)*IF(AB424, 1, Constants!$B$12),Constants!$B$13),"")</f>
        <v/>
      </c>
      <c r="AM424" s="67" t="str">
        <f aca="false">IF($AF424=Constants!$B$7,AK424*AL424,"")</f>
        <v/>
      </c>
      <c r="AN424" s="67" t="str">
        <f aca="false">IF($AF424=Constants!$B$7,IF(AM424&gt;AJ424,2,1),"")</f>
        <v/>
      </c>
      <c r="AO424" s="67" t="str">
        <f aca="false">IF($AF424=Constants!$B$7,IF(AN424=1,2,1),"")</f>
        <v/>
      </c>
      <c r="AP424" s="67" t="str">
        <f aca="false">IF(ISBLANK($C424),"",IF($AF424&lt;&gt;Constants!$B$7,$AF424,IF(AN424=1,AJ424,AM424)))</f>
        <v/>
      </c>
      <c r="AQ424" s="67" t="str">
        <f aca="false">IF(ISBLANK($C424),"",IF($AF424=Constants!$B$7,IF(ISNUMBER(AP424),RANK(AP424,$AP$8:$AP$507),Constants!$B$14),$AF424))</f>
        <v/>
      </c>
      <c r="AR424" s="67" t="str">
        <f aca="false">IF(ISBLANK($C424),"",IF($AF424=Constants!$B$7,IF(AO424=1,AJ424,AM424),""))</f>
        <v/>
      </c>
      <c r="AS424" s="67" t="str">
        <f aca="false">IF(ISBLANK($C424),"",IF($AF424=Constants!$B$7,RANK(AR424,$AR$8:$AR$507),$AF424))</f>
        <v/>
      </c>
      <c r="AT424" s="67" t="str">
        <f aca="false">IF(ISBLANK($C424),"",IF($AF424=Constants!$B$7,IF(ISNUMBER(AQ424),COUNTIFS($AQ$8:$AQ$507,"&lt;"&amp;$AQ424)+COUNTIFS($AQ$8:$AQ$507,$AQ424,$AS$8:$AS$507,"&lt;"&amp;$AS424)+1,Constants!$B$14),$AF424))</f>
        <v/>
      </c>
      <c r="AU424" s="67" t="str">
        <f aca="false">IF(ISBLANK($C424),"",IF($AF424=Constants!$B$7,IF(ISNUMBER(AQ424),AQ424-AT424,Constants!$B$14),$AF424))</f>
        <v/>
      </c>
      <c r="AV424" s="69"/>
      <c r="AW424" s="70" t="str">
        <f aca="false">IF(ISBLANK($C424),"",IF($AF424&lt;&gt;Constants!$B$7,"",AN424))</f>
        <v/>
      </c>
      <c r="AX424" s="85" t="str">
        <f aca="false">IF(ISBLANK($C424),"",IF($AF424&lt;&gt;Constants!$B$7,"",IF(AN424=1,AH424,AK424)))</f>
        <v/>
      </c>
      <c r="AY424" s="72" t="str">
        <f aca="false">IF(ISBLANK($C424),"",IF($AF424&lt;&gt;Constants!$B$7,"",IF(AN424=1,AI424,AL424)))</f>
        <v/>
      </c>
      <c r="AZ424" s="73" t="str">
        <f aca="false">IF(ISBLANK($C424),"",IF($AF424&lt;&gt;Constants!$B$7,$AF424,AP424))</f>
        <v/>
      </c>
      <c r="BA424" s="74" t="str">
        <f aca="false">IF(ISBLANK($C424),"",IF($AF424&lt;&gt;Constants!$B$7,$AF424,AG424))</f>
        <v/>
      </c>
      <c r="BB424" s="75" t="str">
        <f aca="false">IF(ISBLANK($C424),"",AU424)</f>
        <v/>
      </c>
      <c r="BC424" s="75" t="str">
        <f aca="false">IF(ISBLANK($C424),"",AT424)</f>
        <v/>
      </c>
      <c r="BD424" s="76" t="str">
        <f aca="false">IF(ISBLANK($C424),"",IFERROR(_xlfn.SWITCH(BC424,Constants!$B$4,COUNTA($C$8:$C$507)+2,Constants!$B$5,COUNTA($C$8:$C$507)+1,Constants!$B$6,COUNTA($C$8:$C$507)),BC424))</f>
        <v/>
      </c>
      <c r="BE424" s="5"/>
      <c r="BF424" s="77" t="n">
        <f aca="false">IF(OR(ISNUMBER(BC424),BC424=Constants!$B$4,BC424=Constants!$B$6,BC424=Constants!$B$5),1,0)</f>
        <v>0</v>
      </c>
      <c r="BG424" s="77" t="n">
        <v>417</v>
      </c>
      <c r="BH424" s="77" t="str">
        <f aca="false">IF(ISBLANK($C424),"",IF(ISNUMBER(BD424),BD424+ROW($B424)/1000,""))</f>
        <v/>
      </c>
      <c r="BI424" s="77" t="str">
        <f aca="false">IF(ISNUMBER(BH424),RANK(BH424,$BH$8:$BH$507,1),"")</f>
        <v/>
      </c>
      <c r="BJ424" s="77" t="str">
        <f aca="false">IF(ISBLANK($C424),"",$B424)</f>
        <v/>
      </c>
      <c r="BK424" s="77" t="str">
        <f aca="false">IF(ISBLANK($C424),"",$C424)</f>
        <v/>
      </c>
      <c r="BL424" s="77" t="str">
        <f aca="false">IF(ISBLANK($C424),"",$D424)</f>
        <v/>
      </c>
      <c r="BM424" s="78" t="str">
        <f aca="false">BA424</f>
        <v/>
      </c>
      <c r="BN424" s="79" t="str">
        <f aca="false">AZ424</f>
        <v/>
      </c>
      <c r="BO424" s="77" t="str">
        <f aca="false">IF(ISBLANK($C424),"",BC424)</f>
        <v/>
      </c>
      <c r="BP424" s="80" t="str">
        <f aca="false">IF($BG424&gt;$BF$7,"",VLOOKUP($BG424,$BI$8:$BO$507,7,FALSE()))</f>
        <v/>
      </c>
      <c r="BQ424" s="81" t="str">
        <f aca="false">IF($BG424&gt;$BF$7,"",VLOOKUP($BG424,$BI$8:$BO$507,2,FALSE()))</f>
        <v/>
      </c>
      <c r="BR424" s="81" t="str">
        <f aca="false">IF($BG424&gt;$BF$7,"",VLOOKUP($BG424,$BI$8:$BO$507,3,FALSE()))</f>
        <v/>
      </c>
      <c r="BS424" s="81" t="str">
        <f aca="false">IF($BG424&gt;$BF$7,"",VLOOKUP($BG424,$BI$8:$BO$507,4,FALSE()))</f>
        <v/>
      </c>
      <c r="BT424" s="81" t="str">
        <f aca="false">IF($BG424&gt;$BF$7,"",VLOOKUP($BG424,$BI$8:$BO$507,5,FALSE()))</f>
        <v/>
      </c>
      <c r="BU424" s="82" t="str">
        <f aca="false">IF($BG424&gt;$BF$7,"",VLOOKUP($BG424,$BI$8:$BO$507,6,FALSE()))</f>
        <v/>
      </c>
      <c r="BV424" s="54"/>
    </row>
    <row r="425" customFormat="false" ht="15.75" hidden="false" customHeight="false" outlineLevel="0" collapsed="false">
      <c r="A425" s="5"/>
      <c r="B425" s="128"/>
      <c r="C425" s="129"/>
      <c r="D425" s="114"/>
      <c r="E425" s="134"/>
      <c r="F425" s="139"/>
      <c r="G425" s="93"/>
      <c r="H425" s="140"/>
      <c r="I425" s="95"/>
      <c r="J425" s="95"/>
      <c r="K425" s="93"/>
      <c r="L425" s="141"/>
      <c r="M425" s="95"/>
      <c r="N425" s="95"/>
      <c r="O425" s="93"/>
      <c r="P425" s="134"/>
      <c r="Q425" s="98"/>
      <c r="R425" s="99" t="str">
        <f aca="false">IF(ISBLANK($C425),"",IF(E425=Constants!$B$2, TRUE(), IF(E425=Constants!$B$3, FALSE(), TRUE())))</f>
        <v/>
      </c>
      <c r="S425" s="99" t="str">
        <f aca="false">IF(ISBLANK($C425),"",IF(F425=Constants!$B$2, TRUE(), IF(F425=Constants!$B$3, FALSE(), TRUE())))</f>
        <v/>
      </c>
      <c r="T425" s="99" t="str">
        <f aca="false">IF(ISBLANK($C425),"",IF(G425=Constants!$B$16,Constants!$B$9,IF(G425=Constants!$B$17,Constants!$B$10,Constants!$B$8)))</f>
        <v/>
      </c>
      <c r="U425" s="99" t="str">
        <f aca="false">IF(ISBLANK($C425),"",IF(H425=Constants!$B$19,Constants!$B$19,Constants!$B$18))</f>
        <v/>
      </c>
      <c r="V425" s="99" t="str">
        <f aca="false">IF(ISBLANK($C425),"",IF(ISNUMBER(I425),IF(I425&gt;=0,I425,""),""))</f>
        <v/>
      </c>
      <c r="W425" s="99" t="str">
        <f aca="false">IF(ISBLANK($C425),"",IF(J425=Constants!$B$2, TRUE(), IF(J425=Constants!$B$3, FALSE(), TRUE())))</f>
        <v/>
      </c>
      <c r="X425" s="99" t="str">
        <f aca="false">IF(ISBLANK($C425),"",IF(K425=Constants!$B$2, TRUE(), IF(K425=Constants!$B$3, FALSE(), TRUE())))</f>
        <v/>
      </c>
      <c r="Y425" s="99" t="str">
        <f aca="false">IF(ISBLANK($C425),"",IF(L425=Constants!$B$19,Constants!$B$19,Constants!$B$18))</f>
        <v/>
      </c>
      <c r="Z425" s="99" t="str">
        <f aca="false">IF(ISBLANK($C425),"",IF(ISNUMBER(M425),IF(M425&gt;=0,M425,""),""))</f>
        <v/>
      </c>
      <c r="AA425" s="99" t="str">
        <f aca="false">IF(ISBLANK($C425),"",IF(N425=Constants!$B$2, TRUE(), IF(N425=Constants!$B$3, FALSE(), TRUE())))</f>
        <v/>
      </c>
      <c r="AB425" s="99" t="str">
        <f aca="false">IF(ISBLANK($C425),"",IF(O425=Constants!$B$2, TRUE(), IF(O425=Constants!$B$3, FALSE(), TRUE())))</f>
        <v/>
      </c>
      <c r="AC425" s="99" t="str">
        <f aca="false">IF(ISBLANK($C425),"",IF(P425=Constants!$B$2, TRUE(), IF(P425=Constants!$B$3, FALSE(), FALSE())))</f>
        <v/>
      </c>
      <c r="AD425" s="99" t="str">
        <f aca="false">IF(ISBLANK($C425),"",AND(V425&lt;&gt;"",IF(U425=Constants!$B$19,S425,R425)))</f>
        <v/>
      </c>
      <c r="AE425" s="99" t="str">
        <f aca="false">IF(ISBLANK($C425),"",AND(Z425&lt;&gt;"",IF(Y425=Constants!$B$19,S425,R425)))</f>
        <v/>
      </c>
      <c r="AF425" s="99" t="str">
        <f aca="false">IF(ISBLANK($C425),"",IF(AC425,Constants!$B$4,IF(COUNTA(E425:O425)=0,Constants!$B$5,IF(AND(NOT(AD425),NOT(AE425)),Constants!$B$6,Constants!$B$7))))</f>
        <v/>
      </c>
      <c r="AG425" s="99" t="str">
        <f aca="false">IF(ISBLANK($C425),"",IF($AF425&lt;&gt;Constants!$B$7,$AF425,Constants!$B$20))</f>
        <v/>
      </c>
      <c r="AH425" s="99" t="str">
        <f aca="false">IF($AF425=Constants!$B$7,IF(AD425,V425,Constants!$B$13),"")</f>
        <v/>
      </c>
      <c r="AI425" s="99" t="str">
        <f aca="false">IF($AF425=Constants!$B$7,IF(AD425,T425*IF(W425, 1, Constants!$B$11)*IF(X425, 1, Constants!$B$12),Constants!$B$13),"")</f>
        <v/>
      </c>
      <c r="AJ425" s="99" t="str">
        <f aca="false">IF($AF425=Constants!$B$7,AH425*AI425,"")</f>
        <v/>
      </c>
      <c r="AK425" s="99" t="str">
        <f aca="false">IF($AF425=Constants!$B$7,IF(AE425,Z425,Constants!$B$13),"")</f>
        <v/>
      </c>
      <c r="AL425" s="99" t="str">
        <f aca="false">IF($AF425=Constants!$B$7,IF(AE425,T425*IF(AA425, 1, Constants!$B$11)*IF(AB425, 1, Constants!$B$12),Constants!$B$13),"")</f>
        <v/>
      </c>
      <c r="AM425" s="99" t="str">
        <f aca="false">IF($AF425=Constants!$B$7,AK425*AL425,"")</f>
        <v/>
      </c>
      <c r="AN425" s="99" t="str">
        <f aca="false">IF($AF425=Constants!$B$7,IF(AM425&gt;AJ425,2,1),"")</f>
        <v/>
      </c>
      <c r="AO425" s="99" t="str">
        <f aca="false">IF($AF425=Constants!$B$7,IF(AN425=1,2,1),"")</f>
        <v/>
      </c>
      <c r="AP425" s="99" t="str">
        <f aca="false">IF(ISBLANK($C425),"",IF($AF425&lt;&gt;Constants!$B$7,$AF425,IF(AN425=1,AJ425,AM425)))</f>
        <v/>
      </c>
      <c r="AQ425" s="99" t="str">
        <f aca="false">IF(ISBLANK($C425),"",IF($AF425=Constants!$B$7,IF(ISNUMBER(AP425),RANK(AP425,$AP$8:$AP$507),Constants!$B$14),$AF425))</f>
        <v/>
      </c>
      <c r="AR425" s="99" t="str">
        <f aca="false">IF(ISBLANK($C425),"",IF($AF425=Constants!$B$7,IF(AO425=1,AJ425,AM425),""))</f>
        <v/>
      </c>
      <c r="AS425" s="99" t="str">
        <f aca="false">IF(ISBLANK($C425),"",IF($AF425=Constants!$B$7,RANK(AR425,$AR$8:$AR$507),$AF425))</f>
        <v/>
      </c>
      <c r="AT425" s="99" t="str">
        <f aca="false">IF(ISBLANK($C425),"",IF($AF425=Constants!$B$7,IF(ISNUMBER(AQ425),COUNTIFS($AQ$8:$AQ$507,"&lt;"&amp;$AQ425)+COUNTIFS($AQ$8:$AQ$507,$AQ425,$AS$8:$AS$507,"&lt;"&amp;$AS425)+1,Constants!$B$14),$AF425))</f>
        <v/>
      </c>
      <c r="AU425" s="99" t="str">
        <f aca="false">IF(ISBLANK($C425),"",IF($AF425=Constants!$B$7,IF(ISNUMBER(AQ425),AQ425-AT425,Constants!$B$14),$AF425))</f>
        <v/>
      </c>
      <c r="AV425" s="100"/>
      <c r="AW425" s="101" t="str">
        <f aca="false">IF(ISBLANK($C425),"",IF($AF425&lt;&gt;Constants!$B$7,"",AN425))</f>
        <v/>
      </c>
      <c r="AX425" s="102" t="str">
        <f aca="false">IF(ISBLANK($C425),"",IF($AF425&lt;&gt;Constants!$B$7,"",IF(AN425=1,AH425,AK425)))</f>
        <v/>
      </c>
      <c r="AY425" s="103" t="str">
        <f aca="false">IF(ISBLANK($C425),"",IF($AF425&lt;&gt;Constants!$B$7,"",IF(AN425=1,AI425,AL425)))</f>
        <v/>
      </c>
      <c r="AZ425" s="104" t="str">
        <f aca="false">IF(ISBLANK($C425),"",IF($AF425&lt;&gt;Constants!$B$7,$AF425,AP425))</f>
        <v/>
      </c>
      <c r="BA425" s="105" t="str">
        <f aca="false">IF(ISBLANK($C425),"",IF($AF425&lt;&gt;Constants!$B$7,$AF425,AG425))</f>
        <v/>
      </c>
      <c r="BB425" s="106" t="str">
        <f aca="false">IF(ISBLANK($C425),"",AU425)</f>
        <v/>
      </c>
      <c r="BC425" s="106" t="str">
        <f aca="false">IF(ISBLANK($C425),"",AT425)</f>
        <v/>
      </c>
      <c r="BD425" s="107" t="str">
        <f aca="false">IF(ISBLANK($C425),"",IFERROR(_xlfn.SWITCH(BC425,Constants!$B$4,COUNTA($C$8:$C$507)+2,Constants!$B$5,COUNTA($C$8:$C$507)+1,Constants!$B$6,COUNTA($C$8:$C$507)),BC425))</f>
        <v/>
      </c>
      <c r="BE425" s="5"/>
      <c r="BF425" s="108" t="n">
        <f aca="false">IF(OR(ISNUMBER(BC425),BC425=Constants!$B$4,BC425=Constants!$B$6,BC425=Constants!$B$5),1,0)</f>
        <v>0</v>
      </c>
      <c r="BG425" s="108" t="n">
        <v>418</v>
      </c>
      <c r="BH425" s="108" t="str">
        <f aca="false">IF(ISBLANK($C425),"",IF(ISNUMBER(BD425),BD425+ROW($B425)/1000,""))</f>
        <v/>
      </c>
      <c r="BI425" s="108" t="str">
        <f aca="false">IF(ISNUMBER(BH425),RANK(BH425,$BH$8:$BH$507,1),"")</f>
        <v/>
      </c>
      <c r="BJ425" s="108" t="str">
        <f aca="false">IF(ISBLANK($C425),"",$B425)</f>
        <v/>
      </c>
      <c r="BK425" s="108" t="str">
        <f aca="false">IF(ISBLANK($C425),"",$C425)</f>
        <v/>
      </c>
      <c r="BL425" s="108" t="str">
        <f aca="false">IF(ISBLANK($C425),"",$D425)</f>
        <v/>
      </c>
      <c r="BM425" s="109" t="str">
        <f aca="false">BA425</f>
        <v/>
      </c>
      <c r="BN425" s="110" t="str">
        <f aca="false">AZ425</f>
        <v/>
      </c>
      <c r="BO425" s="108" t="str">
        <f aca="false">IF(ISBLANK($C425),"",BC425)</f>
        <v/>
      </c>
      <c r="BP425" s="111" t="str">
        <f aca="false">IF($BG425&gt;$BF$7,"",VLOOKUP($BG425,$BI$8:$BO$507,7,FALSE()))</f>
        <v/>
      </c>
      <c r="BQ425" s="112" t="str">
        <f aca="false">IF($BG425&gt;$BF$7,"",VLOOKUP($BG425,$BI$8:$BO$507,2,FALSE()))</f>
        <v/>
      </c>
      <c r="BR425" s="112" t="str">
        <f aca="false">IF($BG425&gt;$BF$7,"",VLOOKUP($BG425,$BI$8:$BO$507,3,FALSE()))</f>
        <v/>
      </c>
      <c r="BS425" s="112" t="str">
        <f aca="false">IF($BG425&gt;$BF$7,"",VLOOKUP($BG425,$BI$8:$BO$507,4,FALSE()))</f>
        <v/>
      </c>
      <c r="BT425" s="112" t="str">
        <f aca="false">IF($BG425&gt;$BF$7,"",VLOOKUP($BG425,$BI$8:$BO$507,5,FALSE()))</f>
        <v/>
      </c>
      <c r="BU425" s="113" t="str">
        <f aca="false">IF($BG425&gt;$BF$7,"",VLOOKUP($BG425,$BI$8:$BO$507,6,FALSE()))</f>
        <v/>
      </c>
      <c r="BV425" s="54"/>
    </row>
    <row r="426" customFormat="false" ht="15.75" hidden="false" customHeight="false" outlineLevel="0" collapsed="false">
      <c r="A426" s="5"/>
      <c r="B426" s="128"/>
      <c r="C426" s="129"/>
      <c r="D426" s="114"/>
      <c r="E426" s="134"/>
      <c r="F426" s="139"/>
      <c r="G426" s="93"/>
      <c r="H426" s="140"/>
      <c r="I426" s="95"/>
      <c r="J426" s="95"/>
      <c r="K426" s="93"/>
      <c r="L426" s="141"/>
      <c r="M426" s="95"/>
      <c r="N426" s="95"/>
      <c r="O426" s="93"/>
      <c r="P426" s="134"/>
      <c r="Q426" s="98"/>
      <c r="R426" s="99" t="str">
        <f aca="false">IF(ISBLANK($C426),"",IF(E426=Constants!$B$2, TRUE(), IF(E426=Constants!$B$3, FALSE(), TRUE())))</f>
        <v/>
      </c>
      <c r="S426" s="99" t="str">
        <f aca="false">IF(ISBLANK($C426),"",IF(F426=Constants!$B$2, TRUE(), IF(F426=Constants!$B$3, FALSE(), TRUE())))</f>
        <v/>
      </c>
      <c r="T426" s="99" t="str">
        <f aca="false">IF(ISBLANK($C426),"",IF(G426=Constants!$B$16,Constants!$B$9,IF(G426=Constants!$B$17,Constants!$B$10,Constants!$B$8)))</f>
        <v/>
      </c>
      <c r="U426" s="99" t="str">
        <f aca="false">IF(ISBLANK($C426),"",IF(H426=Constants!$B$19,Constants!$B$19,Constants!$B$18))</f>
        <v/>
      </c>
      <c r="V426" s="99" t="str">
        <f aca="false">IF(ISBLANK($C426),"",IF(ISNUMBER(I426),IF(I426&gt;=0,I426,""),""))</f>
        <v/>
      </c>
      <c r="W426" s="99" t="str">
        <f aca="false">IF(ISBLANK($C426),"",IF(J426=Constants!$B$2, TRUE(), IF(J426=Constants!$B$3, FALSE(), TRUE())))</f>
        <v/>
      </c>
      <c r="X426" s="99" t="str">
        <f aca="false">IF(ISBLANK($C426),"",IF(K426=Constants!$B$2, TRUE(), IF(K426=Constants!$B$3, FALSE(), TRUE())))</f>
        <v/>
      </c>
      <c r="Y426" s="99" t="str">
        <f aca="false">IF(ISBLANK($C426),"",IF(L426=Constants!$B$19,Constants!$B$19,Constants!$B$18))</f>
        <v/>
      </c>
      <c r="Z426" s="99" t="str">
        <f aca="false">IF(ISBLANK($C426),"",IF(ISNUMBER(M426),IF(M426&gt;=0,M426,""),""))</f>
        <v/>
      </c>
      <c r="AA426" s="99" t="str">
        <f aca="false">IF(ISBLANK($C426),"",IF(N426=Constants!$B$2, TRUE(), IF(N426=Constants!$B$3, FALSE(), TRUE())))</f>
        <v/>
      </c>
      <c r="AB426" s="99" t="str">
        <f aca="false">IF(ISBLANK($C426),"",IF(O426=Constants!$B$2, TRUE(), IF(O426=Constants!$B$3, FALSE(), TRUE())))</f>
        <v/>
      </c>
      <c r="AC426" s="99" t="str">
        <f aca="false">IF(ISBLANK($C426),"",IF(P426=Constants!$B$2, TRUE(), IF(P426=Constants!$B$3, FALSE(), FALSE())))</f>
        <v/>
      </c>
      <c r="AD426" s="99" t="str">
        <f aca="false">IF(ISBLANK($C426),"",AND(V426&lt;&gt;"",IF(U426=Constants!$B$19,S426,R426)))</f>
        <v/>
      </c>
      <c r="AE426" s="99" t="str">
        <f aca="false">IF(ISBLANK($C426),"",AND(Z426&lt;&gt;"",IF(Y426=Constants!$B$19,S426,R426)))</f>
        <v/>
      </c>
      <c r="AF426" s="99" t="str">
        <f aca="false">IF(ISBLANK($C426),"",IF(AC426,Constants!$B$4,IF(COUNTA(E426:O426)=0,Constants!$B$5,IF(AND(NOT(AD426),NOT(AE426)),Constants!$B$6,Constants!$B$7))))</f>
        <v/>
      </c>
      <c r="AG426" s="99" t="str">
        <f aca="false">IF(ISBLANK($C426),"",IF($AF426&lt;&gt;Constants!$B$7,$AF426,Constants!$B$20))</f>
        <v/>
      </c>
      <c r="AH426" s="99" t="str">
        <f aca="false">IF($AF426=Constants!$B$7,IF(AD426,V426,Constants!$B$13),"")</f>
        <v/>
      </c>
      <c r="AI426" s="99" t="str">
        <f aca="false">IF($AF426=Constants!$B$7,IF(AD426,T426*IF(W426, 1, Constants!$B$11)*IF(X426, 1, Constants!$B$12),Constants!$B$13),"")</f>
        <v/>
      </c>
      <c r="AJ426" s="99" t="str">
        <f aca="false">IF($AF426=Constants!$B$7,AH426*AI426,"")</f>
        <v/>
      </c>
      <c r="AK426" s="99" t="str">
        <f aca="false">IF($AF426=Constants!$B$7,IF(AE426,Z426,Constants!$B$13),"")</f>
        <v/>
      </c>
      <c r="AL426" s="99" t="str">
        <f aca="false">IF($AF426=Constants!$B$7,IF(AE426,T426*IF(AA426, 1, Constants!$B$11)*IF(AB426, 1, Constants!$B$12),Constants!$B$13),"")</f>
        <v/>
      </c>
      <c r="AM426" s="99" t="str">
        <f aca="false">IF($AF426=Constants!$B$7,AK426*AL426,"")</f>
        <v/>
      </c>
      <c r="AN426" s="99" t="str">
        <f aca="false">IF($AF426=Constants!$B$7,IF(AM426&gt;AJ426,2,1),"")</f>
        <v/>
      </c>
      <c r="AO426" s="99" t="str">
        <f aca="false">IF($AF426=Constants!$B$7,IF(AN426=1,2,1),"")</f>
        <v/>
      </c>
      <c r="AP426" s="99" t="str">
        <f aca="false">IF(ISBLANK($C426),"",IF($AF426&lt;&gt;Constants!$B$7,$AF426,IF(AN426=1,AJ426,AM426)))</f>
        <v/>
      </c>
      <c r="AQ426" s="99" t="str">
        <f aca="false">IF(ISBLANK($C426),"",IF($AF426=Constants!$B$7,IF(ISNUMBER(AP426),RANK(AP426,$AP$8:$AP$507),Constants!$B$14),$AF426))</f>
        <v/>
      </c>
      <c r="AR426" s="99" t="str">
        <f aca="false">IF(ISBLANK($C426),"",IF($AF426=Constants!$B$7,IF(AO426=1,AJ426,AM426),""))</f>
        <v/>
      </c>
      <c r="AS426" s="99" t="str">
        <f aca="false">IF(ISBLANK($C426),"",IF($AF426=Constants!$B$7,RANK(AR426,$AR$8:$AR$507),$AF426))</f>
        <v/>
      </c>
      <c r="AT426" s="99" t="str">
        <f aca="false">IF(ISBLANK($C426),"",IF($AF426=Constants!$B$7,IF(ISNUMBER(AQ426),COUNTIFS($AQ$8:$AQ$507,"&lt;"&amp;$AQ426)+COUNTIFS($AQ$8:$AQ$507,$AQ426,$AS$8:$AS$507,"&lt;"&amp;$AS426)+1,Constants!$B$14),$AF426))</f>
        <v/>
      </c>
      <c r="AU426" s="99" t="str">
        <f aca="false">IF(ISBLANK($C426),"",IF($AF426=Constants!$B$7,IF(ISNUMBER(AQ426),AQ426-AT426,Constants!$B$14),$AF426))</f>
        <v/>
      </c>
      <c r="AV426" s="100"/>
      <c r="AW426" s="101" t="str">
        <f aca="false">IF(ISBLANK($C426),"",IF($AF426&lt;&gt;Constants!$B$7,"",AN426))</f>
        <v/>
      </c>
      <c r="AX426" s="102" t="str">
        <f aca="false">IF(ISBLANK($C426),"",IF($AF426&lt;&gt;Constants!$B$7,"",IF(AN426=1,AH426,AK426)))</f>
        <v/>
      </c>
      <c r="AY426" s="103" t="str">
        <f aca="false">IF(ISBLANK($C426),"",IF($AF426&lt;&gt;Constants!$B$7,"",IF(AN426=1,AI426,AL426)))</f>
        <v/>
      </c>
      <c r="AZ426" s="104" t="str">
        <f aca="false">IF(ISBLANK($C426),"",IF($AF426&lt;&gt;Constants!$B$7,$AF426,AP426))</f>
        <v/>
      </c>
      <c r="BA426" s="105" t="str">
        <f aca="false">IF(ISBLANK($C426),"",IF($AF426&lt;&gt;Constants!$B$7,$AF426,AG426))</f>
        <v/>
      </c>
      <c r="BB426" s="106" t="str">
        <f aca="false">IF(ISBLANK($C426),"",AU426)</f>
        <v/>
      </c>
      <c r="BC426" s="106" t="str">
        <f aca="false">IF(ISBLANK($C426),"",AT426)</f>
        <v/>
      </c>
      <c r="BD426" s="107" t="str">
        <f aca="false">IF(ISBLANK($C426),"",IFERROR(_xlfn.SWITCH(BC426,Constants!$B$4,COUNTA($C$8:$C$507)+2,Constants!$B$5,COUNTA($C$8:$C$507)+1,Constants!$B$6,COUNTA($C$8:$C$507)),BC426))</f>
        <v/>
      </c>
      <c r="BE426" s="5"/>
      <c r="BF426" s="108" t="n">
        <f aca="false">IF(OR(ISNUMBER(BC426),BC426=Constants!$B$4,BC426=Constants!$B$6,BC426=Constants!$B$5),1,0)</f>
        <v>0</v>
      </c>
      <c r="BG426" s="108" t="n">
        <v>419</v>
      </c>
      <c r="BH426" s="108" t="str">
        <f aca="false">IF(ISBLANK($C426),"",IF(ISNUMBER(BD426),BD426+ROW($B426)/1000,""))</f>
        <v/>
      </c>
      <c r="BI426" s="108" t="str">
        <f aca="false">IF(ISNUMBER(BH426),RANK(BH426,$BH$8:$BH$507,1),"")</f>
        <v/>
      </c>
      <c r="BJ426" s="108" t="str">
        <f aca="false">IF(ISBLANK($C426),"",$B426)</f>
        <v/>
      </c>
      <c r="BK426" s="108" t="str">
        <f aca="false">IF(ISBLANK($C426),"",$C426)</f>
        <v/>
      </c>
      <c r="BL426" s="108" t="str">
        <f aca="false">IF(ISBLANK($C426),"",$D426)</f>
        <v/>
      </c>
      <c r="BM426" s="109" t="str">
        <f aca="false">BA426</f>
        <v/>
      </c>
      <c r="BN426" s="110" t="str">
        <f aca="false">AZ426</f>
        <v/>
      </c>
      <c r="BO426" s="108" t="str">
        <f aca="false">IF(ISBLANK($C426),"",BC426)</f>
        <v/>
      </c>
      <c r="BP426" s="111" t="str">
        <f aca="false">IF($BG426&gt;$BF$7,"",VLOOKUP($BG426,$BI$8:$BO$507,7,FALSE()))</f>
        <v/>
      </c>
      <c r="BQ426" s="112" t="str">
        <f aca="false">IF($BG426&gt;$BF$7,"",VLOOKUP($BG426,$BI$8:$BO$507,2,FALSE()))</f>
        <v/>
      </c>
      <c r="BR426" s="112" t="str">
        <f aca="false">IF($BG426&gt;$BF$7,"",VLOOKUP($BG426,$BI$8:$BO$507,3,FALSE()))</f>
        <v/>
      </c>
      <c r="BS426" s="112" t="str">
        <f aca="false">IF($BG426&gt;$BF$7,"",VLOOKUP($BG426,$BI$8:$BO$507,4,FALSE()))</f>
        <v/>
      </c>
      <c r="BT426" s="112" t="str">
        <f aca="false">IF($BG426&gt;$BF$7,"",VLOOKUP($BG426,$BI$8:$BO$507,5,FALSE()))</f>
        <v/>
      </c>
      <c r="BU426" s="113" t="str">
        <f aca="false">IF($BG426&gt;$BF$7,"",VLOOKUP($BG426,$BI$8:$BO$507,6,FALSE()))</f>
        <v/>
      </c>
      <c r="BV426" s="54"/>
    </row>
    <row r="427" customFormat="false" ht="15.75" hidden="false" customHeight="false" outlineLevel="0" collapsed="false">
      <c r="A427" s="5"/>
      <c r="B427" s="128"/>
      <c r="C427" s="129"/>
      <c r="D427" s="114"/>
      <c r="E427" s="134"/>
      <c r="F427" s="139"/>
      <c r="G427" s="93"/>
      <c r="H427" s="140"/>
      <c r="I427" s="95"/>
      <c r="J427" s="95"/>
      <c r="K427" s="93"/>
      <c r="L427" s="141"/>
      <c r="M427" s="95"/>
      <c r="N427" s="95"/>
      <c r="O427" s="93"/>
      <c r="P427" s="134"/>
      <c r="Q427" s="98"/>
      <c r="R427" s="99" t="str">
        <f aca="false">IF(ISBLANK($C427),"",IF(E427=Constants!$B$2, TRUE(), IF(E427=Constants!$B$3, FALSE(), TRUE())))</f>
        <v/>
      </c>
      <c r="S427" s="99" t="str">
        <f aca="false">IF(ISBLANK($C427),"",IF(F427=Constants!$B$2, TRUE(), IF(F427=Constants!$B$3, FALSE(), TRUE())))</f>
        <v/>
      </c>
      <c r="T427" s="99" t="str">
        <f aca="false">IF(ISBLANK($C427),"",IF(G427=Constants!$B$16,Constants!$B$9,IF(G427=Constants!$B$17,Constants!$B$10,Constants!$B$8)))</f>
        <v/>
      </c>
      <c r="U427" s="99" t="str">
        <f aca="false">IF(ISBLANK($C427),"",IF(H427=Constants!$B$19,Constants!$B$19,Constants!$B$18))</f>
        <v/>
      </c>
      <c r="V427" s="99" t="str">
        <f aca="false">IF(ISBLANK($C427),"",IF(ISNUMBER(I427),IF(I427&gt;=0,I427,""),""))</f>
        <v/>
      </c>
      <c r="W427" s="99" t="str">
        <f aca="false">IF(ISBLANK($C427),"",IF(J427=Constants!$B$2, TRUE(), IF(J427=Constants!$B$3, FALSE(), TRUE())))</f>
        <v/>
      </c>
      <c r="X427" s="99" t="str">
        <f aca="false">IF(ISBLANK($C427),"",IF(K427=Constants!$B$2, TRUE(), IF(K427=Constants!$B$3, FALSE(), TRUE())))</f>
        <v/>
      </c>
      <c r="Y427" s="99" t="str">
        <f aca="false">IF(ISBLANK($C427),"",IF(L427=Constants!$B$19,Constants!$B$19,Constants!$B$18))</f>
        <v/>
      </c>
      <c r="Z427" s="99" t="str">
        <f aca="false">IF(ISBLANK($C427),"",IF(ISNUMBER(M427),IF(M427&gt;=0,M427,""),""))</f>
        <v/>
      </c>
      <c r="AA427" s="99" t="str">
        <f aca="false">IF(ISBLANK($C427),"",IF(N427=Constants!$B$2, TRUE(), IF(N427=Constants!$B$3, FALSE(), TRUE())))</f>
        <v/>
      </c>
      <c r="AB427" s="99" t="str">
        <f aca="false">IF(ISBLANK($C427),"",IF(O427=Constants!$B$2, TRUE(), IF(O427=Constants!$B$3, FALSE(), TRUE())))</f>
        <v/>
      </c>
      <c r="AC427" s="99" t="str">
        <f aca="false">IF(ISBLANK($C427),"",IF(P427=Constants!$B$2, TRUE(), IF(P427=Constants!$B$3, FALSE(), FALSE())))</f>
        <v/>
      </c>
      <c r="AD427" s="99" t="str">
        <f aca="false">IF(ISBLANK($C427),"",AND(V427&lt;&gt;"",IF(U427=Constants!$B$19,S427,R427)))</f>
        <v/>
      </c>
      <c r="AE427" s="99" t="str">
        <f aca="false">IF(ISBLANK($C427),"",AND(Z427&lt;&gt;"",IF(Y427=Constants!$B$19,S427,R427)))</f>
        <v/>
      </c>
      <c r="AF427" s="99" t="str">
        <f aca="false">IF(ISBLANK($C427),"",IF(AC427,Constants!$B$4,IF(COUNTA(E427:O427)=0,Constants!$B$5,IF(AND(NOT(AD427),NOT(AE427)),Constants!$B$6,Constants!$B$7))))</f>
        <v/>
      </c>
      <c r="AG427" s="99" t="str">
        <f aca="false">IF(ISBLANK($C427),"",IF($AF427&lt;&gt;Constants!$B$7,$AF427,Constants!$B$20))</f>
        <v/>
      </c>
      <c r="AH427" s="99" t="str">
        <f aca="false">IF($AF427=Constants!$B$7,IF(AD427,V427,Constants!$B$13),"")</f>
        <v/>
      </c>
      <c r="AI427" s="99" t="str">
        <f aca="false">IF($AF427=Constants!$B$7,IF(AD427,T427*IF(W427, 1, Constants!$B$11)*IF(X427, 1, Constants!$B$12),Constants!$B$13),"")</f>
        <v/>
      </c>
      <c r="AJ427" s="99" t="str">
        <f aca="false">IF($AF427=Constants!$B$7,AH427*AI427,"")</f>
        <v/>
      </c>
      <c r="AK427" s="99" t="str">
        <f aca="false">IF($AF427=Constants!$B$7,IF(AE427,Z427,Constants!$B$13),"")</f>
        <v/>
      </c>
      <c r="AL427" s="99" t="str">
        <f aca="false">IF($AF427=Constants!$B$7,IF(AE427,T427*IF(AA427, 1, Constants!$B$11)*IF(AB427, 1, Constants!$B$12),Constants!$B$13),"")</f>
        <v/>
      </c>
      <c r="AM427" s="99" t="str">
        <f aca="false">IF($AF427=Constants!$B$7,AK427*AL427,"")</f>
        <v/>
      </c>
      <c r="AN427" s="99" t="str">
        <f aca="false">IF($AF427=Constants!$B$7,IF(AM427&gt;AJ427,2,1),"")</f>
        <v/>
      </c>
      <c r="AO427" s="99" t="str">
        <f aca="false">IF($AF427=Constants!$B$7,IF(AN427=1,2,1),"")</f>
        <v/>
      </c>
      <c r="AP427" s="99" t="str">
        <f aca="false">IF(ISBLANK($C427),"",IF($AF427&lt;&gt;Constants!$B$7,$AF427,IF(AN427=1,AJ427,AM427)))</f>
        <v/>
      </c>
      <c r="AQ427" s="99" t="str">
        <f aca="false">IF(ISBLANK($C427),"",IF($AF427=Constants!$B$7,IF(ISNUMBER(AP427),RANK(AP427,$AP$8:$AP$507),Constants!$B$14),$AF427))</f>
        <v/>
      </c>
      <c r="AR427" s="99" t="str">
        <f aca="false">IF(ISBLANK($C427),"",IF($AF427=Constants!$B$7,IF(AO427=1,AJ427,AM427),""))</f>
        <v/>
      </c>
      <c r="AS427" s="99" t="str">
        <f aca="false">IF(ISBLANK($C427),"",IF($AF427=Constants!$B$7,RANK(AR427,$AR$8:$AR$507),$AF427))</f>
        <v/>
      </c>
      <c r="AT427" s="99" t="str">
        <f aca="false">IF(ISBLANK($C427),"",IF($AF427=Constants!$B$7,IF(ISNUMBER(AQ427),COUNTIFS($AQ$8:$AQ$507,"&lt;"&amp;$AQ427)+COUNTIFS($AQ$8:$AQ$507,$AQ427,$AS$8:$AS$507,"&lt;"&amp;$AS427)+1,Constants!$B$14),$AF427))</f>
        <v/>
      </c>
      <c r="AU427" s="99" t="str">
        <f aca="false">IF(ISBLANK($C427),"",IF($AF427=Constants!$B$7,IF(ISNUMBER(AQ427),AQ427-AT427,Constants!$B$14),$AF427))</f>
        <v/>
      </c>
      <c r="AV427" s="100"/>
      <c r="AW427" s="101" t="str">
        <f aca="false">IF(ISBLANK($C427),"",IF($AF427&lt;&gt;Constants!$B$7,"",AN427))</f>
        <v/>
      </c>
      <c r="AX427" s="102" t="str">
        <f aca="false">IF(ISBLANK($C427),"",IF($AF427&lt;&gt;Constants!$B$7,"",IF(AN427=1,AH427,AK427)))</f>
        <v/>
      </c>
      <c r="AY427" s="103" t="str">
        <f aca="false">IF(ISBLANK($C427),"",IF($AF427&lt;&gt;Constants!$B$7,"",IF(AN427=1,AI427,AL427)))</f>
        <v/>
      </c>
      <c r="AZ427" s="104" t="str">
        <f aca="false">IF(ISBLANK($C427),"",IF($AF427&lt;&gt;Constants!$B$7,$AF427,AP427))</f>
        <v/>
      </c>
      <c r="BA427" s="105" t="str">
        <f aca="false">IF(ISBLANK($C427),"",IF($AF427&lt;&gt;Constants!$B$7,$AF427,AG427))</f>
        <v/>
      </c>
      <c r="BB427" s="106" t="str">
        <f aca="false">IF(ISBLANK($C427),"",AU427)</f>
        <v/>
      </c>
      <c r="BC427" s="106" t="str">
        <f aca="false">IF(ISBLANK($C427),"",AT427)</f>
        <v/>
      </c>
      <c r="BD427" s="107" t="str">
        <f aca="false">IF(ISBLANK($C427),"",IFERROR(_xlfn.SWITCH(BC427,Constants!$B$4,COUNTA($C$8:$C$507)+2,Constants!$B$5,COUNTA($C$8:$C$507)+1,Constants!$B$6,COUNTA($C$8:$C$507)),BC427))</f>
        <v/>
      </c>
      <c r="BE427" s="5"/>
      <c r="BF427" s="108" t="n">
        <f aca="false">IF(OR(ISNUMBER(BC427),BC427=Constants!$B$4,BC427=Constants!$B$6,BC427=Constants!$B$5),1,0)</f>
        <v>0</v>
      </c>
      <c r="BG427" s="108" t="n">
        <v>420</v>
      </c>
      <c r="BH427" s="108" t="str">
        <f aca="false">IF(ISBLANK($C427),"",IF(ISNUMBER(BD427),BD427+ROW($B427)/1000,""))</f>
        <v/>
      </c>
      <c r="BI427" s="108" t="str">
        <f aca="false">IF(ISNUMBER(BH427),RANK(BH427,$BH$8:$BH$507,1),"")</f>
        <v/>
      </c>
      <c r="BJ427" s="108" t="str">
        <f aca="false">IF(ISBLANK($C427),"",$B427)</f>
        <v/>
      </c>
      <c r="BK427" s="108" t="str">
        <f aca="false">IF(ISBLANK($C427),"",$C427)</f>
        <v/>
      </c>
      <c r="BL427" s="108" t="str">
        <f aca="false">IF(ISBLANK($C427),"",$D427)</f>
        <v/>
      </c>
      <c r="BM427" s="109" t="str">
        <f aca="false">BA427</f>
        <v/>
      </c>
      <c r="BN427" s="110" t="str">
        <f aca="false">AZ427</f>
        <v/>
      </c>
      <c r="BO427" s="108" t="str">
        <f aca="false">IF(ISBLANK($C427),"",BC427)</f>
        <v/>
      </c>
      <c r="BP427" s="111" t="str">
        <f aca="false">IF($BG427&gt;$BF$7,"",VLOOKUP($BG427,$BI$8:$BO$507,7,FALSE()))</f>
        <v/>
      </c>
      <c r="BQ427" s="112" t="str">
        <f aca="false">IF($BG427&gt;$BF$7,"",VLOOKUP($BG427,$BI$8:$BO$507,2,FALSE()))</f>
        <v/>
      </c>
      <c r="BR427" s="112" t="str">
        <f aca="false">IF($BG427&gt;$BF$7,"",VLOOKUP($BG427,$BI$8:$BO$507,3,FALSE()))</f>
        <v/>
      </c>
      <c r="BS427" s="112" t="str">
        <f aca="false">IF($BG427&gt;$BF$7,"",VLOOKUP($BG427,$BI$8:$BO$507,4,FALSE()))</f>
        <v/>
      </c>
      <c r="BT427" s="112" t="str">
        <f aca="false">IF($BG427&gt;$BF$7,"",VLOOKUP($BG427,$BI$8:$BO$507,5,FALSE()))</f>
        <v/>
      </c>
      <c r="BU427" s="113" t="str">
        <f aca="false">IF($BG427&gt;$BF$7,"",VLOOKUP($BG427,$BI$8:$BO$507,6,FALSE()))</f>
        <v/>
      </c>
      <c r="BV427" s="54"/>
    </row>
    <row r="428" customFormat="false" ht="15.75" hidden="false" customHeight="false" outlineLevel="0" collapsed="false">
      <c r="A428" s="5"/>
      <c r="B428" s="135"/>
      <c r="C428" s="56"/>
      <c r="D428" s="57"/>
      <c r="E428" s="84"/>
      <c r="F428" s="136"/>
      <c r="G428" s="60"/>
      <c r="H428" s="137"/>
      <c r="I428" s="62"/>
      <c r="J428" s="62"/>
      <c r="K428" s="60"/>
      <c r="L428" s="138"/>
      <c r="M428" s="62"/>
      <c r="N428" s="62"/>
      <c r="O428" s="60"/>
      <c r="P428" s="84"/>
      <c r="Q428" s="65"/>
      <c r="R428" s="67" t="str">
        <f aca="false">IF(ISBLANK($C428),"",IF(E428=Constants!$B$2, TRUE(), IF(E428=Constants!$B$3, FALSE(), TRUE())))</f>
        <v/>
      </c>
      <c r="S428" s="67" t="str">
        <f aca="false">IF(ISBLANK($C428),"",IF(F428=Constants!$B$2, TRUE(), IF(F428=Constants!$B$3, FALSE(), TRUE())))</f>
        <v/>
      </c>
      <c r="T428" s="67" t="str">
        <f aca="false">IF(ISBLANK($C428),"",IF(G428=Constants!$B$16,Constants!$B$9,IF(G428=Constants!$B$17,Constants!$B$10,Constants!$B$8)))</f>
        <v/>
      </c>
      <c r="U428" s="67" t="str">
        <f aca="false">IF(ISBLANK($C428),"",IF(H428=Constants!$B$19,Constants!$B$19,Constants!$B$18))</f>
        <v/>
      </c>
      <c r="V428" s="67" t="str">
        <f aca="false">IF(ISBLANK($C428),"",IF(ISNUMBER(I428),IF(I428&gt;=0,I428,""),""))</f>
        <v/>
      </c>
      <c r="W428" s="67" t="str">
        <f aca="false">IF(ISBLANK($C428),"",IF(J428=Constants!$B$2, TRUE(), IF(J428=Constants!$B$3, FALSE(), TRUE())))</f>
        <v/>
      </c>
      <c r="X428" s="67" t="str">
        <f aca="false">IF(ISBLANK($C428),"",IF(K428=Constants!$B$2, TRUE(), IF(K428=Constants!$B$3, FALSE(), TRUE())))</f>
        <v/>
      </c>
      <c r="Y428" s="67" t="str">
        <f aca="false">IF(ISBLANK($C428),"",IF(L428=Constants!$B$19,Constants!$B$19,Constants!$B$18))</f>
        <v/>
      </c>
      <c r="Z428" s="67" t="str">
        <f aca="false">IF(ISBLANK($C428),"",IF(ISNUMBER(M428),IF(M428&gt;=0,M428,""),""))</f>
        <v/>
      </c>
      <c r="AA428" s="67" t="str">
        <f aca="false">IF(ISBLANK($C428),"",IF(N428=Constants!$B$2, TRUE(), IF(N428=Constants!$B$3, FALSE(), TRUE())))</f>
        <v/>
      </c>
      <c r="AB428" s="67" t="str">
        <f aca="false">IF(ISBLANK($C428),"",IF(O428=Constants!$B$2, TRUE(), IF(O428=Constants!$B$3, FALSE(), TRUE())))</f>
        <v/>
      </c>
      <c r="AC428" s="67" t="str">
        <f aca="false">IF(ISBLANK($C428),"",IF(P428=Constants!$B$2, TRUE(), IF(P428=Constants!$B$3, FALSE(), FALSE())))</f>
        <v/>
      </c>
      <c r="AD428" s="67" t="str">
        <f aca="false">IF(ISBLANK($C428),"",AND(V428&lt;&gt;"",IF(U428=Constants!$B$19,S428,R428)))</f>
        <v/>
      </c>
      <c r="AE428" s="67" t="str">
        <f aca="false">IF(ISBLANK($C428),"",AND(Z428&lt;&gt;"",IF(Y428=Constants!$B$19,S428,R428)))</f>
        <v/>
      </c>
      <c r="AF428" s="67" t="str">
        <f aca="false">IF(ISBLANK($C428),"",IF(AC428,Constants!$B$4,IF(COUNTA(E428:O428)=0,Constants!$B$5,IF(AND(NOT(AD428),NOT(AE428)),Constants!$B$6,Constants!$B$7))))</f>
        <v/>
      </c>
      <c r="AG428" s="67" t="str">
        <f aca="false">IF(ISBLANK($C428),"",IF($AF428&lt;&gt;Constants!$B$7,$AF428,Constants!$B$20))</f>
        <v/>
      </c>
      <c r="AH428" s="67" t="str">
        <f aca="false">IF($AF428=Constants!$B$7,IF(AD428,V428,Constants!$B$13),"")</f>
        <v/>
      </c>
      <c r="AI428" s="67" t="str">
        <f aca="false">IF($AF428=Constants!$B$7,IF(AD428,T428*IF(W428, 1, Constants!$B$11)*IF(X428, 1, Constants!$B$12),Constants!$B$13),"")</f>
        <v/>
      </c>
      <c r="AJ428" s="67" t="str">
        <f aca="false">IF($AF428=Constants!$B$7,AH428*AI428,"")</f>
        <v/>
      </c>
      <c r="AK428" s="67" t="str">
        <f aca="false">IF($AF428=Constants!$B$7,IF(AE428,Z428,Constants!$B$13),"")</f>
        <v/>
      </c>
      <c r="AL428" s="67" t="str">
        <f aca="false">IF($AF428=Constants!$B$7,IF(AE428,T428*IF(AA428, 1, Constants!$B$11)*IF(AB428, 1, Constants!$B$12),Constants!$B$13),"")</f>
        <v/>
      </c>
      <c r="AM428" s="67" t="str">
        <f aca="false">IF($AF428=Constants!$B$7,AK428*AL428,"")</f>
        <v/>
      </c>
      <c r="AN428" s="67" t="str">
        <f aca="false">IF($AF428=Constants!$B$7,IF(AM428&gt;AJ428,2,1),"")</f>
        <v/>
      </c>
      <c r="AO428" s="67" t="str">
        <f aca="false">IF($AF428=Constants!$B$7,IF(AN428=1,2,1),"")</f>
        <v/>
      </c>
      <c r="AP428" s="67" t="str">
        <f aca="false">IF(ISBLANK($C428),"",IF($AF428&lt;&gt;Constants!$B$7,$AF428,IF(AN428=1,AJ428,AM428)))</f>
        <v/>
      </c>
      <c r="AQ428" s="67" t="str">
        <f aca="false">IF(ISBLANK($C428),"",IF($AF428=Constants!$B$7,IF(ISNUMBER(AP428),RANK(AP428,$AP$8:$AP$507),Constants!$B$14),$AF428))</f>
        <v/>
      </c>
      <c r="AR428" s="67" t="str">
        <f aca="false">IF(ISBLANK($C428),"",IF($AF428=Constants!$B$7,IF(AO428=1,AJ428,AM428),""))</f>
        <v/>
      </c>
      <c r="AS428" s="67" t="str">
        <f aca="false">IF(ISBLANK($C428),"",IF($AF428=Constants!$B$7,RANK(AR428,$AR$8:$AR$507),$AF428))</f>
        <v/>
      </c>
      <c r="AT428" s="67" t="str">
        <f aca="false">IF(ISBLANK($C428),"",IF($AF428=Constants!$B$7,IF(ISNUMBER(AQ428),COUNTIFS($AQ$8:$AQ$507,"&lt;"&amp;$AQ428)+COUNTIFS($AQ$8:$AQ$507,$AQ428,$AS$8:$AS$507,"&lt;"&amp;$AS428)+1,Constants!$B$14),$AF428))</f>
        <v/>
      </c>
      <c r="AU428" s="67" t="str">
        <f aca="false">IF(ISBLANK($C428),"",IF($AF428=Constants!$B$7,IF(ISNUMBER(AQ428),AQ428-AT428,Constants!$B$14),$AF428))</f>
        <v/>
      </c>
      <c r="AV428" s="69"/>
      <c r="AW428" s="70" t="str">
        <f aca="false">IF(ISBLANK($C428),"",IF($AF428&lt;&gt;Constants!$B$7,"",AN428))</f>
        <v/>
      </c>
      <c r="AX428" s="85" t="str">
        <f aca="false">IF(ISBLANK($C428),"",IF($AF428&lt;&gt;Constants!$B$7,"",IF(AN428=1,AH428,AK428)))</f>
        <v/>
      </c>
      <c r="AY428" s="72" t="str">
        <f aca="false">IF(ISBLANK($C428),"",IF($AF428&lt;&gt;Constants!$B$7,"",IF(AN428=1,AI428,AL428)))</f>
        <v/>
      </c>
      <c r="AZ428" s="73" t="str">
        <f aca="false">IF(ISBLANK($C428),"",IF($AF428&lt;&gt;Constants!$B$7,$AF428,AP428))</f>
        <v/>
      </c>
      <c r="BA428" s="74" t="str">
        <f aca="false">IF(ISBLANK($C428),"",IF($AF428&lt;&gt;Constants!$B$7,$AF428,AG428))</f>
        <v/>
      </c>
      <c r="BB428" s="75" t="str">
        <f aca="false">IF(ISBLANK($C428),"",AU428)</f>
        <v/>
      </c>
      <c r="BC428" s="75" t="str">
        <f aca="false">IF(ISBLANK($C428),"",AT428)</f>
        <v/>
      </c>
      <c r="BD428" s="76" t="str">
        <f aca="false">IF(ISBLANK($C428),"",IFERROR(_xlfn.SWITCH(BC428,Constants!$B$4,COUNTA($C$8:$C$507)+2,Constants!$B$5,COUNTA($C$8:$C$507)+1,Constants!$B$6,COUNTA($C$8:$C$507)),BC428))</f>
        <v/>
      </c>
      <c r="BE428" s="5"/>
      <c r="BF428" s="77" t="n">
        <f aca="false">IF(OR(ISNUMBER(BC428),BC428=Constants!$B$4,BC428=Constants!$B$6,BC428=Constants!$B$5),1,0)</f>
        <v>0</v>
      </c>
      <c r="BG428" s="77" t="n">
        <v>421</v>
      </c>
      <c r="BH428" s="77" t="str">
        <f aca="false">IF(ISBLANK($C428),"",IF(ISNUMBER(BD428),BD428+ROW($B428)/1000,""))</f>
        <v/>
      </c>
      <c r="BI428" s="77" t="str">
        <f aca="false">IF(ISNUMBER(BH428),RANK(BH428,$BH$8:$BH$507,1),"")</f>
        <v/>
      </c>
      <c r="BJ428" s="77" t="str">
        <f aca="false">IF(ISBLANK($C428),"",$B428)</f>
        <v/>
      </c>
      <c r="BK428" s="77" t="str">
        <f aca="false">IF(ISBLANK($C428),"",$C428)</f>
        <v/>
      </c>
      <c r="BL428" s="77" t="str">
        <f aca="false">IF(ISBLANK($C428),"",$D428)</f>
        <v/>
      </c>
      <c r="BM428" s="78" t="str">
        <f aca="false">BA428</f>
        <v/>
      </c>
      <c r="BN428" s="79" t="str">
        <f aca="false">AZ428</f>
        <v/>
      </c>
      <c r="BO428" s="77" t="str">
        <f aca="false">IF(ISBLANK($C428),"",BC428)</f>
        <v/>
      </c>
      <c r="BP428" s="80" t="str">
        <f aca="false">IF($BG428&gt;$BF$7,"",VLOOKUP($BG428,$BI$8:$BO$507,7,FALSE()))</f>
        <v/>
      </c>
      <c r="BQ428" s="81" t="str">
        <f aca="false">IF($BG428&gt;$BF$7,"",VLOOKUP($BG428,$BI$8:$BO$507,2,FALSE()))</f>
        <v/>
      </c>
      <c r="BR428" s="81" t="str">
        <f aca="false">IF($BG428&gt;$BF$7,"",VLOOKUP($BG428,$BI$8:$BO$507,3,FALSE()))</f>
        <v/>
      </c>
      <c r="BS428" s="81" t="str">
        <f aca="false">IF($BG428&gt;$BF$7,"",VLOOKUP($BG428,$BI$8:$BO$507,4,FALSE()))</f>
        <v/>
      </c>
      <c r="BT428" s="81" t="str">
        <f aca="false">IF($BG428&gt;$BF$7,"",VLOOKUP($BG428,$BI$8:$BO$507,5,FALSE()))</f>
        <v/>
      </c>
      <c r="BU428" s="82" t="str">
        <f aca="false">IF($BG428&gt;$BF$7,"",VLOOKUP($BG428,$BI$8:$BO$507,6,FALSE()))</f>
        <v/>
      </c>
      <c r="BV428" s="54"/>
    </row>
    <row r="429" customFormat="false" ht="15.75" hidden="false" customHeight="false" outlineLevel="0" collapsed="false">
      <c r="A429" s="5"/>
      <c r="B429" s="135"/>
      <c r="C429" s="56"/>
      <c r="D429" s="57"/>
      <c r="E429" s="84"/>
      <c r="F429" s="136"/>
      <c r="G429" s="60"/>
      <c r="H429" s="137"/>
      <c r="I429" s="62"/>
      <c r="J429" s="62"/>
      <c r="K429" s="60"/>
      <c r="L429" s="138"/>
      <c r="M429" s="62"/>
      <c r="N429" s="62"/>
      <c r="O429" s="60"/>
      <c r="P429" s="84"/>
      <c r="Q429" s="65"/>
      <c r="R429" s="67" t="str">
        <f aca="false">IF(ISBLANK($C429),"",IF(E429=Constants!$B$2, TRUE(), IF(E429=Constants!$B$3, FALSE(), TRUE())))</f>
        <v/>
      </c>
      <c r="S429" s="67" t="str">
        <f aca="false">IF(ISBLANK($C429),"",IF(F429=Constants!$B$2, TRUE(), IF(F429=Constants!$B$3, FALSE(), TRUE())))</f>
        <v/>
      </c>
      <c r="T429" s="67" t="str">
        <f aca="false">IF(ISBLANK($C429),"",IF(G429=Constants!$B$16,Constants!$B$9,IF(G429=Constants!$B$17,Constants!$B$10,Constants!$B$8)))</f>
        <v/>
      </c>
      <c r="U429" s="67" t="str">
        <f aca="false">IF(ISBLANK($C429),"",IF(H429=Constants!$B$19,Constants!$B$19,Constants!$B$18))</f>
        <v/>
      </c>
      <c r="V429" s="67" t="str">
        <f aca="false">IF(ISBLANK($C429),"",IF(ISNUMBER(I429),IF(I429&gt;=0,I429,""),""))</f>
        <v/>
      </c>
      <c r="W429" s="67" t="str">
        <f aca="false">IF(ISBLANK($C429),"",IF(J429=Constants!$B$2, TRUE(), IF(J429=Constants!$B$3, FALSE(), TRUE())))</f>
        <v/>
      </c>
      <c r="X429" s="67" t="str">
        <f aca="false">IF(ISBLANK($C429),"",IF(K429=Constants!$B$2, TRUE(), IF(K429=Constants!$B$3, FALSE(), TRUE())))</f>
        <v/>
      </c>
      <c r="Y429" s="67" t="str">
        <f aca="false">IF(ISBLANK($C429),"",IF(L429=Constants!$B$19,Constants!$B$19,Constants!$B$18))</f>
        <v/>
      </c>
      <c r="Z429" s="67" t="str">
        <f aca="false">IF(ISBLANK($C429),"",IF(ISNUMBER(M429),IF(M429&gt;=0,M429,""),""))</f>
        <v/>
      </c>
      <c r="AA429" s="67" t="str">
        <f aca="false">IF(ISBLANK($C429),"",IF(N429=Constants!$B$2, TRUE(), IF(N429=Constants!$B$3, FALSE(), TRUE())))</f>
        <v/>
      </c>
      <c r="AB429" s="67" t="str">
        <f aca="false">IF(ISBLANK($C429),"",IF(O429=Constants!$B$2, TRUE(), IF(O429=Constants!$B$3, FALSE(), TRUE())))</f>
        <v/>
      </c>
      <c r="AC429" s="67" t="str">
        <f aca="false">IF(ISBLANK($C429),"",IF(P429=Constants!$B$2, TRUE(), IF(P429=Constants!$B$3, FALSE(), FALSE())))</f>
        <v/>
      </c>
      <c r="AD429" s="67" t="str">
        <f aca="false">IF(ISBLANK($C429),"",AND(V429&lt;&gt;"",IF(U429=Constants!$B$19,S429,R429)))</f>
        <v/>
      </c>
      <c r="AE429" s="67" t="str">
        <f aca="false">IF(ISBLANK($C429),"",AND(Z429&lt;&gt;"",IF(Y429=Constants!$B$19,S429,R429)))</f>
        <v/>
      </c>
      <c r="AF429" s="67" t="str">
        <f aca="false">IF(ISBLANK($C429),"",IF(AC429,Constants!$B$4,IF(COUNTA(E429:O429)=0,Constants!$B$5,IF(AND(NOT(AD429),NOT(AE429)),Constants!$B$6,Constants!$B$7))))</f>
        <v/>
      </c>
      <c r="AG429" s="67" t="str">
        <f aca="false">IF(ISBLANK($C429),"",IF($AF429&lt;&gt;Constants!$B$7,$AF429,Constants!$B$20))</f>
        <v/>
      </c>
      <c r="AH429" s="67" t="str">
        <f aca="false">IF($AF429=Constants!$B$7,IF(AD429,V429,Constants!$B$13),"")</f>
        <v/>
      </c>
      <c r="AI429" s="67" t="str">
        <f aca="false">IF($AF429=Constants!$B$7,IF(AD429,T429*IF(W429, 1, Constants!$B$11)*IF(X429, 1, Constants!$B$12),Constants!$B$13),"")</f>
        <v/>
      </c>
      <c r="AJ429" s="67" t="str">
        <f aca="false">IF($AF429=Constants!$B$7,AH429*AI429,"")</f>
        <v/>
      </c>
      <c r="AK429" s="67" t="str">
        <f aca="false">IF($AF429=Constants!$B$7,IF(AE429,Z429,Constants!$B$13),"")</f>
        <v/>
      </c>
      <c r="AL429" s="67" t="str">
        <f aca="false">IF($AF429=Constants!$B$7,IF(AE429,T429*IF(AA429, 1, Constants!$B$11)*IF(AB429, 1, Constants!$B$12),Constants!$B$13),"")</f>
        <v/>
      </c>
      <c r="AM429" s="67" t="str">
        <f aca="false">IF($AF429=Constants!$B$7,AK429*AL429,"")</f>
        <v/>
      </c>
      <c r="AN429" s="67" t="str">
        <f aca="false">IF($AF429=Constants!$B$7,IF(AM429&gt;AJ429,2,1),"")</f>
        <v/>
      </c>
      <c r="AO429" s="67" t="str">
        <f aca="false">IF($AF429=Constants!$B$7,IF(AN429=1,2,1),"")</f>
        <v/>
      </c>
      <c r="AP429" s="67" t="str">
        <f aca="false">IF(ISBLANK($C429),"",IF($AF429&lt;&gt;Constants!$B$7,$AF429,IF(AN429=1,AJ429,AM429)))</f>
        <v/>
      </c>
      <c r="AQ429" s="67" t="str">
        <f aca="false">IF(ISBLANK($C429),"",IF($AF429=Constants!$B$7,IF(ISNUMBER(AP429),RANK(AP429,$AP$8:$AP$507),Constants!$B$14),$AF429))</f>
        <v/>
      </c>
      <c r="AR429" s="67" t="str">
        <f aca="false">IF(ISBLANK($C429),"",IF($AF429=Constants!$B$7,IF(AO429=1,AJ429,AM429),""))</f>
        <v/>
      </c>
      <c r="AS429" s="67" t="str">
        <f aca="false">IF(ISBLANK($C429),"",IF($AF429=Constants!$B$7,RANK(AR429,$AR$8:$AR$507),$AF429))</f>
        <v/>
      </c>
      <c r="AT429" s="67" t="str">
        <f aca="false">IF(ISBLANK($C429),"",IF($AF429=Constants!$B$7,IF(ISNUMBER(AQ429),COUNTIFS($AQ$8:$AQ$507,"&lt;"&amp;$AQ429)+COUNTIFS($AQ$8:$AQ$507,$AQ429,$AS$8:$AS$507,"&lt;"&amp;$AS429)+1,Constants!$B$14),$AF429))</f>
        <v/>
      </c>
      <c r="AU429" s="67" t="str">
        <f aca="false">IF(ISBLANK($C429),"",IF($AF429=Constants!$B$7,IF(ISNUMBER(AQ429),AQ429-AT429,Constants!$B$14),$AF429))</f>
        <v/>
      </c>
      <c r="AV429" s="69"/>
      <c r="AW429" s="70" t="str">
        <f aca="false">IF(ISBLANK($C429),"",IF($AF429&lt;&gt;Constants!$B$7,"",AN429))</f>
        <v/>
      </c>
      <c r="AX429" s="85" t="str">
        <f aca="false">IF(ISBLANK($C429),"",IF($AF429&lt;&gt;Constants!$B$7,"",IF(AN429=1,AH429,AK429)))</f>
        <v/>
      </c>
      <c r="AY429" s="72" t="str">
        <f aca="false">IF(ISBLANK($C429),"",IF($AF429&lt;&gt;Constants!$B$7,"",IF(AN429=1,AI429,AL429)))</f>
        <v/>
      </c>
      <c r="AZ429" s="73" t="str">
        <f aca="false">IF(ISBLANK($C429),"",IF($AF429&lt;&gt;Constants!$B$7,$AF429,AP429))</f>
        <v/>
      </c>
      <c r="BA429" s="74" t="str">
        <f aca="false">IF(ISBLANK($C429),"",IF($AF429&lt;&gt;Constants!$B$7,$AF429,AG429))</f>
        <v/>
      </c>
      <c r="BB429" s="75" t="str">
        <f aca="false">IF(ISBLANK($C429),"",AU429)</f>
        <v/>
      </c>
      <c r="BC429" s="75" t="str">
        <f aca="false">IF(ISBLANK($C429),"",AT429)</f>
        <v/>
      </c>
      <c r="BD429" s="76" t="str">
        <f aca="false">IF(ISBLANK($C429),"",IFERROR(_xlfn.SWITCH(BC429,Constants!$B$4,COUNTA($C$8:$C$507)+2,Constants!$B$5,COUNTA($C$8:$C$507)+1,Constants!$B$6,COUNTA($C$8:$C$507)),BC429))</f>
        <v/>
      </c>
      <c r="BE429" s="5"/>
      <c r="BF429" s="77" t="n">
        <f aca="false">IF(OR(ISNUMBER(BC429),BC429=Constants!$B$4,BC429=Constants!$B$6,BC429=Constants!$B$5),1,0)</f>
        <v>0</v>
      </c>
      <c r="BG429" s="77" t="n">
        <v>422</v>
      </c>
      <c r="BH429" s="77" t="str">
        <f aca="false">IF(ISBLANK($C429),"",IF(ISNUMBER(BD429),BD429+ROW($B429)/1000,""))</f>
        <v/>
      </c>
      <c r="BI429" s="77" t="str">
        <f aca="false">IF(ISNUMBER(BH429),RANK(BH429,$BH$8:$BH$507,1),"")</f>
        <v/>
      </c>
      <c r="BJ429" s="77" t="str">
        <f aca="false">IF(ISBLANK($C429),"",$B429)</f>
        <v/>
      </c>
      <c r="BK429" s="77" t="str">
        <f aca="false">IF(ISBLANK($C429),"",$C429)</f>
        <v/>
      </c>
      <c r="BL429" s="77" t="str">
        <f aca="false">IF(ISBLANK($C429),"",$D429)</f>
        <v/>
      </c>
      <c r="BM429" s="78" t="str">
        <f aca="false">BA429</f>
        <v/>
      </c>
      <c r="BN429" s="79" t="str">
        <f aca="false">AZ429</f>
        <v/>
      </c>
      <c r="BO429" s="77" t="str">
        <f aca="false">IF(ISBLANK($C429),"",BC429)</f>
        <v/>
      </c>
      <c r="BP429" s="80" t="str">
        <f aca="false">IF($BG429&gt;$BF$7,"",VLOOKUP($BG429,$BI$8:$BO$507,7,FALSE()))</f>
        <v/>
      </c>
      <c r="BQ429" s="81" t="str">
        <f aca="false">IF($BG429&gt;$BF$7,"",VLOOKUP($BG429,$BI$8:$BO$507,2,FALSE()))</f>
        <v/>
      </c>
      <c r="BR429" s="81" t="str">
        <f aca="false">IF($BG429&gt;$BF$7,"",VLOOKUP($BG429,$BI$8:$BO$507,3,FALSE()))</f>
        <v/>
      </c>
      <c r="BS429" s="81" t="str">
        <f aca="false">IF($BG429&gt;$BF$7,"",VLOOKUP($BG429,$BI$8:$BO$507,4,FALSE()))</f>
        <v/>
      </c>
      <c r="BT429" s="81" t="str">
        <f aca="false">IF($BG429&gt;$BF$7,"",VLOOKUP($BG429,$BI$8:$BO$507,5,FALSE()))</f>
        <v/>
      </c>
      <c r="BU429" s="82" t="str">
        <f aca="false">IF($BG429&gt;$BF$7,"",VLOOKUP($BG429,$BI$8:$BO$507,6,FALSE()))</f>
        <v/>
      </c>
      <c r="BV429" s="54"/>
    </row>
    <row r="430" customFormat="false" ht="15.75" hidden="false" customHeight="false" outlineLevel="0" collapsed="false">
      <c r="A430" s="5"/>
      <c r="B430" s="135"/>
      <c r="C430" s="56"/>
      <c r="D430" s="57"/>
      <c r="E430" s="84"/>
      <c r="F430" s="136"/>
      <c r="G430" s="60"/>
      <c r="H430" s="137"/>
      <c r="I430" s="62"/>
      <c r="J430" s="62"/>
      <c r="K430" s="60"/>
      <c r="L430" s="138"/>
      <c r="M430" s="62"/>
      <c r="N430" s="62"/>
      <c r="O430" s="60"/>
      <c r="P430" s="84"/>
      <c r="Q430" s="65"/>
      <c r="R430" s="67" t="str">
        <f aca="false">IF(ISBLANK($C430),"",IF(E430=Constants!$B$2, TRUE(), IF(E430=Constants!$B$3, FALSE(), TRUE())))</f>
        <v/>
      </c>
      <c r="S430" s="67" t="str">
        <f aca="false">IF(ISBLANK($C430),"",IF(F430=Constants!$B$2, TRUE(), IF(F430=Constants!$B$3, FALSE(), TRUE())))</f>
        <v/>
      </c>
      <c r="T430" s="67" t="str">
        <f aca="false">IF(ISBLANK($C430),"",IF(G430=Constants!$B$16,Constants!$B$9,IF(G430=Constants!$B$17,Constants!$B$10,Constants!$B$8)))</f>
        <v/>
      </c>
      <c r="U430" s="67" t="str">
        <f aca="false">IF(ISBLANK($C430),"",IF(H430=Constants!$B$19,Constants!$B$19,Constants!$B$18))</f>
        <v/>
      </c>
      <c r="V430" s="67" t="str">
        <f aca="false">IF(ISBLANK($C430),"",IF(ISNUMBER(I430),IF(I430&gt;=0,I430,""),""))</f>
        <v/>
      </c>
      <c r="W430" s="67" t="str">
        <f aca="false">IF(ISBLANK($C430),"",IF(J430=Constants!$B$2, TRUE(), IF(J430=Constants!$B$3, FALSE(), TRUE())))</f>
        <v/>
      </c>
      <c r="X430" s="67" t="str">
        <f aca="false">IF(ISBLANK($C430),"",IF(K430=Constants!$B$2, TRUE(), IF(K430=Constants!$B$3, FALSE(), TRUE())))</f>
        <v/>
      </c>
      <c r="Y430" s="67" t="str">
        <f aca="false">IF(ISBLANK($C430),"",IF(L430=Constants!$B$19,Constants!$B$19,Constants!$B$18))</f>
        <v/>
      </c>
      <c r="Z430" s="67" t="str">
        <f aca="false">IF(ISBLANK($C430),"",IF(ISNUMBER(M430),IF(M430&gt;=0,M430,""),""))</f>
        <v/>
      </c>
      <c r="AA430" s="67" t="str">
        <f aca="false">IF(ISBLANK($C430),"",IF(N430=Constants!$B$2, TRUE(), IF(N430=Constants!$B$3, FALSE(), TRUE())))</f>
        <v/>
      </c>
      <c r="AB430" s="67" t="str">
        <f aca="false">IF(ISBLANK($C430),"",IF(O430=Constants!$B$2, TRUE(), IF(O430=Constants!$B$3, FALSE(), TRUE())))</f>
        <v/>
      </c>
      <c r="AC430" s="67" t="str">
        <f aca="false">IF(ISBLANK($C430),"",IF(P430=Constants!$B$2, TRUE(), IF(P430=Constants!$B$3, FALSE(), FALSE())))</f>
        <v/>
      </c>
      <c r="AD430" s="67" t="str">
        <f aca="false">IF(ISBLANK($C430),"",AND(V430&lt;&gt;"",IF(U430=Constants!$B$19,S430,R430)))</f>
        <v/>
      </c>
      <c r="AE430" s="67" t="str">
        <f aca="false">IF(ISBLANK($C430),"",AND(Z430&lt;&gt;"",IF(Y430=Constants!$B$19,S430,R430)))</f>
        <v/>
      </c>
      <c r="AF430" s="67" t="str">
        <f aca="false">IF(ISBLANK($C430),"",IF(AC430,Constants!$B$4,IF(COUNTA(E430:O430)=0,Constants!$B$5,IF(AND(NOT(AD430),NOT(AE430)),Constants!$B$6,Constants!$B$7))))</f>
        <v/>
      </c>
      <c r="AG430" s="67" t="str">
        <f aca="false">IF(ISBLANK($C430),"",IF($AF430&lt;&gt;Constants!$B$7,$AF430,Constants!$B$20))</f>
        <v/>
      </c>
      <c r="AH430" s="67" t="str">
        <f aca="false">IF($AF430=Constants!$B$7,IF(AD430,V430,Constants!$B$13),"")</f>
        <v/>
      </c>
      <c r="AI430" s="67" t="str">
        <f aca="false">IF($AF430=Constants!$B$7,IF(AD430,T430*IF(W430, 1, Constants!$B$11)*IF(X430, 1, Constants!$B$12),Constants!$B$13),"")</f>
        <v/>
      </c>
      <c r="AJ430" s="67" t="str">
        <f aca="false">IF($AF430=Constants!$B$7,AH430*AI430,"")</f>
        <v/>
      </c>
      <c r="AK430" s="67" t="str">
        <f aca="false">IF($AF430=Constants!$B$7,IF(AE430,Z430,Constants!$B$13),"")</f>
        <v/>
      </c>
      <c r="AL430" s="67" t="str">
        <f aca="false">IF($AF430=Constants!$B$7,IF(AE430,T430*IF(AA430, 1, Constants!$B$11)*IF(AB430, 1, Constants!$B$12),Constants!$B$13),"")</f>
        <v/>
      </c>
      <c r="AM430" s="67" t="str">
        <f aca="false">IF($AF430=Constants!$B$7,AK430*AL430,"")</f>
        <v/>
      </c>
      <c r="AN430" s="67" t="str">
        <f aca="false">IF($AF430=Constants!$B$7,IF(AM430&gt;AJ430,2,1),"")</f>
        <v/>
      </c>
      <c r="AO430" s="67" t="str">
        <f aca="false">IF($AF430=Constants!$B$7,IF(AN430=1,2,1),"")</f>
        <v/>
      </c>
      <c r="AP430" s="67" t="str">
        <f aca="false">IF(ISBLANK($C430),"",IF($AF430&lt;&gt;Constants!$B$7,$AF430,IF(AN430=1,AJ430,AM430)))</f>
        <v/>
      </c>
      <c r="AQ430" s="67" t="str">
        <f aca="false">IF(ISBLANK($C430),"",IF($AF430=Constants!$B$7,IF(ISNUMBER(AP430),RANK(AP430,$AP$8:$AP$507),Constants!$B$14),$AF430))</f>
        <v/>
      </c>
      <c r="AR430" s="67" t="str">
        <f aca="false">IF(ISBLANK($C430),"",IF($AF430=Constants!$B$7,IF(AO430=1,AJ430,AM430),""))</f>
        <v/>
      </c>
      <c r="AS430" s="67" t="str">
        <f aca="false">IF(ISBLANK($C430),"",IF($AF430=Constants!$B$7,RANK(AR430,$AR$8:$AR$507),$AF430))</f>
        <v/>
      </c>
      <c r="AT430" s="67" t="str">
        <f aca="false">IF(ISBLANK($C430),"",IF($AF430=Constants!$B$7,IF(ISNUMBER(AQ430),COUNTIFS($AQ$8:$AQ$507,"&lt;"&amp;$AQ430)+COUNTIFS($AQ$8:$AQ$507,$AQ430,$AS$8:$AS$507,"&lt;"&amp;$AS430)+1,Constants!$B$14),$AF430))</f>
        <v/>
      </c>
      <c r="AU430" s="67" t="str">
        <f aca="false">IF(ISBLANK($C430),"",IF($AF430=Constants!$B$7,IF(ISNUMBER(AQ430),AQ430-AT430,Constants!$B$14),$AF430))</f>
        <v/>
      </c>
      <c r="AV430" s="69"/>
      <c r="AW430" s="70" t="str">
        <f aca="false">IF(ISBLANK($C430),"",IF($AF430&lt;&gt;Constants!$B$7,"",AN430))</f>
        <v/>
      </c>
      <c r="AX430" s="85" t="str">
        <f aca="false">IF(ISBLANK($C430),"",IF($AF430&lt;&gt;Constants!$B$7,"",IF(AN430=1,AH430,AK430)))</f>
        <v/>
      </c>
      <c r="AY430" s="72" t="str">
        <f aca="false">IF(ISBLANK($C430),"",IF($AF430&lt;&gt;Constants!$B$7,"",IF(AN430=1,AI430,AL430)))</f>
        <v/>
      </c>
      <c r="AZ430" s="73" t="str">
        <f aca="false">IF(ISBLANK($C430),"",IF($AF430&lt;&gt;Constants!$B$7,$AF430,AP430))</f>
        <v/>
      </c>
      <c r="BA430" s="74" t="str">
        <f aca="false">IF(ISBLANK($C430),"",IF($AF430&lt;&gt;Constants!$B$7,$AF430,AG430))</f>
        <v/>
      </c>
      <c r="BB430" s="75" t="str">
        <f aca="false">IF(ISBLANK($C430),"",AU430)</f>
        <v/>
      </c>
      <c r="BC430" s="75" t="str">
        <f aca="false">IF(ISBLANK($C430),"",AT430)</f>
        <v/>
      </c>
      <c r="BD430" s="76" t="str">
        <f aca="false">IF(ISBLANK($C430),"",IFERROR(_xlfn.SWITCH(BC430,Constants!$B$4,COUNTA($C$8:$C$507)+2,Constants!$B$5,COUNTA($C$8:$C$507)+1,Constants!$B$6,COUNTA($C$8:$C$507)),BC430))</f>
        <v/>
      </c>
      <c r="BE430" s="5"/>
      <c r="BF430" s="77" t="n">
        <f aca="false">IF(OR(ISNUMBER(BC430),BC430=Constants!$B$4,BC430=Constants!$B$6,BC430=Constants!$B$5),1,0)</f>
        <v>0</v>
      </c>
      <c r="BG430" s="77" t="n">
        <v>423</v>
      </c>
      <c r="BH430" s="77" t="str">
        <f aca="false">IF(ISBLANK($C430),"",IF(ISNUMBER(BD430),BD430+ROW($B430)/1000,""))</f>
        <v/>
      </c>
      <c r="BI430" s="77" t="str">
        <f aca="false">IF(ISNUMBER(BH430),RANK(BH430,$BH$8:$BH$507,1),"")</f>
        <v/>
      </c>
      <c r="BJ430" s="77" t="str">
        <f aca="false">IF(ISBLANK($C430),"",$B430)</f>
        <v/>
      </c>
      <c r="BK430" s="77" t="str">
        <f aca="false">IF(ISBLANK($C430),"",$C430)</f>
        <v/>
      </c>
      <c r="BL430" s="77" t="str">
        <f aca="false">IF(ISBLANK($C430),"",$D430)</f>
        <v/>
      </c>
      <c r="BM430" s="78" t="str">
        <f aca="false">BA430</f>
        <v/>
      </c>
      <c r="BN430" s="79" t="str">
        <f aca="false">AZ430</f>
        <v/>
      </c>
      <c r="BO430" s="77" t="str">
        <f aca="false">IF(ISBLANK($C430),"",BC430)</f>
        <v/>
      </c>
      <c r="BP430" s="80" t="str">
        <f aca="false">IF($BG430&gt;$BF$7,"",VLOOKUP($BG430,$BI$8:$BO$507,7,FALSE()))</f>
        <v/>
      </c>
      <c r="BQ430" s="81" t="str">
        <f aca="false">IF($BG430&gt;$BF$7,"",VLOOKUP($BG430,$BI$8:$BO$507,2,FALSE()))</f>
        <v/>
      </c>
      <c r="BR430" s="81" t="str">
        <f aca="false">IF($BG430&gt;$BF$7,"",VLOOKUP($BG430,$BI$8:$BO$507,3,FALSE()))</f>
        <v/>
      </c>
      <c r="BS430" s="81" t="str">
        <f aca="false">IF($BG430&gt;$BF$7,"",VLOOKUP($BG430,$BI$8:$BO$507,4,FALSE()))</f>
        <v/>
      </c>
      <c r="BT430" s="81" t="str">
        <f aca="false">IF($BG430&gt;$BF$7,"",VLOOKUP($BG430,$BI$8:$BO$507,5,FALSE()))</f>
        <v/>
      </c>
      <c r="BU430" s="82" t="str">
        <f aca="false">IF($BG430&gt;$BF$7,"",VLOOKUP($BG430,$BI$8:$BO$507,6,FALSE()))</f>
        <v/>
      </c>
      <c r="BV430" s="54"/>
    </row>
    <row r="431" customFormat="false" ht="15.75" hidden="false" customHeight="false" outlineLevel="0" collapsed="false">
      <c r="A431" s="5"/>
      <c r="B431" s="128"/>
      <c r="C431" s="129"/>
      <c r="D431" s="114"/>
      <c r="E431" s="134"/>
      <c r="F431" s="139"/>
      <c r="G431" s="93"/>
      <c r="H431" s="140"/>
      <c r="I431" s="95"/>
      <c r="J431" s="95"/>
      <c r="K431" s="93"/>
      <c r="L431" s="141"/>
      <c r="M431" s="95"/>
      <c r="N431" s="95"/>
      <c r="O431" s="93"/>
      <c r="P431" s="134"/>
      <c r="Q431" s="98"/>
      <c r="R431" s="99" t="str">
        <f aca="false">IF(ISBLANK($C431),"",IF(E431=Constants!$B$2, TRUE(), IF(E431=Constants!$B$3, FALSE(), TRUE())))</f>
        <v/>
      </c>
      <c r="S431" s="99" t="str">
        <f aca="false">IF(ISBLANK($C431),"",IF(F431=Constants!$B$2, TRUE(), IF(F431=Constants!$B$3, FALSE(), TRUE())))</f>
        <v/>
      </c>
      <c r="T431" s="99" t="str">
        <f aca="false">IF(ISBLANK($C431),"",IF(G431=Constants!$B$16,Constants!$B$9,IF(G431=Constants!$B$17,Constants!$B$10,Constants!$B$8)))</f>
        <v/>
      </c>
      <c r="U431" s="99" t="str">
        <f aca="false">IF(ISBLANK($C431),"",IF(H431=Constants!$B$19,Constants!$B$19,Constants!$B$18))</f>
        <v/>
      </c>
      <c r="V431" s="99" t="str">
        <f aca="false">IF(ISBLANK($C431),"",IF(ISNUMBER(I431),IF(I431&gt;=0,I431,""),""))</f>
        <v/>
      </c>
      <c r="W431" s="99" t="str">
        <f aca="false">IF(ISBLANK($C431),"",IF(J431=Constants!$B$2, TRUE(), IF(J431=Constants!$B$3, FALSE(), TRUE())))</f>
        <v/>
      </c>
      <c r="X431" s="99" t="str">
        <f aca="false">IF(ISBLANK($C431),"",IF(K431=Constants!$B$2, TRUE(), IF(K431=Constants!$B$3, FALSE(), TRUE())))</f>
        <v/>
      </c>
      <c r="Y431" s="99" t="str">
        <f aca="false">IF(ISBLANK($C431),"",IF(L431=Constants!$B$19,Constants!$B$19,Constants!$B$18))</f>
        <v/>
      </c>
      <c r="Z431" s="99" t="str">
        <f aca="false">IF(ISBLANK($C431),"",IF(ISNUMBER(M431),IF(M431&gt;=0,M431,""),""))</f>
        <v/>
      </c>
      <c r="AA431" s="99" t="str">
        <f aca="false">IF(ISBLANK($C431),"",IF(N431=Constants!$B$2, TRUE(), IF(N431=Constants!$B$3, FALSE(), TRUE())))</f>
        <v/>
      </c>
      <c r="AB431" s="99" t="str">
        <f aca="false">IF(ISBLANK($C431),"",IF(O431=Constants!$B$2, TRUE(), IF(O431=Constants!$B$3, FALSE(), TRUE())))</f>
        <v/>
      </c>
      <c r="AC431" s="99" t="str">
        <f aca="false">IF(ISBLANK($C431),"",IF(P431=Constants!$B$2, TRUE(), IF(P431=Constants!$B$3, FALSE(), FALSE())))</f>
        <v/>
      </c>
      <c r="AD431" s="99" t="str">
        <f aca="false">IF(ISBLANK($C431),"",AND(V431&lt;&gt;"",IF(U431=Constants!$B$19,S431,R431)))</f>
        <v/>
      </c>
      <c r="AE431" s="99" t="str">
        <f aca="false">IF(ISBLANK($C431),"",AND(Z431&lt;&gt;"",IF(Y431=Constants!$B$19,S431,R431)))</f>
        <v/>
      </c>
      <c r="AF431" s="99" t="str">
        <f aca="false">IF(ISBLANK($C431),"",IF(AC431,Constants!$B$4,IF(COUNTA(E431:O431)=0,Constants!$B$5,IF(AND(NOT(AD431),NOT(AE431)),Constants!$B$6,Constants!$B$7))))</f>
        <v/>
      </c>
      <c r="AG431" s="99" t="str">
        <f aca="false">IF(ISBLANK($C431),"",IF($AF431&lt;&gt;Constants!$B$7,$AF431,Constants!$B$20))</f>
        <v/>
      </c>
      <c r="AH431" s="99" t="str">
        <f aca="false">IF($AF431=Constants!$B$7,IF(AD431,V431,Constants!$B$13),"")</f>
        <v/>
      </c>
      <c r="AI431" s="99" t="str">
        <f aca="false">IF($AF431=Constants!$B$7,IF(AD431,T431*IF(W431, 1, Constants!$B$11)*IF(X431, 1, Constants!$B$12),Constants!$B$13),"")</f>
        <v/>
      </c>
      <c r="AJ431" s="99" t="str">
        <f aca="false">IF($AF431=Constants!$B$7,AH431*AI431,"")</f>
        <v/>
      </c>
      <c r="AK431" s="99" t="str">
        <f aca="false">IF($AF431=Constants!$B$7,IF(AE431,Z431,Constants!$B$13),"")</f>
        <v/>
      </c>
      <c r="AL431" s="99" t="str">
        <f aca="false">IF($AF431=Constants!$B$7,IF(AE431,T431*IF(AA431, 1, Constants!$B$11)*IF(AB431, 1, Constants!$B$12),Constants!$B$13),"")</f>
        <v/>
      </c>
      <c r="AM431" s="99" t="str">
        <f aca="false">IF($AF431=Constants!$B$7,AK431*AL431,"")</f>
        <v/>
      </c>
      <c r="AN431" s="99" t="str">
        <f aca="false">IF($AF431=Constants!$B$7,IF(AM431&gt;AJ431,2,1),"")</f>
        <v/>
      </c>
      <c r="AO431" s="99" t="str">
        <f aca="false">IF($AF431=Constants!$B$7,IF(AN431=1,2,1),"")</f>
        <v/>
      </c>
      <c r="AP431" s="99" t="str">
        <f aca="false">IF(ISBLANK($C431),"",IF($AF431&lt;&gt;Constants!$B$7,$AF431,IF(AN431=1,AJ431,AM431)))</f>
        <v/>
      </c>
      <c r="AQ431" s="99" t="str">
        <f aca="false">IF(ISBLANK($C431),"",IF($AF431=Constants!$B$7,IF(ISNUMBER(AP431),RANK(AP431,$AP$8:$AP$507),Constants!$B$14),$AF431))</f>
        <v/>
      </c>
      <c r="AR431" s="99" t="str">
        <f aca="false">IF(ISBLANK($C431),"",IF($AF431=Constants!$B$7,IF(AO431=1,AJ431,AM431),""))</f>
        <v/>
      </c>
      <c r="AS431" s="99" t="str">
        <f aca="false">IF(ISBLANK($C431),"",IF($AF431=Constants!$B$7,RANK(AR431,$AR$8:$AR$507),$AF431))</f>
        <v/>
      </c>
      <c r="AT431" s="99" t="str">
        <f aca="false">IF(ISBLANK($C431),"",IF($AF431=Constants!$B$7,IF(ISNUMBER(AQ431),COUNTIFS($AQ$8:$AQ$507,"&lt;"&amp;$AQ431)+COUNTIFS($AQ$8:$AQ$507,$AQ431,$AS$8:$AS$507,"&lt;"&amp;$AS431)+1,Constants!$B$14),$AF431))</f>
        <v/>
      </c>
      <c r="AU431" s="99" t="str">
        <f aca="false">IF(ISBLANK($C431),"",IF($AF431=Constants!$B$7,IF(ISNUMBER(AQ431),AQ431-AT431,Constants!$B$14),$AF431))</f>
        <v/>
      </c>
      <c r="AV431" s="100"/>
      <c r="AW431" s="101" t="str">
        <f aca="false">IF(ISBLANK($C431),"",IF($AF431&lt;&gt;Constants!$B$7,"",AN431))</f>
        <v/>
      </c>
      <c r="AX431" s="102" t="str">
        <f aca="false">IF(ISBLANK($C431),"",IF($AF431&lt;&gt;Constants!$B$7,"",IF(AN431=1,AH431,AK431)))</f>
        <v/>
      </c>
      <c r="AY431" s="103" t="str">
        <f aca="false">IF(ISBLANK($C431),"",IF($AF431&lt;&gt;Constants!$B$7,"",IF(AN431=1,AI431,AL431)))</f>
        <v/>
      </c>
      <c r="AZ431" s="104" t="str">
        <f aca="false">IF(ISBLANK($C431),"",IF($AF431&lt;&gt;Constants!$B$7,$AF431,AP431))</f>
        <v/>
      </c>
      <c r="BA431" s="105" t="str">
        <f aca="false">IF(ISBLANK($C431),"",IF($AF431&lt;&gt;Constants!$B$7,$AF431,AG431))</f>
        <v/>
      </c>
      <c r="BB431" s="106" t="str">
        <f aca="false">IF(ISBLANK($C431),"",AU431)</f>
        <v/>
      </c>
      <c r="BC431" s="106" t="str">
        <f aca="false">IF(ISBLANK($C431),"",AT431)</f>
        <v/>
      </c>
      <c r="BD431" s="107" t="str">
        <f aca="false">IF(ISBLANK($C431),"",IFERROR(_xlfn.SWITCH(BC431,Constants!$B$4,COUNTA($C$8:$C$507)+2,Constants!$B$5,COUNTA($C$8:$C$507)+1,Constants!$B$6,COUNTA($C$8:$C$507)),BC431))</f>
        <v/>
      </c>
      <c r="BE431" s="5"/>
      <c r="BF431" s="108" t="n">
        <f aca="false">IF(OR(ISNUMBER(BC431),BC431=Constants!$B$4,BC431=Constants!$B$6,BC431=Constants!$B$5),1,0)</f>
        <v>0</v>
      </c>
      <c r="BG431" s="108" t="n">
        <v>424</v>
      </c>
      <c r="BH431" s="108" t="str">
        <f aca="false">IF(ISBLANK($C431),"",IF(ISNUMBER(BD431),BD431+ROW($B431)/1000,""))</f>
        <v/>
      </c>
      <c r="BI431" s="108" t="str">
        <f aca="false">IF(ISNUMBER(BH431),RANK(BH431,$BH$8:$BH$507,1),"")</f>
        <v/>
      </c>
      <c r="BJ431" s="108" t="str">
        <f aca="false">IF(ISBLANK($C431),"",$B431)</f>
        <v/>
      </c>
      <c r="BK431" s="108" t="str">
        <f aca="false">IF(ISBLANK($C431),"",$C431)</f>
        <v/>
      </c>
      <c r="BL431" s="108" t="str">
        <f aca="false">IF(ISBLANK($C431),"",$D431)</f>
        <v/>
      </c>
      <c r="BM431" s="109" t="str">
        <f aca="false">BA431</f>
        <v/>
      </c>
      <c r="BN431" s="110" t="str">
        <f aca="false">AZ431</f>
        <v/>
      </c>
      <c r="BO431" s="108" t="str">
        <f aca="false">IF(ISBLANK($C431),"",BC431)</f>
        <v/>
      </c>
      <c r="BP431" s="111" t="str">
        <f aca="false">IF($BG431&gt;$BF$7,"",VLOOKUP($BG431,$BI$8:$BO$507,7,FALSE()))</f>
        <v/>
      </c>
      <c r="BQ431" s="112" t="str">
        <f aca="false">IF($BG431&gt;$BF$7,"",VLOOKUP($BG431,$BI$8:$BO$507,2,FALSE()))</f>
        <v/>
      </c>
      <c r="BR431" s="112" t="str">
        <f aca="false">IF($BG431&gt;$BF$7,"",VLOOKUP($BG431,$BI$8:$BO$507,3,FALSE()))</f>
        <v/>
      </c>
      <c r="BS431" s="112" t="str">
        <f aca="false">IF($BG431&gt;$BF$7,"",VLOOKUP($BG431,$BI$8:$BO$507,4,FALSE()))</f>
        <v/>
      </c>
      <c r="BT431" s="112" t="str">
        <f aca="false">IF($BG431&gt;$BF$7,"",VLOOKUP($BG431,$BI$8:$BO$507,5,FALSE()))</f>
        <v/>
      </c>
      <c r="BU431" s="113" t="str">
        <f aca="false">IF($BG431&gt;$BF$7,"",VLOOKUP($BG431,$BI$8:$BO$507,6,FALSE()))</f>
        <v/>
      </c>
      <c r="BV431" s="54"/>
    </row>
    <row r="432" customFormat="false" ht="15.75" hidden="false" customHeight="false" outlineLevel="0" collapsed="false">
      <c r="A432" s="5"/>
      <c r="B432" s="128"/>
      <c r="C432" s="129"/>
      <c r="D432" s="114"/>
      <c r="E432" s="134"/>
      <c r="F432" s="139"/>
      <c r="G432" s="93"/>
      <c r="H432" s="140"/>
      <c r="I432" s="95"/>
      <c r="J432" s="95"/>
      <c r="K432" s="93"/>
      <c r="L432" s="141"/>
      <c r="M432" s="95"/>
      <c r="N432" s="95"/>
      <c r="O432" s="93"/>
      <c r="P432" s="134"/>
      <c r="Q432" s="98"/>
      <c r="R432" s="99" t="str">
        <f aca="false">IF(ISBLANK($C432),"",IF(E432=Constants!$B$2, TRUE(), IF(E432=Constants!$B$3, FALSE(), TRUE())))</f>
        <v/>
      </c>
      <c r="S432" s="99" t="str">
        <f aca="false">IF(ISBLANK($C432),"",IF(F432=Constants!$B$2, TRUE(), IF(F432=Constants!$B$3, FALSE(), TRUE())))</f>
        <v/>
      </c>
      <c r="T432" s="99" t="str">
        <f aca="false">IF(ISBLANK($C432),"",IF(G432=Constants!$B$16,Constants!$B$9,IF(G432=Constants!$B$17,Constants!$B$10,Constants!$B$8)))</f>
        <v/>
      </c>
      <c r="U432" s="99" t="str">
        <f aca="false">IF(ISBLANK($C432),"",IF(H432=Constants!$B$19,Constants!$B$19,Constants!$B$18))</f>
        <v/>
      </c>
      <c r="V432" s="99" t="str">
        <f aca="false">IF(ISBLANK($C432),"",IF(ISNUMBER(I432),IF(I432&gt;=0,I432,""),""))</f>
        <v/>
      </c>
      <c r="W432" s="99" t="str">
        <f aca="false">IF(ISBLANK($C432),"",IF(J432=Constants!$B$2, TRUE(), IF(J432=Constants!$B$3, FALSE(), TRUE())))</f>
        <v/>
      </c>
      <c r="X432" s="99" t="str">
        <f aca="false">IF(ISBLANK($C432),"",IF(K432=Constants!$B$2, TRUE(), IF(K432=Constants!$B$3, FALSE(), TRUE())))</f>
        <v/>
      </c>
      <c r="Y432" s="99" t="str">
        <f aca="false">IF(ISBLANK($C432),"",IF(L432=Constants!$B$19,Constants!$B$19,Constants!$B$18))</f>
        <v/>
      </c>
      <c r="Z432" s="99" t="str">
        <f aca="false">IF(ISBLANK($C432),"",IF(ISNUMBER(M432),IF(M432&gt;=0,M432,""),""))</f>
        <v/>
      </c>
      <c r="AA432" s="99" t="str">
        <f aca="false">IF(ISBLANK($C432),"",IF(N432=Constants!$B$2, TRUE(), IF(N432=Constants!$B$3, FALSE(), TRUE())))</f>
        <v/>
      </c>
      <c r="AB432" s="99" t="str">
        <f aca="false">IF(ISBLANK($C432),"",IF(O432=Constants!$B$2, TRUE(), IF(O432=Constants!$B$3, FALSE(), TRUE())))</f>
        <v/>
      </c>
      <c r="AC432" s="99" t="str">
        <f aca="false">IF(ISBLANK($C432),"",IF(P432=Constants!$B$2, TRUE(), IF(P432=Constants!$B$3, FALSE(), FALSE())))</f>
        <v/>
      </c>
      <c r="AD432" s="99" t="str">
        <f aca="false">IF(ISBLANK($C432),"",AND(V432&lt;&gt;"",IF(U432=Constants!$B$19,S432,R432)))</f>
        <v/>
      </c>
      <c r="AE432" s="99" t="str">
        <f aca="false">IF(ISBLANK($C432),"",AND(Z432&lt;&gt;"",IF(Y432=Constants!$B$19,S432,R432)))</f>
        <v/>
      </c>
      <c r="AF432" s="99" t="str">
        <f aca="false">IF(ISBLANK($C432),"",IF(AC432,Constants!$B$4,IF(COUNTA(E432:O432)=0,Constants!$B$5,IF(AND(NOT(AD432),NOT(AE432)),Constants!$B$6,Constants!$B$7))))</f>
        <v/>
      </c>
      <c r="AG432" s="99" t="str">
        <f aca="false">IF(ISBLANK($C432),"",IF($AF432&lt;&gt;Constants!$B$7,$AF432,Constants!$B$20))</f>
        <v/>
      </c>
      <c r="AH432" s="99" t="str">
        <f aca="false">IF($AF432=Constants!$B$7,IF(AD432,V432,Constants!$B$13),"")</f>
        <v/>
      </c>
      <c r="AI432" s="99" t="str">
        <f aca="false">IF($AF432=Constants!$B$7,IF(AD432,T432*IF(W432, 1, Constants!$B$11)*IF(X432, 1, Constants!$B$12),Constants!$B$13),"")</f>
        <v/>
      </c>
      <c r="AJ432" s="99" t="str">
        <f aca="false">IF($AF432=Constants!$B$7,AH432*AI432,"")</f>
        <v/>
      </c>
      <c r="AK432" s="99" t="str">
        <f aca="false">IF($AF432=Constants!$B$7,IF(AE432,Z432,Constants!$B$13),"")</f>
        <v/>
      </c>
      <c r="AL432" s="99" t="str">
        <f aca="false">IF($AF432=Constants!$B$7,IF(AE432,T432*IF(AA432, 1, Constants!$B$11)*IF(AB432, 1, Constants!$B$12),Constants!$B$13),"")</f>
        <v/>
      </c>
      <c r="AM432" s="99" t="str">
        <f aca="false">IF($AF432=Constants!$B$7,AK432*AL432,"")</f>
        <v/>
      </c>
      <c r="AN432" s="99" t="str">
        <f aca="false">IF($AF432=Constants!$B$7,IF(AM432&gt;AJ432,2,1),"")</f>
        <v/>
      </c>
      <c r="AO432" s="99" t="str">
        <f aca="false">IF($AF432=Constants!$B$7,IF(AN432=1,2,1),"")</f>
        <v/>
      </c>
      <c r="AP432" s="99" t="str">
        <f aca="false">IF(ISBLANK($C432),"",IF($AF432&lt;&gt;Constants!$B$7,$AF432,IF(AN432=1,AJ432,AM432)))</f>
        <v/>
      </c>
      <c r="AQ432" s="99" t="str">
        <f aca="false">IF(ISBLANK($C432),"",IF($AF432=Constants!$B$7,IF(ISNUMBER(AP432),RANK(AP432,$AP$8:$AP$507),Constants!$B$14),$AF432))</f>
        <v/>
      </c>
      <c r="AR432" s="99" t="str">
        <f aca="false">IF(ISBLANK($C432),"",IF($AF432=Constants!$B$7,IF(AO432=1,AJ432,AM432),""))</f>
        <v/>
      </c>
      <c r="AS432" s="99" t="str">
        <f aca="false">IF(ISBLANK($C432),"",IF($AF432=Constants!$B$7,RANK(AR432,$AR$8:$AR$507),$AF432))</f>
        <v/>
      </c>
      <c r="AT432" s="99" t="str">
        <f aca="false">IF(ISBLANK($C432),"",IF($AF432=Constants!$B$7,IF(ISNUMBER(AQ432),COUNTIFS($AQ$8:$AQ$507,"&lt;"&amp;$AQ432)+COUNTIFS($AQ$8:$AQ$507,$AQ432,$AS$8:$AS$507,"&lt;"&amp;$AS432)+1,Constants!$B$14),$AF432))</f>
        <v/>
      </c>
      <c r="AU432" s="99" t="str">
        <f aca="false">IF(ISBLANK($C432),"",IF($AF432=Constants!$B$7,IF(ISNUMBER(AQ432),AQ432-AT432,Constants!$B$14),$AF432))</f>
        <v/>
      </c>
      <c r="AV432" s="100"/>
      <c r="AW432" s="101" t="str">
        <f aca="false">IF(ISBLANK($C432),"",IF($AF432&lt;&gt;Constants!$B$7,"",AN432))</f>
        <v/>
      </c>
      <c r="AX432" s="102" t="str">
        <f aca="false">IF(ISBLANK($C432),"",IF($AF432&lt;&gt;Constants!$B$7,"",IF(AN432=1,AH432,AK432)))</f>
        <v/>
      </c>
      <c r="AY432" s="103" t="str">
        <f aca="false">IF(ISBLANK($C432),"",IF($AF432&lt;&gt;Constants!$B$7,"",IF(AN432=1,AI432,AL432)))</f>
        <v/>
      </c>
      <c r="AZ432" s="104" t="str">
        <f aca="false">IF(ISBLANK($C432),"",IF($AF432&lt;&gt;Constants!$B$7,$AF432,AP432))</f>
        <v/>
      </c>
      <c r="BA432" s="105" t="str">
        <f aca="false">IF(ISBLANK($C432),"",IF($AF432&lt;&gt;Constants!$B$7,$AF432,AG432))</f>
        <v/>
      </c>
      <c r="BB432" s="106" t="str">
        <f aca="false">IF(ISBLANK($C432),"",AU432)</f>
        <v/>
      </c>
      <c r="BC432" s="106" t="str">
        <f aca="false">IF(ISBLANK($C432),"",AT432)</f>
        <v/>
      </c>
      <c r="BD432" s="107" t="str">
        <f aca="false">IF(ISBLANK($C432),"",IFERROR(_xlfn.SWITCH(BC432,Constants!$B$4,COUNTA($C$8:$C$507)+2,Constants!$B$5,COUNTA($C$8:$C$507)+1,Constants!$B$6,COUNTA($C$8:$C$507)),BC432))</f>
        <v/>
      </c>
      <c r="BE432" s="5"/>
      <c r="BF432" s="108" t="n">
        <f aca="false">IF(OR(ISNUMBER(BC432),BC432=Constants!$B$4,BC432=Constants!$B$6,BC432=Constants!$B$5),1,0)</f>
        <v>0</v>
      </c>
      <c r="BG432" s="108" t="n">
        <v>425</v>
      </c>
      <c r="BH432" s="108" t="str">
        <f aca="false">IF(ISBLANK($C432),"",IF(ISNUMBER(BD432),BD432+ROW($B432)/1000,""))</f>
        <v/>
      </c>
      <c r="BI432" s="108" t="str">
        <f aca="false">IF(ISNUMBER(BH432),RANK(BH432,$BH$8:$BH$507,1),"")</f>
        <v/>
      </c>
      <c r="BJ432" s="108" t="str">
        <f aca="false">IF(ISBLANK($C432),"",$B432)</f>
        <v/>
      </c>
      <c r="BK432" s="108" t="str">
        <f aca="false">IF(ISBLANK($C432),"",$C432)</f>
        <v/>
      </c>
      <c r="BL432" s="108" t="str">
        <f aca="false">IF(ISBLANK($C432),"",$D432)</f>
        <v/>
      </c>
      <c r="BM432" s="109" t="str">
        <f aca="false">BA432</f>
        <v/>
      </c>
      <c r="BN432" s="110" t="str">
        <f aca="false">AZ432</f>
        <v/>
      </c>
      <c r="BO432" s="108" t="str">
        <f aca="false">IF(ISBLANK($C432),"",BC432)</f>
        <v/>
      </c>
      <c r="BP432" s="111" t="str">
        <f aca="false">IF($BG432&gt;$BF$7,"",VLOOKUP($BG432,$BI$8:$BO$507,7,FALSE()))</f>
        <v/>
      </c>
      <c r="BQ432" s="112" t="str">
        <f aca="false">IF($BG432&gt;$BF$7,"",VLOOKUP($BG432,$BI$8:$BO$507,2,FALSE()))</f>
        <v/>
      </c>
      <c r="BR432" s="112" t="str">
        <f aca="false">IF($BG432&gt;$BF$7,"",VLOOKUP($BG432,$BI$8:$BO$507,3,FALSE()))</f>
        <v/>
      </c>
      <c r="BS432" s="112" t="str">
        <f aca="false">IF($BG432&gt;$BF$7,"",VLOOKUP($BG432,$BI$8:$BO$507,4,FALSE()))</f>
        <v/>
      </c>
      <c r="BT432" s="112" t="str">
        <f aca="false">IF($BG432&gt;$BF$7,"",VLOOKUP($BG432,$BI$8:$BO$507,5,FALSE()))</f>
        <v/>
      </c>
      <c r="BU432" s="113" t="str">
        <f aca="false">IF($BG432&gt;$BF$7,"",VLOOKUP($BG432,$BI$8:$BO$507,6,FALSE()))</f>
        <v/>
      </c>
      <c r="BV432" s="54"/>
    </row>
    <row r="433" customFormat="false" ht="15.75" hidden="false" customHeight="false" outlineLevel="0" collapsed="false">
      <c r="A433" s="5"/>
      <c r="B433" s="128"/>
      <c r="C433" s="129"/>
      <c r="D433" s="114"/>
      <c r="E433" s="134"/>
      <c r="F433" s="139"/>
      <c r="G433" s="93"/>
      <c r="H433" s="140"/>
      <c r="I433" s="95"/>
      <c r="J433" s="95"/>
      <c r="K433" s="93"/>
      <c r="L433" s="141"/>
      <c r="M433" s="95"/>
      <c r="N433" s="95"/>
      <c r="O433" s="93"/>
      <c r="P433" s="134"/>
      <c r="Q433" s="98"/>
      <c r="R433" s="99" t="str">
        <f aca="false">IF(ISBLANK($C433),"",IF(E433=Constants!$B$2, TRUE(), IF(E433=Constants!$B$3, FALSE(), TRUE())))</f>
        <v/>
      </c>
      <c r="S433" s="99" t="str">
        <f aca="false">IF(ISBLANK($C433),"",IF(F433=Constants!$B$2, TRUE(), IF(F433=Constants!$B$3, FALSE(), TRUE())))</f>
        <v/>
      </c>
      <c r="T433" s="99" t="str">
        <f aca="false">IF(ISBLANK($C433),"",IF(G433=Constants!$B$16,Constants!$B$9,IF(G433=Constants!$B$17,Constants!$B$10,Constants!$B$8)))</f>
        <v/>
      </c>
      <c r="U433" s="99" t="str">
        <f aca="false">IF(ISBLANK($C433),"",IF(H433=Constants!$B$19,Constants!$B$19,Constants!$B$18))</f>
        <v/>
      </c>
      <c r="V433" s="99" t="str">
        <f aca="false">IF(ISBLANK($C433),"",IF(ISNUMBER(I433),IF(I433&gt;=0,I433,""),""))</f>
        <v/>
      </c>
      <c r="W433" s="99" t="str">
        <f aca="false">IF(ISBLANK($C433),"",IF(J433=Constants!$B$2, TRUE(), IF(J433=Constants!$B$3, FALSE(), TRUE())))</f>
        <v/>
      </c>
      <c r="X433" s="99" t="str">
        <f aca="false">IF(ISBLANK($C433),"",IF(K433=Constants!$B$2, TRUE(), IF(K433=Constants!$B$3, FALSE(), TRUE())))</f>
        <v/>
      </c>
      <c r="Y433" s="99" t="str">
        <f aca="false">IF(ISBLANK($C433),"",IF(L433=Constants!$B$19,Constants!$B$19,Constants!$B$18))</f>
        <v/>
      </c>
      <c r="Z433" s="99" t="str">
        <f aca="false">IF(ISBLANK($C433),"",IF(ISNUMBER(M433),IF(M433&gt;=0,M433,""),""))</f>
        <v/>
      </c>
      <c r="AA433" s="99" t="str">
        <f aca="false">IF(ISBLANK($C433),"",IF(N433=Constants!$B$2, TRUE(), IF(N433=Constants!$B$3, FALSE(), TRUE())))</f>
        <v/>
      </c>
      <c r="AB433" s="99" t="str">
        <f aca="false">IF(ISBLANK($C433),"",IF(O433=Constants!$B$2, TRUE(), IF(O433=Constants!$B$3, FALSE(), TRUE())))</f>
        <v/>
      </c>
      <c r="AC433" s="99" t="str">
        <f aca="false">IF(ISBLANK($C433),"",IF(P433=Constants!$B$2, TRUE(), IF(P433=Constants!$B$3, FALSE(), FALSE())))</f>
        <v/>
      </c>
      <c r="AD433" s="99" t="str">
        <f aca="false">IF(ISBLANK($C433),"",AND(V433&lt;&gt;"",IF(U433=Constants!$B$19,S433,R433)))</f>
        <v/>
      </c>
      <c r="AE433" s="99" t="str">
        <f aca="false">IF(ISBLANK($C433),"",AND(Z433&lt;&gt;"",IF(Y433=Constants!$B$19,S433,R433)))</f>
        <v/>
      </c>
      <c r="AF433" s="99" t="str">
        <f aca="false">IF(ISBLANK($C433),"",IF(AC433,Constants!$B$4,IF(COUNTA(E433:O433)=0,Constants!$B$5,IF(AND(NOT(AD433),NOT(AE433)),Constants!$B$6,Constants!$B$7))))</f>
        <v/>
      </c>
      <c r="AG433" s="99" t="str">
        <f aca="false">IF(ISBLANK($C433),"",IF($AF433&lt;&gt;Constants!$B$7,$AF433,Constants!$B$20))</f>
        <v/>
      </c>
      <c r="AH433" s="99" t="str">
        <f aca="false">IF($AF433=Constants!$B$7,IF(AD433,V433,Constants!$B$13),"")</f>
        <v/>
      </c>
      <c r="AI433" s="99" t="str">
        <f aca="false">IF($AF433=Constants!$B$7,IF(AD433,T433*IF(W433, 1, Constants!$B$11)*IF(X433, 1, Constants!$B$12),Constants!$B$13),"")</f>
        <v/>
      </c>
      <c r="AJ433" s="99" t="str">
        <f aca="false">IF($AF433=Constants!$B$7,AH433*AI433,"")</f>
        <v/>
      </c>
      <c r="AK433" s="99" t="str">
        <f aca="false">IF($AF433=Constants!$B$7,IF(AE433,Z433,Constants!$B$13),"")</f>
        <v/>
      </c>
      <c r="AL433" s="99" t="str">
        <f aca="false">IF($AF433=Constants!$B$7,IF(AE433,T433*IF(AA433, 1, Constants!$B$11)*IF(AB433, 1, Constants!$B$12),Constants!$B$13),"")</f>
        <v/>
      </c>
      <c r="AM433" s="99" t="str">
        <f aca="false">IF($AF433=Constants!$B$7,AK433*AL433,"")</f>
        <v/>
      </c>
      <c r="AN433" s="99" t="str">
        <f aca="false">IF($AF433=Constants!$B$7,IF(AM433&gt;AJ433,2,1),"")</f>
        <v/>
      </c>
      <c r="AO433" s="99" t="str">
        <f aca="false">IF($AF433=Constants!$B$7,IF(AN433=1,2,1),"")</f>
        <v/>
      </c>
      <c r="AP433" s="99" t="str">
        <f aca="false">IF(ISBLANK($C433),"",IF($AF433&lt;&gt;Constants!$B$7,$AF433,IF(AN433=1,AJ433,AM433)))</f>
        <v/>
      </c>
      <c r="AQ433" s="99" t="str">
        <f aca="false">IF(ISBLANK($C433),"",IF($AF433=Constants!$B$7,IF(ISNUMBER(AP433),RANK(AP433,$AP$8:$AP$507),Constants!$B$14),$AF433))</f>
        <v/>
      </c>
      <c r="AR433" s="99" t="str">
        <f aca="false">IF(ISBLANK($C433),"",IF($AF433=Constants!$B$7,IF(AO433=1,AJ433,AM433),""))</f>
        <v/>
      </c>
      <c r="AS433" s="99" t="str">
        <f aca="false">IF(ISBLANK($C433),"",IF($AF433=Constants!$B$7,RANK(AR433,$AR$8:$AR$507),$AF433))</f>
        <v/>
      </c>
      <c r="AT433" s="99" t="str">
        <f aca="false">IF(ISBLANK($C433),"",IF($AF433=Constants!$B$7,IF(ISNUMBER(AQ433),COUNTIFS($AQ$8:$AQ$507,"&lt;"&amp;$AQ433)+COUNTIFS($AQ$8:$AQ$507,$AQ433,$AS$8:$AS$507,"&lt;"&amp;$AS433)+1,Constants!$B$14),$AF433))</f>
        <v/>
      </c>
      <c r="AU433" s="99" t="str">
        <f aca="false">IF(ISBLANK($C433),"",IF($AF433=Constants!$B$7,IF(ISNUMBER(AQ433),AQ433-AT433,Constants!$B$14),$AF433))</f>
        <v/>
      </c>
      <c r="AV433" s="100"/>
      <c r="AW433" s="101" t="str">
        <f aca="false">IF(ISBLANK($C433),"",IF($AF433&lt;&gt;Constants!$B$7,"",AN433))</f>
        <v/>
      </c>
      <c r="AX433" s="102" t="str">
        <f aca="false">IF(ISBLANK($C433),"",IF($AF433&lt;&gt;Constants!$B$7,"",IF(AN433=1,AH433,AK433)))</f>
        <v/>
      </c>
      <c r="AY433" s="103" t="str">
        <f aca="false">IF(ISBLANK($C433),"",IF($AF433&lt;&gt;Constants!$B$7,"",IF(AN433=1,AI433,AL433)))</f>
        <v/>
      </c>
      <c r="AZ433" s="104" t="str">
        <f aca="false">IF(ISBLANK($C433),"",IF($AF433&lt;&gt;Constants!$B$7,$AF433,AP433))</f>
        <v/>
      </c>
      <c r="BA433" s="105" t="str">
        <f aca="false">IF(ISBLANK($C433),"",IF($AF433&lt;&gt;Constants!$B$7,$AF433,AG433))</f>
        <v/>
      </c>
      <c r="BB433" s="106" t="str">
        <f aca="false">IF(ISBLANK($C433),"",AU433)</f>
        <v/>
      </c>
      <c r="BC433" s="106" t="str">
        <f aca="false">IF(ISBLANK($C433),"",AT433)</f>
        <v/>
      </c>
      <c r="BD433" s="107" t="str">
        <f aca="false">IF(ISBLANK($C433),"",IFERROR(_xlfn.SWITCH(BC433,Constants!$B$4,COUNTA($C$8:$C$507)+2,Constants!$B$5,COUNTA($C$8:$C$507)+1,Constants!$B$6,COUNTA($C$8:$C$507)),BC433))</f>
        <v/>
      </c>
      <c r="BE433" s="5"/>
      <c r="BF433" s="108" t="n">
        <f aca="false">IF(OR(ISNUMBER(BC433),BC433=Constants!$B$4,BC433=Constants!$B$6,BC433=Constants!$B$5),1,0)</f>
        <v>0</v>
      </c>
      <c r="BG433" s="108" t="n">
        <v>426</v>
      </c>
      <c r="BH433" s="108" t="str">
        <f aca="false">IF(ISBLANK($C433),"",IF(ISNUMBER(BD433),BD433+ROW($B433)/1000,""))</f>
        <v/>
      </c>
      <c r="BI433" s="108" t="str">
        <f aca="false">IF(ISNUMBER(BH433),RANK(BH433,$BH$8:$BH$507,1),"")</f>
        <v/>
      </c>
      <c r="BJ433" s="108" t="str">
        <f aca="false">IF(ISBLANK($C433),"",$B433)</f>
        <v/>
      </c>
      <c r="BK433" s="108" t="str">
        <f aca="false">IF(ISBLANK($C433),"",$C433)</f>
        <v/>
      </c>
      <c r="BL433" s="108" t="str">
        <f aca="false">IF(ISBLANK($C433),"",$D433)</f>
        <v/>
      </c>
      <c r="BM433" s="109" t="str">
        <f aca="false">BA433</f>
        <v/>
      </c>
      <c r="BN433" s="110" t="str">
        <f aca="false">AZ433</f>
        <v/>
      </c>
      <c r="BO433" s="108" t="str">
        <f aca="false">IF(ISBLANK($C433),"",BC433)</f>
        <v/>
      </c>
      <c r="BP433" s="111" t="str">
        <f aca="false">IF($BG433&gt;$BF$7,"",VLOOKUP($BG433,$BI$8:$BO$507,7,FALSE()))</f>
        <v/>
      </c>
      <c r="BQ433" s="112" t="str">
        <f aca="false">IF($BG433&gt;$BF$7,"",VLOOKUP($BG433,$BI$8:$BO$507,2,FALSE()))</f>
        <v/>
      </c>
      <c r="BR433" s="112" t="str">
        <f aca="false">IF($BG433&gt;$BF$7,"",VLOOKUP($BG433,$BI$8:$BO$507,3,FALSE()))</f>
        <v/>
      </c>
      <c r="BS433" s="112" t="str">
        <f aca="false">IF($BG433&gt;$BF$7,"",VLOOKUP($BG433,$BI$8:$BO$507,4,FALSE()))</f>
        <v/>
      </c>
      <c r="BT433" s="112" t="str">
        <f aca="false">IF($BG433&gt;$BF$7,"",VLOOKUP($BG433,$BI$8:$BO$507,5,FALSE()))</f>
        <v/>
      </c>
      <c r="BU433" s="113" t="str">
        <f aca="false">IF($BG433&gt;$BF$7,"",VLOOKUP($BG433,$BI$8:$BO$507,6,FALSE()))</f>
        <v/>
      </c>
      <c r="BV433" s="54"/>
    </row>
    <row r="434" customFormat="false" ht="15.75" hidden="false" customHeight="false" outlineLevel="0" collapsed="false">
      <c r="A434" s="5"/>
      <c r="B434" s="135"/>
      <c r="C434" s="56"/>
      <c r="D434" s="57"/>
      <c r="E434" s="84"/>
      <c r="F434" s="136"/>
      <c r="G434" s="60"/>
      <c r="H434" s="137"/>
      <c r="I434" s="62"/>
      <c r="J434" s="62"/>
      <c r="K434" s="60"/>
      <c r="L434" s="138"/>
      <c r="M434" s="62"/>
      <c r="N434" s="62"/>
      <c r="O434" s="60"/>
      <c r="P434" s="84"/>
      <c r="Q434" s="65"/>
      <c r="R434" s="67" t="str">
        <f aca="false">IF(ISBLANK($C434),"",IF(E434=Constants!$B$2, TRUE(), IF(E434=Constants!$B$3, FALSE(), TRUE())))</f>
        <v/>
      </c>
      <c r="S434" s="67" t="str">
        <f aca="false">IF(ISBLANK($C434),"",IF(F434=Constants!$B$2, TRUE(), IF(F434=Constants!$B$3, FALSE(), TRUE())))</f>
        <v/>
      </c>
      <c r="T434" s="67" t="str">
        <f aca="false">IF(ISBLANK($C434),"",IF(G434=Constants!$B$16,Constants!$B$9,IF(G434=Constants!$B$17,Constants!$B$10,Constants!$B$8)))</f>
        <v/>
      </c>
      <c r="U434" s="67" t="str">
        <f aca="false">IF(ISBLANK($C434),"",IF(H434=Constants!$B$19,Constants!$B$19,Constants!$B$18))</f>
        <v/>
      </c>
      <c r="V434" s="67" t="str">
        <f aca="false">IF(ISBLANK($C434),"",IF(ISNUMBER(I434),IF(I434&gt;=0,I434,""),""))</f>
        <v/>
      </c>
      <c r="W434" s="67" t="str">
        <f aca="false">IF(ISBLANK($C434),"",IF(J434=Constants!$B$2, TRUE(), IF(J434=Constants!$B$3, FALSE(), TRUE())))</f>
        <v/>
      </c>
      <c r="X434" s="67" t="str">
        <f aca="false">IF(ISBLANK($C434),"",IF(K434=Constants!$B$2, TRUE(), IF(K434=Constants!$B$3, FALSE(), TRUE())))</f>
        <v/>
      </c>
      <c r="Y434" s="67" t="str">
        <f aca="false">IF(ISBLANK($C434),"",IF(L434=Constants!$B$19,Constants!$B$19,Constants!$B$18))</f>
        <v/>
      </c>
      <c r="Z434" s="67" t="str">
        <f aca="false">IF(ISBLANK($C434),"",IF(ISNUMBER(M434),IF(M434&gt;=0,M434,""),""))</f>
        <v/>
      </c>
      <c r="AA434" s="67" t="str">
        <f aca="false">IF(ISBLANK($C434),"",IF(N434=Constants!$B$2, TRUE(), IF(N434=Constants!$B$3, FALSE(), TRUE())))</f>
        <v/>
      </c>
      <c r="AB434" s="67" t="str">
        <f aca="false">IF(ISBLANK($C434),"",IF(O434=Constants!$B$2, TRUE(), IF(O434=Constants!$B$3, FALSE(), TRUE())))</f>
        <v/>
      </c>
      <c r="AC434" s="67" t="str">
        <f aca="false">IF(ISBLANK($C434),"",IF(P434=Constants!$B$2, TRUE(), IF(P434=Constants!$B$3, FALSE(), FALSE())))</f>
        <v/>
      </c>
      <c r="AD434" s="67" t="str">
        <f aca="false">IF(ISBLANK($C434),"",AND(V434&lt;&gt;"",IF(U434=Constants!$B$19,S434,R434)))</f>
        <v/>
      </c>
      <c r="AE434" s="67" t="str">
        <f aca="false">IF(ISBLANK($C434),"",AND(Z434&lt;&gt;"",IF(Y434=Constants!$B$19,S434,R434)))</f>
        <v/>
      </c>
      <c r="AF434" s="67" t="str">
        <f aca="false">IF(ISBLANK($C434),"",IF(AC434,Constants!$B$4,IF(COUNTA(E434:O434)=0,Constants!$B$5,IF(AND(NOT(AD434),NOT(AE434)),Constants!$B$6,Constants!$B$7))))</f>
        <v/>
      </c>
      <c r="AG434" s="67" t="str">
        <f aca="false">IF(ISBLANK($C434),"",IF($AF434&lt;&gt;Constants!$B$7,$AF434,Constants!$B$20))</f>
        <v/>
      </c>
      <c r="AH434" s="67" t="str">
        <f aca="false">IF($AF434=Constants!$B$7,IF(AD434,V434,Constants!$B$13),"")</f>
        <v/>
      </c>
      <c r="AI434" s="67" t="str">
        <f aca="false">IF($AF434=Constants!$B$7,IF(AD434,T434*IF(W434, 1, Constants!$B$11)*IF(X434, 1, Constants!$B$12),Constants!$B$13),"")</f>
        <v/>
      </c>
      <c r="AJ434" s="67" t="str">
        <f aca="false">IF($AF434=Constants!$B$7,AH434*AI434,"")</f>
        <v/>
      </c>
      <c r="AK434" s="67" t="str">
        <f aca="false">IF($AF434=Constants!$B$7,IF(AE434,Z434,Constants!$B$13),"")</f>
        <v/>
      </c>
      <c r="AL434" s="67" t="str">
        <f aca="false">IF($AF434=Constants!$B$7,IF(AE434,T434*IF(AA434, 1, Constants!$B$11)*IF(AB434, 1, Constants!$B$12),Constants!$B$13),"")</f>
        <v/>
      </c>
      <c r="AM434" s="67" t="str">
        <f aca="false">IF($AF434=Constants!$B$7,AK434*AL434,"")</f>
        <v/>
      </c>
      <c r="AN434" s="67" t="str">
        <f aca="false">IF($AF434=Constants!$B$7,IF(AM434&gt;AJ434,2,1),"")</f>
        <v/>
      </c>
      <c r="AO434" s="67" t="str">
        <f aca="false">IF($AF434=Constants!$B$7,IF(AN434=1,2,1),"")</f>
        <v/>
      </c>
      <c r="AP434" s="67" t="str">
        <f aca="false">IF(ISBLANK($C434),"",IF($AF434&lt;&gt;Constants!$B$7,$AF434,IF(AN434=1,AJ434,AM434)))</f>
        <v/>
      </c>
      <c r="AQ434" s="67" t="str">
        <f aca="false">IF(ISBLANK($C434),"",IF($AF434=Constants!$B$7,IF(ISNUMBER(AP434),RANK(AP434,$AP$8:$AP$507),Constants!$B$14),$AF434))</f>
        <v/>
      </c>
      <c r="AR434" s="67" t="str">
        <f aca="false">IF(ISBLANK($C434),"",IF($AF434=Constants!$B$7,IF(AO434=1,AJ434,AM434),""))</f>
        <v/>
      </c>
      <c r="AS434" s="67" t="str">
        <f aca="false">IF(ISBLANK($C434),"",IF($AF434=Constants!$B$7,RANK(AR434,$AR$8:$AR$507),$AF434))</f>
        <v/>
      </c>
      <c r="AT434" s="67" t="str">
        <f aca="false">IF(ISBLANK($C434),"",IF($AF434=Constants!$B$7,IF(ISNUMBER(AQ434),COUNTIFS($AQ$8:$AQ$507,"&lt;"&amp;$AQ434)+COUNTIFS($AQ$8:$AQ$507,$AQ434,$AS$8:$AS$507,"&lt;"&amp;$AS434)+1,Constants!$B$14),$AF434))</f>
        <v/>
      </c>
      <c r="AU434" s="67" t="str">
        <f aca="false">IF(ISBLANK($C434),"",IF($AF434=Constants!$B$7,IF(ISNUMBER(AQ434),AQ434-AT434,Constants!$B$14),$AF434))</f>
        <v/>
      </c>
      <c r="AV434" s="69"/>
      <c r="AW434" s="70" t="str">
        <f aca="false">IF(ISBLANK($C434),"",IF($AF434&lt;&gt;Constants!$B$7,"",AN434))</f>
        <v/>
      </c>
      <c r="AX434" s="85" t="str">
        <f aca="false">IF(ISBLANK($C434),"",IF($AF434&lt;&gt;Constants!$B$7,"",IF(AN434=1,AH434,AK434)))</f>
        <v/>
      </c>
      <c r="AY434" s="72" t="str">
        <f aca="false">IF(ISBLANK($C434),"",IF($AF434&lt;&gt;Constants!$B$7,"",IF(AN434=1,AI434,AL434)))</f>
        <v/>
      </c>
      <c r="AZ434" s="73" t="str">
        <f aca="false">IF(ISBLANK($C434),"",IF($AF434&lt;&gt;Constants!$B$7,$AF434,AP434))</f>
        <v/>
      </c>
      <c r="BA434" s="74" t="str">
        <f aca="false">IF(ISBLANK($C434),"",IF($AF434&lt;&gt;Constants!$B$7,$AF434,AG434))</f>
        <v/>
      </c>
      <c r="BB434" s="75" t="str">
        <f aca="false">IF(ISBLANK($C434),"",AU434)</f>
        <v/>
      </c>
      <c r="BC434" s="75" t="str">
        <f aca="false">IF(ISBLANK($C434),"",AT434)</f>
        <v/>
      </c>
      <c r="BD434" s="76" t="str">
        <f aca="false">IF(ISBLANK($C434),"",IFERROR(_xlfn.SWITCH(BC434,Constants!$B$4,COUNTA($C$8:$C$507)+2,Constants!$B$5,COUNTA($C$8:$C$507)+1,Constants!$B$6,COUNTA($C$8:$C$507)),BC434))</f>
        <v/>
      </c>
      <c r="BE434" s="5"/>
      <c r="BF434" s="77" t="n">
        <f aca="false">IF(OR(ISNUMBER(BC434),BC434=Constants!$B$4,BC434=Constants!$B$6,BC434=Constants!$B$5),1,0)</f>
        <v>0</v>
      </c>
      <c r="BG434" s="77" t="n">
        <v>427</v>
      </c>
      <c r="BH434" s="77" t="str">
        <f aca="false">IF(ISBLANK($C434),"",IF(ISNUMBER(BD434),BD434+ROW($B434)/1000,""))</f>
        <v/>
      </c>
      <c r="BI434" s="77" t="str">
        <f aca="false">IF(ISNUMBER(BH434),RANK(BH434,$BH$8:$BH$507,1),"")</f>
        <v/>
      </c>
      <c r="BJ434" s="77" t="str">
        <f aca="false">IF(ISBLANK($C434),"",$B434)</f>
        <v/>
      </c>
      <c r="BK434" s="77" t="str">
        <f aca="false">IF(ISBLANK($C434),"",$C434)</f>
        <v/>
      </c>
      <c r="BL434" s="77" t="str">
        <f aca="false">IF(ISBLANK($C434),"",$D434)</f>
        <v/>
      </c>
      <c r="BM434" s="78" t="str">
        <f aca="false">BA434</f>
        <v/>
      </c>
      <c r="BN434" s="79" t="str">
        <f aca="false">AZ434</f>
        <v/>
      </c>
      <c r="BO434" s="77" t="str">
        <f aca="false">IF(ISBLANK($C434),"",BC434)</f>
        <v/>
      </c>
      <c r="BP434" s="80" t="str">
        <f aca="false">IF($BG434&gt;$BF$7,"",VLOOKUP($BG434,$BI$8:$BO$507,7,FALSE()))</f>
        <v/>
      </c>
      <c r="BQ434" s="81" t="str">
        <f aca="false">IF($BG434&gt;$BF$7,"",VLOOKUP($BG434,$BI$8:$BO$507,2,FALSE()))</f>
        <v/>
      </c>
      <c r="BR434" s="81" t="str">
        <f aca="false">IF($BG434&gt;$BF$7,"",VLOOKUP($BG434,$BI$8:$BO$507,3,FALSE()))</f>
        <v/>
      </c>
      <c r="BS434" s="81" t="str">
        <f aca="false">IF($BG434&gt;$BF$7,"",VLOOKUP($BG434,$BI$8:$BO$507,4,FALSE()))</f>
        <v/>
      </c>
      <c r="BT434" s="81" t="str">
        <f aca="false">IF($BG434&gt;$BF$7,"",VLOOKUP($BG434,$BI$8:$BO$507,5,FALSE()))</f>
        <v/>
      </c>
      <c r="BU434" s="82" t="str">
        <f aca="false">IF($BG434&gt;$BF$7,"",VLOOKUP($BG434,$BI$8:$BO$507,6,FALSE()))</f>
        <v/>
      </c>
      <c r="BV434" s="54"/>
    </row>
    <row r="435" customFormat="false" ht="15.75" hidden="false" customHeight="false" outlineLevel="0" collapsed="false">
      <c r="A435" s="5"/>
      <c r="B435" s="135"/>
      <c r="C435" s="56"/>
      <c r="D435" s="57"/>
      <c r="E435" s="84"/>
      <c r="F435" s="136"/>
      <c r="G435" s="60"/>
      <c r="H435" s="137"/>
      <c r="I435" s="62"/>
      <c r="J435" s="62"/>
      <c r="K435" s="60"/>
      <c r="L435" s="138"/>
      <c r="M435" s="62"/>
      <c r="N435" s="62"/>
      <c r="O435" s="60"/>
      <c r="P435" s="84"/>
      <c r="Q435" s="65"/>
      <c r="R435" s="67" t="str">
        <f aca="false">IF(ISBLANK($C435),"",IF(E435=Constants!$B$2, TRUE(), IF(E435=Constants!$B$3, FALSE(), TRUE())))</f>
        <v/>
      </c>
      <c r="S435" s="67" t="str">
        <f aca="false">IF(ISBLANK($C435),"",IF(F435=Constants!$B$2, TRUE(), IF(F435=Constants!$B$3, FALSE(), TRUE())))</f>
        <v/>
      </c>
      <c r="T435" s="67" t="str">
        <f aca="false">IF(ISBLANK($C435),"",IF(G435=Constants!$B$16,Constants!$B$9,IF(G435=Constants!$B$17,Constants!$B$10,Constants!$B$8)))</f>
        <v/>
      </c>
      <c r="U435" s="67" t="str">
        <f aca="false">IF(ISBLANK($C435),"",IF(H435=Constants!$B$19,Constants!$B$19,Constants!$B$18))</f>
        <v/>
      </c>
      <c r="V435" s="67" t="str">
        <f aca="false">IF(ISBLANK($C435),"",IF(ISNUMBER(I435),IF(I435&gt;=0,I435,""),""))</f>
        <v/>
      </c>
      <c r="W435" s="67" t="str">
        <f aca="false">IF(ISBLANK($C435),"",IF(J435=Constants!$B$2, TRUE(), IF(J435=Constants!$B$3, FALSE(), TRUE())))</f>
        <v/>
      </c>
      <c r="X435" s="67" t="str">
        <f aca="false">IF(ISBLANK($C435),"",IF(K435=Constants!$B$2, TRUE(), IF(K435=Constants!$B$3, FALSE(), TRUE())))</f>
        <v/>
      </c>
      <c r="Y435" s="67" t="str">
        <f aca="false">IF(ISBLANK($C435),"",IF(L435=Constants!$B$19,Constants!$B$19,Constants!$B$18))</f>
        <v/>
      </c>
      <c r="Z435" s="67" t="str">
        <f aca="false">IF(ISBLANK($C435),"",IF(ISNUMBER(M435),IF(M435&gt;=0,M435,""),""))</f>
        <v/>
      </c>
      <c r="AA435" s="67" t="str">
        <f aca="false">IF(ISBLANK($C435),"",IF(N435=Constants!$B$2, TRUE(), IF(N435=Constants!$B$3, FALSE(), TRUE())))</f>
        <v/>
      </c>
      <c r="AB435" s="67" t="str">
        <f aca="false">IF(ISBLANK($C435),"",IF(O435=Constants!$B$2, TRUE(), IF(O435=Constants!$B$3, FALSE(), TRUE())))</f>
        <v/>
      </c>
      <c r="AC435" s="67" t="str">
        <f aca="false">IF(ISBLANK($C435),"",IF(P435=Constants!$B$2, TRUE(), IF(P435=Constants!$B$3, FALSE(), FALSE())))</f>
        <v/>
      </c>
      <c r="AD435" s="67" t="str">
        <f aca="false">IF(ISBLANK($C435),"",AND(V435&lt;&gt;"",IF(U435=Constants!$B$19,S435,R435)))</f>
        <v/>
      </c>
      <c r="AE435" s="67" t="str">
        <f aca="false">IF(ISBLANK($C435),"",AND(Z435&lt;&gt;"",IF(Y435=Constants!$B$19,S435,R435)))</f>
        <v/>
      </c>
      <c r="AF435" s="67" t="str">
        <f aca="false">IF(ISBLANK($C435),"",IF(AC435,Constants!$B$4,IF(COUNTA(E435:O435)=0,Constants!$B$5,IF(AND(NOT(AD435),NOT(AE435)),Constants!$B$6,Constants!$B$7))))</f>
        <v/>
      </c>
      <c r="AG435" s="67" t="str">
        <f aca="false">IF(ISBLANK($C435),"",IF($AF435&lt;&gt;Constants!$B$7,$AF435,Constants!$B$20))</f>
        <v/>
      </c>
      <c r="AH435" s="67" t="str">
        <f aca="false">IF($AF435=Constants!$B$7,IF(AD435,V435,Constants!$B$13),"")</f>
        <v/>
      </c>
      <c r="AI435" s="67" t="str">
        <f aca="false">IF($AF435=Constants!$B$7,IF(AD435,T435*IF(W435, 1, Constants!$B$11)*IF(X435, 1, Constants!$B$12),Constants!$B$13),"")</f>
        <v/>
      </c>
      <c r="AJ435" s="67" t="str">
        <f aca="false">IF($AF435=Constants!$B$7,AH435*AI435,"")</f>
        <v/>
      </c>
      <c r="AK435" s="67" t="str">
        <f aca="false">IF($AF435=Constants!$B$7,IF(AE435,Z435,Constants!$B$13),"")</f>
        <v/>
      </c>
      <c r="AL435" s="67" t="str">
        <f aca="false">IF($AF435=Constants!$B$7,IF(AE435,T435*IF(AA435, 1, Constants!$B$11)*IF(AB435, 1, Constants!$B$12),Constants!$B$13),"")</f>
        <v/>
      </c>
      <c r="AM435" s="67" t="str">
        <f aca="false">IF($AF435=Constants!$B$7,AK435*AL435,"")</f>
        <v/>
      </c>
      <c r="AN435" s="67" t="str">
        <f aca="false">IF($AF435=Constants!$B$7,IF(AM435&gt;AJ435,2,1),"")</f>
        <v/>
      </c>
      <c r="AO435" s="67" t="str">
        <f aca="false">IF($AF435=Constants!$B$7,IF(AN435=1,2,1),"")</f>
        <v/>
      </c>
      <c r="AP435" s="67" t="str">
        <f aca="false">IF(ISBLANK($C435),"",IF($AF435&lt;&gt;Constants!$B$7,$AF435,IF(AN435=1,AJ435,AM435)))</f>
        <v/>
      </c>
      <c r="AQ435" s="67" t="str">
        <f aca="false">IF(ISBLANK($C435),"",IF($AF435=Constants!$B$7,IF(ISNUMBER(AP435),RANK(AP435,$AP$8:$AP$507),Constants!$B$14),$AF435))</f>
        <v/>
      </c>
      <c r="AR435" s="67" t="str">
        <f aca="false">IF(ISBLANK($C435),"",IF($AF435=Constants!$B$7,IF(AO435=1,AJ435,AM435),""))</f>
        <v/>
      </c>
      <c r="AS435" s="67" t="str">
        <f aca="false">IF(ISBLANK($C435),"",IF($AF435=Constants!$B$7,RANK(AR435,$AR$8:$AR$507),$AF435))</f>
        <v/>
      </c>
      <c r="AT435" s="67" t="str">
        <f aca="false">IF(ISBLANK($C435),"",IF($AF435=Constants!$B$7,IF(ISNUMBER(AQ435),COUNTIFS($AQ$8:$AQ$507,"&lt;"&amp;$AQ435)+COUNTIFS($AQ$8:$AQ$507,$AQ435,$AS$8:$AS$507,"&lt;"&amp;$AS435)+1,Constants!$B$14),$AF435))</f>
        <v/>
      </c>
      <c r="AU435" s="67" t="str">
        <f aca="false">IF(ISBLANK($C435),"",IF($AF435=Constants!$B$7,IF(ISNUMBER(AQ435),AQ435-AT435,Constants!$B$14),$AF435))</f>
        <v/>
      </c>
      <c r="AV435" s="69"/>
      <c r="AW435" s="70" t="str">
        <f aca="false">IF(ISBLANK($C435),"",IF($AF435&lt;&gt;Constants!$B$7,"",AN435))</f>
        <v/>
      </c>
      <c r="AX435" s="85" t="str">
        <f aca="false">IF(ISBLANK($C435),"",IF($AF435&lt;&gt;Constants!$B$7,"",IF(AN435=1,AH435,AK435)))</f>
        <v/>
      </c>
      <c r="AY435" s="72" t="str">
        <f aca="false">IF(ISBLANK($C435),"",IF($AF435&lt;&gt;Constants!$B$7,"",IF(AN435=1,AI435,AL435)))</f>
        <v/>
      </c>
      <c r="AZ435" s="73" t="str">
        <f aca="false">IF(ISBLANK($C435),"",IF($AF435&lt;&gt;Constants!$B$7,$AF435,AP435))</f>
        <v/>
      </c>
      <c r="BA435" s="74" t="str">
        <f aca="false">IF(ISBLANK($C435),"",IF($AF435&lt;&gt;Constants!$B$7,$AF435,AG435))</f>
        <v/>
      </c>
      <c r="BB435" s="75" t="str">
        <f aca="false">IF(ISBLANK($C435),"",AU435)</f>
        <v/>
      </c>
      <c r="BC435" s="75" t="str">
        <f aca="false">IF(ISBLANK($C435),"",AT435)</f>
        <v/>
      </c>
      <c r="BD435" s="76" t="str">
        <f aca="false">IF(ISBLANK($C435),"",IFERROR(_xlfn.SWITCH(BC435,Constants!$B$4,COUNTA($C$8:$C$507)+2,Constants!$B$5,COUNTA($C$8:$C$507)+1,Constants!$B$6,COUNTA($C$8:$C$507)),BC435))</f>
        <v/>
      </c>
      <c r="BE435" s="5"/>
      <c r="BF435" s="77" t="n">
        <f aca="false">IF(OR(ISNUMBER(BC435),BC435=Constants!$B$4,BC435=Constants!$B$6,BC435=Constants!$B$5),1,0)</f>
        <v>0</v>
      </c>
      <c r="BG435" s="77" t="n">
        <v>428</v>
      </c>
      <c r="BH435" s="77" t="str">
        <f aca="false">IF(ISBLANK($C435),"",IF(ISNUMBER(BD435),BD435+ROW($B435)/1000,""))</f>
        <v/>
      </c>
      <c r="BI435" s="77" t="str">
        <f aca="false">IF(ISNUMBER(BH435),RANK(BH435,$BH$8:$BH$507,1),"")</f>
        <v/>
      </c>
      <c r="BJ435" s="77" t="str">
        <f aca="false">IF(ISBLANK($C435),"",$B435)</f>
        <v/>
      </c>
      <c r="BK435" s="77" t="str">
        <f aca="false">IF(ISBLANK($C435),"",$C435)</f>
        <v/>
      </c>
      <c r="BL435" s="77" t="str">
        <f aca="false">IF(ISBLANK($C435),"",$D435)</f>
        <v/>
      </c>
      <c r="BM435" s="78" t="str">
        <f aca="false">BA435</f>
        <v/>
      </c>
      <c r="BN435" s="79" t="str">
        <f aca="false">AZ435</f>
        <v/>
      </c>
      <c r="BO435" s="77" t="str">
        <f aca="false">IF(ISBLANK($C435),"",BC435)</f>
        <v/>
      </c>
      <c r="BP435" s="80" t="str">
        <f aca="false">IF($BG435&gt;$BF$7,"",VLOOKUP($BG435,$BI$8:$BO$507,7,FALSE()))</f>
        <v/>
      </c>
      <c r="BQ435" s="81" t="str">
        <f aca="false">IF($BG435&gt;$BF$7,"",VLOOKUP($BG435,$BI$8:$BO$507,2,FALSE()))</f>
        <v/>
      </c>
      <c r="BR435" s="81" t="str">
        <f aca="false">IF($BG435&gt;$BF$7,"",VLOOKUP($BG435,$BI$8:$BO$507,3,FALSE()))</f>
        <v/>
      </c>
      <c r="BS435" s="81" t="str">
        <f aca="false">IF($BG435&gt;$BF$7,"",VLOOKUP($BG435,$BI$8:$BO$507,4,FALSE()))</f>
        <v/>
      </c>
      <c r="BT435" s="81" t="str">
        <f aca="false">IF($BG435&gt;$BF$7,"",VLOOKUP($BG435,$BI$8:$BO$507,5,FALSE()))</f>
        <v/>
      </c>
      <c r="BU435" s="82" t="str">
        <f aca="false">IF($BG435&gt;$BF$7,"",VLOOKUP($BG435,$BI$8:$BO$507,6,FALSE()))</f>
        <v/>
      </c>
      <c r="BV435" s="54"/>
    </row>
    <row r="436" customFormat="false" ht="15.75" hidden="false" customHeight="false" outlineLevel="0" collapsed="false">
      <c r="A436" s="5"/>
      <c r="B436" s="135"/>
      <c r="C436" s="56"/>
      <c r="D436" s="57"/>
      <c r="E436" s="84"/>
      <c r="F436" s="136"/>
      <c r="G436" s="60"/>
      <c r="H436" s="137"/>
      <c r="I436" s="62"/>
      <c r="J436" s="62"/>
      <c r="K436" s="60"/>
      <c r="L436" s="138"/>
      <c r="M436" s="62"/>
      <c r="N436" s="62"/>
      <c r="O436" s="60"/>
      <c r="P436" s="84"/>
      <c r="Q436" s="65"/>
      <c r="R436" s="67" t="str">
        <f aca="false">IF(ISBLANK($C436),"",IF(E436=Constants!$B$2, TRUE(), IF(E436=Constants!$B$3, FALSE(), TRUE())))</f>
        <v/>
      </c>
      <c r="S436" s="67" t="str">
        <f aca="false">IF(ISBLANK($C436),"",IF(F436=Constants!$B$2, TRUE(), IF(F436=Constants!$B$3, FALSE(), TRUE())))</f>
        <v/>
      </c>
      <c r="T436" s="67" t="str">
        <f aca="false">IF(ISBLANK($C436),"",IF(G436=Constants!$B$16,Constants!$B$9,IF(G436=Constants!$B$17,Constants!$B$10,Constants!$B$8)))</f>
        <v/>
      </c>
      <c r="U436" s="67" t="str">
        <f aca="false">IF(ISBLANK($C436),"",IF(H436=Constants!$B$19,Constants!$B$19,Constants!$B$18))</f>
        <v/>
      </c>
      <c r="V436" s="67" t="str">
        <f aca="false">IF(ISBLANK($C436),"",IF(ISNUMBER(I436),IF(I436&gt;=0,I436,""),""))</f>
        <v/>
      </c>
      <c r="W436" s="67" t="str">
        <f aca="false">IF(ISBLANK($C436),"",IF(J436=Constants!$B$2, TRUE(), IF(J436=Constants!$B$3, FALSE(), TRUE())))</f>
        <v/>
      </c>
      <c r="X436" s="67" t="str">
        <f aca="false">IF(ISBLANK($C436),"",IF(K436=Constants!$B$2, TRUE(), IF(K436=Constants!$B$3, FALSE(), TRUE())))</f>
        <v/>
      </c>
      <c r="Y436" s="67" t="str">
        <f aca="false">IF(ISBLANK($C436),"",IF(L436=Constants!$B$19,Constants!$B$19,Constants!$B$18))</f>
        <v/>
      </c>
      <c r="Z436" s="67" t="str">
        <f aca="false">IF(ISBLANK($C436),"",IF(ISNUMBER(M436),IF(M436&gt;=0,M436,""),""))</f>
        <v/>
      </c>
      <c r="AA436" s="67" t="str">
        <f aca="false">IF(ISBLANK($C436),"",IF(N436=Constants!$B$2, TRUE(), IF(N436=Constants!$B$3, FALSE(), TRUE())))</f>
        <v/>
      </c>
      <c r="AB436" s="67" t="str">
        <f aca="false">IF(ISBLANK($C436),"",IF(O436=Constants!$B$2, TRUE(), IF(O436=Constants!$B$3, FALSE(), TRUE())))</f>
        <v/>
      </c>
      <c r="AC436" s="67" t="str">
        <f aca="false">IF(ISBLANK($C436),"",IF(P436=Constants!$B$2, TRUE(), IF(P436=Constants!$B$3, FALSE(), FALSE())))</f>
        <v/>
      </c>
      <c r="AD436" s="67" t="str">
        <f aca="false">IF(ISBLANK($C436),"",AND(V436&lt;&gt;"",IF(U436=Constants!$B$19,S436,R436)))</f>
        <v/>
      </c>
      <c r="AE436" s="67" t="str">
        <f aca="false">IF(ISBLANK($C436),"",AND(Z436&lt;&gt;"",IF(Y436=Constants!$B$19,S436,R436)))</f>
        <v/>
      </c>
      <c r="AF436" s="67" t="str">
        <f aca="false">IF(ISBLANK($C436),"",IF(AC436,Constants!$B$4,IF(COUNTA(E436:O436)=0,Constants!$B$5,IF(AND(NOT(AD436),NOT(AE436)),Constants!$B$6,Constants!$B$7))))</f>
        <v/>
      </c>
      <c r="AG436" s="67" t="str">
        <f aca="false">IF(ISBLANK($C436),"",IF($AF436&lt;&gt;Constants!$B$7,$AF436,Constants!$B$20))</f>
        <v/>
      </c>
      <c r="AH436" s="67" t="str">
        <f aca="false">IF($AF436=Constants!$B$7,IF(AD436,V436,Constants!$B$13),"")</f>
        <v/>
      </c>
      <c r="AI436" s="67" t="str">
        <f aca="false">IF($AF436=Constants!$B$7,IF(AD436,T436*IF(W436, 1, Constants!$B$11)*IF(X436, 1, Constants!$B$12),Constants!$B$13),"")</f>
        <v/>
      </c>
      <c r="AJ436" s="67" t="str">
        <f aca="false">IF($AF436=Constants!$B$7,AH436*AI436,"")</f>
        <v/>
      </c>
      <c r="AK436" s="67" t="str">
        <f aca="false">IF($AF436=Constants!$B$7,IF(AE436,Z436,Constants!$B$13),"")</f>
        <v/>
      </c>
      <c r="AL436" s="67" t="str">
        <f aca="false">IF($AF436=Constants!$B$7,IF(AE436,T436*IF(AA436, 1, Constants!$B$11)*IF(AB436, 1, Constants!$B$12),Constants!$B$13),"")</f>
        <v/>
      </c>
      <c r="AM436" s="67" t="str">
        <f aca="false">IF($AF436=Constants!$B$7,AK436*AL436,"")</f>
        <v/>
      </c>
      <c r="AN436" s="67" t="str">
        <f aca="false">IF($AF436=Constants!$B$7,IF(AM436&gt;AJ436,2,1),"")</f>
        <v/>
      </c>
      <c r="AO436" s="67" t="str">
        <f aca="false">IF($AF436=Constants!$B$7,IF(AN436=1,2,1),"")</f>
        <v/>
      </c>
      <c r="AP436" s="67" t="str">
        <f aca="false">IF(ISBLANK($C436),"",IF($AF436&lt;&gt;Constants!$B$7,$AF436,IF(AN436=1,AJ436,AM436)))</f>
        <v/>
      </c>
      <c r="AQ436" s="67" t="str">
        <f aca="false">IF(ISBLANK($C436),"",IF($AF436=Constants!$B$7,IF(ISNUMBER(AP436),RANK(AP436,$AP$8:$AP$507),Constants!$B$14),$AF436))</f>
        <v/>
      </c>
      <c r="AR436" s="67" t="str">
        <f aca="false">IF(ISBLANK($C436),"",IF($AF436=Constants!$B$7,IF(AO436=1,AJ436,AM436),""))</f>
        <v/>
      </c>
      <c r="AS436" s="67" t="str">
        <f aca="false">IF(ISBLANK($C436),"",IF($AF436=Constants!$B$7,RANK(AR436,$AR$8:$AR$507),$AF436))</f>
        <v/>
      </c>
      <c r="AT436" s="67" t="str">
        <f aca="false">IF(ISBLANK($C436),"",IF($AF436=Constants!$B$7,IF(ISNUMBER(AQ436),COUNTIFS($AQ$8:$AQ$507,"&lt;"&amp;$AQ436)+COUNTIFS($AQ$8:$AQ$507,$AQ436,$AS$8:$AS$507,"&lt;"&amp;$AS436)+1,Constants!$B$14),$AF436))</f>
        <v/>
      </c>
      <c r="AU436" s="67" t="str">
        <f aca="false">IF(ISBLANK($C436),"",IF($AF436=Constants!$B$7,IF(ISNUMBER(AQ436),AQ436-AT436,Constants!$B$14),$AF436))</f>
        <v/>
      </c>
      <c r="AV436" s="69"/>
      <c r="AW436" s="70" t="str">
        <f aca="false">IF(ISBLANK($C436),"",IF($AF436&lt;&gt;Constants!$B$7,"",AN436))</f>
        <v/>
      </c>
      <c r="AX436" s="85" t="str">
        <f aca="false">IF(ISBLANK($C436),"",IF($AF436&lt;&gt;Constants!$B$7,"",IF(AN436=1,AH436,AK436)))</f>
        <v/>
      </c>
      <c r="AY436" s="72" t="str">
        <f aca="false">IF(ISBLANK($C436),"",IF($AF436&lt;&gt;Constants!$B$7,"",IF(AN436=1,AI436,AL436)))</f>
        <v/>
      </c>
      <c r="AZ436" s="73" t="str">
        <f aca="false">IF(ISBLANK($C436),"",IF($AF436&lt;&gt;Constants!$B$7,$AF436,AP436))</f>
        <v/>
      </c>
      <c r="BA436" s="74" t="str">
        <f aca="false">IF(ISBLANK($C436),"",IF($AF436&lt;&gt;Constants!$B$7,$AF436,AG436))</f>
        <v/>
      </c>
      <c r="BB436" s="75" t="str">
        <f aca="false">IF(ISBLANK($C436),"",AU436)</f>
        <v/>
      </c>
      <c r="BC436" s="75" t="str">
        <f aca="false">IF(ISBLANK($C436),"",AT436)</f>
        <v/>
      </c>
      <c r="BD436" s="76" t="str">
        <f aca="false">IF(ISBLANK($C436),"",IFERROR(_xlfn.SWITCH(BC436,Constants!$B$4,COUNTA($C$8:$C$507)+2,Constants!$B$5,COUNTA($C$8:$C$507)+1,Constants!$B$6,COUNTA($C$8:$C$507)),BC436))</f>
        <v/>
      </c>
      <c r="BE436" s="5"/>
      <c r="BF436" s="77" t="n">
        <f aca="false">IF(OR(ISNUMBER(BC436),BC436=Constants!$B$4,BC436=Constants!$B$6,BC436=Constants!$B$5),1,0)</f>
        <v>0</v>
      </c>
      <c r="BG436" s="77" t="n">
        <v>429</v>
      </c>
      <c r="BH436" s="77" t="str">
        <f aca="false">IF(ISBLANK($C436),"",IF(ISNUMBER(BD436),BD436+ROW($B436)/1000,""))</f>
        <v/>
      </c>
      <c r="BI436" s="77" t="str">
        <f aca="false">IF(ISNUMBER(BH436),RANK(BH436,$BH$8:$BH$507,1),"")</f>
        <v/>
      </c>
      <c r="BJ436" s="77" t="str">
        <f aca="false">IF(ISBLANK($C436),"",$B436)</f>
        <v/>
      </c>
      <c r="BK436" s="77" t="str">
        <f aca="false">IF(ISBLANK($C436),"",$C436)</f>
        <v/>
      </c>
      <c r="BL436" s="77" t="str">
        <f aca="false">IF(ISBLANK($C436),"",$D436)</f>
        <v/>
      </c>
      <c r="BM436" s="78" t="str">
        <f aca="false">BA436</f>
        <v/>
      </c>
      <c r="BN436" s="79" t="str">
        <f aca="false">AZ436</f>
        <v/>
      </c>
      <c r="BO436" s="77" t="str">
        <f aca="false">IF(ISBLANK($C436),"",BC436)</f>
        <v/>
      </c>
      <c r="BP436" s="80" t="str">
        <f aca="false">IF($BG436&gt;$BF$7,"",VLOOKUP($BG436,$BI$8:$BO$507,7,FALSE()))</f>
        <v/>
      </c>
      <c r="BQ436" s="81" t="str">
        <f aca="false">IF($BG436&gt;$BF$7,"",VLOOKUP($BG436,$BI$8:$BO$507,2,FALSE()))</f>
        <v/>
      </c>
      <c r="BR436" s="81" t="str">
        <f aca="false">IF($BG436&gt;$BF$7,"",VLOOKUP($BG436,$BI$8:$BO$507,3,FALSE()))</f>
        <v/>
      </c>
      <c r="BS436" s="81" t="str">
        <f aca="false">IF($BG436&gt;$BF$7,"",VLOOKUP($BG436,$BI$8:$BO$507,4,FALSE()))</f>
        <v/>
      </c>
      <c r="BT436" s="81" t="str">
        <f aca="false">IF($BG436&gt;$BF$7,"",VLOOKUP($BG436,$BI$8:$BO$507,5,FALSE()))</f>
        <v/>
      </c>
      <c r="BU436" s="82" t="str">
        <f aca="false">IF($BG436&gt;$BF$7,"",VLOOKUP($BG436,$BI$8:$BO$507,6,FALSE()))</f>
        <v/>
      </c>
      <c r="BV436" s="54"/>
    </row>
    <row r="437" customFormat="false" ht="15.75" hidden="false" customHeight="false" outlineLevel="0" collapsed="false">
      <c r="A437" s="5"/>
      <c r="B437" s="128"/>
      <c r="C437" s="129"/>
      <c r="D437" s="114"/>
      <c r="E437" s="134"/>
      <c r="F437" s="139"/>
      <c r="G437" s="93"/>
      <c r="H437" s="140"/>
      <c r="I437" s="95"/>
      <c r="J437" s="95"/>
      <c r="K437" s="93"/>
      <c r="L437" s="141"/>
      <c r="M437" s="95"/>
      <c r="N437" s="95"/>
      <c r="O437" s="93"/>
      <c r="P437" s="134"/>
      <c r="Q437" s="98"/>
      <c r="R437" s="99" t="str">
        <f aca="false">IF(ISBLANK($C437),"",IF(E437=Constants!$B$2, TRUE(), IF(E437=Constants!$B$3, FALSE(), TRUE())))</f>
        <v/>
      </c>
      <c r="S437" s="99" t="str">
        <f aca="false">IF(ISBLANK($C437),"",IF(F437=Constants!$B$2, TRUE(), IF(F437=Constants!$B$3, FALSE(), TRUE())))</f>
        <v/>
      </c>
      <c r="T437" s="99" t="str">
        <f aca="false">IF(ISBLANK($C437),"",IF(G437=Constants!$B$16,Constants!$B$9,IF(G437=Constants!$B$17,Constants!$B$10,Constants!$B$8)))</f>
        <v/>
      </c>
      <c r="U437" s="99" t="str">
        <f aca="false">IF(ISBLANK($C437),"",IF(H437=Constants!$B$19,Constants!$B$19,Constants!$B$18))</f>
        <v/>
      </c>
      <c r="V437" s="99" t="str">
        <f aca="false">IF(ISBLANK($C437),"",IF(ISNUMBER(I437),IF(I437&gt;=0,I437,""),""))</f>
        <v/>
      </c>
      <c r="W437" s="99" t="str">
        <f aca="false">IF(ISBLANK($C437),"",IF(J437=Constants!$B$2, TRUE(), IF(J437=Constants!$B$3, FALSE(), TRUE())))</f>
        <v/>
      </c>
      <c r="X437" s="99" t="str">
        <f aca="false">IF(ISBLANK($C437),"",IF(K437=Constants!$B$2, TRUE(), IF(K437=Constants!$B$3, FALSE(), TRUE())))</f>
        <v/>
      </c>
      <c r="Y437" s="99" t="str">
        <f aca="false">IF(ISBLANK($C437),"",IF(L437=Constants!$B$19,Constants!$B$19,Constants!$B$18))</f>
        <v/>
      </c>
      <c r="Z437" s="99" t="str">
        <f aca="false">IF(ISBLANK($C437),"",IF(ISNUMBER(M437),IF(M437&gt;=0,M437,""),""))</f>
        <v/>
      </c>
      <c r="AA437" s="99" t="str">
        <f aca="false">IF(ISBLANK($C437),"",IF(N437=Constants!$B$2, TRUE(), IF(N437=Constants!$B$3, FALSE(), TRUE())))</f>
        <v/>
      </c>
      <c r="AB437" s="99" t="str">
        <f aca="false">IF(ISBLANK($C437),"",IF(O437=Constants!$B$2, TRUE(), IF(O437=Constants!$B$3, FALSE(), TRUE())))</f>
        <v/>
      </c>
      <c r="AC437" s="99" t="str">
        <f aca="false">IF(ISBLANK($C437),"",IF(P437=Constants!$B$2, TRUE(), IF(P437=Constants!$B$3, FALSE(), FALSE())))</f>
        <v/>
      </c>
      <c r="AD437" s="99" t="str">
        <f aca="false">IF(ISBLANK($C437),"",AND(V437&lt;&gt;"",IF(U437=Constants!$B$19,S437,R437)))</f>
        <v/>
      </c>
      <c r="AE437" s="99" t="str">
        <f aca="false">IF(ISBLANK($C437),"",AND(Z437&lt;&gt;"",IF(Y437=Constants!$B$19,S437,R437)))</f>
        <v/>
      </c>
      <c r="AF437" s="99" t="str">
        <f aca="false">IF(ISBLANK($C437),"",IF(AC437,Constants!$B$4,IF(COUNTA(E437:O437)=0,Constants!$B$5,IF(AND(NOT(AD437),NOT(AE437)),Constants!$B$6,Constants!$B$7))))</f>
        <v/>
      </c>
      <c r="AG437" s="99" t="str">
        <f aca="false">IF(ISBLANK($C437),"",IF($AF437&lt;&gt;Constants!$B$7,$AF437,Constants!$B$20))</f>
        <v/>
      </c>
      <c r="AH437" s="99" t="str">
        <f aca="false">IF($AF437=Constants!$B$7,IF(AD437,V437,Constants!$B$13),"")</f>
        <v/>
      </c>
      <c r="AI437" s="99" t="str">
        <f aca="false">IF($AF437=Constants!$B$7,IF(AD437,T437*IF(W437, 1, Constants!$B$11)*IF(X437, 1, Constants!$B$12),Constants!$B$13),"")</f>
        <v/>
      </c>
      <c r="AJ437" s="99" t="str">
        <f aca="false">IF($AF437=Constants!$B$7,AH437*AI437,"")</f>
        <v/>
      </c>
      <c r="AK437" s="99" t="str">
        <f aca="false">IF($AF437=Constants!$B$7,IF(AE437,Z437,Constants!$B$13),"")</f>
        <v/>
      </c>
      <c r="AL437" s="99" t="str">
        <f aca="false">IF($AF437=Constants!$B$7,IF(AE437,T437*IF(AA437, 1, Constants!$B$11)*IF(AB437, 1, Constants!$B$12),Constants!$B$13),"")</f>
        <v/>
      </c>
      <c r="AM437" s="99" t="str">
        <f aca="false">IF($AF437=Constants!$B$7,AK437*AL437,"")</f>
        <v/>
      </c>
      <c r="AN437" s="99" t="str">
        <f aca="false">IF($AF437=Constants!$B$7,IF(AM437&gt;AJ437,2,1),"")</f>
        <v/>
      </c>
      <c r="AO437" s="99" t="str">
        <f aca="false">IF($AF437=Constants!$B$7,IF(AN437=1,2,1),"")</f>
        <v/>
      </c>
      <c r="AP437" s="99" t="str">
        <f aca="false">IF(ISBLANK($C437),"",IF($AF437&lt;&gt;Constants!$B$7,$AF437,IF(AN437=1,AJ437,AM437)))</f>
        <v/>
      </c>
      <c r="AQ437" s="99" t="str">
        <f aca="false">IF(ISBLANK($C437),"",IF($AF437=Constants!$B$7,IF(ISNUMBER(AP437),RANK(AP437,$AP$8:$AP$507),Constants!$B$14),$AF437))</f>
        <v/>
      </c>
      <c r="AR437" s="99" t="str">
        <f aca="false">IF(ISBLANK($C437),"",IF($AF437=Constants!$B$7,IF(AO437=1,AJ437,AM437),""))</f>
        <v/>
      </c>
      <c r="AS437" s="99" t="str">
        <f aca="false">IF(ISBLANK($C437),"",IF($AF437=Constants!$B$7,RANK(AR437,$AR$8:$AR$507),$AF437))</f>
        <v/>
      </c>
      <c r="AT437" s="99" t="str">
        <f aca="false">IF(ISBLANK($C437),"",IF($AF437=Constants!$B$7,IF(ISNUMBER(AQ437),COUNTIFS($AQ$8:$AQ$507,"&lt;"&amp;$AQ437)+COUNTIFS($AQ$8:$AQ$507,$AQ437,$AS$8:$AS$507,"&lt;"&amp;$AS437)+1,Constants!$B$14),$AF437))</f>
        <v/>
      </c>
      <c r="AU437" s="99" t="str">
        <f aca="false">IF(ISBLANK($C437),"",IF($AF437=Constants!$B$7,IF(ISNUMBER(AQ437),AQ437-AT437,Constants!$B$14),$AF437))</f>
        <v/>
      </c>
      <c r="AV437" s="100"/>
      <c r="AW437" s="101" t="str">
        <f aca="false">IF(ISBLANK($C437),"",IF($AF437&lt;&gt;Constants!$B$7,"",AN437))</f>
        <v/>
      </c>
      <c r="AX437" s="102" t="str">
        <f aca="false">IF(ISBLANK($C437),"",IF($AF437&lt;&gt;Constants!$B$7,"",IF(AN437=1,AH437,AK437)))</f>
        <v/>
      </c>
      <c r="AY437" s="103" t="str">
        <f aca="false">IF(ISBLANK($C437),"",IF($AF437&lt;&gt;Constants!$B$7,"",IF(AN437=1,AI437,AL437)))</f>
        <v/>
      </c>
      <c r="AZ437" s="104" t="str">
        <f aca="false">IF(ISBLANK($C437),"",IF($AF437&lt;&gt;Constants!$B$7,$AF437,AP437))</f>
        <v/>
      </c>
      <c r="BA437" s="105" t="str">
        <f aca="false">IF(ISBLANK($C437),"",IF($AF437&lt;&gt;Constants!$B$7,$AF437,AG437))</f>
        <v/>
      </c>
      <c r="BB437" s="106" t="str">
        <f aca="false">IF(ISBLANK($C437),"",AU437)</f>
        <v/>
      </c>
      <c r="BC437" s="106" t="str">
        <f aca="false">IF(ISBLANK($C437),"",AT437)</f>
        <v/>
      </c>
      <c r="BD437" s="107" t="str">
        <f aca="false">IF(ISBLANK($C437),"",IFERROR(_xlfn.SWITCH(BC437,Constants!$B$4,COUNTA($C$8:$C$507)+2,Constants!$B$5,COUNTA($C$8:$C$507)+1,Constants!$B$6,COUNTA($C$8:$C$507)),BC437))</f>
        <v/>
      </c>
      <c r="BE437" s="5"/>
      <c r="BF437" s="108" t="n">
        <f aca="false">IF(OR(ISNUMBER(BC437),BC437=Constants!$B$4,BC437=Constants!$B$6,BC437=Constants!$B$5),1,0)</f>
        <v>0</v>
      </c>
      <c r="BG437" s="108" t="n">
        <v>430</v>
      </c>
      <c r="BH437" s="108" t="str">
        <f aca="false">IF(ISBLANK($C437),"",IF(ISNUMBER(BD437),BD437+ROW($B437)/1000,""))</f>
        <v/>
      </c>
      <c r="BI437" s="108" t="str">
        <f aca="false">IF(ISNUMBER(BH437),RANK(BH437,$BH$8:$BH$507,1),"")</f>
        <v/>
      </c>
      <c r="BJ437" s="108" t="str">
        <f aca="false">IF(ISBLANK($C437),"",$B437)</f>
        <v/>
      </c>
      <c r="BK437" s="108" t="str">
        <f aca="false">IF(ISBLANK($C437),"",$C437)</f>
        <v/>
      </c>
      <c r="BL437" s="108" t="str">
        <f aca="false">IF(ISBLANK($C437),"",$D437)</f>
        <v/>
      </c>
      <c r="BM437" s="109" t="str">
        <f aca="false">BA437</f>
        <v/>
      </c>
      <c r="BN437" s="110" t="str">
        <f aca="false">AZ437</f>
        <v/>
      </c>
      <c r="BO437" s="108" t="str">
        <f aca="false">IF(ISBLANK($C437),"",BC437)</f>
        <v/>
      </c>
      <c r="BP437" s="111" t="str">
        <f aca="false">IF($BG437&gt;$BF$7,"",VLOOKUP($BG437,$BI$8:$BO$507,7,FALSE()))</f>
        <v/>
      </c>
      <c r="BQ437" s="112" t="str">
        <f aca="false">IF($BG437&gt;$BF$7,"",VLOOKUP($BG437,$BI$8:$BO$507,2,FALSE()))</f>
        <v/>
      </c>
      <c r="BR437" s="112" t="str">
        <f aca="false">IF($BG437&gt;$BF$7,"",VLOOKUP($BG437,$BI$8:$BO$507,3,FALSE()))</f>
        <v/>
      </c>
      <c r="BS437" s="112" t="str">
        <f aca="false">IF($BG437&gt;$BF$7,"",VLOOKUP($BG437,$BI$8:$BO$507,4,FALSE()))</f>
        <v/>
      </c>
      <c r="BT437" s="112" t="str">
        <f aca="false">IF($BG437&gt;$BF$7,"",VLOOKUP($BG437,$BI$8:$BO$507,5,FALSE()))</f>
        <v/>
      </c>
      <c r="BU437" s="113" t="str">
        <f aca="false">IF($BG437&gt;$BF$7,"",VLOOKUP($BG437,$BI$8:$BO$507,6,FALSE()))</f>
        <v/>
      </c>
      <c r="BV437" s="54"/>
    </row>
    <row r="438" customFormat="false" ht="15.75" hidden="false" customHeight="false" outlineLevel="0" collapsed="false">
      <c r="A438" s="5"/>
      <c r="B438" s="128"/>
      <c r="C438" s="129"/>
      <c r="D438" s="114"/>
      <c r="E438" s="134"/>
      <c r="F438" s="139"/>
      <c r="G438" s="93"/>
      <c r="H438" s="140"/>
      <c r="I438" s="95"/>
      <c r="J438" s="95"/>
      <c r="K438" s="93"/>
      <c r="L438" s="141"/>
      <c r="M438" s="95"/>
      <c r="N438" s="95"/>
      <c r="O438" s="93"/>
      <c r="P438" s="134"/>
      <c r="Q438" s="98"/>
      <c r="R438" s="99" t="str">
        <f aca="false">IF(ISBLANK($C438),"",IF(E438=Constants!$B$2, TRUE(), IF(E438=Constants!$B$3, FALSE(), TRUE())))</f>
        <v/>
      </c>
      <c r="S438" s="99" t="str">
        <f aca="false">IF(ISBLANK($C438),"",IF(F438=Constants!$B$2, TRUE(), IF(F438=Constants!$B$3, FALSE(), TRUE())))</f>
        <v/>
      </c>
      <c r="T438" s="99" t="str">
        <f aca="false">IF(ISBLANK($C438),"",IF(G438=Constants!$B$16,Constants!$B$9,IF(G438=Constants!$B$17,Constants!$B$10,Constants!$B$8)))</f>
        <v/>
      </c>
      <c r="U438" s="99" t="str">
        <f aca="false">IF(ISBLANK($C438),"",IF(H438=Constants!$B$19,Constants!$B$19,Constants!$B$18))</f>
        <v/>
      </c>
      <c r="V438" s="99" t="str">
        <f aca="false">IF(ISBLANK($C438),"",IF(ISNUMBER(I438),IF(I438&gt;=0,I438,""),""))</f>
        <v/>
      </c>
      <c r="W438" s="99" t="str">
        <f aca="false">IF(ISBLANK($C438),"",IF(J438=Constants!$B$2, TRUE(), IF(J438=Constants!$B$3, FALSE(), TRUE())))</f>
        <v/>
      </c>
      <c r="X438" s="99" t="str">
        <f aca="false">IF(ISBLANK($C438),"",IF(K438=Constants!$B$2, TRUE(), IF(K438=Constants!$B$3, FALSE(), TRUE())))</f>
        <v/>
      </c>
      <c r="Y438" s="99" t="str">
        <f aca="false">IF(ISBLANK($C438),"",IF(L438=Constants!$B$19,Constants!$B$19,Constants!$B$18))</f>
        <v/>
      </c>
      <c r="Z438" s="99" t="str">
        <f aca="false">IF(ISBLANK($C438),"",IF(ISNUMBER(M438),IF(M438&gt;=0,M438,""),""))</f>
        <v/>
      </c>
      <c r="AA438" s="99" t="str">
        <f aca="false">IF(ISBLANK($C438),"",IF(N438=Constants!$B$2, TRUE(), IF(N438=Constants!$B$3, FALSE(), TRUE())))</f>
        <v/>
      </c>
      <c r="AB438" s="99" t="str">
        <f aca="false">IF(ISBLANK($C438),"",IF(O438=Constants!$B$2, TRUE(), IF(O438=Constants!$B$3, FALSE(), TRUE())))</f>
        <v/>
      </c>
      <c r="AC438" s="99" t="str">
        <f aca="false">IF(ISBLANK($C438),"",IF(P438=Constants!$B$2, TRUE(), IF(P438=Constants!$B$3, FALSE(), FALSE())))</f>
        <v/>
      </c>
      <c r="AD438" s="99" t="str">
        <f aca="false">IF(ISBLANK($C438),"",AND(V438&lt;&gt;"",IF(U438=Constants!$B$19,S438,R438)))</f>
        <v/>
      </c>
      <c r="AE438" s="99" t="str">
        <f aca="false">IF(ISBLANK($C438),"",AND(Z438&lt;&gt;"",IF(Y438=Constants!$B$19,S438,R438)))</f>
        <v/>
      </c>
      <c r="AF438" s="99" t="str">
        <f aca="false">IF(ISBLANK($C438),"",IF(AC438,Constants!$B$4,IF(COUNTA(E438:O438)=0,Constants!$B$5,IF(AND(NOT(AD438),NOT(AE438)),Constants!$B$6,Constants!$B$7))))</f>
        <v/>
      </c>
      <c r="AG438" s="99" t="str">
        <f aca="false">IF(ISBLANK($C438),"",IF($AF438&lt;&gt;Constants!$B$7,$AF438,Constants!$B$20))</f>
        <v/>
      </c>
      <c r="AH438" s="99" t="str">
        <f aca="false">IF($AF438=Constants!$B$7,IF(AD438,V438,Constants!$B$13),"")</f>
        <v/>
      </c>
      <c r="AI438" s="99" t="str">
        <f aca="false">IF($AF438=Constants!$B$7,IF(AD438,T438*IF(W438, 1, Constants!$B$11)*IF(X438, 1, Constants!$B$12),Constants!$B$13),"")</f>
        <v/>
      </c>
      <c r="AJ438" s="99" t="str">
        <f aca="false">IF($AF438=Constants!$B$7,AH438*AI438,"")</f>
        <v/>
      </c>
      <c r="AK438" s="99" t="str">
        <f aca="false">IF($AF438=Constants!$B$7,IF(AE438,Z438,Constants!$B$13),"")</f>
        <v/>
      </c>
      <c r="AL438" s="99" t="str">
        <f aca="false">IF($AF438=Constants!$B$7,IF(AE438,T438*IF(AA438, 1, Constants!$B$11)*IF(AB438, 1, Constants!$B$12),Constants!$B$13),"")</f>
        <v/>
      </c>
      <c r="AM438" s="99" t="str">
        <f aca="false">IF($AF438=Constants!$B$7,AK438*AL438,"")</f>
        <v/>
      </c>
      <c r="AN438" s="99" t="str">
        <f aca="false">IF($AF438=Constants!$B$7,IF(AM438&gt;AJ438,2,1),"")</f>
        <v/>
      </c>
      <c r="AO438" s="99" t="str">
        <f aca="false">IF($AF438=Constants!$B$7,IF(AN438=1,2,1),"")</f>
        <v/>
      </c>
      <c r="AP438" s="99" t="str">
        <f aca="false">IF(ISBLANK($C438),"",IF($AF438&lt;&gt;Constants!$B$7,$AF438,IF(AN438=1,AJ438,AM438)))</f>
        <v/>
      </c>
      <c r="AQ438" s="99" t="str">
        <f aca="false">IF(ISBLANK($C438),"",IF($AF438=Constants!$B$7,IF(ISNUMBER(AP438),RANK(AP438,$AP$8:$AP$507),Constants!$B$14),$AF438))</f>
        <v/>
      </c>
      <c r="AR438" s="99" t="str">
        <f aca="false">IF(ISBLANK($C438),"",IF($AF438=Constants!$B$7,IF(AO438=1,AJ438,AM438),""))</f>
        <v/>
      </c>
      <c r="AS438" s="99" t="str">
        <f aca="false">IF(ISBLANK($C438),"",IF($AF438=Constants!$B$7,RANK(AR438,$AR$8:$AR$507),$AF438))</f>
        <v/>
      </c>
      <c r="AT438" s="99" t="str">
        <f aca="false">IF(ISBLANK($C438),"",IF($AF438=Constants!$B$7,IF(ISNUMBER(AQ438),COUNTIFS($AQ$8:$AQ$507,"&lt;"&amp;$AQ438)+COUNTIFS($AQ$8:$AQ$507,$AQ438,$AS$8:$AS$507,"&lt;"&amp;$AS438)+1,Constants!$B$14),$AF438))</f>
        <v/>
      </c>
      <c r="AU438" s="99" t="str">
        <f aca="false">IF(ISBLANK($C438),"",IF($AF438=Constants!$B$7,IF(ISNUMBER(AQ438),AQ438-AT438,Constants!$B$14),$AF438))</f>
        <v/>
      </c>
      <c r="AV438" s="100"/>
      <c r="AW438" s="101" t="str">
        <f aca="false">IF(ISBLANK($C438),"",IF($AF438&lt;&gt;Constants!$B$7,"",AN438))</f>
        <v/>
      </c>
      <c r="AX438" s="102" t="str">
        <f aca="false">IF(ISBLANK($C438),"",IF($AF438&lt;&gt;Constants!$B$7,"",IF(AN438=1,AH438,AK438)))</f>
        <v/>
      </c>
      <c r="AY438" s="103" t="str">
        <f aca="false">IF(ISBLANK($C438),"",IF($AF438&lt;&gt;Constants!$B$7,"",IF(AN438=1,AI438,AL438)))</f>
        <v/>
      </c>
      <c r="AZ438" s="104" t="str">
        <f aca="false">IF(ISBLANK($C438),"",IF($AF438&lt;&gt;Constants!$B$7,$AF438,AP438))</f>
        <v/>
      </c>
      <c r="BA438" s="105" t="str">
        <f aca="false">IF(ISBLANK($C438),"",IF($AF438&lt;&gt;Constants!$B$7,$AF438,AG438))</f>
        <v/>
      </c>
      <c r="BB438" s="106" t="str">
        <f aca="false">IF(ISBLANK($C438),"",AU438)</f>
        <v/>
      </c>
      <c r="BC438" s="106" t="str">
        <f aca="false">IF(ISBLANK($C438),"",AT438)</f>
        <v/>
      </c>
      <c r="BD438" s="107" t="str">
        <f aca="false">IF(ISBLANK($C438),"",IFERROR(_xlfn.SWITCH(BC438,Constants!$B$4,COUNTA($C$8:$C$507)+2,Constants!$B$5,COUNTA($C$8:$C$507)+1,Constants!$B$6,COUNTA($C$8:$C$507)),BC438))</f>
        <v/>
      </c>
      <c r="BE438" s="5"/>
      <c r="BF438" s="108" t="n">
        <f aca="false">IF(OR(ISNUMBER(BC438),BC438=Constants!$B$4,BC438=Constants!$B$6,BC438=Constants!$B$5),1,0)</f>
        <v>0</v>
      </c>
      <c r="BG438" s="108" t="n">
        <v>431</v>
      </c>
      <c r="BH438" s="108" t="str">
        <f aca="false">IF(ISBLANK($C438),"",IF(ISNUMBER(BD438),BD438+ROW($B438)/1000,""))</f>
        <v/>
      </c>
      <c r="BI438" s="108" t="str">
        <f aca="false">IF(ISNUMBER(BH438),RANK(BH438,$BH$8:$BH$507,1),"")</f>
        <v/>
      </c>
      <c r="BJ438" s="108" t="str">
        <f aca="false">IF(ISBLANK($C438),"",$B438)</f>
        <v/>
      </c>
      <c r="BK438" s="108" t="str">
        <f aca="false">IF(ISBLANK($C438),"",$C438)</f>
        <v/>
      </c>
      <c r="BL438" s="108" t="str">
        <f aca="false">IF(ISBLANK($C438),"",$D438)</f>
        <v/>
      </c>
      <c r="BM438" s="109" t="str">
        <f aca="false">BA438</f>
        <v/>
      </c>
      <c r="BN438" s="110" t="str">
        <f aca="false">AZ438</f>
        <v/>
      </c>
      <c r="BO438" s="108" t="str">
        <f aca="false">IF(ISBLANK($C438),"",BC438)</f>
        <v/>
      </c>
      <c r="BP438" s="111" t="str">
        <f aca="false">IF($BG438&gt;$BF$7,"",VLOOKUP($BG438,$BI$8:$BO$507,7,FALSE()))</f>
        <v/>
      </c>
      <c r="BQ438" s="112" t="str">
        <f aca="false">IF($BG438&gt;$BF$7,"",VLOOKUP($BG438,$BI$8:$BO$507,2,FALSE()))</f>
        <v/>
      </c>
      <c r="BR438" s="112" t="str">
        <f aca="false">IF($BG438&gt;$BF$7,"",VLOOKUP($BG438,$BI$8:$BO$507,3,FALSE()))</f>
        <v/>
      </c>
      <c r="BS438" s="112" t="str">
        <f aca="false">IF($BG438&gt;$BF$7,"",VLOOKUP($BG438,$BI$8:$BO$507,4,FALSE()))</f>
        <v/>
      </c>
      <c r="BT438" s="112" t="str">
        <f aca="false">IF($BG438&gt;$BF$7,"",VLOOKUP($BG438,$BI$8:$BO$507,5,FALSE()))</f>
        <v/>
      </c>
      <c r="BU438" s="113" t="str">
        <f aca="false">IF($BG438&gt;$BF$7,"",VLOOKUP($BG438,$BI$8:$BO$507,6,FALSE()))</f>
        <v/>
      </c>
      <c r="BV438" s="54"/>
    </row>
    <row r="439" customFormat="false" ht="15.75" hidden="false" customHeight="false" outlineLevel="0" collapsed="false">
      <c r="A439" s="5"/>
      <c r="B439" s="128"/>
      <c r="C439" s="129"/>
      <c r="D439" s="114"/>
      <c r="E439" s="134"/>
      <c r="F439" s="139"/>
      <c r="G439" s="93"/>
      <c r="H439" s="140"/>
      <c r="I439" s="95"/>
      <c r="J439" s="95"/>
      <c r="K439" s="93"/>
      <c r="L439" s="141"/>
      <c r="M439" s="95"/>
      <c r="N439" s="95"/>
      <c r="O439" s="93"/>
      <c r="P439" s="134"/>
      <c r="Q439" s="98"/>
      <c r="R439" s="99" t="str">
        <f aca="false">IF(ISBLANK($C439),"",IF(E439=Constants!$B$2, TRUE(), IF(E439=Constants!$B$3, FALSE(), TRUE())))</f>
        <v/>
      </c>
      <c r="S439" s="99" t="str">
        <f aca="false">IF(ISBLANK($C439),"",IF(F439=Constants!$B$2, TRUE(), IF(F439=Constants!$B$3, FALSE(), TRUE())))</f>
        <v/>
      </c>
      <c r="T439" s="99" t="str">
        <f aca="false">IF(ISBLANK($C439),"",IF(G439=Constants!$B$16,Constants!$B$9,IF(G439=Constants!$B$17,Constants!$B$10,Constants!$B$8)))</f>
        <v/>
      </c>
      <c r="U439" s="99" t="str">
        <f aca="false">IF(ISBLANK($C439),"",IF(H439=Constants!$B$19,Constants!$B$19,Constants!$B$18))</f>
        <v/>
      </c>
      <c r="V439" s="99" t="str">
        <f aca="false">IF(ISBLANK($C439),"",IF(ISNUMBER(I439),IF(I439&gt;=0,I439,""),""))</f>
        <v/>
      </c>
      <c r="W439" s="99" t="str">
        <f aca="false">IF(ISBLANK($C439),"",IF(J439=Constants!$B$2, TRUE(), IF(J439=Constants!$B$3, FALSE(), TRUE())))</f>
        <v/>
      </c>
      <c r="X439" s="99" t="str">
        <f aca="false">IF(ISBLANK($C439),"",IF(K439=Constants!$B$2, TRUE(), IF(K439=Constants!$B$3, FALSE(), TRUE())))</f>
        <v/>
      </c>
      <c r="Y439" s="99" t="str">
        <f aca="false">IF(ISBLANK($C439),"",IF(L439=Constants!$B$19,Constants!$B$19,Constants!$B$18))</f>
        <v/>
      </c>
      <c r="Z439" s="99" t="str">
        <f aca="false">IF(ISBLANK($C439),"",IF(ISNUMBER(M439),IF(M439&gt;=0,M439,""),""))</f>
        <v/>
      </c>
      <c r="AA439" s="99" t="str">
        <f aca="false">IF(ISBLANK($C439),"",IF(N439=Constants!$B$2, TRUE(), IF(N439=Constants!$B$3, FALSE(), TRUE())))</f>
        <v/>
      </c>
      <c r="AB439" s="99" t="str">
        <f aca="false">IF(ISBLANK($C439),"",IF(O439=Constants!$B$2, TRUE(), IF(O439=Constants!$B$3, FALSE(), TRUE())))</f>
        <v/>
      </c>
      <c r="AC439" s="99" t="str">
        <f aca="false">IF(ISBLANK($C439),"",IF(P439=Constants!$B$2, TRUE(), IF(P439=Constants!$B$3, FALSE(), FALSE())))</f>
        <v/>
      </c>
      <c r="AD439" s="99" t="str">
        <f aca="false">IF(ISBLANK($C439),"",AND(V439&lt;&gt;"",IF(U439=Constants!$B$19,S439,R439)))</f>
        <v/>
      </c>
      <c r="AE439" s="99" t="str">
        <f aca="false">IF(ISBLANK($C439),"",AND(Z439&lt;&gt;"",IF(Y439=Constants!$B$19,S439,R439)))</f>
        <v/>
      </c>
      <c r="AF439" s="99" t="str">
        <f aca="false">IF(ISBLANK($C439),"",IF(AC439,Constants!$B$4,IF(COUNTA(E439:O439)=0,Constants!$B$5,IF(AND(NOT(AD439),NOT(AE439)),Constants!$B$6,Constants!$B$7))))</f>
        <v/>
      </c>
      <c r="AG439" s="99" t="str">
        <f aca="false">IF(ISBLANK($C439),"",IF($AF439&lt;&gt;Constants!$B$7,$AF439,Constants!$B$20))</f>
        <v/>
      </c>
      <c r="AH439" s="99" t="str">
        <f aca="false">IF($AF439=Constants!$B$7,IF(AD439,V439,Constants!$B$13),"")</f>
        <v/>
      </c>
      <c r="AI439" s="99" t="str">
        <f aca="false">IF($AF439=Constants!$B$7,IF(AD439,T439*IF(W439, 1, Constants!$B$11)*IF(X439, 1, Constants!$B$12),Constants!$B$13),"")</f>
        <v/>
      </c>
      <c r="AJ439" s="99" t="str">
        <f aca="false">IF($AF439=Constants!$B$7,AH439*AI439,"")</f>
        <v/>
      </c>
      <c r="AK439" s="99" t="str">
        <f aca="false">IF($AF439=Constants!$B$7,IF(AE439,Z439,Constants!$B$13),"")</f>
        <v/>
      </c>
      <c r="AL439" s="99" t="str">
        <f aca="false">IF($AF439=Constants!$B$7,IF(AE439,T439*IF(AA439, 1, Constants!$B$11)*IF(AB439, 1, Constants!$B$12),Constants!$B$13),"")</f>
        <v/>
      </c>
      <c r="AM439" s="99" t="str">
        <f aca="false">IF($AF439=Constants!$B$7,AK439*AL439,"")</f>
        <v/>
      </c>
      <c r="AN439" s="99" t="str">
        <f aca="false">IF($AF439=Constants!$B$7,IF(AM439&gt;AJ439,2,1),"")</f>
        <v/>
      </c>
      <c r="AO439" s="99" t="str">
        <f aca="false">IF($AF439=Constants!$B$7,IF(AN439=1,2,1),"")</f>
        <v/>
      </c>
      <c r="AP439" s="99" t="str">
        <f aca="false">IF(ISBLANK($C439),"",IF($AF439&lt;&gt;Constants!$B$7,$AF439,IF(AN439=1,AJ439,AM439)))</f>
        <v/>
      </c>
      <c r="AQ439" s="99" t="str">
        <f aca="false">IF(ISBLANK($C439),"",IF($AF439=Constants!$B$7,IF(ISNUMBER(AP439),RANK(AP439,$AP$8:$AP$507),Constants!$B$14),$AF439))</f>
        <v/>
      </c>
      <c r="AR439" s="99" t="str">
        <f aca="false">IF(ISBLANK($C439),"",IF($AF439=Constants!$B$7,IF(AO439=1,AJ439,AM439),""))</f>
        <v/>
      </c>
      <c r="AS439" s="99" t="str">
        <f aca="false">IF(ISBLANK($C439),"",IF($AF439=Constants!$B$7,RANK(AR439,$AR$8:$AR$507),$AF439))</f>
        <v/>
      </c>
      <c r="AT439" s="99" t="str">
        <f aca="false">IF(ISBLANK($C439),"",IF($AF439=Constants!$B$7,IF(ISNUMBER(AQ439),COUNTIFS($AQ$8:$AQ$507,"&lt;"&amp;$AQ439)+COUNTIFS($AQ$8:$AQ$507,$AQ439,$AS$8:$AS$507,"&lt;"&amp;$AS439)+1,Constants!$B$14),$AF439))</f>
        <v/>
      </c>
      <c r="AU439" s="99" t="str">
        <f aca="false">IF(ISBLANK($C439),"",IF($AF439=Constants!$B$7,IF(ISNUMBER(AQ439),AQ439-AT439,Constants!$B$14),$AF439))</f>
        <v/>
      </c>
      <c r="AV439" s="100"/>
      <c r="AW439" s="101" t="str">
        <f aca="false">IF(ISBLANK($C439),"",IF($AF439&lt;&gt;Constants!$B$7,"",AN439))</f>
        <v/>
      </c>
      <c r="AX439" s="102" t="str">
        <f aca="false">IF(ISBLANK($C439),"",IF($AF439&lt;&gt;Constants!$B$7,"",IF(AN439=1,AH439,AK439)))</f>
        <v/>
      </c>
      <c r="AY439" s="103" t="str">
        <f aca="false">IF(ISBLANK($C439),"",IF($AF439&lt;&gt;Constants!$B$7,"",IF(AN439=1,AI439,AL439)))</f>
        <v/>
      </c>
      <c r="AZ439" s="104" t="str">
        <f aca="false">IF(ISBLANK($C439),"",IF($AF439&lt;&gt;Constants!$B$7,$AF439,AP439))</f>
        <v/>
      </c>
      <c r="BA439" s="105" t="str">
        <f aca="false">IF(ISBLANK($C439),"",IF($AF439&lt;&gt;Constants!$B$7,$AF439,AG439))</f>
        <v/>
      </c>
      <c r="BB439" s="106" t="str">
        <f aca="false">IF(ISBLANK($C439),"",AU439)</f>
        <v/>
      </c>
      <c r="BC439" s="106" t="str">
        <f aca="false">IF(ISBLANK($C439),"",AT439)</f>
        <v/>
      </c>
      <c r="BD439" s="107" t="str">
        <f aca="false">IF(ISBLANK($C439),"",IFERROR(_xlfn.SWITCH(BC439,Constants!$B$4,COUNTA($C$8:$C$507)+2,Constants!$B$5,COUNTA($C$8:$C$507)+1,Constants!$B$6,COUNTA($C$8:$C$507)),BC439))</f>
        <v/>
      </c>
      <c r="BE439" s="5"/>
      <c r="BF439" s="108" t="n">
        <f aca="false">IF(OR(ISNUMBER(BC439),BC439=Constants!$B$4,BC439=Constants!$B$6,BC439=Constants!$B$5),1,0)</f>
        <v>0</v>
      </c>
      <c r="BG439" s="108" t="n">
        <v>432</v>
      </c>
      <c r="BH439" s="108" t="str">
        <f aca="false">IF(ISBLANK($C439),"",IF(ISNUMBER(BD439),BD439+ROW($B439)/1000,""))</f>
        <v/>
      </c>
      <c r="BI439" s="108" t="str">
        <f aca="false">IF(ISNUMBER(BH439),RANK(BH439,$BH$8:$BH$507,1),"")</f>
        <v/>
      </c>
      <c r="BJ439" s="108" t="str">
        <f aca="false">IF(ISBLANK($C439),"",$B439)</f>
        <v/>
      </c>
      <c r="BK439" s="108" t="str">
        <f aca="false">IF(ISBLANK($C439),"",$C439)</f>
        <v/>
      </c>
      <c r="BL439" s="108" t="str">
        <f aca="false">IF(ISBLANK($C439),"",$D439)</f>
        <v/>
      </c>
      <c r="BM439" s="109" t="str">
        <f aca="false">BA439</f>
        <v/>
      </c>
      <c r="BN439" s="110" t="str">
        <f aca="false">AZ439</f>
        <v/>
      </c>
      <c r="BO439" s="108" t="str">
        <f aca="false">IF(ISBLANK($C439),"",BC439)</f>
        <v/>
      </c>
      <c r="BP439" s="111" t="str">
        <f aca="false">IF($BG439&gt;$BF$7,"",VLOOKUP($BG439,$BI$8:$BO$507,7,FALSE()))</f>
        <v/>
      </c>
      <c r="BQ439" s="112" t="str">
        <f aca="false">IF($BG439&gt;$BF$7,"",VLOOKUP($BG439,$BI$8:$BO$507,2,FALSE()))</f>
        <v/>
      </c>
      <c r="BR439" s="112" t="str">
        <f aca="false">IF($BG439&gt;$BF$7,"",VLOOKUP($BG439,$BI$8:$BO$507,3,FALSE()))</f>
        <v/>
      </c>
      <c r="BS439" s="112" t="str">
        <f aca="false">IF($BG439&gt;$BF$7,"",VLOOKUP($BG439,$BI$8:$BO$507,4,FALSE()))</f>
        <v/>
      </c>
      <c r="BT439" s="112" t="str">
        <f aca="false">IF($BG439&gt;$BF$7,"",VLOOKUP($BG439,$BI$8:$BO$507,5,FALSE()))</f>
        <v/>
      </c>
      <c r="BU439" s="113" t="str">
        <f aca="false">IF($BG439&gt;$BF$7,"",VLOOKUP($BG439,$BI$8:$BO$507,6,FALSE()))</f>
        <v/>
      </c>
      <c r="BV439" s="54"/>
    </row>
    <row r="440" customFormat="false" ht="15.75" hidden="false" customHeight="false" outlineLevel="0" collapsed="false">
      <c r="A440" s="5"/>
      <c r="B440" s="135"/>
      <c r="C440" s="56"/>
      <c r="D440" s="57"/>
      <c r="E440" s="84"/>
      <c r="F440" s="136"/>
      <c r="G440" s="60"/>
      <c r="H440" s="137"/>
      <c r="I440" s="62"/>
      <c r="J440" s="62"/>
      <c r="K440" s="60"/>
      <c r="L440" s="138"/>
      <c r="M440" s="62"/>
      <c r="N440" s="62"/>
      <c r="O440" s="60"/>
      <c r="P440" s="84"/>
      <c r="Q440" s="65"/>
      <c r="R440" s="67" t="str">
        <f aca="false">IF(ISBLANK($C440),"",IF(E440=Constants!$B$2, TRUE(), IF(E440=Constants!$B$3, FALSE(), TRUE())))</f>
        <v/>
      </c>
      <c r="S440" s="67" t="str">
        <f aca="false">IF(ISBLANK($C440),"",IF(F440=Constants!$B$2, TRUE(), IF(F440=Constants!$B$3, FALSE(), TRUE())))</f>
        <v/>
      </c>
      <c r="T440" s="67" t="str">
        <f aca="false">IF(ISBLANK($C440),"",IF(G440=Constants!$B$16,Constants!$B$9,IF(G440=Constants!$B$17,Constants!$B$10,Constants!$B$8)))</f>
        <v/>
      </c>
      <c r="U440" s="67" t="str">
        <f aca="false">IF(ISBLANK($C440),"",IF(H440=Constants!$B$19,Constants!$B$19,Constants!$B$18))</f>
        <v/>
      </c>
      <c r="V440" s="67" t="str">
        <f aca="false">IF(ISBLANK($C440),"",IF(ISNUMBER(I440),IF(I440&gt;=0,I440,""),""))</f>
        <v/>
      </c>
      <c r="W440" s="67" t="str">
        <f aca="false">IF(ISBLANK($C440),"",IF(J440=Constants!$B$2, TRUE(), IF(J440=Constants!$B$3, FALSE(), TRUE())))</f>
        <v/>
      </c>
      <c r="X440" s="67" t="str">
        <f aca="false">IF(ISBLANK($C440),"",IF(K440=Constants!$B$2, TRUE(), IF(K440=Constants!$B$3, FALSE(), TRUE())))</f>
        <v/>
      </c>
      <c r="Y440" s="67" t="str">
        <f aca="false">IF(ISBLANK($C440),"",IF(L440=Constants!$B$19,Constants!$B$19,Constants!$B$18))</f>
        <v/>
      </c>
      <c r="Z440" s="67" t="str">
        <f aca="false">IF(ISBLANK($C440),"",IF(ISNUMBER(M440),IF(M440&gt;=0,M440,""),""))</f>
        <v/>
      </c>
      <c r="AA440" s="67" t="str">
        <f aca="false">IF(ISBLANK($C440),"",IF(N440=Constants!$B$2, TRUE(), IF(N440=Constants!$B$3, FALSE(), TRUE())))</f>
        <v/>
      </c>
      <c r="AB440" s="67" t="str">
        <f aca="false">IF(ISBLANK($C440),"",IF(O440=Constants!$B$2, TRUE(), IF(O440=Constants!$B$3, FALSE(), TRUE())))</f>
        <v/>
      </c>
      <c r="AC440" s="67" t="str">
        <f aca="false">IF(ISBLANK($C440),"",IF(P440=Constants!$B$2, TRUE(), IF(P440=Constants!$B$3, FALSE(), FALSE())))</f>
        <v/>
      </c>
      <c r="AD440" s="67" t="str">
        <f aca="false">IF(ISBLANK($C440),"",AND(V440&lt;&gt;"",IF(U440=Constants!$B$19,S440,R440)))</f>
        <v/>
      </c>
      <c r="AE440" s="67" t="str">
        <f aca="false">IF(ISBLANK($C440),"",AND(Z440&lt;&gt;"",IF(Y440=Constants!$B$19,S440,R440)))</f>
        <v/>
      </c>
      <c r="AF440" s="67" t="str">
        <f aca="false">IF(ISBLANK($C440),"",IF(AC440,Constants!$B$4,IF(COUNTA(E440:O440)=0,Constants!$B$5,IF(AND(NOT(AD440),NOT(AE440)),Constants!$B$6,Constants!$B$7))))</f>
        <v/>
      </c>
      <c r="AG440" s="67" t="str">
        <f aca="false">IF(ISBLANK($C440),"",IF($AF440&lt;&gt;Constants!$B$7,$AF440,Constants!$B$20))</f>
        <v/>
      </c>
      <c r="AH440" s="67" t="str">
        <f aca="false">IF($AF440=Constants!$B$7,IF(AD440,V440,Constants!$B$13),"")</f>
        <v/>
      </c>
      <c r="AI440" s="67" t="str">
        <f aca="false">IF($AF440=Constants!$B$7,IF(AD440,T440*IF(W440, 1, Constants!$B$11)*IF(X440, 1, Constants!$B$12),Constants!$B$13),"")</f>
        <v/>
      </c>
      <c r="AJ440" s="67" t="str">
        <f aca="false">IF($AF440=Constants!$B$7,AH440*AI440,"")</f>
        <v/>
      </c>
      <c r="AK440" s="67" t="str">
        <f aca="false">IF($AF440=Constants!$B$7,IF(AE440,Z440,Constants!$B$13),"")</f>
        <v/>
      </c>
      <c r="AL440" s="67" t="str">
        <f aca="false">IF($AF440=Constants!$B$7,IF(AE440,T440*IF(AA440, 1, Constants!$B$11)*IF(AB440, 1, Constants!$B$12),Constants!$B$13),"")</f>
        <v/>
      </c>
      <c r="AM440" s="67" t="str">
        <f aca="false">IF($AF440=Constants!$B$7,AK440*AL440,"")</f>
        <v/>
      </c>
      <c r="AN440" s="67" t="str">
        <f aca="false">IF($AF440=Constants!$B$7,IF(AM440&gt;AJ440,2,1),"")</f>
        <v/>
      </c>
      <c r="AO440" s="67" t="str">
        <f aca="false">IF($AF440=Constants!$B$7,IF(AN440=1,2,1),"")</f>
        <v/>
      </c>
      <c r="AP440" s="67" t="str">
        <f aca="false">IF(ISBLANK($C440),"",IF($AF440&lt;&gt;Constants!$B$7,$AF440,IF(AN440=1,AJ440,AM440)))</f>
        <v/>
      </c>
      <c r="AQ440" s="67" t="str">
        <f aca="false">IF(ISBLANK($C440),"",IF($AF440=Constants!$B$7,IF(ISNUMBER(AP440),RANK(AP440,$AP$8:$AP$507),Constants!$B$14),$AF440))</f>
        <v/>
      </c>
      <c r="AR440" s="67" t="str">
        <f aca="false">IF(ISBLANK($C440),"",IF($AF440=Constants!$B$7,IF(AO440=1,AJ440,AM440),""))</f>
        <v/>
      </c>
      <c r="AS440" s="67" t="str">
        <f aca="false">IF(ISBLANK($C440),"",IF($AF440=Constants!$B$7,RANK(AR440,$AR$8:$AR$507),$AF440))</f>
        <v/>
      </c>
      <c r="AT440" s="67" t="str">
        <f aca="false">IF(ISBLANK($C440),"",IF($AF440=Constants!$B$7,IF(ISNUMBER(AQ440),COUNTIFS($AQ$8:$AQ$507,"&lt;"&amp;$AQ440)+COUNTIFS($AQ$8:$AQ$507,$AQ440,$AS$8:$AS$507,"&lt;"&amp;$AS440)+1,Constants!$B$14),$AF440))</f>
        <v/>
      </c>
      <c r="AU440" s="67" t="str">
        <f aca="false">IF(ISBLANK($C440),"",IF($AF440=Constants!$B$7,IF(ISNUMBER(AQ440),AQ440-AT440,Constants!$B$14),$AF440))</f>
        <v/>
      </c>
      <c r="AV440" s="69"/>
      <c r="AW440" s="70" t="str">
        <f aca="false">IF(ISBLANK($C440),"",IF($AF440&lt;&gt;Constants!$B$7,"",AN440))</f>
        <v/>
      </c>
      <c r="AX440" s="85" t="str">
        <f aca="false">IF(ISBLANK($C440),"",IF($AF440&lt;&gt;Constants!$B$7,"",IF(AN440=1,AH440,AK440)))</f>
        <v/>
      </c>
      <c r="AY440" s="72" t="str">
        <f aca="false">IF(ISBLANK($C440),"",IF($AF440&lt;&gt;Constants!$B$7,"",IF(AN440=1,AI440,AL440)))</f>
        <v/>
      </c>
      <c r="AZ440" s="73" t="str">
        <f aca="false">IF(ISBLANK($C440),"",IF($AF440&lt;&gt;Constants!$B$7,$AF440,AP440))</f>
        <v/>
      </c>
      <c r="BA440" s="74" t="str">
        <f aca="false">IF(ISBLANK($C440),"",IF($AF440&lt;&gt;Constants!$B$7,$AF440,AG440))</f>
        <v/>
      </c>
      <c r="BB440" s="75" t="str">
        <f aca="false">IF(ISBLANK($C440),"",AU440)</f>
        <v/>
      </c>
      <c r="BC440" s="75" t="str">
        <f aca="false">IF(ISBLANK($C440),"",AT440)</f>
        <v/>
      </c>
      <c r="BD440" s="76" t="str">
        <f aca="false">IF(ISBLANK($C440),"",IFERROR(_xlfn.SWITCH(BC440,Constants!$B$4,COUNTA($C$8:$C$507)+2,Constants!$B$5,COUNTA($C$8:$C$507)+1,Constants!$B$6,COUNTA($C$8:$C$507)),BC440))</f>
        <v/>
      </c>
      <c r="BE440" s="5"/>
      <c r="BF440" s="77" t="n">
        <f aca="false">IF(OR(ISNUMBER(BC440),BC440=Constants!$B$4,BC440=Constants!$B$6,BC440=Constants!$B$5),1,0)</f>
        <v>0</v>
      </c>
      <c r="BG440" s="77" t="n">
        <v>433</v>
      </c>
      <c r="BH440" s="77" t="str">
        <f aca="false">IF(ISBLANK($C440),"",IF(ISNUMBER(BD440),BD440+ROW($B440)/1000,""))</f>
        <v/>
      </c>
      <c r="BI440" s="77" t="str">
        <f aca="false">IF(ISNUMBER(BH440),RANK(BH440,$BH$8:$BH$507,1),"")</f>
        <v/>
      </c>
      <c r="BJ440" s="77" t="str">
        <f aca="false">IF(ISBLANK($C440),"",$B440)</f>
        <v/>
      </c>
      <c r="BK440" s="77" t="str">
        <f aca="false">IF(ISBLANK($C440),"",$C440)</f>
        <v/>
      </c>
      <c r="BL440" s="77" t="str">
        <f aca="false">IF(ISBLANK($C440),"",$D440)</f>
        <v/>
      </c>
      <c r="BM440" s="78" t="str">
        <f aca="false">BA440</f>
        <v/>
      </c>
      <c r="BN440" s="79" t="str">
        <f aca="false">AZ440</f>
        <v/>
      </c>
      <c r="BO440" s="77" t="str">
        <f aca="false">IF(ISBLANK($C440),"",BC440)</f>
        <v/>
      </c>
      <c r="BP440" s="80" t="str">
        <f aca="false">IF($BG440&gt;$BF$7,"",VLOOKUP($BG440,$BI$8:$BO$507,7,FALSE()))</f>
        <v/>
      </c>
      <c r="BQ440" s="81" t="str">
        <f aca="false">IF($BG440&gt;$BF$7,"",VLOOKUP($BG440,$BI$8:$BO$507,2,FALSE()))</f>
        <v/>
      </c>
      <c r="BR440" s="81" t="str">
        <f aca="false">IF($BG440&gt;$BF$7,"",VLOOKUP($BG440,$BI$8:$BO$507,3,FALSE()))</f>
        <v/>
      </c>
      <c r="BS440" s="81" t="str">
        <f aca="false">IF($BG440&gt;$BF$7,"",VLOOKUP($BG440,$BI$8:$BO$507,4,FALSE()))</f>
        <v/>
      </c>
      <c r="BT440" s="81" t="str">
        <f aca="false">IF($BG440&gt;$BF$7,"",VLOOKUP($BG440,$BI$8:$BO$507,5,FALSE()))</f>
        <v/>
      </c>
      <c r="BU440" s="82" t="str">
        <f aca="false">IF($BG440&gt;$BF$7,"",VLOOKUP($BG440,$BI$8:$BO$507,6,FALSE()))</f>
        <v/>
      </c>
      <c r="BV440" s="54"/>
    </row>
    <row r="441" customFormat="false" ht="15.75" hidden="false" customHeight="false" outlineLevel="0" collapsed="false">
      <c r="A441" s="5"/>
      <c r="B441" s="135"/>
      <c r="C441" s="56"/>
      <c r="D441" s="57"/>
      <c r="E441" s="84"/>
      <c r="F441" s="136"/>
      <c r="G441" s="60"/>
      <c r="H441" s="137"/>
      <c r="I441" s="62"/>
      <c r="J441" s="62"/>
      <c r="K441" s="60"/>
      <c r="L441" s="138"/>
      <c r="M441" s="62"/>
      <c r="N441" s="62"/>
      <c r="O441" s="60"/>
      <c r="P441" s="84"/>
      <c r="Q441" s="65"/>
      <c r="R441" s="67" t="str">
        <f aca="false">IF(ISBLANK($C441),"",IF(E441=Constants!$B$2, TRUE(), IF(E441=Constants!$B$3, FALSE(), TRUE())))</f>
        <v/>
      </c>
      <c r="S441" s="67" t="str">
        <f aca="false">IF(ISBLANK($C441),"",IF(F441=Constants!$B$2, TRUE(), IF(F441=Constants!$B$3, FALSE(), TRUE())))</f>
        <v/>
      </c>
      <c r="T441" s="67" t="str">
        <f aca="false">IF(ISBLANK($C441),"",IF(G441=Constants!$B$16,Constants!$B$9,IF(G441=Constants!$B$17,Constants!$B$10,Constants!$B$8)))</f>
        <v/>
      </c>
      <c r="U441" s="67" t="str">
        <f aca="false">IF(ISBLANK($C441),"",IF(H441=Constants!$B$19,Constants!$B$19,Constants!$B$18))</f>
        <v/>
      </c>
      <c r="V441" s="67" t="str">
        <f aca="false">IF(ISBLANK($C441),"",IF(ISNUMBER(I441),IF(I441&gt;=0,I441,""),""))</f>
        <v/>
      </c>
      <c r="W441" s="67" t="str">
        <f aca="false">IF(ISBLANK($C441),"",IF(J441=Constants!$B$2, TRUE(), IF(J441=Constants!$B$3, FALSE(), TRUE())))</f>
        <v/>
      </c>
      <c r="X441" s="67" t="str">
        <f aca="false">IF(ISBLANK($C441),"",IF(K441=Constants!$B$2, TRUE(), IF(K441=Constants!$B$3, FALSE(), TRUE())))</f>
        <v/>
      </c>
      <c r="Y441" s="67" t="str">
        <f aca="false">IF(ISBLANK($C441),"",IF(L441=Constants!$B$19,Constants!$B$19,Constants!$B$18))</f>
        <v/>
      </c>
      <c r="Z441" s="67" t="str">
        <f aca="false">IF(ISBLANK($C441),"",IF(ISNUMBER(M441),IF(M441&gt;=0,M441,""),""))</f>
        <v/>
      </c>
      <c r="AA441" s="67" t="str">
        <f aca="false">IF(ISBLANK($C441),"",IF(N441=Constants!$B$2, TRUE(), IF(N441=Constants!$B$3, FALSE(), TRUE())))</f>
        <v/>
      </c>
      <c r="AB441" s="67" t="str">
        <f aca="false">IF(ISBLANK($C441),"",IF(O441=Constants!$B$2, TRUE(), IF(O441=Constants!$B$3, FALSE(), TRUE())))</f>
        <v/>
      </c>
      <c r="AC441" s="67" t="str">
        <f aca="false">IF(ISBLANK($C441),"",IF(P441=Constants!$B$2, TRUE(), IF(P441=Constants!$B$3, FALSE(), FALSE())))</f>
        <v/>
      </c>
      <c r="AD441" s="67" t="str">
        <f aca="false">IF(ISBLANK($C441),"",AND(V441&lt;&gt;"",IF(U441=Constants!$B$19,S441,R441)))</f>
        <v/>
      </c>
      <c r="AE441" s="67" t="str">
        <f aca="false">IF(ISBLANK($C441),"",AND(Z441&lt;&gt;"",IF(Y441=Constants!$B$19,S441,R441)))</f>
        <v/>
      </c>
      <c r="AF441" s="67" t="str">
        <f aca="false">IF(ISBLANK($C441),"",IF(AC441,Constants!$B$4,IF(COUNTA(E441:O441)=0,Constants!$B$5,IF(AND(NOT(AD441),NOT(AE441)),Constants!$B$6,Constants!$B$7))))</f>
        <v/>
      </c>
      <c r="AG441" s="67" t="str">
        <f aca="false">IF(ISBLANK($C441),"",IF($AF441&lt;&gt;Constants!$B$7,$AF441,Constants!$B$20))</f>
        <v/>
      </c>
      <c r="AH441" s="67" t="str">
        <f aca="false">IF($AF441=Constants!$B$7,IF(AD441,V441,Constants!$B$13),"")</f>
        <v/>
      </c>
      <c r="AI441" s="67" t="str">
        <f aca="false">IF($AF441=Constants!$B$7,IF(AD441,T441*IF(W441, 1, Constants!$B$11)*IF(X441, 1, Constants!$B$12),Constants!$B$13),"")</f>
        <v/>
      </c>
      <c r="AJ441" s="67" t="str">
        <f aca="false">IF($AF441=Constants!$B$7,AH441*AI441,"")</f>
        <v/>
      </c>
      <c r="AK441" s="67" t="str">
        <f aca="false">IF($AF441=Constants!$B$7,IF(AE441,Z441,Constants!$B$13),"")</f>
        <v/>
      </c>
      <c r="AL441" s="67" t="str">
        <f aca="false">IF($AF441=Constants!$B$7,IF(AE441,T441*IF(AA441, 1, Constants!$B$11)*IF(AB441, 1, Constants!$B$12),Constants!$B$13),"")</f>
        <v/>
      </c>
      <c r="AM441" s="67" t="str">
        <f aca="false">IF($AF441=Constants!$B$7,AK441*AL441,"")</f>
        <v/>
      </c>
      <c r="AN441" s="67" t="str">
        <f aca="false">IF($AF441=Constants!$B$7,IF(AM441&gt;AJ441,2,1),"")</f>
        <v/>
      </c>
      <c r="AO441" s="67" t="str">
        <f aca="false">IF($AF441=Constants!$B$7,IF(AN441=1,2,1),"")</f>
        <v/>
      </c>
      <c r="AP441" s="67" t="str">
        <f aca="false">IF(ISBLANK($C441),"",IF($AF441&lt;&gt;Constants!$B$7,$AF441,IF(AN441=1,AJ441,AM441)))</f>
        <v/>
      </c>
      <c r="AQ441" s="67" t="str">
        <f aca="false">IF(ISBLANK($C441),"",IF($AF441=Constants!$B$7,IF(ISNUMBER(AP441),RANK(AP441,$AP$8:$AP$507),Constants!$B$14),$AF441))</f>
        <v/>
      </c>
      <c r="AR441" s="67" t="str">
        <f aca="false">IF(ISBLANK($C441),"",IF($AF441=Constants!$B$7,IF(AO441=1,AJ441,AM441),""))</f>
        <v/>
      </c>
      <c r="AS441" s="67" t="str">
        <f aca="false">IF(ISBLANK($C441),"",IF($AF441=Constants!$B$7,RANK(AR441,$AR$8:$AR$507),$AF441))</f>
        <v/>
      </c>
      <c r="AT441" s="67" t="str">
        <f aca="false">IF(ISBLANK($C441),"",IF($AF441=Constants!$B$7,IF(ISNUMBER(AQ441),COUNTIFS($AQ$8:$AQ$507,"&lt;"&amp;$AQ441)+COUNTIFS($AQ$8:$AQ$507,$AQ441,$AS$8:$AS$507,"&lt;"&amp;$AS441)+1,Constants!$B$14),$AF441))</f>
        <v/>
      </c>
      <c r="AU441" s="67" t="str">
        <f aca="false">IF(ISBLANK($C441),"",IF($AF441=Constants!$B$7,IF(ISNUMBER(AQ441),AQ441-AT441,Constants!$B$14),$AF441))</f>
        <v/>
      </c>
      <c r="AV441" s="69"/>
      <c r="AW441" s="70" t="str">
        <f aca="false">IF(ISBLANK($C441),"",IF($AF441&lt;&gt;Constants!$B$7,"",AN441))</f>
        <v/>
      </c>
      <c r="AX441" s="85" t="str">
        <f aca="false">IF(ISBLANK($C441),"",IF($AF441&lt;&gt;Constants!$B$7,"",IF(AN441=1,AH441,AK441)))</f>
        <v/>
      </c>
      <c r="AY441" s="72" t="str">
        <f aca="false">IF(ISBLANK($C441),"",IF($AF441&lt;&gt;Constants!$B$7,"",IF(AN441=1,AI441,AL441)))</f>
        <v/>
      </c>
      <c r="AZ441" s="73" t="str">
        <f aca="false">IF(ISBLANK($C441),"",IF($AF441&lt;&gt;Constants!$B$7,$AF441,AP441))</f>
        <v/>
      </c>
      <c r="BA441" s="74" t="str">
        <f aca="false">IF(ISBLANK($C441),"",IF($AF441&lt;&gt;Constants!$B$7,$AF441,AG441))</f>
        <v/>
      </c>
      <c r="BB441" s="75" t="str">
        <f aca="false">IF(ISBLANK($C441),"",AU441)</f>
        <v/>
      </c>
      <c r="BC441" s="75" t="str">
        <f aca="false">IF(ISBLANK($C441),"",AT441)</f>
        <v/>
      </c>
      <c r="BD441" s="76" t="str">
        <f aca="false">IF(ISBLANK($C441),"",IFERROR(_xlfn.SWITCH(BC441,Constants!$B$4,COUNTA($C$8:$C$507)+2,Constants!$B$5,COUNTA($C$8:$C$507)+1,Constants!$B$6,COUNTA($C$8:$C$507)),BC441))</f>
        <v/>
      </c>
      <c r="BE441" s="5"/>
      <c r="BF441" s="77" t="n">
        <f aca="false">IF(OR(ISNUMBER(BC441),BC441=Constants!$B$4,BC441=Constants!$B$6,BC441=Constants!$B$5),1,0)</f>
        <v>0</v>
      </c>
      <c r="BG441" s="77" t="n">
        <v>434</v>
      </c>
      <c r="BH441" s="77" t="str">
        <f aca="false">IF(ISBLANK($C441),"",IF(ISNUMBER(BD441),BD441+ROW($B441)/1000,""))</f>
        <v/>
      </c>
      <c r="BI441" s="77" t="str">
        <f aca="false">IF(ISNUMBER(BH441),RANK(BH441,$BH$8:$BH$507,1),"")</f>
        <v/>
      </c>
      <c r="BJ441" s="77" t="str">
        <f aca="false">IF(ISBLANK($C441),"",$B441)</f>
        <v/>
      </c>
      <c r="BK441" s="77" t="str">
        <f aca="false">IF(ISBLANK($C441),"",$C441)</f>
        <v/>
      </c>
      <c r="BL441" s="77" t="str">
        <f aca="false">IF(ISBLANK($C441),"",$D441)</f>
        <v/>
      </c>
      <c r="BM441" s="78" t="str">
        <f aca="false">BA441</f>
        <v/>
      </c>
      <c r="BN441" s="79" t="str">
        <f aca="false">AZ441</f>
        <v/>
      </c>
      <c r="BO441" s="77" t="str">
        <f aca="false">IF(ISBLANK($C441),"",BC441)</f>
        <v/>
      </c>
      <c r="BP441" s="80" t="str">
        <f aca="false">IF($BG441&gt;$BF$7,"",VLOOKUP($BG441,$BI$8:$BO$507,7,FALSE()))</f>
        <v/>
      </c>
      <c r="BQ441" s="81" t="str">
        <f aca="false">IF($BG441&gt;$BF$7,"",VLOOKUP($BG441,$BI$8:$BO$507,2,FALSE()))</f>
        <v/>
      </c>
      <c r="BR441" s="81" t="str">
        <f aca="false">IF($BG441&gt;$BF$7,"",VLOOKUP($BG441,$BI$8:$BO$507,3,FALSE()))</f>
        <v/>
      </c>
      <c r="BS441" s="81" t="str">
        <f aca="false">IF($BG441&gt;$BF$7,"",VLOOKUP($BG441,$BI$8:$BO$507,4,FALSE()))</f>
        <v/>
      </c>
      <c r="BT441" s="81" t="str">
        <f aca="false">IF($BG441&gt;$BF$7,"",VLOOKUP($BG441,$BI$8:$BO$507,5,FALSE()))</f>
        <v/>
      </c>
      <c r="BU441" s="82" t="str">
        <f aca="false">IF($BG441&gt;$BF$7,"",VLOOKUP($BG441,$BI$8:$BO$507,6,FALSE()))</f>
        <v/>
      </c>
      <c r="BV441" s="54"/>
    </row>
    <row r="442" customFormat="false" ht="15.75" hidden="false" customHeight="false" outlineLevel="0" collapsed="false">
      <c r="A442" s="5"/>
      <c r="B442" s="135"/>
      <c r="C442" s="56"/>
      <c r="D442" s="57"/>
      <c r="E442" s="84"/>
      <c r="F442" s="136"/>
      <c r="G442" s="60"/>
      <c r="H442" s="137"/>
      <c r="I442" s="62"/>
      <c r="J442" s="62"/>
      <c r="K442" s="60"/>
      <c r="L442" s="138"/>
      <c r="M442" s="62"/>
      <c r="N442" s="62"/>
      <c r="O442" s="60"/>
      <c r="P442" s="84"/>
      <c r="Q442" s="65"/>
      <c r="R442" s="67" t="str">
        <f aca="false">IF(ISBLANK($C442),"",IF(E442=Constants!$B$2, TRUE(), IF(E442=Constants!$B$3, FALSE(), TRUE())))</f>
        <v/>
      </c>
      <c r="S442" s="67" t="str">
        <f aca="false">IF(ISBLANK($C442),"",IF(F442=Constants!$B$2, TRUE(), IF(F442=Constants!$B$3, FALSE(), TRUE())))</f>
        <v/>
      </c>
      <c r="T442" s="67" t="str">
        <f aca="false">IF(ISBLANK($C442),"",IF(G442=Constants!$B$16,Constants!$B$9,IF(G442=Constants!$B$17,Constants!$B$10,Constants!$B$8)))</f>
        <v/>
      </c>
      <c r="U442" s="67" t="str">
        <f aca="false">IF(ISBLANK($C442),"",IF(H442=Constants!$B$19,Constants!$B$19,Constants!$B$18))</f>
        <v/>
      </c>
      <c r="V442" s="67" t="str">
        <f aca="false">IF(ISBLANK($C442),"",IF(ISNUMBER(I442),IF(I442&gt;=0,I442,""),""))</f>
        <v/>
      </c>
      <c r="W442" s="67" t="str">
        <f aca="false">IF(ISBLANK($C442),"",IF(J442=Constants!$B$2, TRUE(), IF(J442=Constants!$B$3, FALSE(), TRUE())))</f>
        <v/>
      </c>
      <c r="X442" s="67" t="str">
        <f aca="false">IF(ISBLANK($C442),"",IF(K442=Constants!$B$2, TRUE(), IF(K442=Constants!$B$3, FALSE(), TRUE())))</f>
        <v/>
      </c>
      <c r="Y442" s="67" t="str">
        <f aca="false">IF(ISBLANK($C442),"",IF(L442=Constants!$B$19,Constants!$B$19,Constants!$B$18))</f>
        <v/>
      </c>
      <c r="Z442" s="67" t="str">
        <f aca="false">IF(ISBLANK($C442),"",IF(ISNUMBER(M442),IF(M442&gt;=0,M442,""),""))</f>
        <v/>
      </c>
      <c r="AA442" s="67" t="str">
        <f aca="false">IF(ISBLANK($C442),"",IF(N442=Constants!$B$2, TRUE(), IF(N442=Constants!$B$3, FALSE(), TRUE())))</f>
        <v/>
      </c>
      <c r="AB442" s="67" t="str">
        <f aca="false">IF(ISBLANK($C442),"",IF(O442=Constants!$B$2, TRUE(), IF(O442=Constants!$B$3, FALSE(), TRUE())))</f>
        <v/>
      </c>
      <c r="AC442" s="67" t="str">
        <f aca="false">IF(ISBLANK($C442),"",IF(P442=Constants!$B$2, TRUE(), IF(P442=Constants!$B$3, FALSE(), FALSE())))</f>
        <v/>
      </c>
      <c r="AD442" s="67" t="str">
        <f aca="false">IF(ISBLANK($C442),"",AND(V442&lt;&gt;"",IF(U442=Constants!$B$19,S442,R442)))</f>
        <v/>
      </c>
      <c r="AE442" s="67" t="str">
        <f aca="false">IF(ISBLANK($C442),"",AND(Z442&lt;&gt;"",IF(Y442=Constants!$B$19,S442,R442)))</f>
        <v/>
      </c>
      <c r="AF442" s="67" t="str">
        <f aca="false">IF(ISBLANK($C442),"",IF(AC442,Constants!$B$4,IF(COUNTA(E442:O442)=0,Constants!$B$5,IF(AND(NOT(AD442),NOT(AE442)),Constants!$B$6,Constants!$B$7))))</f>
        <v/>
      </c>
      <c r="AG442" s="67" t="str">
        <f aca="false">IF(ISBLANK($C442),"",IF($AF442&lt;&gt;Constants!$B$7,$AF442,Constants!$B$20))</f>
        <v/>
      </c>
      <c r="AH442" s="67" t="str">
        <f aca="false">IF($AF442=Constants!$B$7,IF(AD442,V442,Constants!$B$13),"")</f>
        <v/>
      </c>
      <c r="AI442" s="67" t="str">
        <f aca="false">IF($AF442=Constants!$B$7,IF(AD442,T442*IF(W442, 1, Constants!$B$11)*IF(X442, 1, Constants!$B$12),Constants!$B$13),"")</f>
        <v/>
      </c>
      <c r="AJ442" s="67" t="str">
        <f aca="false">IF($AF442=Constants!$B$7,AH442*AI442,"")</f>
        <v/>
      </c>
      <c r="AK442" s="67" t="str">
        <f aca="false">IF($AF442=Constants!$B$7,IF(AE442,Z442,Constants!$B$13),"")</f>
        <v/>
      </c>
      <c r="AL442" s="67" t="str">
        <f aca="false">IF($AF442=Constants!$B$7,IF(AE442,T442*IF(AA442, 1, Constants!$B$11)*IF(AB442, 1, Constants!$B$12),Constants!$B$13),"")</f>
        <v/>
      </c>
      <c r="AM442" s="67" t="str">
        <f aca="false">IF($AF442=Constants!$B$7,AK442*AL442,"")</f>
        <v/>
      </c>
      <c r="AN442" s="67" t="str">
        <f aca="false">IF($AF442=Constants!$B$7,IF(AM442&gt;AJ442,2,1),"")</f>
        <v/>
      </c>
      <c r="AO442" s="67" t="str">
        <f aca="false">IF($AF442=Constants!$B$7,IF(AN442=1,2,1),"")</f>
        <v/>
      </c>
      <c r="AP442" s="67" t="str">
        <f aca="false">IF(ISBLANK($C442),"",IF($AF442&lt;&gt;Constants!$B$7,$AF442,IF(AN442=1,AJ442,AM442)))</f>
        <v/>
      </c>
      <c r="AQ442" s="67" t="str">
        <f aca="false">IF(ISBLANK($C442),"",IF($AF442=Constants!$B$7,IF(ISNUMBER(AP442),RANK(AP442,$AP$8:$AP$507),Constants!$B$14),$AF442))</f>
        <v/>
      </c>
      <c r="AR442" s="67" t="str">
        <f aca="false">IF(ISBLANK($C442),"",IF($AF442=Constants!$B$7,IF(AO442=1,AJ442,AM442),""))</f>
        <v/>
      </c>
      <c r="AS442" s="67" t="str">
        <f aca="false">IF(ISBLANK($C442),"",IF($AF442=Constants!$B$7,RANK(AR442,$AR$8:$AR$507),$AF442))</f>
        <v/>
      </c>
      <c r="AT442" s="67" t="str">
        <f aca="false">IF(ISBLANK($C442),"",IF($AF442=Constants!$B$7,IF(ISNUMBER(AQ442),COUNTIFS($AQ$8:$AQ$507,"&lt;"&amp;$AQ442)+COUNTIFS($AQ$8:$AQ$507,$AQ442,$AS$8:$AS$507,"&lt;"&amp;$AS442)+1,Constants!$B$14),$AF442))</f>
        <v/>
      </c>
      <c r="AU442" s="67" t="str">
        <f aca="false">IF(ISBLANK($C442),"",IF($AF442=Constants!$B$7,IF(ISNUMBER(AQ442),AQ442-AT442,Constants!$B$14),$AF442))</f>
        <v/>
      </c>
      <c r="AV442" s="69"/>
      <c r="AW442" s="70" t="str">
        <f aca="false">IF(ISBLANK($C442),"",IF($AF442&lt;&gt;Constants!$B$7,"",AN442))</f>
        <v/>
      </c>
      <c r="AX442" s="85" t="str">
        <f aca="false">IF(ISBLANK($C442),"",IF($AF442&lt;&gt;Constants!$B$7,"",IF(AN442=1,AH442,AK442)))</f>
        <v/>
      </c>
      <c r="AY442" s="72" t="str">
        <f aca="false">IF(ISBLANK($C442),"",IF($AF442&lt;&gt;Constants!$B$7,"",IF(AN442=1,AI442,AL442)))</f>
        <v/>
      </c>
      <c r="AZ442" s="73" t="str">
        <f aca="false">IF(ISBLANK($C442),"",IF($AF442&lt;&gt;Constants!$B$7,$AF442,AP442))</f>
        <v/>
      </c>
      <c r="BA442" s="74" t="str">
        <f aca="false">IF(ISBLANK($C442),"",IF($AF442&lt;&gt;Constants!$B$7,$AF442,AG442))</f>
        <v/>
      </c>
      <c r="BB442" s="75" t="str">
        <f aca="false">IF(ISBLANK($C442),"",AU442)</f>
        <v/>
      </c>
      <c r="BC442" s="75" t="str">
        <f aca="false">IF(ISBLANK($C442),"",AT442)</f>
        <v/>
      </c>
      <c r="BD442" s="76" t="str">
        <f aca="false">IF(ISBLANK($C442),"",IFERROR(_xlfn.SWITCH(BC442,Constants!$B$4,COUNTA($C$8:$C$507)+2,Constants!$B$5,COUNTA($C$8:$C$507)+1,Constants!$B$6,COUNTA($C$8:$C$507)),BC442))</f>
        <v/>
      </c>
      <c r="BE442" s="5"/>
      <c r="BF442" s="77" t="n">
        <f aca="false">IF(OR(ISNUMBER(BC442),BC442=Constants!$B$4,BC442=Constants!$B$6,BC442=Constants!$B$5),1,0)</f>
        <v>0</v>
      </c>
      <c r="BG442" s="77" t="n">
        <v>435</v>
      </c>
      <c r="BH442" s="77" t="str">
        <f aca="false">IF(ISBLANK($C442),"",IF(ISNUMBER(BD442),BD442+ROW($B442)/1000,""))</f>
        <v/>
      </c>
      <c r="BI442" s="77" t="str">
        <f aca="false">IF(ISNUMBER(BH442),RANK(BH442,$BH$8:$BH$507,1),"")</f>
        <v/>
      </c>
      <c r="BJ442" s="77" t="str">
        <f aca="false">IF(ISBLANK($C442),"",$B442)</f>
        <v/>
      </c>
      <c r="BK442" s="77" t="str">
        <f aca="false">IF(ISBLANK($C442),"",$C442)</f>
        <v/>
      </c>
      <c r="BL442" s="77" t="str">
        <f aca="false">IF(ISBLANK($C442),"",$D442)</f>
        <v/>
      </c>
      <c r="BM442" s="78" t="str">
        <f aca="false">BA442</f>
        <v/>
      </c>
      <c r="BN442" s="79" t="str">
        <f aca="false">AZ442</f>
        <v/>
      </c>
      <c r="BO442" s="77" t="str">
        <f aca="false">IF(ISBLANK($C442),"",BC442)</f>
        <v/>
      </c>
      <c r="BP442" s="80" t="str">
        <f aca="false">IF($BG442&gt;$BF$7,"",VLOOKUP($BG442,$BI$8:$BO$507,7,FALSE()))</f>
        <v/>
      </c>
      <c r="BQ442" s="81" t="str">
        <f aca="false">IF($BG442&gt;$BF$7,"",VLOOKUP($BG442,$BI$8:$BO$507,2,FALSE()))</f>
        <v/>
      </c>
      <c r="BR442" s="81" t="str">
        <f aca="false">IF($BG442&gt;$BF$7,"",VLOOKUP($BG442,$BI$8:$BO$507,3,FALSE()))</f>
        <v/>
      </c>
      <c r="BS442" s="81" t="str">
        <f aca="false">IF($BG442&gt;$BF$7,"",VLOOKUP($BG442,$BI$8:$BO$507,4,FALSE()))</f>
        <v/>
      </c>
      <c r="BT442" s="81" t="str">
        <f aca="false">IF($BG442&gt;$BF$7,"",VLOOKUP($BG442,$BI$8:$BO$507,5,FALSE()))</f>
        <v/>
      </c>
      <c r="BU442" s="82" t="str">
        <f aca="false">IF($BG442&gt;$BF$7,"",VLOOKUP($BG442,$BI$8:$BO$507,6,FALSE()))</f>
        <v/>
      </c>
      <c r="BV442" s="54"/>
    </row>
    <row r="443" customFormat="false" ht="15.75" hidden="false" customHeight="false" outlineLevel="0" collapsed="false">
      <c r="A443" s="5"/>
      <c r="B443" s="128"/>
      <c r="C443" s="129"/>
      <c r="D443" s="114"/>
      <c r="E443" s="134"/>
      <c r="F443" s="139"/>
      <c r="G443" s="93"/>
      <c r="H443" s="140"/>
      <c r="I443" s="95"/>
      <c r="J443" s="95"/>
      <c r="K443" s="93"/>
      <c r="L443" s="141"/>
      <c r="M443" s="95"/>
      <c r="N443" s="95"/>
      <c r="O443" s="93"/>
      <c r="P443" s="134"/>
      <c r="Q443" s="98"/>
      <c r="R443" s="99" t="str">
        <f aca="false">IF(ISBLANK($C443),"",IF(E443=Constants!$B$2, TRUE(), IF(E443=Constants!$B$3, FALSE(), TRUE())))</f>
        <v/>
      </c>
      <c r="S443" s="99" t="str">
        <f aca="false">IF(ISBLANK($C443),"",IF(F443=Constants!$B$2, TRUE(), IF(F443=Constants!$B$3, FALSE(), TRUE())))</f>
        <v/>
      </c>
      <c r="T443" s="99" t="str">
        <f aca="false">IF(ISBLANK($C443),"",IF(G443=Constants!$B$16,Constants!$B$9,IF(G443=Constants!$B$17,Constants!$B$10,Constants!$B$8)))</f>
        <v/>
      </c>
      <c r="U443" s="99" t="str">
        <f aca="false">IF(ISBLANK($C443),"",IF(H443=Constants!$B$19,Constants!$B$19,Constants!$B$18))</f>
        <v/>
      </c>
      <c r="V443" s="99" t="str">
        <f aca="false">IF(ISBLANK($C443),"",IF(ISNUMBER(I443),IF(I443&gt;=0,I443,""),""))</f>
        <v/>
      </c>
      <c r="W443" s="99" t="str">
        <f aca="false">IF(ISBLANK($C443),"",IF(J443=Constants!$B$2, TRUE(), IF(J443=Constants!$B$3, FALSE(), TRUE())))</f>
        <v/>
      </c>
      <c r="X443" s="99" t="str">
        <f aca="false">IF(ISBLANK($C443),"",IF(K443=Constants!$B$2, TRUE(), IF(K443=Constants!$B$3, FALSE(), TRUE())))</f>
        <v/>
      </c>
      <c r="Y443" s="99" t="str">
        <f aca="false">IF(ISBLANK($C443),"",IF(L443=Constants!$B$19,Constants!$B$19,Constants!$B$18))</f>
        <v/>
      </c>
      <c r="Z443" s="99" t="str">
        <f aca="false">IF(ISBLANK($C443),"",IF(ISNUMBER(M443),IF(M443&gt;=0,M443,""),""))</f>
        <v/>
      </c>
      <c r="AA443" s="99" t="str">
        <f aca="false">IF(ISBLANK($C443),"",IF(N443=Constants!$B$2, TRUE(), IF(N443=Constants!$B$3, FALSE(), TRUE())))</f>
        <v/>
      </c>
      <c r="AB443" s="99" t="str">
        <f aca="false">IF(ISBLANK($C443),"",IF(O443=Constants!$B$2, TRUE(), IF(O443=Constants!$B$3, FALSE(), TRUE())))</f>
        <v/>
      </c>
      <c r="AC443" s="99" t="str">
        <f aca="false">IF(ISBLANK($C443),"",IF(P443=Constants!$B$2, TRUE(), IF(P443=Constants!$B$3, FALSE(), FALSE())))</f>
        <v/>
      </c>
      <c r="AD443" s="99" t="str">
        <f aca="false">IF(ISBLANK($C443),"",AND(V443&lt;&gt;"",IF(U443=Constants!$B$19,S443,R443)))</f>
        <v/>
      </c>
      <c r="AE443" s="99" t="str">
        <f aca="false">IF(ISBLANK($C443),"",AND(Z443&lt;&gt;"",IF(Y443=Constants!$B$19,S443,R443)))</f>
        <v/>
      </c>
      <c r="AF443" s="99" t="str">
        <f aca="false">IF(ISBLANK($C443),"",IF(AC443,Constants!$B$4,IF(COUNTA(E443:O443)=0,Constants!$B$5,IF(AND(NOT(AD443),NOT(AE443)),Constants!$B$6,Constants!$B$7))))</f>
        <v/>
      </c>
      <c r="AG443" s="99" t="str">
        <f aca="false">IF(ISBLANK($C443),"",IF($AF443&lt;&gt;Constants!$B$7,$AF443,Constants!$B$20))</f>
        <v/>
      </c>
      <c r="AH443" s="99" t="str">
        <f aca="false">IF($AF443=Constants!$B$7,IF(AD443,V443,Constants!$B$13),"")</f>
        <v/>
      </c>
      <c r="AI443" s="99" t="str">
        <f aca="false">IF($AF443=Constants!$B$7,IF(AD443,T443*IF(W443, 1, Constants!$B$11)*IF(X443, 1, Constants!$B$12),Constants!$B$13),"")</f>
        <v/>
      </c>
      <c r="AJ443" s="99" t="str">
        <f aca="false">IF($AF443=Constants!$B$7,AH443*AI443,"")</f>
        <v/>
      </c>
      <c r="AK443" s="99" t="str">
        <f aca="false">IF($AF443=Constants!$B$7,IF(AE443,Z443,Constants!$B$13),"")</f>
        <v/>
      </c>
      <c r="AL443" s="99" t="str">
        <f aca="false">IF($AF443=Constants!$B$7,IF(AE443,T443*IF(AA443, 1, Constants!$B$11)*IF(AB443, 1, Constants!$B$12),Constants!$B$13),"")</f>
        <v/>
      </c>
      <c r="AM443" s="99" t="str">
        <f aca="false">IF($AF443=Constants!$B$7,AK443*AL443,"")</f>
        <v/>
      </c>
      <c r="AN443" s="99" t="str">
        <f aca="false">IF($AF443=Constants!$B$7,IF(AM443&gt;AJ443,2,1),"")</f>
        <v/>
      </c>
      <c r="AO443" s="99" t="str">
        <f aca="false">IF($AF443=Constants!$B$7,IF(AN443=1,2,1),"")</f>
        <v/>
      </c>
      <c r="AP443" s="99" t="str">
        <f aca="false">IF(ISBLANK($C443),"",IF($AF443&lt;&gt;Constants!$B$7,$AF443,IF(AN443=1,AJ443,AM443)))</f>
        <v/>
      </c>
      <c r="AQ443" s="99" t="str">
        <f aca="false">IF(ISBLANK($C443),"",IF($AF443=Constants!$B$7,IF(ISNUMBER(AP443),RANK(AP443,$AP$8:$AP$507),Constants!$B$14),$AF443))</f>
        <v/>
      </c>
      <c r="AR443" s="99" t="str">
        <f aca="false">IF(ISBLANK($C443),"",IF($AF443=Constants!$B$7,IF(AO443=1,AJ443,AM443),""))</f>
        <v/>
      </c>
      <c r="AS443" s="99" t="str">
        <f aca="false">IF(ISBLANK($C443),"",IF($AF443=Constants!$B$7,RANK(AR443,$AR$8:$AR$507),$AF443))</f>
        <v/>
      </c>
      <c r="AT443" s="99" t="str">
        <f aca="false">IF(ISBLANK($C443),"",IF($AF443=Constants!$B$7,IF(ISNUMBER(AQ443),COUNTIFS($AQ$8:$AQ$507,"&lt;"&amp;$AQ443)+COUNTIFS($AQ$8:$AQ$507,$AQ443,$AS$8:$AS$507,"&lt;"&amp;$AS443)+1,Constants!$B$14),$AF443))</f>
        <v/>
      </c>
      <c r="AU443" s="99" t="str">
        <f aca="false">IF(ISBLANK($C443),"",IF($AF443=Constants!$B$7,IF(ISNUMBER(AQ443),AQ443-AT443,Constants!$B$14),$AF443))</f>
        <v/>
      </c>
      <c r="AV443" s="100"/>
      <c r="AW443" s="101" t="str">
        <f aca="false">IF(ISBLANK($C443),"",IF($AF443&lt;&gt;Constants!$B$7,"",AN443))</f>
        <v/>
      </c>
      <c r="AX443" s="102" t="str">
        <f aca="false">IF(ISBLANK($C443),"",IF($AF443&lt;&gt;Constants!$B$7,"",IF(AN443=1,AH443,AK443)))</f>
        <v/>
      </c>
      <c r="AY443" s="103" t="str">
        <f aca="false">IF(ISBLANK($C443),"",IF($AF443&lt;&gt;Constants!$B$7,"",IF(AN443=1,AI443,AL443)))</f>
        <v/>
      </c>
      <c r="AZ443" s="104" t="str">
        <f aca="false">IF(ISBLANK($C443),"",IF($AF443&lt;&gt;Constants!$B$7,$AF443,AP443))</f>
        <v/>
      </c>
      <c r="BA443" s="105" t="str">
        <f aca="false">IF(ISBLANK($C443),"",IF($AF443&lt;&gt;Constants!$B$7,$AF443,AG443))</f>
        <v/>
      </c>
      <c r="BB443" s="106" t="str">
        <f aca="false">IF(ISBLANK($C443),"",AU443)</f>
        <v/>
      </c>
      <c r="BC443" s="106" t="str">
        <f aca="false">IF(ISBLANK($C443),"",AT443)</f>
        <v/>
      </c>
      <c r="BD443" s="107" t="str">
        <f aca="false">IF(ISBLANK($C443),"",IFERROR(_xlfn.SWITCH(BC443,Constants!$B$4,COUNTA($C$8:$C$507)+2,Constants!$B$5,COUNTA($C$8:$C$507)+1,Constants!$B$6,COUNTA($C$8:$C$507)),BC443))</f>
        <v/>
      </c>
      <c r="BE443" s="5"/>
      <c r="BF443" s="108" t="n">
        <f aca="false">IF(OR(ISNUMBER(BC443),BC443=Constants!$B$4,BC443=Constants!$B$6,BC443=Constants!$B$5),1,0)</f>
        <v>0</v>
      </c>
      <c r="BG443" s="108" t="n">
        <v>436</v>
      </c>
      <c r="BH443" s="108" t="str">
        <f aca="false">IF(ISBLANK($C443),"",IF(ISNUMBER(BD443),BD443+ROW($B443)/1000,""))</f>
        <v/>
      </c>
      <c r="BI443" s="108" t="str">
        <f aca="false">IF(ISNUMBER(BH443),RANK(BH443,$BH$8:$BH$507,1),"")</f>
        <v/>
      </c>
      <c r="BJ443" s="108" t="str">
        <f aca="false">IF(ISBLANK($C443),"",$B443)</f>
        <v/>
      </c>
      <c r="BK443" s="108" t="str">
        <f aca="false">IF(ISBLANK($C443),"",$C443)</f>
        <v/>
      </c>
      <c r="BL443" s="108" t="str">
        <f aca="false">IF(ISBLANK($C443),"",$D443)</f>
        <v/>
      </c>
      <c r="BM443" s="109" t="str">
        <f aca="false">BA443</f>
        <v/>
      </c>
      <c r="BN443" s="110" t="str">
        <f aca="false">AZ443</f>
        <v/>
      </c>
      <c r="BO443" s="108" t="str">
        <f aca="false">IF(ISBLANK($C443),"",BC443)</f>
        <v/>
      </c>
      <c r="BP443" s="111" t="str">
        <f aca="false">IF($BG443&gt;$BF$7,"",VLOOKUP($BG443,$BI$8:$BO$507,7,FALSE()))</f>
        <v/>
      </c>
      <c r="BQ443" s="112" t="str">
        <f aca="false">IF($BG443&gt;$BF$7,"",VLOOKUP($BG443,$BI$8:$BO$507,2,FALSE()))</f>
        <v/>
      </c>
      <c r="BR443" s="112" t="str">
        <f aca="false">IF($BG443&gt;$BF$7,"",VLOOKUP($BG443,$BI$8:$BO$507,3,FALSE()))</f>
        <v/>
      </c>
      <c r="BS443" s="112" t="str">
        <f aca="false">IF($BG443&gt;$BF$7,"",VLOOKUP($BG443,$BI$8:$BO$507,4,FALSE()))</f>
        <v/>
      </c>
      <c r="BT443" s="112" t="str">
        <f aca="false">IF($BG443&gt;$BF$7,"",VLOOKUP($BG443,$BI$8:$BO$507,5,FALSE()))</f>
        <v/>
      </c>
      <c r="BU443" s="113" t="str">
        <f aca="false">IF($BG443&gt;$BF$7,"",VLOOKUP($BG443,$BI$8:$BO$507,6,FALSE()))</f>
        <v/>
      </c>
      <c r="BV443" s="54"/>
    </row>
    <row r="444" customFormat="false" ht="15.75" hidden="false" customHeight="false" outlineLevel="0" collapsed="false">
      <c r="A444" s="5"/>
      <c r="B444" s="128"/>
      <c r="C444" s="129"/>
      <c r="D444" s="114"/>
      <c r="E444" s="134"/>
      <c r="F444" s="139"/>
      <c r="G444" s="93"/>
      <c r="H444" s="140"/>
      <c r="I444" s="95"/>
      <c r="J444" s="95"/>
      <c r="K444" s="93"/>
      <c r="L444" s="141"/>
      <c r="M444" s="95"/>
      <c r="N444" s="95"/>
      <c r="O444" s="93"/>
      <c r="P444" s="134"/>
      <c r="Q444" s="98"/>
      <c r="R444" s="99" t="str">
        <f aca="false">IF(ISBLANK($C444),"",IF(E444=Constants!$B$2, TRUE(), IF(E444=Constants!$B$3, FALSE(), TRUE())))</f>
        <v/>
      </c>
      <c r="S444" s="99" t="str">
        <f aca="false">IF(ISBLANK($C444),"",IF(F444=Constants!$B$2, TRUE(), IF(F444=Constants!$B$3, FALSE(), TRUE())))</f>
        <v/>
      </c>
      <c r="T444" s="99" t="str">
        <f aca="false">IF(ISBLANK($C444),"",IF(G444=Constants!$B$16,Constants!$B$9,IF(G444=Constants!$B$17,Constants!$B$10,Constants!$B$8)))</f>
        <v/>
      </c>
      <c r="U444" s="99" t="str">
        <f aca="false">IF(ISBLANK($C444),"",IF(H444=Constants!$B$19,Constants!$B$19,Constants!$B$18))</f>
        <v/>
      </c>
      <c r="V444" s="99" t="str">
        <f aca="false">IF(ISBLANK($C444),"",IF(ISNUMBER(I444),IF(I444&gt;=0,I444,""),""))</f>
        <v/>
      </c>
      <c r="W444" s="99" t="str">
        <f aca="false">IF(ISBLANK($C444),"",IF(J444=Constants!$B$2, TRUE(), IF(J444=Constants!$B$3, FALSE(), TRUE())))</f>
        <v/>
      </c>
      <c r="X444" s="99" t="str">
        <f aca="false">IF(ISBLANK($C444),"",IF(K444=Constants!$B$2, TRUE(), IF(K444=Constants!$B$3, FALSE(), TRUE())))</f>
        <v/>
      </c>
      <c r="Y444" s="99" t="str">
        <f aca="false">IF(ISBLANK($C444),"",IF(L444=Constants!$B$19,Constants!$B$19,Constants!$B$18))</f>
        <v/>
      </c>
      <c r="Z444" s="99" t="str">
        <f aca="false">IF(ISBLANK($C444),"",IF(ISNUMBER(M444),IF(M444&gt;=0,M444,""),""))</f>
        <v/>
      </c>
      <c r="AA444" s="99" t="str">
        <f aca="false">IF(ISBLANK($C444),"",IF(N444=Constants!$B$2, TRUE(), IF(N444=Constants!$B$3, FALSE(), TRUE())))</f>
        <v/>
      </c>
      <c r="AB444" s="99" t="str">
        <f aca="false">IF(ISBLANK($C444),"",IF(O444=Constants!$B$2, TRUE(), IF(O444=Constants!$B$3, FALSE(), TRUE())))</f>
        <v/>
      </c>
      <c r="AC444" s="99" t="str">
        <f aca="false">IF(ISBLANK($C444),"",IF(P444=Constants!$B$2, TRUE(), IF(P444=Constants!$B$3, FALSE(), FALSE())))</f>
        <v/>
      </c>
      <c r="AD444" s="99" t="str">
        <f aca="false">IF(ISBLANK($C444),"",AND(V444&lt;&gt;"",IF(U444=Constants!$B$19,S444,R444)))</f>
        <v/>
      </c>
      <c r="AE444" s="99" t="str">
        <f aca="false">IF(ISBLANK($C444),"",AND(Z444&lt;&gt;"",IF(Y444=Constants!$B$19,S444,R444)))</f>
        <v/>
      </c>
      <c r="AF444" s="99" t="str">
        <f aca="false">IF(ISBLANK($C444),"",IF(AC444,Constants!$B$4,IF(COUNTA(E444:O444)=0,Constants!$B$5,IF(AND(NOT(AD444),NOT(AE444)),Constants!$B$6,Constants!$B$7))))</f>
        <v/>
      </c>
      <c r="AG444" s="99" t="str">
        <f aca="false">IF(ISBLANK($C444),"",IF($AF444&lt;&gt;Constants!$B$7,$AF444,Constants!$B$20))</f>
        <v/>
      </c>
      <c r="AH444" s="99" t="str">
        <f aca="false">IF($AF444=Constants!$B$7,IF(AD444,V444,Constants!$B$13),"")</f>
        <v/>
      </c>
      <c r="AI444" s="99" t="str">
        <f aca="false">IF($AF444=Constants!$B$7,IF(AD444,T444*IF(W444, 1, Constants!$B$11)*IF(X444, 1, Constants!$B$12),Constants!$B$13),"")</f>
        <v/>
      </c>
      <c r="AJ444" s="99" t="str">
        <f aca="false">IF($AF444=Constants!$B$7,AH444*AI444,"")</f>
        <v/>
      </c>
      <c r="AK444" s="99" t="str">
        <f aca="false">IF($AF444=Constants!$B$7,IF(AE444,Z444,Constants!$B$13),"")</f>
        <v/>
      </c>
      <c r="AL444" s="99" t="str">
        <f aca="false">IF($AF444=Constants!$B$7,IF(AE444,T444*IF(AA444, 1, Constants!$B$11)*IF(AB444, 1, Constants!$B$12),Constants!$B$13),"")</f>
        <v/>
      </c>
      <c r="AM444" s="99" t="str">
        <f aca="false">IF($AF444=Constants!$B$7,AK444*AL444,"")</f>
        <v/>
      </c>
      <c r="AN444" s="99" t="str">
        <f aca="false">IF($AF444=Constants!$B$7,IF(AM444&gt;AJ444,2,1),"")</f>
        <v/>
      </c>
      <c r="AO444" s="99" t="str">
        <f aca="false">IF($AF444=Constants!$B$7,IF(AN444=1,2,1),"")</f>
        <v/>
      </c>
      <c r="AP444" s="99" t="str">
        <f aca="false">IF(ISBLANK($C444),"",IF($AF444&lt;&gt;Constants!$B$7,$AF444,IF(AN444=1,AJ444,AM444)))</f>
        <v/>
      </c>
      <c r="AQ444" s="99" t="str">
        <f aca="false">IF(ISBLANK($C444),"",IF($AF444=Constants!$B$7,IF(ISNUMBER(AP444),RANK(AP444,$AP$8:$AP$507),Constants!$B$14),$AF444))</f>
        <v/>
      </c>
      <c r="AR444" s="99" t="str">
        <f aca="false">IF(ISBLANK($C444),"",IF($AF444=Constants!$B$7,IF(AO444=1,AJ444,AM444),""))</f>
        <v/>
      </c>
      <c r="AS444" s="99" t="str">
        <f aca="false">IF(ISBLANK($C444),"",IF($AF444=Constants!$B$7,RANK(AR444,$AR$8:$AR$507),$AF444))</f>
        <v/>
      </c>
      <c r="AT444" s="99" t="str">
        <f aca="false">IF(ISBLANK($C444),"",IF($AF444=Constants!$B$7,IF(ISNUMBER(AQ444),COUNTIFS($AQ$8:$AQ$507,"&lt;"&amp;$AQ444)+COUNTIFS($AQ$8:$AQ$507,$AQ444,$AS$8:$AS$507,"&lt;"&amp;$AS444)+1,Constants!$B$14),$AF444))</f>
        <v/>
      </c>
      <c r="AU444" s="99" t="str">
        <f aca="false">IF(ISBLANK($C444),"",IF($AF444=Constants!$B$7,IF(ISNUMBER(AQ444),AQ444-AT444,Constants!$B$14),$AF444))</f>
        <v/>
      </c>
      <c r="AV444" s="100"/>
      <c r="AW444" s="101" t="str">
        <f aca="false">IF(ISBLANK($C444),"",IF($AF444&lt;&gt;Constants!$B$7,"",AN444))</f>
        <v/>
      </c>
      <c r="AX444" s="102" t="str">
        <f aca="false">IF(ISBLANK($C444),"",IF($AF444&lt;&gt;Constants!$B$7,"",IF(AN444=1,AH444,AK444)))</f>
        <v/>
      </c>
      <c r="AY444" s="103" t="str">
        <f aca="false">IF(ISBLANK($C444),"",IF($AF444&lt;&gt;Constants!$B$7,"",IF(AN444=1,AI444,AL444)))</f>
        <v/>
      </c>
      <c r="AZ444" s="104" t="str">
        <f aca="false">IF(ISBLANK($C444),"",IF($AF444&lt;&gt;Constants!$B$7,$AF444,AP444))</f>
        <v/>
      </c>
      <c r="BA444" s="105" t="str">
        <f aca="false">IF(ISBLANK($C444),"",IF($AF444&lt;&gt;Constants!$B$7,$AF444,AG444))</f>
        <v/>
      </c>
      <c r="BB444" s="106" t="str">
        <f aca="false">IF(ISBLANK($C444),"",AU444)</f>
        <v/>
      </c>
      <c r="BC444" s="106" t="str">
        <f aca="false">IF(ISBLANK($C444),"",AT444)</f>
        <v/>
      </c>
      <c r="BD444" s="107" t="str">
        <f aca="false">IF(ISBLANK($C444),"",IFERROR(_xlfn.SWITCH(BC444,Constants!$B$4,COUNTA($C$8:$C$507)+2,Constants!$B$5,COUNTA($C$8:$C$507)+1,Constants!$B$6,COUNTA($C$8:$C$507)),BC444))</f>
        <v/>
      </c>
      <c r="BE444" s="5"/>
      <c r="BF444" s="108" t="n">
        <f aca="false">IF(OR(ISNUMBER(BC444),BC444=Constants!$B$4,BC444=Constants!$B$6,BC444=Constants!$B$5),1,0)</f>
        <v>0</v>
      </c>
      <c r="BG444" s="108" t="n">
        <v>437</v>
      </c>
      <c r="BH444" s="108" t="str">
        <f aca="false">IF(ISBLANK($C444),"",IF(ISNUMBER(BD444),BD444+ROW($B444)/1000,""))</f>
        <v/>
      </c>
      <c r="BI444" s="108" t="str">
        <f aca="false">IF(ISNUMBER(BH444),RANK(BH444,$BH$8:$BH$507,1),"")</f>
        <v/>
      </c>
      <c r="BJ444" s="108" t="str">
        <f aca="false">IF(ISBLANK($C444),"",$B444)</f>
        <v/>
      </c>
      <c r="BK444" s="108" t="str">
        <f aca="false">IF(ISBLANK($C444),"",$C444)</f>
        <v/>
      </c>
      <c r="BL444" s="108" t="str">
        <f aca="false">IF(ISBLANK($C444),"",$D444)</f>
        <v/>
      </c>
      <c r="BM444" s="109" t="str">
        <f aca="false">BA444</f>
        <v/>
      </c>
      <c r="BN444" s="110" t="str">
        <f aca="false">AZ444</f>
        <v/>
      </c>
      <c r="BO444" s="108" t="str">
        <f aca="false">IF(ISBLANK($C444),"",BC444)</f>
        <v/>
      </c>
      <c r="BP444" s="111" t="str">
        <f aca="false">IF($BG444&gt;$BF$7,"",VLOOKUP($BG444,$BI$8:$BO$507,7,FALSE()))</f>
        <v/>
      </c>
      <c r="BQ444" s="112" t="str">
        <f aca="false">IF($BG444&gt;$BF$7,"",VLOOKUP($BG444,$BI$8:$BO$507,2,FALSE()))</f>
        <v/>
      </c>
      <c r="BR444" s="112" t="str">
        <f aca="false">IF($BG444&gt;$BF$7,"",VLOOKUP($BG444,$BI$8:$BO$507,3,FALSE()))</f>
        <v/>
      </c>
      <c r="BS444" s="112" t="str">
        <f aca="false">IF($BG444&gt;$BF$7,"",VLOOKUP($BG444,$BI$8:$BO$507,4,FALSE()))</f>
        <v/>
      </c>
      <c r="BT444" s="112" t="str">
        <f aca="false">IF($BG444&gt;$BF$7,"",VLOOKUP($BG444,$BI$8:$BO$507,5,FALSE()))</f>
        <v/>
      </c>
      <c r="BU444" s="113" t="str">
        <f aca="false">IF($BG444&gt;$BF$7,"",VLOOKUP($BG444,$BI$8:$BO$507,6,FALSE()))</f>
        <v/>
      </c>
      <c r="BV444" s="54"/>
    </row>
    <row r="445" customFormat="false" ht="15.75" hidden="false" customHeight="false" outlineLevel="0" collapsed="false">
      <c r="A445" s="5"/>
      <c r="B445" s="128"/>
      <c r="C445" s="129"/>
      <c r="D445" s="114"/>
      <c r="E445" s="134"/>
      <c r="F445" s="139"/>
      <c r="G445" s="93"/>
      <c r="H445" s="140"/>
      <c r="I445" s="95"/>
      <c r="J445" s="95"/>
      <c r="K445" s="93"/>
      <c r="L445" s="141"/>
      <c r="M445" s="95"/>
      <c r="N445" s="95"/>
      <c r="O445" s="93"/>
      <c r="P445" s="134"/>
      <c r="Q445" s="98"/>
      <c r="R445" s="99" t="str">
        <f aca="false">IF(ISBLANK($C445),"",IF(E445=Constants!$B$2, TRUE(), IF(E445=Constants!$B$3, FALSE(), TRUE())))</f>
        <v/>
      </c>
      <c r="S445" s="99" t="str">
        <f aca="false">IF(ISBLANK($C445),"",IF(F445=Constants!$B$2, TRUE(), IF(F445=Constants!$B$3, FALSE(), TRUE())))</f>
        <v/>
      </c>
      <c r="T445" s="99" t="str">
        <f aca="false">IF(ISBLANK($C445),"",IF(G445=Constants!$B$16,Constants!$B$9,IF(G445=Constants!$B$17,Constants!$B$10,Constants!$B$8)))</f>
        <v/>
      </c>
      <c r="U445" s="99" t="str">
        <f aca="false">IF(ISBLANK($C445),"",IF(H445=Constants!$B$19,Constants!$B$19,Constants!$B$18))</f>
        <v/>
      </c>
      <c r="V445" s="99" t="str">
        <f aca="false">IF(ISBLANK($C445),"",IF(ISNUMBER(I445),IF(I445&gt;=0,I445,""),""))</f>
        <v/>
      </c>
      <c r="W445" s="99" t="str">
        <f aca="false">IF(ISBLANK($C445),"",IF(J445=Constants!$B$2, TRUE(), IF(J445=Constants!$B$3, FALSE(), TRUE())))</f>
        <v/>
      </c>
      <c r="X445" s="99" t="str">
        <f aca="false">IF(ISBLANK($C445),"",IF(K445=Constants!$B$2, TRUE(), IF(K445=Constants!$B$3, FALSE(), TRUE())))</f>
        <v/>
      </c>
      <c r="Y445" s="99" t="str">
        <f aca="false">IF(ISBLANK($C445),"",IF(L445=Constants!$B$19,Constants!$B$19,Constants!$B$18))</f>
        <v/>
      </c>
      <c r="Z445" s="99" t="str">
        <f aca="false">IF(ISBLANK($C445),"",IF(ISNUMBER(M445),IF(M445&gt;=0,M445,""),""))</f>
        <v/>
      </c>
      <c r="AA445" s="99" t="str">
        <f aca="false">IF(ISBLANK($C445),"",IF(N445=Constants!$B$2, TRUE(), IF(N445=Constants!$B$3, FALSE(), TRUE())))</f>
        <v/>
      </c>
      <c r="AB445" s="99" t="str">
        <f aca="false">IF(ISBLANK($C445),"",IF(O445=Constants!$B$2, TRUE(), IF(O445=Constants!$B$3, FALSE(), TRUE())))</f>
        <v/>
      </c>
      <c r="AC445" s="99" t="str">
        <f aca="false">IF(ISBLANK($C445),"",IF(P445=Constants!$B$2, TRUE(), IF(P445=Constants!$B$3, FALSE(), FALSE())))</f>
        <v/>
      </c>
      <c r="AD445" s="99" t="str">
        <f aca="false">IF(ISBLANK($C445),"",AND(V445&lt;&gt;"",IF(U445=Constants!$B$19,S445,R445)))</f>
        <v/>
      </c>
      <c r="AE445" s="99" t="str">
        <f aca="false">IF(ISBLANK($C445),"",AND(Z445&lt;&gt;"",IF(Y445=Constants!$B$19,S445,R445)))</f>
        <v/>
      </c>
      <c r="AF445" s="99" t="str">
        <f aca="false">IF(ISBLANK($C445),"",IF(AC445,Constants!$B$4,IF(COUNTA(E445:O445)=0,Constants!$B$5,IF(AND(NOT(AD445),NOT(AE445)),Constants!$B$6,Constants!$B$7))))</f>
        <v/>
      </c>
      <c r="AG445" s="99" t="str">
        <f aca="false">IF(ISBLANK($C445),"",IF($AF445&lt;&gt;Constants!$B$7,$AF445,Constants!$B$20))</f>
        <v/>
      </c>
      <c r="AH445" s="99" t="str">
        <f aca="false">IF($AF445=Constants!$B$7,IF(AD445,V445,Constants!$B$13),"")</f>
        <v/>
      </c>
      <c r="AI445" s="99" t="str">
        <f aca="false">IF($AF445=Constants!$B$7,IF(AD445,T445*IF(W445, 1, Constants!$B$11)*IF(X445, 1, Constants!$B$12),Constants!$B$13),"")</f>
        <v/>
      </c>
      <c r="AJ445" s="99" t="str">
        <f aca="false">IF($AF445=Constants!$B$7,AH445*AI445,"")</f>
        <v/>
      </c>
      <c r="AK445" s="99" t="str">
        <f aca="false">IF($AF445=Constants!$B$7,IF(AE445,Z445,Constants!$B$13),"")</f>
        <v/>
      </c>
      <c r="AL445" s="99" t="str">
        <f aca="false">IF($AF445=Constants!$B$7,IF(AE445,T445*IF(AA445, 1, Constants!$B$11)*IF(AB445, 1, Constants!$B$12),Constants!$B$13),"")</f>
        <v/>
      </c>
      <c r="AM445" s="99" t="str">
        <f aca="false">IF($AF445=Constants!$B$7,AK445*AL445,"")</f>
        <v/>
      </c>
      <c r="AN445" s="99" t="str">
        <f aca="false">IF($AF445=Constants!$B$7,IF(AM445&gt;AJ445,2,1),"")</f>
        <v/>
      </c>
      <c r="AO445" s="99" t="str">
        <f aca="false">IF($AF445=Constants!$B$7,IF(AN445=1,2,1),"")</f>
        <v/>
      </c>
      <c r="AP445" s="99" t="str">
        <f aca="false">IF(ISBLANK($C445),"",IF($AF445&lt;&gt;Constants!$B$7,$AF445,IF(AN445=1,AJ445,AM445)))</f>
        <v/>
      </c>
      <c r="AQ445" s="99" t="str">
        <f aca="false">IF(ISBLANK($C445),"",IF($AF445=Constants!$B$7,IF(ISNUMBER(AP445),RANK(AP445,$AP$8:$AP$507),Constants!$B$14),$AF445))</f>
        <v/>
      </c>
      <c r="AR445" s="99" t="str">
        <f aca="false">IF(ISBLANK($C445),"",IF($AF445=Constants!$B$7,IF(AO445=1,AJ445,AM445),""))</f>
        <v/>
      </c>
      <c r="AS445" s="99" t="str">
        <f aca="false">IF(ISBLANK($C445),"",IF($AF445=Constants!$B$7,RANK(AR445,$AR$8:$AR$507),$AF445))</f>
        <v/>
      </c>
      <c r="AT445" s="99" t="str">
        <f aca="false">IF(ISBLANK($C445),"",IF($AF445=Constants!$B$7,IF(ISNUMBER(AQ445),COUNTIFS($AQ$8:$AQ$507,"&lt;"&amp;$AQ445)+COUNTIFS($AQ$8:$AQ$507,$AQ445,$AS$8:$AS$507,"&lt;"&amp;$AS445)+1,Constants!$B$14),$AF445))</f>
        <v/>
      </c>
      <c r="AU445" s="99" t="str">
        <f aca="false">IF(ISBLANK($C445),"",IF($AF445=Constants!$B$7,IF(ISNUMBER(AQ445),AQ445-AT445,Constants!$B$14),$AF445))</f>
        <v/>
      </c>
      <c r="AV445" s="100"/>
      <c r="AW445" s="101" t="str">
        <f aca="false">IF(ISBLANK($C445),"",IF($AF445&lt;&gt;Constants!$B$7,"",AN445))</f>
        <v/>
      </c>
      <c r="AX445" s="102" t="str">
        <f aca="false">IF(ISBLANK($C445),"",IF($AF445&lt;&gt;Constants!$B$7,"",IF(AN445=1,AH445,AK445)))</f>
        <v/>
      </c>
      <c r="AY445" s="103" t="str">
        <f aca="false">IF(ISBLANK($C445),"",IF($AF445&lt;&gt;Constants!$B$7,"",IF(AN445=1,AI445,AL445)))</f>
        <v/>
      </c>
      <c r="AZ445" s="104" t="str">
        <f aca="false">IF(ISBLANK($C445),"",IF($AF445&lt;&gt;Constants!$B$7,$AF445,AP445))</f>
        <v/>
      </c>
      <c r="BA445" s="105" t="str">
        <f aca="false">IF(ISBLANK($C445),"",IF($AF445&lt;&gt;Constants!$B$7,$AF445,AG445))</f>
        <v/>
      </c>
      <c r="BB445" s="106" t="str">
        <f aca="false">IF(ISBLANK($C445),"",AU445)</f>
        <v/>
      </c>
      <c r="BC445" s="106" t="str">
        <f aca="false">IF(ISBLANK($C445),"",AT445)</f>
        <v/>
      </c>
      <c r="BD445" s="107" t="str">
        <f aca="false">IF(ISBLANK($C445),"",IFERROR(_xlfn.SWITCH(BC445,Constants!$B$4,COUNTA($C$8:$C$507)+2,Constants!$B$5,COUNTA($C$8:$C$507)+1,Constants!$B$6,COUNTA($C$8:$C$507)),BC445))</f>
        <v/>
      </c>
      <c r="BE445" s="5"/>
      <c r="BF445" s="108" t="n">
        <f aca="false">IF(OR(ISNUMBER(BC445),BC445=Constants!$B$4,BC445=Constants!$B$6,BC445=Constants!$B$5),1,0)</f>
        <v>0</v>
      </c>
      <c r="BG445" s="108" t="n">
        <v>438</v>
      </c>
      <c r="BH445" s="108" t="str">
        <f aca="false">IF(ISBLANK($C445),"",IF(ISNUMBER(BD445),BD445+ROW($B445)/1000,""))</f>
        <v/>
      </c>
      <c r="BI445" s="108" t="str">
        <f aca="false">IF(ISNUMBER(BH445),RANK(BH445,$BH$8:$BH$507,1),"")</f>
        <v/>
      </c>
      <c r="BJ445" s="108" t="str">
        <f aca="false">IF(ISBLANK($C445),"",$B445)</f>
        <v/>
      </c>
      <c r="BK445" s="108" t="str">
        <f aca="false">IF(ISBLANK($C445),"",$C445)</f>
        <v/>
      </c>
      <c r="BL445" s="108" t="str">
        <f aca="false">IF(ISBLANK($C445),"",$D445)</f>
        <v/>
      </c>
      <c r="BM445" s="109" t="str">
        <f aca="false">BA445</f>
        <v/>
      </c>
      <c r="BN445" s="110" t="str">
        <f aca="false">AZ445</f>
        <v/>
      </c>
      <c r="BO445" s="108" t="str">
        <f aca="false">IF(ISBLANK($C445),"",BC445)</f>
        <v/>
      </c>
      <c r="BP445" s="111" t="str">
        <f aca="false">IF($BG445&gt;$BF$7,"",VLOOKUP($BG445,$BI$8:$BO$507,7,FALSE()))</f>
        <v/>
      </c>
      <c r="BQ445" s="112" t="str">
        <f aca="false">IF($BG445&gt;$BF$7,"",VLOOKUP($BG445,$BI$8:$BO$507,2,FALSE()))</f>
        <v/>
      </c>
      <c r="BR445" s="112" t="str">
        <f aca="false">IF($BG445&gt;$BF$7,"",VLOOKUP($BG445,$BI$8:$BO$507,3,FALSE()))</f>
        <v/>
      </c>
      <c r="BS445" s="112" t="str">
        <f aca="false">IF($BG445&gt;$BF$7,"",VLOOKUP($BG445,$BI$8:$BO$507,4,FALSE()))</f>
        <v/>
      </c>
      <c r="BT445" s="112" t="str">
        <f aca="false">IF($BG445&gt;$BF$7,"",VLOOKUP($BG445,$BI$8:$BO$507,5,FALSE()))</f>
        <v/>
      </c>
      <c r="BU445" s="113" t="str">
        <f aca="false">IF($BG445&gt;$BF$7,"",VLOOKUP($BG445,$BI$8:$BO$507,6,FALSE()))</f>
        <v/>
      </c>
      <c r="BV445" s="54"/>
    </row>
    <row r="446" customFormat="false" ht="15.75" hidden="false" customHeight="false" outlineLevel="0" collapsed="false">
      <c r="A446" s="5"/>
      <c r="B446" s="135"/>
      <c r="C446" s="56"/>
      <c r="D446" s="57"/>
      <c r="E446" s="84"/>
      <c r="F446" s="136"/>
      <c r="G446" s="60"/>
      <c r="H446" s="137"/>
      <c r="I446" s="62"/>
      <c r="J446" s="62"/>
      <c r="K446" s="60"/>
      <c r="L446" s="138"/>
      <c r="M446" s="62"/>
      <c r="N446" s="62"/>
      <c r="O446" s="60"/>
      <c r="P446" s="84"/>
      <c r="Q446" s="65"/>
      <c r="R446" s="67" t="str">
        <f aca="false">IF(ISBLANK($C446),"",IF(E446=Constants!$B$2, TRUE(), IF(E446=Constants!$B$3, FALSE(), TRUE())))</f>
        <v/>
      </c>
      <c r="S446" s="67" t="str">
        <f aca="false">IF(ISBLANK($C446),"",IF(F446=Constants!$B$2, TRUE(), IF(F446=Constants!$B$3, FALSE(), TRUE())))</f>
        <v/>
      </c>
      <c r="T446" s="67" t="str">
        <f aca="false">IF(ISBLANK($C446),"",IF(G446=Constants!$B$16,Constants!$B$9,IF(G446=Constants!$B$17,Constants!$B$10,Constants!$B$8)))</f>
        <v/>
      </c>
      <c r="U446" s="67" t="str">
        <f aca="false">IF(ISBLANK($C446),"",IF(H446=Constants!$B$19,Constants!$B$19,Constants!$B$18))</f>
        <v/>
      </c>
      <c r="V446" s="67" t="str">
        <f aca="false">IF(ISBLANK($C446),"",IF(ISNUMBER(I446),IF(I446&gt;=0,I446,""),""))</f>
        <v/>
      </c>
      <c r="W446" s="67" t="str">
        <f aca="false">IF(ISBLANK($C446),"",IF(J446=Constants!$B$2, TRUE(), IF(J446=Constants!$B$3, FALSE(), TRUE())))</f>
        <v/>
      </c>
      <c r="X446" s="67" t="str">
        <f aca="false">IF(ISBLANK($C446),"",IF(K446=Constants!$B$2, TRUE(), IF(K446=Constants!$B$3, FALSE(), TRUE())))</f>
        <v/>
      </c>
      <c r="Y446" s="67" t="str">
        <f aca="false">IF(ISBLANK($C446),"",IF(L446=Constants!$B$19,Constants!$B$19,Constants!$B$18))</f>
        <v/>
      </c>
      <c r="Z446" s="67" t="str">
        <f aca="false">IF(ISBLANK($C446),"",IF(ISNUMBER(M446),IF(M446&gt;=0,M446,""),""))</f>
        <v/>
      </c>
      <c r="AA446" s="67" t="str">
        <f aca="false">IF(ISBLANK($C446),"",IF(N446=Constants!$B$2, TRUE(), IF(N446=Constants!$B$3, FALSE(), TRUE())))</f>
        <v/>
      </c>
      <c r="AB446" s="67" t="str">
        <f aca="false">IF(ISBLANK($C446),"",IF(O446=Constants!$B$2, TRUE(), IF(O446=Constants!$B$3, FALSE(), TRUE())))</f>
        <v/>
      </c>
      <c r="AC446" s="67" t="str">
        <f aca="false">IF(ISBLANK($C446),"",IF(P446=Constants!$B$2, TRUE(), IF(P446=Constants!$B$3, FALSE(), FALSE())))</f>
        <v/>
      </c>
      <c r="AD446" s="67" t="str">
        <f aca="false">IF(ISBLANK($C446),"",AND(V446&lt;&gt;"",IF(U446=Constants!$B$19,S446,R446)))</f>
        <v/>
      </c>
      <c r="AE446" s="67" t="str">
        <f aca="false">IF(ISBLANK($C446),"",AND(Z446&lt;&gt;"",IF(Y446=Constants!$B$19,S446,R446)))</f>
        <v/>
      </c>
      <c r="AF446" s="67" t="str">
        <f aca="false">IF(ISBLANK($C446),"",IF(AC446,Constants!$B$4,IF(COUNTA(E446:O446)=0,Constants!$B$5,IF(AND(NOT(AD446),NOT(AE446)),Constants!$B$6,Constants!$B$7))))</f>
        <v/>
      </c>
      <c r="AG446" s="67" t="str">
        <f aca="false">IF(ISBLANK($C446),"",IF($AF446&lt;&gt;Constants!$B$7,$AF446,Constants!$B$20))</f>
        <v/>
      </c>
      <c r="AH446" s="67" t="str">
        <f aca="false">IF($AF446=Constants!$B$7,IF(AD446,V446,Constants!$B$13),"")</f>
        <v/>
      </c>
      <c r="AI446" s="67" t="str">
        <f aca="false">IF($AF446=Constants!$B$7,IF(AD446,T446*IF(W446, 1, Constants!$B$11)*IF(X446, 1, Constants!$B$12),Constants!$B$13),"")</f>
        <v/>
      </c>
      <c r="AJ446" s="67" t="str">
        <f aca="false">IF($AF446=Constants!$B$7,AH446*AI446,"")</f>
        <v/>
      </c>
      <c r="AK446" s="67" t="str">
        <f aca="false">IF($AF446=Constants!$B$7,IF(AE446,Z446,Constants!$B$13),"")</f>
        <v/>
      </c>
      <c r="AL446" s="67" t="str">
        <f aca="false">IF($AF446=Constants!$B$7,IF(AE446,T446*IF(AA446, 1, Constants!$B$11)*IF(AB446, 1, Constants!$B$12),Constants!$B$13),"")</f>
        <v/>
      </c>
      <c r="AM446" s="67" t="str">
        <f aca="false">IF($AF446=Constants!$B$7,AK446*AL446,"")</f>
        <v/>
      </c>
      <c r="AN446" s="67" t="str">
        <f aca="false">IF($AF446=Constants!$B$7,IF(AM446&gt;AJ446,2,1),"")</f>
        <v/>
      </c>
      <c r="AO446" s="67" t="str">
        <f aca="false">IF($AF446=Constants!$B$7,IF(AN446=1,2,1),"")</f>
        <v/>
      </c>
      <c r="AP446" s="67" t="str">
        <f aca="false">IF(ISBLANK($C446),"",IF($AF446&lt;&gt;Constants!$B$7,$AF446,IF(AN446=1,AJ446,AM446)))</f>
        <v/>
      </c>
      <c r="AQ446" s="67" t="str">
        <f aca="false">IF(ISBLANK($C446),"",IF($AF446=Constants!$B$7,IF(ISNUMBER(AP446),RANK(AP446,$AP$8:$AP$507),Constants!$B$14),$AF446))</f>
        <v/>
      </c>
      <c r="AR446" s="67" t="str">
        <f aca="false">IF(ISBLANK($C446),"",IF($AF446=Constants!$B$7,IF(AO446=1,AJ446,AM446),""))</f>
        <v/>
      </c>
      <c r="AS446" s="67" t="str">
        <f aca="false">IF(ISBLANK($C446),"",IF($AF446=Constants!$B$7,RANK(AR446,$AR$8:$AR$507),$AF446))</f>
        <v/>
      </c>
      <c r="AT446" s="67" t="str">
        <f aca="false">IF(ISBLANK($C446),"",IF($AF446=Constants!$B$7,IF(ISNUMBER(AQ446),COUNTIFS($AQ$8:$AQ$507,"&lt;"&amp;$AQ446)+COUNTIFS($AQ$8:$AQ$507,$AQ446,$AS$8:$AS$507,"&lt;"&amp;$AS446)+1,Constants!$B$14),$AF446))</f>
        <v/>
      </c>
      <c r="AU446" s="67" t="str">
        <f aca="false">IF(ISBLANK($C446),"",IF($AF446=Constants!$B$7,IF(ISNUMBER(AQ446),AQ446-AT446,Constants!$B$14),$AF446))</f>
        <v/>
      </c>
      <c r="AV446" s="69"/>
      <c r="AW446" s="70" t="str">
        <f aca="false">IF(ISBLANK($C446),"",IF($AF446&lt;&gt;Constants!$B$7,"",AN446))</f>
        <v/>
      </c>
      <c r="AX446" s="85" t="str">
        <f aca="false">IF(ISBLANK($C446),"",IF($AF446&lt;&gt;Constants!$B$7,"",IF(AN446=1,AH446,AK446)))</f>
        <v/>
      </c>
      <c r="AY446" s="72" t="str">
        <f aca="false">IF(ISBLANK($C446),"",IF($AF446&lt;&gt;Constants!$B$7,"",IF(AN446=1,AI446,AL446)))</f>
        <v/>
      </c>
      <c r="AZ446" s="73" t="str">
        <f aca="false">IF(ISBLANK($C446),"",IF($AF446&lt;&gt;Constants!$B$7,$AF446,AP446))</f>
        <v/>
      </c>
      <c r="BA446" s="74" t="str">
        <f aca="false">IF(ISBLANK($C446),"",IF($AF446&lt;&gt;Constants!$B$7,$AF446,AG446))</f>
        <v/>
      </c>
      <c r="BB446" s="75" t="str">
        <f aca="false">IF(ISBLANK($C446),"",AU446)</f>
        <v/>
      </c>
      <c r="BC446" s="75" t="str">
        <f aca="false">IF(ISBLANK($C446),"",AT446)</f>
        <v/>
      </c>
      <c r="BD446" s="76" t="str">
        <f aca="false">IF(ISBLANK($C446),"",IFERROR(_xlfn.SWITCH(BC446,Constants!$B$4,COUNTA($C$8:$C$507)+2,Constants!$B$5,COUNTA($C$8:$C$507)+1,Constants!$B$6,COUNTA($C$8:$C$507)),BC446))</f>
        <v/>
      </c>
      <c r="BE446" s="5"/>
      <c r="BF446" s="77" t="n">
        <f aca="false">IF(OR(ISNUMBER(BC446),BC446=Constants!$B$4,BC446=Constants!$B$6,BC446=Constants!$B$5),1,0)</f>
        <v>0</v>
      </c>
      <c r="BG446" s="77" t="n">
        <v>439</v>
      </c>
      <c r="BH446" s="77" t="str">
        <f aca="false">IF(ISBLANK($C446),"",IF(ISNUMBER(BD446),BD446+ROW($B446)/1000,""))</f>
        <v/>
      </c>
      <c r="BI446" s="77" t="str">
        <f aca="false">IF(ISNUMBER(BH446),RANK(BH446,$BH$8:$BH$507,1),"")</f>
        <v/>
      </c>
      <c r="BJ446" s="77" t="str">
        <f aca="false">IF(ISBLANK($C446),"",$B446)</f>
        <v/>
      </c>
      <c r="BK446" s="77" t="str">
        <f aca="false">IF(ISBLANK($C446),"",$C446)</f>
        <v/>
      </c>
      <c r="BL446" s="77" t="str">
        <f aca="false">IF(ISBLANK($C446),"",$D446)</f>
        <v/>
      </c>
      <c r="BM446" s="78" t="str">
        <f aca="false">BA446</f>
        <v/>
      </c>
      <c r="BN446" s="79" t="str">
        <f aca="false">AZ446</f>
        <v/>
      </c>
      <c r="BO446" s="77" t="str">
        <f aca="false">IF(ISBLANK($C446),"",BC446)</f>
        <v/>
      </c>
      <c r="BP446" s="80" t="str">
        <f aca="false">IF($BG446&gt;$BF$7,"",VLOOKUP($BG446,$BI$8:$BO$507,7,FALSE()))</f>
        <v/>
      </c>
      <c r="BQ446" s="81" t="str">
        <f aca="false">IF($BG446&gt;$BF$7,"",VLOOKUP($BG446,$BI$8:$BO$507,2,FALSE()))</f>
        <v/>
      </c>
      <c r="BR446" s="81" t="str">
        <f aca="false">IF($BG446&gt;$BF$7,"",VLOOKUP($BG446,$BI$8:$BO$507,3,FALSE()))</f>
        <v/>
      </c>
      <c r="BS446" s="81" t="str">
        <f aca="false">IF($BG446&gt;$BF$7,"",VLOOKUP($BG446,$BI$8:$BO$507,4,FALSE()))</f>
        <v/>
      </c>
      <c r="BT446" s="81" t="str">
        <f aca="false">IF($BG446&gt;$BF$7,"",VLOOKUP($BG446,$BI$8:$BO$507,5,FALSE()))</f>
        <v/>
      </c>
      <c r="BU446" s="82" t="str">
        <f aca="false">IF($BG446&gt;$BF$7,"",VLOOKUP($BG446,$BI$8:$BO$507,6,FALSE()))</f>
        <v/>
      </c>
      <c r="BV446" s="54"/>
    </row>
    <row r="447" customFormat="false" ht="15.75" hidden="false" customHeight="false" outlineLevel="0" collapsed="false">
      <c r="A447" s="5"/>
      <c r="B447" s="135"/>
      <c r="C447" s="56"/>
      <c r="D447" s="57"/>
      <c r="E447" s="84"/>
      <c r="F447" s="136"/>
      <c r="G447" s="60"/>
      <c r="H447" s="137"/>
      <c r="I447" s="62"/>
      <c r="J447" s="62"/>
      <c r="K447" s="60"/>
      <c r="L447" s="138"/>
      <c r="M447" s="62"/>
      <c r="N447" s="62"/>
      <c r="O447" s="60"/>
      <c r="P447" s="84"/>
      <c r="Q447" s="65"/>
      <c r="R447" s="67" t="str">
        <f aca="false">IF(ISBLANK($C447),"",IF(E447=Constants!$B$2, TRUE(), IF(E447=Constants!$B$3, FALSE(), TRUE())))</f>
        <v/>
      </c>
      <c r="S447" s="67" t="str">
        <f aca="false">IF(ISBLANK($C447),"",IF(F447=Constants!$B$2, TRUE(), IF(F447=Constants!$B$3, FALSE(), TRUE())))</f>
        <v/>
      </c>
      <c r="T447" s="67" t="str">
        <f aca="false">IF(ISBLANK($C447),"",IF(G447=Constants!$B$16,Constants!$B$9,IF(G447=Constants!$B$17,Constants!$B$10,Constants!$B$8)))</f>
        <v/>
      </c>
      <c r="U447" s="67" t="str">
        <f aca="false">IF(ISBLANK($C447),"",IF(H447=Constants!$B$19,Constants!$B$19,Constants!$B$18))</f>
        <v/>
      </c>
      <c r="V447" s="67" t="str">
        <f aca="false">IF(ISBLANK($C447),"",IF(ISNUMBER(I447),IF(I447&gt;=0,I447,""),""))</f>
        <v/>
      </c>
      <c r="W447" s="67" t="str">
        <f aca="false">IF(ISBLANK($C447),"",IF(J447=Constants!$B$2, TRUE(), IF(J447=Constants!$B$3, FALSE(), TRUE())))</f>
        <v/>
      </c>
      <c r="X447" s="67" t="str">
        <f aca="false">IF(ISBLANK($C447),"",IF(K447=Constants!$B$2, TRUE(), IF(K447=Constants!$B$3, FALSE(), TRUE())))</f>
        <v/>
      </c>
      <c r="Y447" s="67" t="str">
        <f aca="false">IF(ISBLANK($C447),"",IF(L447=Constants!$B$19,Constants!$B$19,Constants!$B$18))</f>
        <v/>
      </c>
      <c r="Z447" s="67" t="str">
        <f aca="false">IF(ISBLANK($C447),"",IF(ISNUMBER(M447),IF(M447&gt;=0,M447,""),""))</f>
        <v/>
      </c>
      <c r="AA447" s="67" t="str">
        <f aca="false">IF(ISBLANK($C447),"",IF(N447=Constants!$B$2, TRUE(), IF(N447=Constants!$B$3, FALSE(), TRUE())))</f>
        <v/>
      </c>
      <c r="AB447" s="67" t="str">
        <f aca="false">IF(ISBLANK($C447),"",IF(O447=Constants!$B$2, TRUE(), IF(O447=Constants!$B$3, FALSE(), TRUE())))</f>
        <v/>
      </c>
      <c r="AC447" s="67" t="str">
        <f aca="false">IF(ISBLANK($C447),"",IF(P447=Constants!$B$2, TRUE(), IF(P447=Constants!$B$3, FALSE(), FALSE())))</f>
        <v/>
      </c>
      <c r="AD447" s="67" t="str">
        <f aca="false">IF(ISBLANK($C447),"",AND(V447&lt;&gt;"",IF(U447=Constants!$B$19,S447,R447)))</f>
        <v/>
      </c>
      <c r="AE447" s="67" t="str">
        <f aca="false">IF(ISBLANK($C447),"",AND(Z447&lt;&gt;"",IF(Y447=Constants!$B$19,S447,R447)))</f>
        <v/>
      </c>
      <c r="AF447" s="67" t="str">
        <f aca="false">IF(ISBLANK($C447),"",IF(AC447,Constants!$B$4,IF(COUNTA(E447:O447)=0,Constants!$B$5,IF(AND(NOT(AD447),NOT(AE447)),Constants!$B$6,Constants!$B$7))))</f>
        <v/>
      </c>
      <c r="AG447" s="67" t="str">
        <f aca="false">IF(ISBLANK($C447),"",IF($AF447&lt;&gt;Constants!$B$7,$AF447,Constants!$B$20))</f>
        <v/>
      </c>
      <c r="AH447" s="67" t="str">
        <f aca="false">IF($AF447=Constants!$B$7,IF(AD447,V447,Constants!$B$13),"")</f>
        <v/>
      </c>
      <c r="AI447" s="67" t="str">
        <f aca="false">IF($AF447=Constants!$B$7,IF(AD447,T447*IF(W447, 1, Constants!$B$11)*IF(X447, 1, Constants!$B$12),Constants!$B$13),"")</f>
        <v/>
      </c>
      <c r="AJ447" s="67" t="str">
        <f aca="false">IF($AF447=Constants!$B$7,AH447*AI447,"")</f>
        <v/>
      </c>
      <c r="AK447" s="67" t="str">
        <f aca="false">IF($AF447=Constants!$B$7,IF(AE447,Z447,Constants!$B$13),"")</f>
        <v/>
      </c>
      <c r="AL447" s="67" t="str">
        <f aca="false">IF($AF447=Constants!$B$7,IF(AE447,T447*IF(AA447, 1, Constants!$B$11)*IF(AB447, 1, Constants!$B$12),Constants!$B$13),"")</f>
        <v/>
      </c>
      <c r="AM447" s="67" t="str">
        <f aca="false">IF($AF447=Constants!$B$7,AK447*AL447,"")</f>
        <v/>
      </c>
      <c r="AN447" s="67" t="str">
        <f aca="false">IF($AF447=Constants!$B$7,IF(AM447&gt;AJ447,2,1),"")</f>
        <v/>
      </c>
      <c r="AO447" s="67" t="str">
        <f aca="false">IF($AF447=Constants!$B$7,IF(AN447=1,2,1),"")</f>
        <v/>
      </c>
      <c r="AP447" s="67" t="str">
        <f aca="false">IF(ISBLANK($C447),"",IF($AF447&lt;&gt;Constants!$B$7,$AF447,IF(AN447=1,AJ447,AM447)))</f>
        <v/>
      </c>
      <c r="AQ447" s="67" t="str">
        <f aca="false">IF(ISBLANK($C447),"",IF($AF447=Constants!$B$7,IF(ISNUMBER(AP447),RANK(AP447,$AP$8:$AP$507),Constants!$B$14),$AF447))</f>
        <v/>
      </c>
      <c r="AR447" s="67" t="str">
        <f aca="false">IF(ISBLANK($C447),"",IF($AF447=Constants!$B$7,IF(AO447=1,AJ447,AM447),""))</f>
        <v/>
      </c>
      <c r="AS447" s="67" t="str">
        <f aca="false">IF(ISBLANK($C447),"",IF($AF447=Constants!$B$7,RANK(AR447,$AR$8:$AR$507),$AF447))</f>
        <v/>
      </c>
      <c r="AT447" s="67" t="str">
        <f aca="false">IF(ISBLANK($C447),"",IF($AF447=Constants!$B$7,IF(ISNUMBER(AQ447),COUNTIFS($AQ$8:$AQ$507,"&lt;"&amp;$AQ447)+COUNTIFS($AQ$8:$AQ$507,$AQ447,$AS$8:$AS$507,"&lt;"&amp;$AS447)+1,Constants!$B$14),$AF447))</f>
        <v/>
      </c>
      <c r="AU447" s="67" t="str">
        <f aca="false">IF(ISBLANK($C447),"",IF($AF447=Constants!$B$7,IF(ISNUMBER(AQ447),AQ447-AT447,Constants!$B$14),$AF447))</f>
        <v/>
      </c>
      <c r="AV447" s="69"/>
      <c r="AW447" s="70" t="str">
        <f aca="false">IF(ISBLANK($C447),"",IF($AF447&lt;&gt;Constants!$B$7,"",AN447))</f>
        <v/>
      </c>
      <c r="AX447" s="85" t="str">
        <f aca="false">IF(ISBLANK($C447),"",IF($AF447&lt;&gt;Constants!$B$7,"",IF(AN447=1,AH447,AK447)))</f>
        <v/>
      </c>
      <c r="AY447" s="72" t="str">
        <f aca="false">IF(ISBLANK($C447),"",IF($AF447&lt;&gt;Constants!$B$7,"",IF(AN447=1,AI447,AL447)))</f>
        <v/>
      </c>
      <c r="AZ447" s="73" t="str">
        <f aca="false">IF(ISBLANK($C447),"",IF($AF447&lt;&gt;Constants!$B$7,$AF447,AP447))</f>
        <v/>
      </c>
      <c r="BA447" s="74" t="str">
        <f aca="false">IF(ISBLANK($C447),"",IF($AF447&lt;&gt;Constants!$B$7,$AF447,AG447))</f>
        <v/>
      </c>
      <c r="BB447" s="75" t="str">
        <f aca="false">IF(ISBLANK($C447),"",AU447)</f>
        <v/>
      </c>
      <c r="BC447" s="75" t="str">
        <f aca="false">IF(ISBLANK($C447),"",AT447)</f>
        <v/>
      </c>
      <c r="BD447" s="76" t="str">
        <f aca="false">IF(ISBLANK($C447),"",IFERROR(_xlfn.SWITCH(BC447,Constants!$B$4,COUNTA($C$8:$C$507)+2,Constants!$B$5,COUNTA($C$8:$C$507)+1,Constants!$B$6,COUNTA($C$8:$C$507)),BC447))</f>
        <v/>
      </c>
      <c r="BE447" s="5"/>
      <c r="BF447" s="77" t="n">
        <f aca="false">IF(OR(ISNUMBER(BC447),BC447=Constants!$B$4,BC447=Constants!$B$6,BC447=Constants!$B$5),1,0)</f>
        <v>0</v>
      </c>
      <c r="BG447" s="77" t="n">
        <v>440</v>
      </c>
      <c r="BH447" s="77" t="str">
        <f aca="false">IF(ISBLANK($C447),"",IF(ISNUMBER(BD447),BD447+ROW($B447)/1000,""))</f>
        <v/>
      </c>
      <c r="BI447" s="77" t="str">
        <f aca="false">IF(ISNUMBER(BH447),RANK(BH447,$BH$8:$BH$507,1),"")</f>
        <v/>
      </c>
      <c r="BJ447" s="77" t="str">
        <f aca="false">IF(ISBLANK($C447),"",$B447)</f>
        <v/>
      </c>
      <c r="BK447" s="77" t="str">
        <f aca="false">IF(ISBLANK($C447),"",$C447)</f>
        <v/>
      </c>
      <c r="BL447" s="77" t="str">
        <f aca="false">IF(ISBLANK($C447),"",$D447)</f>
        <v/>
      </c>
      <c r="BM447" s="78" t="str">
        <f aca="false">BA447</f>
        <v/>
      </c>
      <c r="BN447" s="79" t="str">
        <f aca="false">AZ447</f>
        <v/>
      </c>
      <c r="BO447" s="77" t="str">
        <f aca="false">IF(ISBLANK($C447),"",BC447)</f>
        <v/>
      </c>
      <c r="BP447" s="80" t="str">
        <f aca="false">IF($BG447&gt;$BF$7,"",VLOOKUP($BG447,$BI$8:$BO$507,7,FALSE()))</f>
        <v/>
      </c>
      <c r="BQ447" s="81" t="str">
        <f aca="false">IF($BG447&gt;$BF$7,"",VLOOKUP($BG447,$BI$8:$BO$507,2,FALSE()))</f>
        <v/>
      </c>
      <c r="BR447" s="81" t="str">
        <f aca="false">IF($BG447&gt;$BF$7,"",VLOOKUP($BG447,$BI$8:$BO$507,3,FALSE()))</f>
        <v/>
      </c>
      <c r="BS447" s="81" t="str">
        <f aca="false">IF($BG447&gt;$BF$7,"",VLOOKUP($BG447,$BI$8:$BO$507,4,FALSE()))</f>
        <v/>
      </c>
      <c r="BT447" s="81" t="str">
        <f aca="false">IF($BG447&gt;$BF$7,"",VLOOKUP($BG447,$BI$8:$BO$507,5,FALSE()))</f>
        <v/>
      </c>
      <c r="BU447" s="82" t="str">
        <f aca="false">IF($BG447&gt;$BF$7,"",VLOOKUP($BG447,$BI$8:$BO$507,6,FALSE()))</f>
        <v/>
      </c>
      <c r="BV447" s="54"/>
    </row>
    <row r="448" customFormat="false" ht="15.75" hidden="false" customHeight="false" outlineLevel="0" collapsed="false">
      <c r="A448" s="5"/>
      <c r="B448" s="135"/>
      <c r="C448" s="56"/>
      <c r="D448" s="57"/>
      <c r="E448" s="84"/>
      <c r="F448" s="136"/>
      <c r="G448" s="60"/>
      <c r="H448" s="137"/>
      <c r="I448" s="62"/>
      <c r="J448" s="62"/>
      <c r="K448" s="60"/>
      <c r="L448" s="138"/>
      <c r="M448" s="62"/>
      <c r="N448" s="62"/>
      <c r="O448" s="60"/>
      <c r="P448" s="84"/>
      <c r="Q448" s="65"/>
      <c r="R448" s="67" t="str">
        <f aca="false">IF(ISBLANK($C448),"",IF(E448=Constants!$B$2, TRUE(), IF(E448=Constants!$B$3, FALSE(), TRUE())))</f>
        <v/>
      </c>
      <c r="S448" s="67" t="str">
        <f aca="false">IF(ISBLANK($C448),"",IF(F448=Constants!$B$2, TRUE(), IF(F448=Constants!$B$3, FALSE(), TRUE())))</f>
        <v/>
      </c>
      <c r="T448" s="67" t="str">
        <f aca="false">IF(ISBLANK($C448),"",IF(G448=Constants!$B$16,Constants!$B$9,IF(G448=Constants!$B$17,Constants!$B$10,Constants!$B$8)))</f>
        <v/>
      </c>
      <c r="U448" s="67" t="str">
        <f aca="false">IF(ISBLANK($C448),"",IF(H448=Constants!$B$19,Constants!$B$19,Constants!$B$18))</f>
        <v/>
      </c>
      <c r="V448" s="67" t="str">
        <f aca="false">IF(ISBLANK($C448),"",IF(ISNUMBER(I448),IF(I448&gt;=0,I448,""),""))</f>
        <v/>
      </c>
      <c r="W448" s="67" t="str">
        <f aca="false">IF(ISBLANK($C448),"",IF(J448=Constants!$B$2, TRUE(), IF(J448=Constants!$B$3, FALSE(), TRUE())))</f>
        <v/>
      </c>
      <c r="X448" s="67" t="str">
        <f aca="false">IF(ISBLANK($C448),"",IF(K448=Constants!$B$2, TRUE(), IF(K448=Constants!$B$3, FALSE(), TRUE())))</f>
        <v/>
      </c>
      <c r="Y448" s="67" t="str">
        <f aca="false">IF(ISBLANK($C448),"",IF(L448=Constants!$B$19,Constants!$B$19,Constants!$B$18))</f>
        <v/>
      </c>
      <c r="Z448" s="67" t="str">
        <f aca="false">IF(ISBLANK($C448),"",IF(ISNUMBER(M448),IF(M448&gt;=0,M448,""),""))</f>
        <v/>
      </c>
      <c r="AA448" s="67" t="str">
        <f aca="false">IF(ISBLANK($C448),"",IF(N448=Constants!$B$2, TRUE(), IF(N448=Constants!$B$3, FALSE(), TRUE())))</f>
        <v/>
      </c>
      <c r="AB448" s="67" t="str">
        <f aca="false">IF(ISBLANK($C448),"",IF(O448=Constants!$B$2, TRUE(), IF(O448=Constants!$B$3, FALSE(), TRUE())))</f>
        <v/>
      </c>
      <c r="AC448" s="67" t="str">
        <f aca="false">IF(ISBLANK($C448),"",IF(P448=Constants!$B$2, TRUE(), IF(P448=Constants!$B$3, FALSE(), FALSE())))</f>
        <v/>
      </c>
      <c r="AD448" s="67" t="str">
        <f aca="false">IF(ISBLANK($C448),"",AND(V448&lt;&gt;"",IF(U448=Constants!$B$19,S448,R448)))</f>
        <v/>
      </c>
      <c r="AE448" s="67" t="str">
        <f aca="false">IF(ISBLANK($C448),"",AND(Z448&lt;&gt;"",IF(Y448=Constants!$B$19,S448,R448)))</f>
        <v/>
      </c>
      <c r="AF448" s="67" t="str">
        <f aca="false">IF(ISBLANK($C448),"",IF(AC448,Constants!$B$4,IF(COUNTA(E448:O448)=0,Constants!$B$5,IF(AND(NOT(AD448),NOT(AE448)),Constants!$B$6,Constants!$B$7))))</f>
        <v/>
      </c>
      <c r="AG448" s="67" t="str">
        <f aca="false">IF(ISBLANK($C448),"",IF($AF448&lt;&gt;Constants!$B$7,$AF448,Constants!$B$20))</f>
        <v/>
      </c>
      <c r="AH448" s="67" t="str">
        <f aca="false">IF($AF448=Constants!$B$7,IF(AD448,V448,Constants!$B$13),"")</f>
        <v/>
      </c>
      <c r="AI448" s="67" t="str">
        <f aca="false">IF($AF448=Constants!$B$7,IF(AD448,T448*IF(W448, 1, Constants!$B$11)*IF(X448, 1, Constants!$B$12),Constants!$B$13),"")</f>
        <v/>
      </c>
      <c r="AJ448" s="67" t="str">
        <f aca="false">IF($AF448=Constants!$B$7,AH448*AI448,"")</f>
        <v/>
      </c>
      <c r="AK448" s="67" t="str">
        <f aca="false">IF($AF448=Constants!$B$7,IF(AE448,Z448,Constants!$B$13),"")</f>
        <v/>
      </c>
      <c r="AL448" s="67" t="str">
        <f aca="false">IF($AF448=Constants!$B$7,IF(AE448,T448*IF(AA448, 1, Constants!$B$11)*IF(AB448, 1, Constants!$B$12),Constants!$B$13),"")</f>
        <v/>
      </c>
      <c r="AM448" s="67" t="str">
        <f aca="false">IF($AF448=Constants!$B$7,AK448*AL448,"")</f>
        <v/>
      </c>
      <c r="AN448" s="67" t="str">
        <f aca="false">IF($AF448=Constants!$B$7,IF(AM448&gt;AJ448,2,1),"")</f>
        <v/>
      </c>
      <c r="AO448" s="67" t="str">
        <f aca="false">IF($AF448=Constants!$B$7,IF(AN448=1,2,1),"")</f>
        <v/>
      </c>
      <c r="AP448" s="67" t="str">
        <f aca="false">IF(ISBLANK($C448),"",IF($AF448&lt;&gt;Constants!$B$7,$AF448,IF(AN448=1,AJ448,AM448)))</f>
        <v/>
      </c>
      <c r="AQ448" s="67" t="str">
        <f aca="false">IF(ISBLANK($C448),"",IF($AF448=Constants!$B$7,IF(ISNUMBER(AP448),RANK(AP448,$AP$8:$AP$507),Constants!$B$14),$AF448))</f>
        <v/>
      </c>
      <c r="AR448" s="67" t="str">
        <f aca="false">IF(ISBLANK($C448),"",IF($AF448=Constants!$B$7,IF(AO448=1,AJ448,AM448),""))</f>
        <v/>
      </c>
      <c r="AS448" s="67" t="str">
        <f aca="false">IF(ISBLANK($C448),"",IF($AF448=Constants!$B$7,RANK(AR448,$AR$8:$AR$507),$AF448))</f>
        <v/>
      </c>
      <c r="AT448" s="67" t="str">
        <f aca="false">IF(ISBLANK($C448),"",IF($AF448=Constants!$B$7,IF(ISNUMBER(AQ448),COUNTIFS($AQ$8:$AQ$507,"&lt;"&amp;$AQ448)+COUNTIFS($AQ$8:$AQ$507,$AQ448,$AS$8:$AS$507,"&lt;"&amp;$AS448)+1,Constants!$B$14),$AF448))</f>
        <v/>
      </c>
      <c r="AU448" s="67" t="str">
        <f aca="false">IF(ISBLANK($C448),"",IF($AF448=Constants!$B$7,IF(ISNUMBER(AQ448),AQ448-AT448,Constants!$B$14),$AF448))</f>
        <v/>
      </c>
      <c r="AV448" s="69"/>
      <c r="AW448" s="70" t="str">
        <f aca="false">IF(ISBLANK($C448),"",IF($AF448&lt;&gt;Constants!$B$7,"",AN448))</f>
        <v/>
      </c>
      <c r="AX448" s="85" t="str">
        <f aca="false">IF(ISBLANK($C448),"",IF($AF448&lt;&gt;Constants!$B$7,"",IF(AN448=1,AH448,AK448)))</f>
        <v/>
      </c>
      <c r="AY448" s="72" t="str">
        <f aca="false">IF(ISBLANK($C448),"",IF($AF448&lt;&gt;Constants!$B$7,"",IF(AN448=1,AI448,AL448)))</f>
        <v/>
      </c>
      <c r="AZ448" s="73" t="str">
        <f aca="false">IF(ISBLANK($C448),"",IF($AF448&lt;&gt;Constants!$B$7,$AF448,AP448))</f>
        <v/>
      </c>
      <c r="BA448" s="74" t="str">
        <f aca="false">IF(ISBLANK($C448),"",IF($AF448&lt;&gt;Constants!$B$7,$AF448,AG448))</f>
        <v/>
      </c>
      <c r="BB448" s="75" t="str">
        <f aca="false">IF(ISBLANK($C448),"",AU448)</f>
        <v/>
      </c>
      <c r="BC448" s="75" t="str">
        <f aca="false">IF(ISBLANK($C448),"",AT448)</f>
        <v/>
      </c>
      <c r="BD448" s="76" t="str">
        <f aca="false">IF(ISBLANK($C448),"",IFERROR(_xlfn.SWITCH(BC448,Constants!$B$4,COUNTA($C$8:$C$507)+2,Constants!$B$5,COUNTA($C$8:$C$507)+1,Constants!$B$6,COUNTA($C$8:$C$507)),BC448))</f>
        <v/>
      </c>
      <c r="BE448" s="5"/>
      <c r="BF448" s="77" t="n">
        <f aca="false">IF(OR(ISNUMBER(BC448),BC448=Constants!$B$4,BC448=Constants!$B$6,BC448=Constants!$B$5),1,0)</f>
        <v>0</v>
      </c>
      <c r="BG448" s="77" t="n">
        <v>441</v>
      </c>
      <c r="BH448" s="77" t="str">
        <f aca="false">IF(ISBLANK($C448),"",IF(ISNUMBER(BD448),BD448+ROW($B448)/1000,""))</f>
        <v/>
      </c>
      <c r="BI448" s="77" t="str">
        <f aca="false">IF(ISNUMBER(BH448),RANK(BH448,$BH$8:$BH$507,1),"")</f>
        <v/>
      </c>
      <c r="BJ448" s="77" t="str">
        <f aca="false">IF(ISBLANK($C448),"",$B448)</f>
        <v/>
      </c>
      <c r="BK448" s="77" t="str">
        <f aca="false">IF(ISBLANK($C448),"",$C448)</f>
        <v/>
      </c>
      <c r="BL448" s="77" t="str">
        <f aca="false">IF(ISBLANK($C448),"",$D448)</f>
        <v/>
      </c>
      <c r="BM448" s="78" t="str">
        <f aca="false">BA448</f>
        <v/>
      </c>
      <c r="BN448" s="79" t="str">
        <f aca="false">AZ448</f>
        <v/>
      </c>
      <c r="BO448" s="77" t="str">
        <f aca="false">IF(ISBLANK($C448),"",BC448)</f>
        <v/>
      </c>
      <c r="BP448" s="80" t="str">
        <f aca="false">IF($BG448&gt;$BF$7,"",VLOOKUP($BG448,$BI$8:$BO$507,7,FALSE()))</f>
        <v/>
      </c>
      <c r="BQ448" s="81" t="str">
        <f aca="false">IF($BG448&gt;$BF$7,"",VLOOKUP($BG448,$BI$8:$BO$507,2,FALSE()))</f>
        <v/>
      </c>
      <c r="BR448" s="81" t="str">
        <f aca="false">IF($BG448&gt;$BF$7,"",VLOOKUP($BG448,$BI$8:$BO$507,3,FALSE()))</f>
        <v/>
      </c>
      <c r="BS448" s="81" t="str">
        <f aca="false">IF($BG448&gt;$BF$7,"",VLOOKUP($BG448,$BI$8:$BO$507,4,FALSE()))</f>
        <v/>
      </c>
      <c r="BT448" s="81" t="str">
        <f aca="false">IF($BG448&gt;$BF$7,"",VLOOKUP($BG448,$BI$8:$BO$507,5,FALSE()))</f>
        <v/>
      </c>
      <c r="BU448" s="82" t="str">
        <f aca="false">IF($BG448&gt;$BF$7,"",VLOOKUP($BG448,$BI$8:$BO$507,6,FALSE()))</f>
        <v/>
      </c>
      <c r="BV448" s="54"/>
    </row>
    <row r="449" customFormat="false" ht="15.75" hidden="false" customHeight="false" outlineLevel="0" collapsed="false">
      <c r="A449" s="5"/>
      <c r="B449" s="128"/>
      <c r="C449" s="129"/>
      <c r="D449" s="114"/>
      <c r="E449" s="134"/>
      <c r="F449" s="139"/>
      <c r="G449" s="93"/>
      <c r="H449" s="140"/>
      <c r="I449" s="95"/>
      <c r="J449" s="95"/>
      <c r="K449" s="93"/>
      <c r="L449" s="141"/>
      <c r="M449" s="95"/>
      <c r="N449" s="95"/>
      <c r="O449" s="93"/>
      <c r="P449" s="134"/>
      <c r="Q449" s="98"/>
      <c r="R449" s="99" t="str">
        <f aca="false">IF(ISBLANK($C449),"",IF(E449=Constants!$B$2, TRUE(), IF(E449=Constants!$B$3, FALSE(), TRUE())))</f>
        <v/>
      </c>
      <c r="S449" s="99" t="str">
        <f aca="false">IF(ISBLANK($C449),"",IF(F449=Constants!$B$2, TRUE(), IF(F449=Constants!$B$3, FALSE(), TRUE())))</f>
        <v/>
      </c>
      <c r="T449" s="99" t="str">
        <f aca="false">IF(ISBLANK($C449),"",IF(G449=Constants!$B$16,Constants!$B$9,IF(G449=Constants!$B$17,Constants!$B$10,Constants!$B$8)))</f>
        <v/>
      </c>
      <c r="U449" s="99" t="str">
        <f aca="false">IF(ISBLANK($C449),"",IF(H449=Constants!$B$19,Constants!$B$19,Constants!$B$18))</f>
        <v/>
      </c>
      <c r="V449" s="99" t="str">
        <f aca="false">IF(ISBLANK($C449),"",IF(ISNUMBER(I449),IF(I449&gt;=0,I449,""),""))</f>
        <v/>
      </c>
      <c r="W449" s="99" t="str">
        <f aca="false">IF(ISBLANK($C449),"",IF(J449=Constants!$B$2, TRUE(), IF(J449=Constants!$B$3, FALSE(), TRUE())))</f>
        <v/>
      </c>
      <c r="X449" s="99" t="str">
        <f aca="false">IF(ISBLANK($C449),"",IF(K449=Constants!$B$2, TRUE(), IF(K449=Constants!$B$3, FALSE(), TRUE())))</f>
        <v/>
      </c>
      <c r="Y449" s="99" t="str">
        <f aca="false">IF(ISBLANK($C449),"",IF(L449=Constants!$B$19,Constants!$B$19,Constants!$B$18))</f>
        <v/>
      </c>
      <c r="Z449" s="99" t="str">
        <f aca="false">IF(ISBLANK($C449),"",IF(ISNUMBER(M449),IF(M449&gt;=0,M449,""),""))</f>
        <v/>
      </c>
      <c r="AA449" s="99" t="str">
        <f aca="false">IF(ISBLANK($C449),"",IF(N449=Constants!$B$2, TRUE(), IF(N449=Constants!$B$3, FALSE(), TRUE())))</f>
        <v/>
      </c>
      <c r="AB449" s="99" t="str">
        <f aca="false">IF(ISBLANK($C449),"",IF(O449=Constants!$B$2, TRUE(), IF(O449=Constants!$B$3, FALSE(), TRUE())))</f>
        <v/>
      </c>
      <c r="AC449" s="99" t="str">
        <f aca="false">IF(ISBLANK($C449),"",IF(P449=Constants!$B$2, TRUE(), IF(P449=Constants!$B$3, FALSE(), FALSE())))</f>
        <v/>
      </c>
      <c r="AD449" s="99" t="str">
        <f aca="false">IF(ISBLANK($C449),"",AND(V449&lt;&gt;"",IF(U449=Constants!$B$19,S449,R449)))</f>
        <v/>
      </c>
      <c r="AE449" s="99" t="str">
        <f aca="false">IF(ISBLANK($C449),"",AND(Z449&lt;&gt;"",IF(Y449=Constants!$B$19,S449,R449)))</f>
        <v/>
      </c>
      <c r="AF449" s="99" t="str">
        <f aca="false">IF(ISBLANK($C449),"",IF(AC449,Constants!$B$4,IF(COUNTA(E449:O449)=0,Constants!$B$5,IF(AND(NOT(AD449),NOT(AE449)),Constants!$B$6,Constants!$B$7))))</f>
        <v/>
      </c>
      <c r="AG449" s="99" t="str">
        <f aca="false">IF(ISBLANK($C449),"",IF($AF449&lt;&gt;Constants!$B$7,$AF449,Constants!$B$20))</f>
        <v/>
      </c>
      <c r="AH449" s="99" t="str">
        <f aca="false">IF($AF449=Constants!$B$7,IF(AD449,V449,Constants!$B$13),"")</f>
        <v/>
      </c>
      <c r="AI449" s="99" t="str">
        <f aca="false">IF($AF449=Constants!$B$7,IF(AD449,T449*IF(W449, 1, Constants!$B$11)*IF(X449, 1, Constants!$B$12),Constants!$B$13),"")</f>
        <v/>
      </c>
      <c r="AJ449" s="99" t="str">
        <f aca="false">IF($AF449=Constants!$B$7,AH449*AI449,"")</f>
        <v/>
      </c>
      <c r="AK449" s="99" t="str">
        <f aca="false">IF($AF449=Constants!$B$7,IF(AE449,Z449,Constants!$B$13),"")</f>
        <v/>
      </c>
      <c r="AL449" s="99" t="str">
        <f aca="false">IF($AF449=Constants!$B$7,IF(AE449,T449*IF(AA449, 1, Constants!$B$11)*IF(AB449, 1, Constants!$B$12),Constants!$B$13),"")</f>
        <v/>
      </c>
      <c r="AM449" s="99" t="str">
        <f aca="false">IF($AF449=Constants!$B$7,AK449*AL449,"")</f>
        <v/>
      </c>
      <c r="AN449" s="99" t="str">
        <f aca="false">IF($AF449=Constants!$B$7,IF(AM449&gt;AJ449,2,1),"")</f>
        <v/>
      </c>
      <c r="AO449" s="99" t="str">
        <f aca="false">IF($AF449=Constants!$B$7,IF(AN449=1,2,1),"")</f>
        <v/>
      </c>
      <c r="AP449" s="99" t="str">
        <f aca="false">IF(ISBLANK($C449),"",IF($AF449&lt;&gt;Constants!$B$7,$AF449,IF(AN449=1,AJ449,AM449)))</f>
        <v/>
      </c>
      <c r="AQ449" s="99" t="str">
        <f aca="false">IF(ISBLANK($C449),"",IF($AF449=Constants!$B$7,IF(ISNUMBER(AP449),RANK(AP449,$AP$8:$AP$507),Constants!$B$14),$AF449))</f>
        <v/>
      </c>
      <c r="AR449" s="99" t="str">
        <f aca="false">IF(ISBLANK($C449),"",IF($AF449=Constants!$B$7,IF(AO449=1,AJ449,AM449),""))</f>
        <v/>
      </c>
      <c r="AS449" s="99" t="str">
        <f aca="false">IF(ISBLANK($C449),"",IF($AF449=Constants!$B$7,RANK(AR449,$AR$8:$AR$507),$AF449))</f>
        <v/>
      </c>
      <c r="AT449" s="99" t="str">
        <f aca="false">IF(ISBLANK($C449),"",IF($AF449=Constants!$B$7,IF(ISNUMBER(AQ449),COUNTIFS($AQ$8:$AQ$507,"&lt;"&amp;$AQ449)+COUNTIFS($AQ$8:$AQ$507,$AQ449,$AS$8:$AS$507,"&lt;"&amp;$AS449)+1,Constants!$B$14),$AF449))</f>
        <v/>
      </c>
      <c r="AU449" s="99" t="str">
        <f aca="false">IF(ISBLANK($C449),"",IF($AF449=Constants!$B$7,IF(ISNUMBER(AQ449),AQ449-AT449,Constants!$B$14),$AF449))</f>
        <v/>
      </c>
      <c r="AV449" s="100"/>
      <c r="AW449" s="101" t="str">
        <f aca="false">IF(ISBLANK($C449),"",IF($AF449&lt;&gt;Constants!$B$7,"",AN449))</f>
        <v/>
      </c>
      <c r="AX449" s="102" t="str">
        <f aca="false">IF(ISBLANK($C449),"",IF($AF449&lt;&gt;Constants!$B$7,"",IF(AN449=1,AH449,AK449)))</f>
        <v/>
      </c>
      <c r="AY449" s="103" t="str">
        <f aca="false">IF(ISBLANK($C449),"",IF($AF449&lt;&gt;Constants!$B$7,"",IF(AN449=1,AI449,AL449)))</f>
        <v/>
      </c>
      <c r="AZ449" s="104" t="str">
        <f aca="false">IF(ISBLANK($C449),"",IF($AF449&lt;&gt;Constants!$B$7,$AF449,AP449))</f>
        <v/>
      </c>
      <c r="BA449" s="105" t="str">
        <f aca="false">IF(ISBLANK($C449),"",IF($AF449&lt;&gt;Constants!$B$7,$AF449,AG449))</f>
        <v/>
      </c>
      <c r="BB449" s="106" t="str">
        <f aca="false">IF(ISBLANK($C449),"",AU449)</f>
        <v/>
      </c>
      <c r="BC449" s="106" t="str">
        <f aca="false">IF(ISBLANK($C449),"",AT449)</f>
        <v/>
      </c>
      <c r="BD449" s="107" t="str">
        <f aca="false">IF(ISBLANK($C449),"",IFERROR(_xlfn.SWITCH(BC449,Constants!$B$4,COUNTA($C$8:$C$507)+2,Constants!$B$5,COUNTA($C$8:$C$507)+1,Constants!$B$6,COUNTA($C$8:$C$507)),BC449))</f>
        <v/>
      </c>
      <c r="BE449" s="5"/>
      <c r="BF449" s="108" t="n">
        <f aca="false">IF(OR(ISNUMBER(BC449),BC449=Constants!$B$4,BC449=Constants!$B$6,BC449=Constants!$B$5),1,0)</f>
        <v>0</v>
      </c>
      <c r="BG449" s="108" t="n">
        <v>442</v>
      </c>
      <c r="BH449" s="108" t="str">
        <f aca="false">IF(ISBLANK($C449),"",IF(ISNUMBER(BD449),BD449+ROW($B449)/1000,""))</f>
        <v/>
      </c>
      <c r="BI449" s="108" t="str">
        <f aca="false">IF(ISNUMBER(BH449),RANK(BH449,$BH$8:$BH$507,1),"")</f>
        <v/>
      </c>
      <c r="BJ449" s="108" t="str">
        <f aca="false">IF(ISBLANK($C449),"",$B449)</f>
        <v/>
      </c>
      <c r="BK449" s="108" t="str">
        <f aca="false">IF(ISBLANK($C449),"",$C449)</f>
        <v/>
      </c>
      <c r="BL449" s="108" t="str">
        <f aca="false">IF(ISBLANK($C449),"",$D449)</f>
        <v/>
      </c>
      <c r="BM449" s="109" t="str">
        <f aca="false">BA449</f>
        <v/>
      </c>
      <c r="BN449" s="110" t="str">
        <f aca="false">AZ449</f>
        <v/>
      </c>
      <c r="BO449" s="108" t="str">
        <f aca="false">IF(ISBLANK($C449),"",BC449)</f>
        <v/>
      </c>
      <c r="BP449" s="111" t="str">
        <f aca="false">IF($BG449&gt;$BF$7,"",VLOOKUP($BG449,$BI$8:$BO$507,7,FALSE()))</f>
        <v/>
      </c>
      <c r="BQ449" s="112" t="str">
        <f aca="false">IF($BG449&gt;$BF$7,"",VLOOKUP($BG449,$BI$8:$BO$507,2,FALSE()))</f>
        <v/>
      </c>
      <c r="BR449" s="112" t="str">
        <f aca="false">IF($BG449&gt;$BF$7,"",VLOOKUP($BG449,$BI$8:$BO$507,3,FALSE()))</f>
        <v/>
      </c>
      <c r="BS449" s="112" t="str">
        <f aca="false">IF($BG449&gt;$BF$7,"",VLOOKUP($BG449,$BI$8:$BO$507,4,FALSE()))</f>
        <v/>
      </c>
      <c r="BT449" s="112" t="str">
        <f aca="false">IF($BG449&gt;$BF$7,"",VLOOKUP($BG449,$BI$8:$BO$507,5,FALSE()))</f>
        <v/>
      </c>
      <c r="BU449" s="113" t="str">
        <f aca="false">IF($BG449&gt;$BF$7,"",VLOOKUP($BG449,$BI$8:$BO$507,6,FALSE()))</f>
        <v/>
      </c>
      <c r="BV449" s="54"/>
    </row>
    <row r="450" customFormat="false" ht="15.75" hidden="false" customHeight="false" outlineLevel="0" collapsed="false">
      <c r="A450" s="5"/>
      <c r="B450" s="128"/>
      <c r="C450" s="129"/>
      <c r="D450" s="114"/>
      <c r="E450" s="134"/>
      <c r="F450" s="139"/>
      <c r="G450" s="93"/>
      <c r="H450" s="140"/>
      <c r="I450" s="95"/>
      <c r="J450" s="95"/>
      <c r="K450" s="93"/>
      <c r="L450" s="141"/>
      <c r="M450" s="95"/>
      <c r="N450" s="95"/>
      <c r="O450" s="93"/>
      <c r="P450" s="134"/>
      <c r="Q450" s="98"/>
      <c r="R450" s="99" t="str">
        <f aca="false">IF(ISBLANK($C450),"",IF(E450=Constants!$B$2, TRUE(), IF(E450=Constants!$B$3, FALSE(), TRUE())))</f>
        <v/>
      </c>
      <c r="S450" s="99" t="str">
        <f aca="false">IF(ISBLANK($C450),"",IF(F450=Constants!$B$2, TRUE(), IF(F450=Constants!$B$3, FALSE(), TRUE())))</f>
        <v/>
      </c>
      <c r="T450" s="99" t="str">
        <f aca="false">IF(ISBLANK($C450),"",IF(G450=Constants!$B$16,Constants!$B$9,IF(G450=Constants!$B$17,Constants!$B$10,Constants!$B$8)))</f>
        <v/>
      </c>
      <c r="U450" s="99" t="str">
        <f aca="false">IF(ISBLANK($C450),"",IF(H450=Constants!$B$19,Constants!$B$19,Constants!$B$18))</f>
        <v/>
      </c>
      <c r="V450" s="99" t="str">
        <f aca="false">IF(ISBLANK($C450),"",IF(ISNUMBER(I450),IF(I450&gt;=0,I450,""),""))</f>
        <v/>
      </c>
      <c r="W450" s="99" t="str">
        <f aca="false">IF(ISBLANK($C450),"",IF(J450=Constants!$B$2, TRUE(), IF(J450=Constants!$B$3, FALSE(), TRUE())))</f>
        <v/>
      </c>
      <c r="X450" s="99" t="str">
        <f aca="false">IF(ISBLANK($C450),"",IF(K450=Constants!$B$2, TRUE(), IF(K450=Constants!$B$3, FALSE(), TRUE())))</f>
        <v/>
      </c>
      <c r="Y450" s="99" t="str">
        <f aca="false">IF(ISBLANK($C450),"",IF(L450=Constants!$B$19,Constants!$B$19,Constants!$B$18))</f>
        <v/>
      </c>
      <c r="Z450" s="99" t="str">
        <f aca="false">IF(ISBLANK($C450),"",IF(ISNUMBER(M450),IF(M450&gt;=0,M450,""),""))</f>
        <v/>
      </c>
      <c r="AA450" s="99" t="str">
        <f aca="false">IF(ISBLANK($C450),"",IF(N450=Constants!$B$2, TRUE(), IF(N450=Constants!$B$3, FALSE(), TRUE())))</f>
        <v/>
      </c>
      <c r="AB450" s="99" t="str">
        <f aca="false">IF(ISBLANK($C450),"",IF(O450=Constants!$B$2, TRUE(), IF(O450=Constants!$B$3, FALSE(), TRUE())))</f>
        <v/>
      </c>
      <c r="AC450" s="99" t="str">
        <f aca="false">IF(ISBLANK($C450),"",IF(P450=Constants!$B$2, TRUE(), IF(P450=Constants!$B$3, FALSE(), FALSE())))</f>
        <v/>
      </c>
      <c r="AD450" s="99" t="str">
        <f aca="false">IF(ISBLANK($C450),"",AND(V450&lt;&gt;"",IF(U450=Constants!$B$19,S450,R450)))</f>
        <v/>
      </c>
      <c r="AE450" s="99" t="str">
        <f aca="false">IF(ISBLANK($C450),"",AND(Z450&lt;&gt;"",IF(Y450=Constants!$B$19,S450,R450)))</f>
        <v/>
      </c>
      <c r="AF450" s="99" t="str">
        <f aca="false">IF(ISBLANK($C450),"",IF(AC450,Constants!$B$4,IF(COUNTA(E450:O450)=0,Constants!$B$5,IF(AND(NOT(AD450),NOT(AE450)),Constants!$B$6,Constants!$B$7))))</f>
        <v/>
      </c>
      <c r="AG450" s="99" t="str">
        <f aca="false">IF(ISBLANK($C450),"",IF($AF450&lt;&gt;Constants!$B$7,$AF450,Constants!$B$20))</f>
        <v/>
      </c>
      <c r="AH450" s="99" t="str">
        <f aca="false">IF($AF450=Constants!$B$7,IF(AD450,V450,Constants!$B$13),"")</f>
        <v/>
      </c>
      <c r="AI450" s="99" t="str">
        <f aca="false">IF($AF450=Constants!$B$7,IF(AD450,T450*IF(W450, 1, Constants!$B$11)*IF(X450, 1, Constants!$B$12),Constants!$B$13),"")</f>
        <v/>
      </c>
      <c r="AJ450" s="99" t="str">
        <f aca="false">IF($AF450=Constants!$B$7,AH450*AI450,"")</f>
        <v/>
      </c>
      <c r="AK450" s="99" t="str">
        <f aca="false">IF($AF450=Constants!$B$7,IF(AE450,Z450,Constants!$B$13),"")</f>
        <v/>
      </c>
      <c r="AL450" s="99" t="str">
        <f aca="false">IF($AF450=Constants!$B$7,IF(AE450,T450*IF(AA450, 1, Constants!$B$11)*IF(AB450, 1, Constants!$B$12),Constants!$B$13),"")</f>
        <v/>
      </c>
      <c r="AM450" s="99" t="str">
        <f aca="false">IF($AF450=Constants!$B$7,AK450*AL450,"")</f>
        <v/>
      </c>
      <c r="AN450" s="99" t="str">
        <f aca="false">IF($AF450=Constants!$B$7,IF(AM450&gt;AJ450,2,1),"")</f>
        <v/>
      </c>
      <c r="AO450" s="99" t="str">
        <f aca="false">IF($AF450=Constants!$B$7,IF(AN450=1,2,1),"")</f>
        <v/>
      </c>
      <c r="AP450" s="99" t="str">
        <f aca="false">IF(ISBLANK($C450),"",IF($AF450&lt;&gt;Constants!$B$7,$AF450,IF(AN450=1,AJ450,AM450)))</f>
        <v/>
      </c>
      <c r="AQ450" s="99" t="str">
        <f aca="false">IF(ISBLANK($C450),"",IF($AF450=Constants!$B$7,IF(ISNUMBER(AP450),RANK(AP450,$AP$8:$AP$507),Constants!$B$14),$AF450))</f>
        <v/>
      </c>
      <c r="AR450" s="99" t="str">
        <f aca="false">IF(ISBLANK($C450),"",IF($AF450=Constants!$B$7,IF(AO450=1,AJ450,AM450),""))</f>
        <v/>
      </c>
      <c r="AS450" s="99" t="str">
        <f aca="false">IF(ISBLANK($C450),"",IF($AF450=Constants!$B$7,RANK(AR450,$AR$8:$AR$507),$AF450))</f>
        <v/>
      </c>
      <c r="AT450" s="99" t="str">
        <f aca="false">IF(ISBLANK($C450),"",IF($AF450=Constants!$B$7,IF(ISNUMBER(AQ450),COUNTIFS($AQ$8:$AQ$507,"&lt;"&amp;$AQ450)+COUNTIFS($AQ$8:$AQ$507,$AQ450,$AS$8:$AS$507,"&lt;"&amp;$AS450)+1,Constants!$B$14),$AF450))</f>
        <v/>
      </c>
      <c r="AU450" s="99" t="str">
        <f aca="false">IF(ISBLANK($C450),"",IF($AF450=Constants!$B$7,IF(ISNUMBER(AQ450),AQ450-AT450,Constants!$B$14),$AF450))</f>
        <v/>
      </c>
      <c r="AV450" s="100"/>
      <c r="AW450" s="101" t="str">
        <f aca="false">IF(ISBLANK($C450),"",IF($AF450&lt;&gt;Constants!$B$7,"",AN450))</f>
        <v/>
      </c>
      <c r="AX450" s="102" t="str">
        <f aca="false">IF(ISBLANK($C450),"",IF($AF450&lt;&gt;Constants!$B$7,"",IF(AN450=1,AH450,AK450)))</f>
        <v/>
      </c>
      <c r="AY450" s="103" t="str">
        <f aca="false">IF(ISBLANK($C450),"",IF($AF450&lt;&gt;Constants!$B$7,"",IF(AN450=1,AI450,AL450)))</f>
        <v/>
      </c>
      <c r="AZ450" s="104" t="str">
        <f aca="false">IF(ISBLANK($C450),"",IF($AF450&lt;&gt;Constants!$B$7,$AF450,AP450))</f>
        <v/>
      </c>
      <c r="BA450" s="105" t="str">
        <f aca="false">IF(ISBLANK($C450),"",IF($AF450&lt;&gt;Constants!$B$7,$AF450,AG450))</f>
        <v/>
      </c>
      <c r="BB450" s="106" t="str">
        <f aca="false">IF(ISBLANK($C450),"",AU450)</f>
        <v/>
      </c>
      <c r="BC450" s="106" t="str">
        <f aca="false">IF(ISBLANK($C450),"",AT450)</f>
        <v/>
      </c>
      <c r="BD450" s="107" t="str">
        <f aca="false">IF(ISBLANK($C450),"",IFERROR(_xlfn.SWITCH(BC450,Constants!$B$4,COUNTA($C$8:$C$507)+2,Constants!$B$5,COUNTA($C$8:$C$507)+1,Constants!$B$6,COUNTA($C$8:$C$507)),BC450))</f>
        <v/>
      </c>
      <c r="BE450" s="5"/>
      <c r="BF450" s="108" t="n">
        <f aca="false">IF(OR(ISNUMBER(BC450),BC450=Constants!$B$4,BC450=Constants!$B$6,BC450=Constants!$B$5),1,0)</f>
        <v>0</v>
      </c>
      <c r="BG450" s="108" t="n">
        <v>443</v>
      </c>
      <c r="BH450" s="108" t="str">
        <f aca="false">IF(ISBLANK($C450),"",IF(ISNUMBER(BD450),BD450+ROW($B450)/1000,""))</f>
        <v/>
      </c>
      <c r="BI450" s="108" t="str">
        <f aca="false">IF(ISNUMBER(BH450),RANK(BH450,$BH$8:$BH$507,1),"")</f>
        <v/>
      </c>
      <c r="BJ450" s="108" t="str">
        <f aca="false">IF(ISBLANK($C450),"",$B450)</f>
        <v/>
      </c>
      <c r="BK450" s="108" t="str">
        <f aca="false">IF(ISBLANK($C450),"",$C450)</f>
        <v/>
      </c>
      <c r="BL450" s="108" t="str">
        <f aca="false">IF(ISBLANK($C450),"",$D450)</f>
        <v/>
      </c>
      <c r="BM450" s="109" t="str">
        <f aca="false">BA450</f>
        <v/>
      </c>
      <c r="BN450" s="110" t="str">
        <f aca="false">AZ450</f>
        <v/>
      </c>
      <c r="BO450" s="108" t="str">
        <f aca="false">IF(ISBLANK($C450),"",BC450)</f>
        <v/>
      </c>
      <c r="BP450" s="111" t="str">
        <f aca="false">IF($BG450&gt;$BF$7,"",VLOOKUP($BG450,$BI$8:$BO$507,7,FALSE()))</f>
        <v/>
      </c>
      <c r="BQ450" s="112" t="str">
        <f aca="false">IF($BG450&gt;$BF$7,"",VLOOKUP($BG450,$BI$8:$BO$507,2,FALSE()))</f>
        <v/>
      </c>
      <c r="BR450" s="112" t="str">
        <f aca="false">IF($BG450&gt;$BF$7,"",VLOOKUP($BG450,$BI$8:$BO$507,3,FALSE()))</f>
        <v/>
      </c>
      <c r="BS450" s="112" t="str">
        <f aca="false">IF($BG450&gt;$BF$7,"",VLOOKUP($BG450,$BI$8:$BO$507,4,FALSE()))</f>
        <v/>
      </c>
      <c r="BT450" s="112" t="str">
        <f aca="false">IF($BG450&gt;$BF$7,"",VLOOKUP($BG450,$BI$8:$BO$507,5,FALSE()))</f>
        <v/>
      </c>
      <c r="BU450" s="113" t="str">
        <f aca="false">IF($BG450&gt;$BF$7,"",VLOOKUP($BG450,$BI$8:$BO$507,6,FALSE()))</f>
        <v/>
      </c>
      <c r="BV450" s="54"/>
    </row>
    <row r="451" customFormat="false" ht="15.75" hidden="false" customHeight="false" outlineLevel="0" collapsed="false">
      <c r="A451" s="5"/>
      <c r="B451" s="128"/>
      <c r="C451" s="129"/>
      <c r="D451" s="114"/>
      <c r="E451" s="134"/>
      <c r="F451" s="139"/>
      <c r="G451" s="93"/>
      <c r="H451" s="140"/>
      <c r="I451" s="95"/>
      <c r="J451" s="95"/>
      <c r="K451" s="93"/>
      <c r="L451" s="141"/>
      <c r="M451" s="95"/>
      <c r="N451" s="95"/>
      <c r="O451" s="93"/>
      <c r="P451" s="134"/>
      <c r="Q451" s="98"/>
      <c r="R451" s="99" t="str">
        <f aca="false">IF(ISBLANK($C451),"",IF(E451=Constants!$B$2, TRUE(), IF(E451=Constants!$B$3, FALSE(), TRUE())))</f>
        <v/>
      </c>
      <c r="S451" s="99" t="str">
        <f aca="false">IF(ISBLANK($C451),"",IF(F451=Constants!$B$2, TRUE(), IF(F451=Constants!$B$3, FALSE(), TRUE())))</f>
        <v/>
      </c>
      <c r="T451" s="99" t="str">
        <f aca="false">IF(ISBLANK($C451),"",IF(G451=Constants!$B$16,Constants!$B$9,IF(G451=Constants!$B$17,Constants!$B$10,Constants!$B$8)))</f>
        <v/>
      </c>
      <c r="U451" s="99" t="str">
        <f aca="false">IF(ISBLANK($C451),"",IF(H451=Constants!$B$19,Constants!$B$19,Constants!$B$18))</f>
        <v/>
      </c>
      <c r="V451" s="99" t="str">
        <f aca="false">IF(ISBLANK($C451),"",IF(ISNUMBER(I451),IF(I451&gt;=0,I451,""),""))</f>
        <v/>
      </c>
      <c r="W451" s="99" t="str">
        <f aca="false">IF(ISBLANK($C451),"",IF(J451=Constants!$B$2, TRUE(), IF(J451=Constants!$B$3, FALSE(), TRUE())))</f>
        <v/>
      </c>
      <c r="X451" s="99" t="str">
        <f aca="false">IF(ISBLANK($C451),"",IF(K451=Constants!$B$2, TRUE(), IF(K451=Constants!$B$3, FALSE(), TRUE())))</f>
        <v/>
      </c>
      <c r="Y451" s="99" t="str">
        <f aca="false">IF(ISBLANK($C451),"",IF(L451=Constants!$B$19,Constants!$B$19,Constants!$B$18))</f>
        <v/>
      </c>
      <c r="Z451" s="99" t="str">
        <f aca="false">IF(ISBLANK($C451),"",IF(ISNUMBER(M451),IF(M451&gt;=0,M451,""),""))</f>
        <v/>
      </c>
      <c r="AA451" s="99" t="str">
        <f aca="false">IF(ISBLANK($C451),"",IF(N451=Constants!$B$2, TRUE(), IF(N451=Constants!$B$3, FALSE(), TRUE())))</f>
        <v/>
      </c>
      <c r="AB451" s="99" t="str">
        <f aca="false">IF(ISBLANK($C451),"",IF(O451=Constants!$B$2, TRUE(), IF(O451=Constants!$B$3, FALSE(), TRUE())))</f>
        <v/>
      </c>
      <c r="AC451" s="99" t="str">
        <f aca="false">IF(ISBLANK($C451),"",IF(P451=Constants!$B$2, TRUE(), IF(P451=Constants!$B$3, FALSE(), FALSE())))</f>
        <v/>
      </c>
      <c r="AD451" s="99" t="str">
        <f aca="false">IF(ISBLANK($C451),"",AND(V451&lt;&gt;"",IF(U451=Constants!$B$19,S451,R451)))</f>
        <v/>
      </c>
      <c r="AE451" s="99" t="str">
        <f aca="false">IF(ISBLANK($C451),"",AND(Z451&lt;&gt;"",IF(Y451=Constants!$B$19,S451,R451)))</f>
        <v/>
      </c>
      <c r="AF451" s="99" t="str">
        <f aca="false">IF(ISBLANK($C451),"",IF(AC451,Constants!$B$4,IF(COUNTA(E451:O451)=0,Constants!$B$5,IF(AND(NOT(AD451),NOT(AE451)),Constants!$B$6,Constants!$B$7))))</f>
        <v/>
      </c>
      <c r="AG451" s="99" t="str">
        <f aca="false">IF(ISBLANK($C451),"",IF($AF451&lt;&gt;Constants!$B$7,$AF451,Constants!$B$20))</f>
        <v/>
      </c>
      <c r="AH451" s="99" t="str">
        <f aca="false">IF($AF451=Constants!$B$7,IF(AD451,V451,Constants!$B$13),"")</f>
        <v/>
      </c>
      <c r="AI451" s="99" t="str">
        <f aca="false">IF($AF451=Constants!$B$7,IF(AD451,T451*IF(W451, 1, Constants!$B$11)*IF(X451, 1, Constants!$B$12),Constants!$B$13),"")</f>
        <v/>
      </c>
      <c r="AJ451" s="99" t="str">
        <f aca="false">IF($AF451=Constants!$B$7,AH451*AI451,"")</f>
        <v/>
      </c>
      <c r="AK451" s="99" t="str">
        <f aca="false">IF($AF451=Constants!$B$7,IF(AE451,Z451,Constants!$B$13),"")</f>
        <v/>
      </c>
      <c r="AL451" s="99" t="str">
        <f aca="false">IF($AF451=Constants!$B$7,IF(AE451,T451*IF(AA451, 1, Constants!$B$11)*IF(AB451, 1, Constants!$B$12),Constants!$B$13),"")</f>
        <v/>
      </c>
      <c r="AM451" s="99" t="str">
        <f aca="false">IF($AF451=Constants!$B$7,AK451*AL451,"")</f>
        <v/>
      </c>
      <c r="AN451" s="99" t="str">
        <f aca="false">IF($AF451=Constants!$B$7,IF(AM451&gt;AJ451,2,1),"")</f>
        <v/>
      </c>
      <c r="AO451" s="99" t="str">
        <f aca="false">IF($AF451=Constants!$B$7,IF(AN451=1,2,1),"")</f>
        <v/>
      </c>
      <c r="AP451" s="99" t="str">
        <f aca="false">IF(ISBLANK($C451),"",IF($AF451&lt;&gt;Constants!$B$7,$AF451,IF(AN451=1,AJ451,AM451)))</f>
        <v/>
      </c>
      <c r="AQ451" s="99" t="str">
        <f aca="false">IF(ISBLANK($C451),"",IF($AF451=Constants!$B$7,IF(ISNUMBER(AP451),RANK(AP451,$AP$8:$AP$507),Constants!$B$14),$AF451))</f>
        <v/>
      </c>
      <c r="AR451" s="99" t="str">
        <f aca="false">IF(ISBLANK($C451),"",IF($AF451=Constants!$B$7,IF(AO451=1,AJ451,AM451),""))</f>
        <v/>
      </c>
      <c r="AS451" s="99" t="str">
        <f aca="false">IF(ISBLANK($C451),"",IF($AF451=Constants!$B$7,RANK(AR451,$AR$8:$AR$507),$AF451))</f>
        <v/>
      </c>
      <c r="AT451" s="99" t="str">
        <f aca="false">IF(ISBLANK($C451),"",IF($AF451=Constants!$B$7,IF(ISNUMBER(AQ451),COUNTIFS($AQ$8:$AQ$507,"&lt;"&amp;$AQ451)+COUNTIFS($AQ$8:$AQ$507,$AQ451,$AS$8:$AS$507,"&lt;"&amp;$AS451)+1,Constants!$B$14),$AF451))</f>
        <v/>
      </c>
      <c r="AU451" s="99" t="str">
        <f aca="false">IF(ISBLANK($C451),"",IF($AF451=Constants!$B$7,IF(ISNUMBER(AQ451),AQ451-AT451,Constants!$B$14),$AF451))</f>
        <v/>
      </c>
      <c r="AV451" s="100"/>
      <c r="AW451" s="101" t="str">
        <f aca="false">IF(ISBLANK($C451),"",IF($AF451&lt;&gt;Constants!$B$7,"",AN451))</f>
        <v/>
      </c>
      <c r="AX451" s="102" t="str">
        <f aca="false">IF(ISBLANK($C451),"",IF($AF451&lt;&gt;Constants!$B$7,"",IF(AN451=1,AH451,AK451)))</f>
        <v/>
      </c>
      <c r="AY451" s="103" t="str">
        <f aca="false">IF(ISBLANK($C451),"",IF($AF451&lt;&gt;Constants!$B$7,"",IF(AN451=1,AI451,AL451)))</f>
        <v/>
      </c>
      <c r="AZ451" s="104" t="str">
        <f aca="false">IF(ISBLANK($C451),"",IF($AF451&lt;&gt;Constants!$B$7,$AF451,AP451))</f>
        <v/>
      </c>
      <c r="BA451" s="105" t="str">
        <f aca="false">IF(ISBLANK($C451),"",IF($AF451&lt;&gt;Constants!$B$7,$AF451,AG451))</f>
        <v/>
      </c>
      <c r="BB451" s="106" t="str">
        <f aca="false">IF(ISBLANK($C451),"",AU451)</f>
        <v/>
      </c>
      <c r="BC451" s="106" t="str">
        <f aca="false">IF(ISBLANK($C451),"",AT451)</f>
        <v/>
      </c>
      <c r="BD451" s="107" t="str">
        <f aca="false">IF(ISBLANK($C451),"",IFERROR(_xlfn.SWITCH(BC451,Constants!$B$4,COUNTA($C$8:$C$507)+2,Constants!$B$5,COUNTA($C$8:$C$507)+1,Constants!$B$6,COUNTA($C$8:$C$507)),BC451))</f>
        <v/>
      </c>
      <c r="BE451" s="5"/>
      <c r="BF451" s="108" t="n">
        <f aca="false">IF(OR(ISNUMBER(BC451),BC451=Constants!$B$4,BC451=Constants!$B$6,BC451=Constants!$B$5),1,0)</f>
        <v>0</v>
      </c>
      <c r="BG451" s="108" t="n">
        <v>444</v>
      </c>
      <c r="BH451" s="108" t="str">
        <f aca="false">IF(ISBLANK($C451),"",IF(ISNUMBER(BD451),BD451+ROW($B451)/1000,""))</f>
        <v/>
      </c>
      <c r="BI451" s="108" t="str">
        <f aca="false">IF(ISNUMBER(BH451),RANK(BH451,$BH$8:$BH$507,1),"")</f>
        <v/>
      </c>
      <c r="BJ451" s="108" t="str">
        <f aca="false">IF(ISBLANK($C451),"",$B451)</f>
        <v/>
      </c>
      <c r="BK451" s="108" t="str">
        <f aca="false">IF(ISBLANK($C451),"",$C451)</f>
        <v/>
      </c>
      <c r="BL451" s="108" t="str">
        <f aca="false">IF(ISBLANK($C451),"",$D451)</f>
        <v/>
      </c>
      <c r="BM451" s="109" t="str">
        <f aca="false">BA451</f>
        <v/>
      </c>
      <c r="BN451" s="110" t="str">
        <f aca="false">AZ451</f>
        <v/>
      </c>
      <c r="BO451" s="108" t="str">
        <f aca="false">IF(ISBLANK($C451),"",BC451)</f>
        <v/>
      </c>
      <c r="BP451" s="111" t="str">
        <f aca="false">IF($BG451&gt;$BF$7,"",VLOOKUP($BG451,$BI$8:$BO$507,7,FALSE()))</f>
        <v/>
      </c>
      <c r="BQ451" s="112" t="str">
        <f aca="false">IF($BG451&gt;$BF$7,"",VLOOKUP($BG451,$BI$8:$BO$507,2,FALSE()))</f>
        <v/>
      </c>
      <c r="BR451" s="112" t="str">
        <f aca="false">IF($BG451&gt;$BF$7,"",VLOOKUP($BG451,$BI$8:$BO$507,3,FALSE()))</f>
        <v/>
      </c>
      <c r="BS451" s="112" t="str">
        <f aca="false">IF($BG451&gt;$BF$7,"",VLOOKUP($BG451,$BI$8:$BO$507,4,FALSE()))</f>
        <v/>
      </c>
      <c r="BT451" s="112" t="str">
        <f aca="false">IF($BG451&gt;$BF$7,"",VLOOKUP($BG451,$BI$8:$BO$507,5,FALSE()))</f>
        <v/>
      </c>
      <c r="BU451" s="113" t="str">
        <f aca="false">IF($BG451&gt;$BF$7,"",VLOOKUP($BG451,$BI$8:$BO$507,6,FALSE()))</f>
        <v/>
      </c>
      <c r="BV451" s="54"/>
    </row>
    <row r="452" customFormat="false" ht="15.75" hidden="false" customHeight="false" outlineLevel="0" collapsed="false">
      <c r="A452" s="5"/>
      <c r="B452" s="135"/>
      <c r="C452" s="56"/>
      <c r="D452" s="57"/>
      <c r="E452" s="84"/>
      <c r="F452" s="136"/>
      <c r="G452" s="60"/>
      <c r="H452" s="137"/>
      <c r="I452" s="62"/>
      <c r="J452" s="62"/>
      <c r="K452" s="60"/>
      <c r="L452" s="138"/>
      <c r="M452" s="62"/>
      <c r="N452" s="62"/>
      <c r="O452" s="60"/>
      <c r="P452" s="84"/>
      <c r="Q452" s="65"/>
      <c r="R452" s="67" t="str">
        <f aca="false">IF(ISBLANK($C452),"",IF(E452=Constants!$B$2, TRUE(), IF(E452=Constants!$B$3, FALSE(), TRUE())))</f>
        <v/>
      </c>
      <c r="S452" s="67" t="str">
        <f aca="false">IF(ISBLANK($C452),"",IF(F452=Constants!$B$2, TRUE(), IF(F452=Constants!$B$3, FALSE(), TRUE())))</f>
        <v/>
      </c>
      <c r="T452" s="67" t="str">
        <f aca="false">IF(ISBLANK($C452),"",IF(G452=Constants!$B$16,Constants!$B$9,IF(G452=Constants!$B$17,Constants!$B$10,Constants!$B$8)))</f>
        <v/>
      </c>
      <c r="U452" s="67" t="str">
        <f aca="false">IF(ISBLANK($C452),"",IF(H452=Constants!$B$19,Constants!$B$19,Constants!$B$18))</f>
        <v/>
      </c>
      <c r="V452" s="67" t="str">
        <f aca="false">IF(ISBLANK($C452),"",IF(ISNUMBER(I452),IF(I452&gt;=0,I452,""),""))</f>
        <v/>
      </c>
      <c r="W452" s="67" t="str">
        <f aca="false">IF(ISBLANK($C452),"",IF(J452=Constants!$B$2, TRUE(), IF(J452=Constants!$B$3, FALSE(), TRUE())))</f>
        <v/>
      </c>
      <c r="X452" s="67" t="str">
        <f aca="false">IF(ISBLANK($C452),"",IF(K452=Constants!$B$2, TRUE(), IF(K452=Constants!$B$3, FALSE(), TRUE())))</f>
        <v/>
      </c>
      <c r="Y452" s="67" t="str">
        <f aca="false">IF(ISBLANK($C452),"",IF(L452=Constants!$B$19,Constants!$B$19,Constants!$B$18))</f>
        <v/>
      </c>
      <c r="Z452" s="67" t="str">
        <f aca="false">IF(ISBLANK($C452),"",IF(ISNUMBER(M452),IF(M452&gt;=0,M452,""),""))</f>
        <v/>
      </c>
      <c r="AA452" s="67" t="str">
        <f aca="false">IF(ISBLANK($C452),"",IF(N452=Constants!$B$2, TRUE(), IF(N452=Constants!$B$3, FALSE(), TRUE())))</f>
        <v/>
      </c>
      <c r="AB452" s="67" t="str">
        <f aca="false">IF(ISBLANK($C452),"",IF(O452=Constants!$B$2, TRUE(), IF(O452=Constants!$B$3, FALSE(), TRUE())))</f>
        <v/>
      </c>
      <c r="AC452" s="67" t="str">
        <f aca="false">IF(ISBLANK($C452),"",IF(P452=Constants!$B$2, TRUE(), IF(P452=Constants!$B$3, FALSE(), FALSE())))</f>
        <v/>
      </c>
      <c r="AD452" s="67" t="str">
        <f aca="false">IF(ISBLANK($C452),"",AND(V452&lt;&gt;"",IF(U452=Constants!$B$19,S452,R452)))</f>
        <v/>
      </c>
      <c r="AE452" s="67" t="str">
        <f aca="false">IF(ISBLANK($C452),"",AND(Z452&lt;&gt;"",IF(Y452=Constants!$B$19,S452,R452)))</f>
        <v/>
      </c>
      <c r="AF452" s="67" t="str">
        <f aca="false">IF(ISBLANK($C452),"",IF(AC452,Constants!$B$4,IF(COUNTA(E452:O452)=0,Constants!$B$5,IF(AND(NOT(AD452),NOT(AE452)),Constants!$B$6,Constants!$B$7))))</f>
        <v/>
      </c>
      <c r="AG452" s="67" t="str">
        <f aca="false">IF(ISBLANK($C452),"",IF($AF452&lt;&gt;Constants!$B$7,$AF452,Constants!$B$20))</f>
        <v/>
      </c>
      <c r="AH452" s="67" t="str">
        <f aca="false">IF($AF452=Constants!$B$7,IF(AD452,V452,Constants!$B$13),"")</f>
        <v/>
      </c>
      <c r="AI452" s="67" t="str">
        <f aca="false">IF($AF452=Constants!$B$7,IF(AD452,T452*IF(W452, 1, Constants!$B$11)*IF(X452, 1, Constants!$B$12),Constants!$B$13),"")</f>
        <v/>
      </c>
      <c r="AJ452" s="67" t="str">
        <f aca="false">IF($AF452=Constants!$B$7,AH452*AI452,"")</f>
        <v/>
      </c>
      <c r="AK452" s="67" t="str">
        <f aca="false">IF($AF452=Constants!$B$7,IF(AE452,Z452,Constants!$B$13),"")</f>
        <v/>
      </c>
      <c r="AL452" s="67" t="str">
        <f aca="false">IF($AF452=Constants!$B$7,IF(AE452,T452*IF(AA452, 1, Constants!$B$11)*IF(AB452, 1, Constants!$B$12),Constants!$B$13),"")</f>
        <v/>
      </c>
      <c r="AM452" s="67" t="str">
        <f aca="false">IF($AF452=Constants!$B$7,AK452*AL452,"")</f>
        <v/>
      </c>
      <c r="AN452" s="67" t="str">
        <f aca="false">IF($AF452=Constants!$B$7,IF(AM452&gt;AJ452,2,1),"")</f>
        <v/>
      </c>
      <c r="AO452" s="67" t="str">
        <f aca="false">IF($AF452=Constants!$B$7,IF(AN452=1,2,1),"")</f>
        <v/>
      </c>
      <c r="AP452" s="67" t="str">
        <f aca="false">IF(ISBLANK($C452),"",IF($AF452&lt;&gt;Constants!$B$7,$AF452,IF(AN452=1,AJ452,AM452)))</f>
        <v/>
      </c>
      <c r="AQ452" s="67" t="str">
        <f aca="false">IF(ISBLANK($C452),"",IF($AF452=Constants!$B$7,IF(ISNUMBER(AP452),RANK(AP452,$AP$8:$AP$507),Constants!$B$14),$AF452))</f>
        <v/>
      </c>
      <c r="AR452" s="67" t="str">
        <f aca="false">IF(ISBLANK($C452),"",IF($AF452=Constants!$B$7,IF(AO452=1,AJ452,AM452),""))</f>
        <v/>
      </c>
      <c r="AS452" s="67" t="str">
        <f aca="false">IF(ISBLANK($C452),"",IF($AF452=Constants!$B$7,RANK(AR452,$AR$8:$AR$507),$AF452))</f>
        <v/>
      </c>
      <c r="AT452" s="67" t="str">
        <f aca="false">IF(ISBLANK($C452),"",IF($AF452=Constants!$B$7,IF(ISNUMBER(AQ452),COUNTIFS($AQ$8:$AQ$507,"&lt;"&amp;$AQ452)+COUNTIFS($AQ$8:$AQ$507,$AQ452,$AS$8:$AS$507,"&lt;"&amp;$AS452)+1,Constants!$B$14),$AF452))</f>
        <v/>
      </c>
      <c r="AU452" s="67" t="str">
        <f aca="false">IF(ISBLANK($C452),"",IF($AF452=Constants!$B$7,IF(ISNUMBER(AQ452),AQ452-AT452,Constants!$B$14),$AF452))</f>
        <v/>
      </c>
      <c r="AV452" s="69"/>
      <c r="AW452" s="70" t="str">
        <f aca="false">IF(ISBLANK($C452),"",IF($AF452&lt;&gt;Constants!$B$7,"",AN452))</f>
        <v/>
      </c>
      <c r="AX452" s="85" t="str">
        <f aca="false">IF(ISBLANK($C452),"",IF($AF452&lt;&gt;Constants!$B$7,"",IF(AN452=1,AH452,AK452)))</f>
        <v/>
      </c>
      <c r="AY452" s="72" t="str">
        <f aca="false">IF(ISBLANK($C452),"",IF($AF452&lt;&gt;Constants!$B$7,"",IF(AN452=1,AI452,AL452)))</f>
        <v/>
      </c>
      <c r="AZ452" s="73" t="str">
        <f aca="false">IF(ISBLANK($C452),"",IF($AF452&lt;&gt;Constants!$B$7,$AF452,AP452))</f>
        <v/>
      </c>
      <c r="BA452" s="74" t="str">
        <f aca="false">IF(ISBLANK($C452),"",IF($AF452&lt;&gt;Constants!$B$7,$AF452,AG452))</f>
        <v/>
      </c>
      <c r="BB452" s="75" t="str">
        <f aca="false">IF(ISBLANK($C452),"",AU452)</f>
        <v/>
      </c>
      <c r="BC452" s="75" t="str">
        <f aca="false">IF(ISBLANK($C452),"",AT452)</f>
        <v/>
      </c>
      <c r="BD452" s="76" t="str">
        <f aca="false">IF(ISBLANK($C452),"",IFERROR(_xlfn.SWITCH(BC452,Constants!$B$4,COUNTA($C$8:$C$507)+2,Constants!$B$5,COUNTA($C$8:$C$507)+1,Constants!$B$6,COUNTA($C$8:$C$507)),BC452))</f>
        <v/>
      </c>
      <c r="BE452" s="5"/>
      <c r="BF452" s="77" t="n">
        <f aca="false">IF(OR(ISNUMBER(BC452),BC452=Constants!$B$4,BC452=Constants!$B$6,BC452=Constants!$B$5),1,0)</f>
        <v>0</v>
      </c>
      <c r="BG452" s="77" t="n">
        <v>445</v>
      </c>
      <c r="BH452" s="77" t="str">
        <f aca="false">IF(ISBLANK($C452),"",IF(ISNUMBER(BD452),BD452+ROW($B452)/1000,""))</f>
        <v/>
      </c>
      <c r="BI452" s="77" t="str">
        <f aca="false">IF(ISNUMBER(BH452),RANK(BH452,$BH$8:$BH$507,1),"")</f>
        <v/>
      </c>
      <c r="BJ452" s="77" t="str">
        <f aca="false">IF(ISBLANK($C452),"",$B452)</f>
        <v/>
      </c>
      <c r="BK452" s="77" t="str">
        <f aca="false">IF(ISBLANK($C452),"",$C452)</f>
        <v/>
      </c>
      <c r="BL452" s="77" t="str">
        <f aca="false">IF(ISBLANK($C452),"",$D452)</f>
        <v/>
      </c>
      <c r="BM452" s="78" t="str">
        <f aca="false">BA452</f>
        <v/>
      </c>
      <c r="BN452" s="79" t="str">
        <f aca="false">AZ452</f>
        <v/>
      </c>
      <c r="BO452" s="77" t="str">
        <f aca="false">IF(ISBLANK($C452),"",BC452)</f>
        <v/>
      </c>
      <c r="BP452" s="80" t="str">
        <f aca="false">IF($BG452&gt;$BF$7,"",VLOOKUP($BG452,$BI$8:$BO$507,7,FALSE()))</f>
        <v/>
      </c>
      <c r="BQ452" s="81" t="str">
        <f aca="false">IF($BG452&gt;$BF$7,"",VLOOKUP($BG452,$BI$8:$BO$507,2,FALSE()))</f>
        <v/>
      </c>
      <c r="BR452" s="81" t="str">
        <f aca="false">IF($BG452&gt;$BF$7,"",VLOOKUP($BG452,$BI$8:$BO$507,3,FALSE()))</f>
        <v/>
      </c>
      <c r="BS452" s="81" t="str">
        <f aca="false">IF($BG452&gt;$BF$7,"",VLOOKUP($BG452,$BI$8:$BO$507,4,FALSE()))</f>
        <v/>
      </c>
      <c r="BT452" s="81" t="str">
        <f aca="false">IF($BG452&gt;$BF$7,"",VLOOKUP($BG452,$BI$8:$BO$507,5,FALSE()))</f>
        <v/>
      </c>
      <c r="BU452" s="82" t="str">
        <f aca="false">IF($BG452&gt;$BF$7,"",VLOOKUP($BG452,$BI$8:$BO$507,6,FALSE()))</f>
        <v/>
      </c>
      <c r="BV452" s="54"/>
    </row>
    <row r="453" customFormat="false" ht="15.75" hidden="false" customHeight="false" outlineLevel="0" collapsed="false">
      <c r="A453" s="5"/>
      <c r="B453" s="135"/>
      <c r="C453" s="56"/>
      <c r="D453" s="57"/>
      <c r="E453" s="84"/>
      <c r="F453" s="136"/>
      <c r="G453" s="60"/>
      <c r="H453" s="137"/>
      <c r="I453" s="62"/>
      <c r="J453" s="62"/>
      <c r="K453" s="60"/>
      <c r="L453" s="138"/>
      <c r="M453" s="62"/>
      <c r="N453" s="62"/>
      <c r="O453" s="60"/>
      <c r="P453" s="84"/>
      <c r="Q453" s="65"/>
      <c r="R453" s="67" t="str">
        <f aca="false">IF(ISBLANK($C453),"",IF(E453=Constants!$B$2, TRUE(), IF(E453=Constants!$B$3, FALSE(), TRUE())))</f>
        <v/>
      </c>
      <c r="S453" s="67" t="str">
        <f aca="false">IF(ISBLANK($C453),"",IF(F453=Constants!$B$2, TRUE(), IF(F453=Constants!$B$3, FALSE(), TRUE())))</f>
        <v/>
      </c>
      <c r="T453" s="67" t="str">
        <f aca="false">IF(ISBLANK($C453),"",IF(G453=Constants!$B$16,Constants!$B$9,IF(G453=Constants!$B$17,Constants!$B$10,Constants!$B$8)))</f>
        <v/>
      </c>
      <c r="U453" s="67" t="str">
        <f aca="false">IF(ISBLANK($C453),"",IF(H453=Constants!$B$19,Constants!$B$19,Constants!$B$18))</f>
        <v/>
      </c>
      <c r="V453" s="67" t="str">
        <f aca="false">IF(ISBLANK($C453),"",IF(ISNUMBER(I453),IF(I453&gt;=0,I453,""),""))</f>
        <v/>
      </c>
      <c r="W453" s="67" t="str">
        <f aca="false">IF(ISBLANK($C453),"",IF(J453=Constants!$B$2, TRUE(), IF(J453=Constants!$B$3, FALSE(), TRUE())))</f>
        <v/>
      </c>
      <c r="X453" s="67" t="str">
        <f aca="false">IF(ISBLANK($C453),"",IF(K453=Constants!$B$2, TRUE(), IF(K453=Constants!$B$3, FALSE(), TRUE())))</f>
        <v/>
      </c>
      <c r="Y453" s="67" t="str">
        <f aca="false">IF(ISBLANK($C453),"",IF(L453=Constants!$B$19,Constants!$B$19,Constants!$B$18))</f>
        <v/>
      </c>
      <c r="Z453" s="67" t="str">
        <f aca="false">IF(ISBLANK($C453),"",IF(ISNUMBER(M453),IF(M453&gt;=0,M453,""),""))</f>
        <v/>
      </c>
      <c r="AA453" s="67" t="str">
        <f aca="false">IF(ISBLANK($C453),"",IF(N453=Constants!$B$2, TRUE(), IF(N453=Constants!$B$3, FALSE(), TRUE())))</f>
        <v/>
      </c>
      <c r="AB453" s="67" t="str">
        <f aca="false">IF(ISBLANK($C453),"",IF(O453=Constants!$B$2, TRUE(), IF(O453=Constants!$B$3, FALSE(), TRUE())))</f>
        <v/>
      </c>
      <c r="AC453" s="67" t="str">
        <f aca="false">IF(ISBLANK($C453),"",IF(P453=Constants!$B$2, TRUE(), IF(P453=Constants!$B$3, FALSE(), FALSE())))</f>
        <v/>
      </c>
      <c r="AD453" s="67" t="str">
        <f aca="false">IF(ISBLANK($C453),"",AND(V453&lt;&gt;"",IF(U453=Constants!$B$19,S453,R453)))</f>
        <v/>
      </c>
      <c r="AE453" s="67" t="str">
        <f aca="false">IF(ISBLANK($C453),"",AND(Z453&lt;&gt;"",IF(Y453=Constants!$B$19,S453,R453)))</f>
        <v/>
      </c>
      <c r="AF453" s="67" t="str">
        <f aca="false">IF(ISBLANK($C453),"",IF(AC453,Constants!$B$4,IF(COUNTA(E453:O453)=0,Constants!$B$5,IF(AND(NOT(AD453),NOT(AE453)),Constants!$B$6,Constants!$B$7))))</f>
        <v/>
      </c>
      <c r="AG453" s="67" t="str">
        <f aca="false">IF(ISBLANK($C453),"",IF($AF453&lt;&gt;Constants!$B$7,$AF453,Constants!$B$20))</f>
        <v/>
      </c>
      <c r="AH453" s="67" t="str">
        <f aca="false">IF($AF453=Constants!$B$7,IF(AD453,V453,Constants!$B$13),"")</f>
        <v/>
      </c>
      <c r="AI453" s="67" t="str">
        <f aca="false">IF($AF453=Constants!$B$7,IF(AD453,T453*IF(W453, 1, Constants!$B$11)*IF(X453, 1, Constants!$B$12),Constants!$B$13),"")</f>
        <v/>
      </c>
      <c r="AJ453" s="67" t="str">
        <f aca="false">IF($AF453=Constants!$B$7,AH453*AI453,"")</f>
        <v/>
      </c>
      <c r="AK453" s="67" t="str">
        <f aca="false">IF($AF453=Constants!$B$7,IF(AE453,Z453,Constants!$B$13),"")</f>
        <v/>
      </c>
      <c r="AL453" s="67" t="str">
        <f aca="false">IF($AF453=Constants!$B$7,IF(AE453,T453*IF(AA453, 1, Constants!$B$11)*IF(AB453, 1, Constants!$B$12),Constants!$B$13),"")</f>
        <v/>
      </c>
      <c r="AM453" s="67" t="str">
        <f aca="false">IF($AF453=Constants!$B$7,AK453*AL453,"")</f>
        <v/>
      </c>
      <c r="AN453" s="67" t="str">
        <f aca="false">IF($AF453=Constants!$B$7,IF(AM453&gt;AJ453,2,1),"")</f>
        <v/>
      </c>
      <c r="AO453" s="67" t="str">
        <f aca="false">IF($AF453=Constants!$B$7,IF(AN453=1,2,1),"")</f>
        <v/>
      </c>
      <c r="AP453" s="67" t="str">
        <f aca="false">IF(ISBLANK($C453),"",IF($AF453&lt;&gt;Constants!$B$7,$AF453,IF(AN453=1,AJ453,AM453)))</f>
        <v/>
      </c>
      <c r="AQ453" s="67" t="str">
        <f aca="false">IF(ISBLANK($C453),"",IF($AF453=Constants!$B$7,IF(ISNUMBER(AP453),RANK(AP453,$AP$8:$AP$507),Constants!$B$14),$AF453))</f>
        <v/>
      </c>
      <c r="AR453" s="67" t="str">
        <f aca="false">IF(ISBLANK($C453),"",IF($AF453=Constants!$B$7,IF(AO453=1,AJ453,AM453),""))</f>
        <v/>
      </c>
      <c r="AS453" s="67" t="str">
        <f aca="false">IF(ISBLANK($C453),"",IF($AF453=Constants!$B$7,RANK(AR453,$AR$8:$AR$507),$AF453))</f>
        <v/>
      </c>
      <c r="AT453" s="67" t="str">
        <f aca="false">IF(ISBLANK($C453),"",IF($AF453=Constants!$B$7,IF(ISNUMBER(AQ453),COUNTIFS($AQ$8:$AQ$507,"&lt;"&amp;$AQ453)+COUNTIFS($AQ$8:$AQ$507,$AQ453,$AS$8:$AS$507,"&lt;"&amp;$AS453)+1,Constants!$B$14),$AF453))</f>
        <v/>
      </c>
      <c r="AU453" s="67" t="str">
        <f aca="false">IF(ISBLANK($C453),"",IF($AF453=Constants!$B$7,IF(ISNUMBER(AQ453),AQ453-AT453,Constants!$B$14),$AF453))</f>
        <v/>
      </c>
      <c r="AV453" s="69"/>
      <c r="AW453" s="70" t="str">
        <f aca="false">IF(ISBLANK($C453),"",IF($AF453&lt;&gt;Constants!$B$7,"",AN453))</f>
        <v/>
      </c>
      <c r="AX453" s="85" t="str">
        <f aca="false">IF(ISBLANK($C453),"",IF($AF453&lt;&gt;Constants!$B$7,"",IF(AN453=1,AH453,AK453)))</f>
        <v/>
      </c>
      <c r="AY453" s="72" t="str">
        <f aca="false">IF(ISBLANK($C453),"",IF($AF453&lt;&gt;Constants!$B$7,"",IF(AN453=1,AI453,AL453)))</f>
        <v/>
      </c>
      <c r="AZ453" s="73" t="str">
        <f aca="false">IF(ISBLANK($C453),"",IF($AF453&lt;&gt;Constants!$B$7,$AF453,AP453))</f>
        <v/>
      </c>
      <c r="BA453" s="74" t="str">
        <f aca="false">IF(ISBLANK($C453),"",IF($AF453&lt;&gt;Constants!$B$7,$AF453,AG453))</f>
        <v/>
      </c>
      <c r="BB453" s="75" t="str">
        <f aca="false">IF(ISBLANK($C453),"",AU453)</f>
        <v/>
      </c>
      <c r="BC453" s="75" t="str">
        <f aca="false">IF(ISBLANK($C453),"",AT453)</f>
        <v/>
      </c>
      <c r="BD453" s="76" t="str">
        <f aca="false">IF(ISBLANK($C453),"",IFERROR(_xlfn.SWITCH(BC453,Constants!$B$4,COUNTA($C$8:$C$507)+2,Constants!$B$5,COUNTA($C$8:$C$507)+1,Constants!$B$6,COUNTA($C$8:$C$507)),BC453))</f>
        <v/>
      </c>
      <c r="BE453" s="5"/>
      <c r="BF453" s="77" t="n">
        <f aca="false">IF(OR(ISNUMBER(BC453),BC453=Constants!$B$4,BC453=Constants!$B$6,BC453=Constants!$B$5),1,0)</f>
        <v>0</v>
      </c>
      <c r="BG453" s="77" t="n">
        <v>446</v>
      </c>
      <c r="BH453" s="77" t="str">
        <f aca="false">IF(ISBLANK($C453),"",IF(ISNUMBER(BD453),BD453+ROW($B453)/1000,""))</f>
        <v/>
      </c>
      <c r="BI453" s="77" t="str">
        <f aca="false">IF(ISNUMBER(BH453),RANK(BH453,$BH$8:$BH$507,1),"")</f>
        <v/>
      </c>
      <c r="BJ453" s="77" t="str">
        <f aca="false">IF(ISBLANK($C453),"",$B453)</f>
        <v/>
      </c>
      <c r="BK453" s="77" t="str">
        <f aca="false">IF(ISBLANK($C453),"",$C453)</f>
        <v/>
      </c>
      <c r="BL453" s="77" t="str">
        <f aca="false">IF(ISBLANK($C453),"",$D453)</f>
        <v/>
      </c>
      <c r="BM453" s="78" t="str">
        <f aca="false">BA453</f>
        <v/>
      </c>
      <c r="BN453" s="79" t="str">
        <f aca="false">AZ453</f>
        <v/>
      </c>
      <c r="BO453" s="77" t="str">
        <f aca="false">IF(ISBLANK($C453),"",BC453)</f>
        <v/>
      </c>
      <c r="BP453" s="80" t="str">
        <f aca="false">IF($BG453&gt;$BF$7,"",VLOOKUP($BG453,$BI$8:$BO$507,7,FALSE()))</f>
        <v/>
      </c>
      <c r="BQ453" s="81" t="str">
        <f aca="false">IF($BG453&gt;$BF$7,"",VLOOKUP($BG453,$BI$8:$BO$507,2,FALSE()))</f>
        <v/>
      </c>
      <c r="BR453" s="81" t="str">
        <f aca="false">IF($BG453&gt;$BF$7,"",VLOOKUP($BG453,$BI$8:$BO$507,3,FALSE()))</f>
        <v/>
      </c>
      <c r="BS453" s="81" t="str">
        <f aca="false">IF($BG453&gt;$BF$7,"",VLOOKUP($BG453,$BI$8:$BO$507,4,FALSE()))</f>
        <v/>
      </c>
      <c r="BT453" s="81" t="str">
        <f aca="false">IF($BG453&gt;$BF$7,"",VLOOKUP($BG453,$BI$8:$BO$507,5,FALSE()))</f>
        <v/>
      </c>
      <c r="BU453" s="82" t="str">
        <f aca="false">IF($BG453&gt;$BF$7,"",VLOOKUP($BG453,$BI$8:$BO$507,6,FALSE()))</f>
        <v/>
      </c>
      <c r="BV453" s="54"/>
    </row>
    <row r="454" customFormat="false" ht="15.75" hidden="false" customHeight="false" outlineLevel="0" collapsed="false">
      <c r="A454" s="5"/>
      <c r="B454" s="135"/>
      <c r="C454" s="56"/>
      <c r="D454" s="57"/>
      <c r="E454" s="84"/>
      <c r="F454" s="136"/>
      <c r="G454" s="60"/>
      <c r="H454" s="137"/>
      <c r="I454" s="62"/>
      <c r="J454" s="62"/>
      <c r="K454" s="60"/>
      <c r="L454" s="138"/>
      <c r="M454" s="62"/>
      <c r="N454" s="62"/>
      <c r="O454" s="60"/>
      <c r="P454" s="84"/>
      <c r="Q454" s="65"/>
      <c r="R454" s="67" t="str">
        <f aca="false">IF(ISBLANK($C454),"",IF(E454=Constants!$B$2, TRUE(), IF(E454=Constants!$B$3, FALSE(), TRUE())))</f>
        <v/>
      </c>
      <c r="S454" s="67" t="str">
        <f aca="false">IF(ISBLANK($C454),"",IF(F454=Constants!$B$2, TRUE(), IF(F454=Constants!$B$3, FALSE(), TRUE())))</f>
        <v/>
      </c>
      <c r="T454" s="67" t="str">
        <f aca="false">IF(ISBLANK($C454),"",IF(G454=Constants!$B$16,Constants!$B$9,IF(G454=Constants!$B$17,Constants!$B$10,Constants!$B$8)))</f>
        <v/>
      </c>
      <c r="U454" s="67" t="str">
        <f aca="false">IF(ISBLANK($C454),"",IF(H454=Constants!$B$19,Constants!$B$19,Constants!$B$18))</f>
        <v/>
      </c>
      <c r="V454" s="67" t="str">
        <f aca="false">IF(ISBLANK($C454),"",IF(ISNUMBER(I454),IF(I454&gt;=0,I454,""),""))</f>
        <v/>
      </c>
      <c r="W454" s="67" t="str">
        <f aca="false">IF(ISBLANK($C454),"",IF(J454=Constants!$B$2, TRUE(), IF(J454=Constants!$B$3, FALSE(), TRUE())))</f>
        <v/>
      </c>
      <c r="X454" s="67" t="str">
        <f aca="false">IF(ISBLANK($C454),"",IF(K454=Constants!$B$2, TRUE(), IF(K454=Constants!$B$3, FALSE(), TRUE())))</f>
        <v/>
      </c>
      <c r="Y454" s="67" t="str">
        <f aca="false">IF(ISBLANK($C454),"",IF(L454=Constants!$B$19,Constants!$B$19,Constants!$B$18))</f>
        <v/>
      </c>
      <c r="Z454" s="67" t="str">
        <f aca="false">IF(ISBLANK($C454),"",IF(ISNUMBER(M454),IF(M454&gt;=0,M454,""),""))</f>
        <v/>
      </c>
      <c r="AA454" s="67" t="str">
        <f aca="false">IF(ISBLANK($C454),"",IF(N454=Constants!$B$2, TRUE(), IF(N454=Constants!$B$3, FALSE(), TRUE())))</f>
        <v/>
      </c>
      <c r="AB454" s="67" t="str">
        <f aca="false">IF(ISBLANK($C454),"",IF(O454=Constants!$B$2, TRUE(), IF(O454=Constants!$B$3, FALSE(), TRUE())))</f>
        <v/>
      </c>
      <c r="AC454" s="67" t="str">
        <f aca="false">IF(ISBLANK($C454),"",IF(P454=Constants!$B$2, TRUE(), IF(P454=Constants!$B$3, FALSE(), FALSE())))</f>
        <v/>
      </c>
      <c r="AD454" s="67" t="str">
        <f aca="false">IF(ISBLANK($C454),"",AND(V454&lt;&gt;"",IF(U454=Constants!$B$19,S454,R454)))</f>
        <v/>
      </c>
      <c r="AE454" s="67" t="str">
        <f aca="false">IF(ISBLANK($C454),"",AND(Z454&lt;&gt;"",IF(Y454=Constants!$B$19,S454,R454)))</f>
        <v/>
      </c>
      <c r="AF454" s="67" t="str">
        <f aca="false">IF(ISBLANK($C454),"",IF(AC454,Constants!$B$4,IF(COUNTA(E454:O454)=0,Constants!$B$5,IF(AND(NOT(AD454),NOT(AE454)),Constants!$B$6,Constants!$B$7))))</f>
        <v/>
      </c>
      <c r="AG454" s="67" t="str">
        <f aca="false">IF(ISBLANK($C454),"",IF($AF454&lt;&gt;Constants!$B$7,$AF454,Constants!$B$20))</f>
        <v/>
      </c>
      <c r="AH454" s="67" t="str">
        <f aca="false">IF($AF454=Constants!$B$7,IF(AD454,V454,Constants!$B$13),"")</f>
        <v/>
      </c>
      <c r="AI454" s="67" t="str">
        <f aca="false">IF($AF454=Constants!$B$7,IF(AD454,T454*IF(W454, 1, Constants!$B$11)*IF(X454, 1, Constants!$B$12),Constants!$B$13),"")</f>
        <v/>
      </c>
      <c r="AJ454" s="67" t="str">
        <f aca="false">IF($AF454=Constants!$B$7,AH454*AI454,"")</f>
        <v/>
      </c>
      <c r="AK454" s="67" t="str">
        <f aca="false">IF($AF454=Constants!$B$7,IF(AE454,Z454,Constants!$B$13),"")</f>
        <v/>
      </c>
      <c r="AL454" s="67" t="str">
        <f aca="false">IF($AF454=Constants!$B$7,IF(AE454,T454*IF(AA454, 1, Constants!$B$11)*IF(AB454, 1, Constants!$B$12),Constants!$B$13),"")</f>
        <v/>
      </c>
      <c r="AM454" s="67" t="str">
        <f aca="false">IF($AF454=Constants!$B$7,AK454*AL454,"")</f>
        <v/>
      </c>
      <c r="AN454" s="67" t="str">
        <f aca="false">IF($AF454=Constants!$B$7,IF(AM454&gt;AJ454,2,1),"")</f>
        <v/>
      </c>
      <c r="AO454" s="67" t="str">
        <f aca="false">IF($AF454=Constants!$B$7,IF(AN454=1,2,1),"")</f>
        <v/>
      </c>
      <c r="AP454" s="67" t="str">
        <f aca="false">IF(ISBLANK($C454),"",IF($AF454&lt;&gt;Constants!$B$7,$AF454,IF(AN454=1,AJ454,AM454)))</f>
        <v/>
      </c>
      <c r="AQ454" s="67" t="str">
        <f aca="false">IF(ISBLANK($C454),"",IF($AF454=Constants!$B$7,IF(ISNUMBER(AP454),RANK(AP454,$AP$8:$AP$507),Constants!$B$14),$AF454))</f>
        <v/>
      </c>
      <c r="AR454" s="67" t="str">
        <f aca="false">IF(ISBLANK($C454),"",IF($AF454=Constants!$B$7,IF(AO454=1,AJ454,AM454),""))</f>
        <v/>
      </c>
      <c r="AS454" s="67" t="str">
        <f aca="false">IF(ISBLANK($C454),"",IF($AF454=Constants!$B$7,RANK(AR454,$AR$8:$AR$507),$AF454))</f>
        <v/>
      </c>
      <c r="AT454" s="67" t="str">
        <f aca="false">IF(ISBLANK($C454),"",IF($AF454=Constants!$B$7,IF(ISNUMBER(AQ454),COUNTIFS($AQ$8:$AQ$507,"&lt;"&amp;$AQ454)+COUNTIFS($AQ$8:$AQ$507,$AQ454,$AS$8:$AS$507,"&lt;"&amp;$AS454)+1,Constants!$B$14),$AF454))</f>
        <v/>
      </c>
      <c r="AU454" s="67" t="str">
        <f aca="false">IF(ISBLANK($C454),"",IF($AF454=Constants!$B$7,IF(ISNUMBER(AQ454),AQ454-AT454,Constants!$B$14),$AF454))</f>
        <v/>
      </c>
      <c r="AV454" s="69"/>
      <c r="AW454" s="70" t="str">
        <f aca="false">IF(ISBLANK($C454),"",IF($AF454&lt;&gt;Constants!$B$7,"",AN454))</f>
        <v/>
      </c>
      <c r="AX454" s="85" t="str">
        <f aca="false">IF(ISBLANK($C454),"",IF($AF454&lt;&gt;Constants!$B$7,"",IF(AN454=1,AH454,AK454)))</f>
        <v/>
      </c>
      <c r="AY454" s="72" t="str">
        <f aca="false">IF(ISBLANK($C454),"",IF($AF454&lt;&gt;Constants!$B$7,"",IF(AN454=1,AI454,AL454)))</f>
        <v/>
      </c>
      <c r="AZ454" s="73" t="str">
        <f aca="false">IF(ISBLANK($C454),"",IF($AF454&lt;&gt;Constants!$B$7,$AF454,AP454))</f>
        <v/>
      </c>
      <c r="BA454" s="74" t="str">
        <f aca="false">IF(ISBLANK($C454),"",IF($AF454&lt;&gt;Constants!$B$7,$AF454,AG454))</f>
        <v/>
      </c>
      <c r="BB454" s="75" t="str">
        <f aca="false">IF(ISBLANK($C454),"",AU454)</f>
        <v/>
      </c>
      <c r="BC454" s="75" t="str">
        <f aca="false">IF(ISBLANK($C454),"",AT454)</f>
        <v/>
      </c>
      <c r="BD454" s="76" t="str">
        <f aca="false">IF(ISBLANK($C454),"",IFERROR(_xlfn.SWITCH(BC454,Constants!$B$4,COUNTA($C$8:$C$507)+2,Constants!$B$5,COUNTA($C$8:$C$507)+1,Constants!$B$6,COUNTA($C$8:$C$507)),BC454))</f>
        <v/>
      </c>
      <c r="BE454" s="5"/>
      <c r="BF454" s="77" t="n">
        <f aca="false">IF(OR(ISNUMBER(BC454),BC454=Constants!$B$4,BC454=Constants!$B$6,BC454=Constants!$B$5),1,0)</f>
        <v>0</v>
      </c>
      <c r="BG454" s="77" t="n">
        <v>447</v>
      </c>
      <c r="BH454" s="77" t="str">
        <f aca="false">IF(ISBLANK($C454),"",IF(ISNUMBER(BD454),BD454+ROW($B454)/1000,""))</f>
        <v/>
      </c>
      <c r="BI454" s="77" t="str">
        <f aca="false">IF(ISNUMBER(BH454),RANK(BH454,$BH$8:$BH$507,1),"")</f>
        <v/>
      </c>
      <c r="BJ454" s="77" t="str">
        <f aca="false">IF(ISBLANK($C454),"",$B454)</f>
        <v/>
      </c>
      <c r="BK454" s="77" t="str">
        <f aca="false">IF(ISBLANK($C454),"",$C454)</f>
        <v/>
      </c>
      <c r="BL454" s="77" t="str">
        <f aca="false">IF(ISBLANK($C454),"",$D454)</f>
        <v/>
      </c>
      <c r="BM454" s="78" t="str">
        <f aca="false">BA454</f>
        <v/>
      </c>
      <c r="BN454" s="79" t="str">
        <f aca="false">AZ454</f>
        <v/>
      </c>
      <c r="BO454" s="77" t="str">
        <f aca="false">IF(ISBLANK($C454),"",BC454)</f>
        <v/>
      </c>
      <c r="BP454" s="80" t="str">
        <f aca="false">IF($BG454&gt;$BF$7,"",VLOOKUP($BG454,$BI$8:$BO$507,7,FALSE()))</f>
        <v/>
      </c>
      <c r="BQ454" s="81" t="str">
        <f aca="false">IF($BG454&gt;$BF$7,"",VLOOKUP($BG454,$BI$8:$BO$507,2,FALSE()))</f>
        <v/>
      </c>
      <c r="BR454" s="81" t="str">
        <f aca="false">IF($BG454&gt;$BF$7,"",VLOOKUP($BG454,$BI$8:$BO$507,3,FALSE()))</f>
        <v/>
      </c>
      <c r="BS454" s="81" t="str">
        <f aca="false">IF($BG454&gt;$BF$7,"",VLOOKUP($BG454,$BI$8:$BO$507,4,FALSE()))</f>
        <v/>
      </c>
      <c r="BT454" s="81" t="str">
        <f aca="false">IF($BG454&gt;$BF$7,"",VLOOKUP($BG454,$BI$8:$BO$507,5,FALSE()))</f>
        <v/>
      </c>
      <c r="BU454" s="82" t="str">
        <f aca="false">IF($BG454&gt;$BF$7,"",VLOOKUP($BG454,$BI$8:$BO$507,6,FALSE()))</f>
        <v/>
      </c>
      <c r="BV454" s="54"/>
    </row>
    <row r="455" customFormat="false" ht="15.75" hidden="false" customHeight="false" outlineLevel="0" collapsed="false">
      <c r="A455" s="5"/>
      <c r="B455" s="128"/>
      <c r="C455" s="129"/>
      <c r="D455" s="114"/>
      <c r="E455" s="134"/>
      <c r="F455" s="139"/>
      <c r="G455" s="93"/>
      <c r="H455" s="140"/>
      <c r="I455" s="95"/>
      <c r="J455" s="95"/>
      <c r="K455" s="93"/>
      <c r="L455" s="141"/>
      <c r="M455" s="95"/>
      <c r="N455" s="95"/>
      <c r="O455" s="93"/>
      <c r="P455" s="134"/>
      <c r="Q455" s="98"/>
      <c r="R455" s="99" t="str">
        <f aca="false">IF(ISBLANK($C455),"",IF(E455=Constants!$B$2, TRUE(), IF(E455=Constants!$B$3, FALSE(), TRUE())))</f>
        <v/>
      </c>
      <c r="S455" s="99" t="str">
        <f aca="false">IF(ISBLANK($C455),"",IF(F455=Constants!$B$2, TRUE(), IF(F455=Constants!$B$3, FALSE(), TRUE())))</f>
        <v/>
      </c>
      <c r="T455" s="99" t="str">
        <f aca="false">IF(ISBLANK($C455),"",IF(G455=Constants!$B$16,Constants!$B$9,IF(G455=Constants!$B$17,Constants!$B$10,Constants!$B$8)))</f>
        <v/>
      </c>
      <c r="U455" s="99" t="str">
        <f aca="false">IF(ISBLANK($C455),"",IF(H455=Constants!$B$19,Constants!$B$19,Constants!$B$18))</f>
        <v/>
      </c>
      <c r="V455" s="99" t="str">
        <f aca="false">IF(ISBLANK($C455),"",IF(ISNUMBER(I455),IF(I455&gt;=0,I455,""),""))</f>
        <v/>
      </c>
      <c r="W455" s="99" t="str">
        <f aca="false">IF(ISBLANK($C455),"",IF(J455=Constants!$B$2, TRUE(), IF(J455=Constants!$B$3, FALSE(), TRUE())))</f>
        <v/>
      </c>
      <c r="X455" s="99" t="str">
        <f aca="false">IF(ISBLANK($C455),"",IF(K455=Constants!$B$2, TRUE(), IF(K455=Constants!$B$3, FALSE(), TRUE())))</f>
        <v/>
      </c>
      <c r="Y455" s="99" t="str">
        <f aca="false">IF(ISBLANK($C455),"",IF(L455=Constants!$B$19,Constants!$B$19,Constants!$B$18))</f>
        <v/>
      </c>
      <c r="Z455" s="99" t="str">
        <f aca="false">IF(ISBLANK($C455),"",IF(ISNUMBER(M455),IF(M455&gt;=0,M455,""),""))</f>
        <v/>
      </c>
      <c r="AA455" s="99" t="str">
        <f aca="false">IF(ISBLANK($C455),"",IF(N455=Constants!$B$2, TRUE(), IF(N455=Constants!$B$3, FALSE(), TRUE())))</f>
        <v/>
      </c>
      <c r="AB455" s="99" t="str">
        <f aca="false">IF(ISBLANK($C455),"",IF(O455=Constants!$B$2, TRUE(), IF(O455=Constants!$B$3, FALSE(), TRUE())))</f>
        <v/>
      </c>
      <c r="AC455" s="99" t="str">
        <f aca="false">IF(ISBLANK($C455),"",IF(P455=Constants!$B$2, TRUE(), IF(P455=Constants!$B$3, FALSE(), FALSE())))</f>
        <v/>
      </c>
      <c r="AD455" s="99" t="str">
        <f aca="false">IF(ISBLANK($C455),"",AND(V455&lt;&gt;"",IF(U455=Constants!$B$19,S455,R455)))</f>
        <v/>
      </c>
      <c r="AE455" s="99" t="str">
        <f aca="false">IF(ISBLANK($C455),"",AND(Z455&lt;&gt;"",IF(Y455=Constants!$B$19,S455,R455)))</f>
        <v/>
      </c>
      <c r="AF455" s="99" t="str">
        <f aca="false">IF(ISBLANK($C455),"",IF(AC455,Constants!$B$4,IF(COUNTA(E455:O455)=0,Constants!$B$5,IF(AND(NOT(AD455),NOT(AE455)),Constants!$B$6,Constants!$B$7))))</f>
        <v/>
      </c>
      <c r="AG455" s="99" t="str">
        <f aca="false">IF(ISBLANK($C455),"",IF($AF455&lt;&gt;Constants!$B$7,$AF455,Constants!$B$20))</f>
        <v/>
      </c>
      <c r="AH455" s="99" t="str">
        <f aca="false">IF($AF455=Constants!$B$7,IF(AD455,V455,Constants!$B$13),"")</f>
        <v/>
      </c>
      <c r="AI455" s="99" t="str">
        <f aca="false">IF($AF455=Constants!$B$7,IF(AD455,T455*IF(W455, 1, Constants!$B$11)*IF(X455, 1, Constants!$B$12),Constants!$B$13),"")</f>
        <v/>
      </c>
      <c r="AJ455" s="99" t="str">
        <f aca="false">IF($AF455=Constants!$B$7,AH455*AI455,"")</f>
        <v/>
      </c>
      <c r="AK455" s="99" t="str">
        <f aca="false">IF($AF455=Constants!$B$7,IF(AE455,Z455,Constants!$B$13),"")</f>
        <v/>
      </c>
      <c r="AL455" s="99" t="str">
        <f aca="false">IF($AF455=Constants!$B$7,IF(AE455,T455*IF(AA455, 1, Constants!$B$11)*IF(AB455, 1, Constants!$B$12),Constants!$B$13),"")</f>
        <v/>
      </c>
      <c r="AM455" s="99" t="str">
        <f aca="false">IF($AF455=Constants!$B$7,AK455*AL455,"")</f>
        <v/>
      </c>
      <c r="AN455" s="99" t="str">
        <f aca="false">IF($AF455=Constants!$B$7,IF(AM455&gt;AJ455,2,1),"")</f>
        <v/>
      </c>
      <c r="AO455" s="99" t="str">
        <f aca="false">IF($AF455=Constants!$B$7,IF(AN455=1,2,1),"")</f>
        <v/>
      </c>
      <c r="AP455" s="99" t="str">
        <f aca="false">IF(ISBLANK($C455),"",IF($AF455&lt;&gt;Constants!$B$7,$AF455,IF(AN455=1,AJ455,AM455)))</f>
        <v/>
      </c>
      <c r="AQ455" s="99" t="str">
        <f aca="false">IF(ISBLANK($C455),"",IF($AF455=Constants!$B$7,IF(ISNUMBER(AP455),RANK(AP455,$AP$8:$AP$507),Constants!$B$14),$AF455))</f>
        <v/>
      </c>
      <c r="AR455" s="99" t="str">
        <f aca="false">IF(ISBLANK($C455),"",IF($AF455=Constants!$B$7,IF(AO455=1,AJ455,AM455),""))</f>
        <v/>
      </c>
      <c r="AS455" s="99" t="str">
        <f aca="false">IF(ISBLANK($C455),"",IF($AF455=Constants!$B$7,RANK(AR455,$AR$8:$AR$507),$AF455))</f>
        <v/>
      </c>
      <c r="AT455" s="99" t="str">
        <f aca="false">IF(ISBLANK($C455),"",IF($AF455=Constants!$B$7,IF(ISNUMBER(AQ455),COUNTIFS($AQ$8:$AQ$507,"&lt;"&amp;$AQ455)+COUNTIFS($AQ$8:$AQ$507,$AQ455,$AS$8:$AS$507,"&lt;"&amp;$AS455)+1,Constants!$B$14),$AF455))</f>
        <v/>
      </c>
      <c r="AU455" s="99" t="str">
        <f aca="false">IF(ISBLANK($C455),"",IF($AF455=Constants!$B$7,IF(ISNUMBER(AQ455),AQ455-AT455,Constants!$B$14),$AF455))</f>
        <v/>
      </c>
      <c r="AV455" s="100"/>
      <c r="AW455" s="101" t="str">
        <f aca="false">IF(ISBLANK($C455),"",IF($AF455&lt;&gt;Constants!$B$7,"",AN455))</f>
        <v/>
      </c>
      <c r="AX455" s="102" t="str">
        <f aca="false">IF(ISBLANK($C455),"",IF($AF455&lt;&gt;Constants!$B$7,"",IF(AN455=1,AH455,AK455)))</f>
        <v/>
      </c>
      <c r="AY455" s="103" t="str">
        <f aca="false">IF(ISBLANK($C455),"",IF($AF455&lt;&gt;Constants!$B$7,"",IF(AN455=1,AI455,AL455)))</f>
        <v/>
      </c>
      <c r="AZ455" s="104" t="str">
        <f aca="false">IF(ISBLANK($C455),"",IF($AF455&lt;&gt;Constants!$B$7,$AF455,AP455))</f>
        <v/>
      </c>
      <c r="BA455" s="105" t="str">
        <f aca="false">IF(ISBLANK($C455),"",IF($AF455&lt;&gt;Constants!$B$7,$AF455,AG455))</f>
        <v/>
      </c>
      <c r="BB455" s="106" t="str">
        <f aca="false">IF(ISBLANK($C455),"",AU455)</f>
        <v/>
      </c>
      <c r="BC455" s="106" t="str">
        <f aca="false">IF(ISBLANK($C455),"",AT455)</f>
        <v/>
      </c>
      <c r="BD455" s="107" t="str">
        <f aca="false">IF(ISBLANK($C455),"",IFERROR(_xlfn.SWITCH(BC455,Constants!$B$4,COUNTA($C$8:$C$507)+2,Constants!$B$5,COUNTA($C$8:$C$507)+1,Constants!$B$6,COUNTA($C$8:$C$507)),BC455))</f>
        <v/>
      </c>
      <c r="BE455" s="5"/>
      <c r="BF455" s="108" t="n">
        <f aca="false">IF(OR(ISNUMBER(BC455),BC455=Constants!$B$4,BC455=Constants!$B$6,BC455=Constants!$B$5),1,0)</f>
        <v>0</v>
      </c>
      <c r="BG455" s="108" t="n">
        <v>448</v>
      </c>
      <c r="BH455" s="108" t="str">
        <f aca="false">IF(ISBLANK($C455),"",IF(ISNUMBER(BD455),BD455+ROW($B455)/1000,""))</f>
        <v/>
      </c>
      <c r="BI455" s="108" t="str">
        <f aca="false">IF(ISNUMBER(BH455),RANK(BH455,$BH$8:$BH$507,1),"")</f>
        <v/>
      </c>
      <c r="BJ455" s="108" t="str">
        <f aca="false">IF(ISBLANK($C455),"",$B455)</f>
        <v/>
      </c>
      <c r="BK455" s="108" t="str">
        <f aca="false">IF(ISBLANK($C455),"",$C455)</f>
        <v/>
      </c>
      <c r="BL455" s="108" t="str">
        <f aca="false">IF(ISBLANK($C455),"",$D455)</f>
        <v/>
      </c>
      <c r="BM455" s="109" t="str">
        <f aca="false">BA455</f>
        <v/>
      </c>
      <c r="BN455" s="110" t="str">
        <f aca="false">AZ455</f>
        <v/>
      </c>
      <c r="BO455" s="108" t="str">
        <f aca="false">IF(ISBLANK($C455),"",BC455)</f>
        <v/>
      </c>
      <c r="BP455" s="111" t="str">
        <f aca="false">IF($BG455&gt;$BF$7,"",VLOOKUP($BG455,$BI$8:$BO$507,7,FALSE()))</f>
        <v/>
      </c>
      <c r="BQ455" s="112" t="str">
        <f aca="false">IF($BG455&gt;$BF$7,"",VLOOKUP($BG455,$BI$8:$BO$507,2,FALSE()))</f>
        <v/>
      </c>
      <c r="BR455" s="112" t="str">
        <f aca="false">IF($BG455&gt;$BF$7,"",VLOOKUP($BG455,$BI$8:$BO$507,3,FALSE()))</f>
        <v/>
      </c>
      <c r="BS455" s="112" t="str">
        <f aca="false">IF($BG455&gt;$BF$7,"",VLOOKUP($BG455,$BI$8:$BO$507,4,FALSE()))</f>
        <v/>
      </c>
      <c r="BT455" s="112" t="str">
        <f aca="false">IF($BG455&gt;$BF$7,"",VLOOKUP($BG455,$BI$8:$BO$507,5,FALSE()))</f>
        <v/>
      </c>
      <c r="BU455" s="113" t="str">
        <f aca="false">IF($BG455&gt;$BF$7,"",VLOOKUP($BG455,$BI$8:$BO$507,6,FALSE()))</f>
        <v/>
      </c>
      <c r="BV455" s="54"/>
    </row>
    <row r="456" customFormat="false" ht="15.75" hidden="false" customHeight="false" outlineLevel="0" collapsed="false">
      <c r="A456" s="5"/>
      <c r="B456" s="128"/>
      <c r="C456" s="129"/>
      <c r="D456" s="114"/>
      <c r="E456" s="134"/>
      <c r="F456" s="139"/>
      <c r="G456" s="93"/>
      <c r="H456" s="140"/>
      <c r="I456" s="95"/>
      <c r="J456" s="95"/>
      <c r="K456" s="93"/>
      <c r="L456" s="141"/>
      <c r="M456" s="95"/>
      <c r="N456" s="95"/>
      <c r="O456" s="93"/>
      <c r="P456" s="134"/>
      <c r="Q456" s="98"/>
      <c r="R456" s="99" t="str">
        <f aca="false">IF(ISBLANK($C456),"",IF(E456=Constants!$B$2, TRUE(), IF(E456=Constants!$B$3, FALSE(), TRUE())))</f>
        <v/>
      </c>
      <c r="S456" s="99" t="str">
        <f aca="false">IF(ISBLANK($C456),"",IF(F456=Constants!$B$2, TRUE(), IF(F456=Constants!$B$3, FALSE(), TRUE())))</f>
        <v/>
      </c>
      <c r="T456" s="99" t="str">
        <f aca="false">IF(ISBLANK($C456),"",IF(G456=Constants!$B$16,Constants!$B$9,IF(G456=Constants!$B$17,Constants!$B$10,Constants!$B$8)))</f>
        <v/>
      </c>
      <c r="U456" s="99" t="str">
        <f aca="false">IF(ISBLANK($C456),"",IF(H456=Constants!$B$19,Constants!$B$19,Constants!$B$18))</f>
        <v/>
      </c>
      <c r="V456" s="99" t="str">
        <f aca="false">IF(ISBLANK($C456),"",IF(ISNUMBER(I456),IF(I456&gt;=0,I456,""),""))</f>
        <v/>
      </c>
      <c r="W456" s="99" t="str">
        <f aca="false">IF(ISBLANK($C456),"",IF(J456=Constants!$B$2, TRUE(), IF(J456=Constants!$B$3, FALSE(), TRUE())))</f>
        <v/>
      </c>
      <c r="X456" s="99" t="str">
        <f aca="false">IF(ISBLANK($C456),"",IF(K456=Constants!$B$2, TRUE(), IF(K456=Constants!$B$3, FALSE(), TRUE())))</f>
        <v/>
      </c>
      <c r="Y456" s="99" t="str">
        <f aca="false">IF(ISBLANK($C456),"",IF(L456=Constants!$B$19,Constants!$B$19,Constants!$B$18))</f>
        <v/>
      </c>
      <c r="Z456" s="99" t="str">
        <f aca="false">IF(ISBLANK($C456),"",IF(ISNUMBER(M456),IF(M456&gt;=0,M456,""),""))</f>
        <v/>
      </c>
      <c r="AA456" s="99" t="str">
        <f aca="false">IF(ISBLANK($C456),"",IF(N456=Constants!$B$2, TRUE(), IF(N456=Constants!$B$3, FALSE(), TRUE())))</f>
        <v/>
      </c>
      <c r="AB456" s="99" t="str">
        <f aca="false">IF(ISBLANK($C456),"",IF(O456=Constants!$B$2, TRUE(), IF(O456=Constants!$B$3, FALSE(), TRUE())))</f>
        <v/>
      </c>
      <c r="AC456" s="99" t="str">
        <f aca="false">IF(ISBLANK($C456),"",IF(P456=Constants!$B$2, TRUE(), IF(P456=Constants!$B$3, FALSE(), FALSE())))</f>
        <v/>
      </c>
      <c r="AD456" s="99" t="str">
        <f aca="false">IF(ISBLANK($C456),"",AND(V456&lt;&gt;"",IF(U456=Constants!$B$19,S456,R456)))</f>
        <v/>
      </c>
      <c r="AE456" s="99" t="str">
        <f aca="false">IF(ISBLANK($C456),"",AND(Z456&lt;&gt;"",IF(Y456=Constants!$B$19,S456,R456)))</f>
        <v/>
      </c>
      <c r="AF456" s="99" t="str">
        <f aca="false">IF(ISBLANK($C456),"",IF(AC456,Constants!$B$4,IF(COUNTA(E456:O456)=0,Constants!$B$5,IF(AND(NOT(AD456),NOT(AE456)),Constants!$B$6,Constants!$B$7))))</f>
        <v/>
      </c>
      <c r="AG456" s="99" t="str">
        <f aca="false">IF(ISBLANK($C456),"",IF($AF456&lt;&gt;Constants!$B$7,$AF456,Constants!$B$20))</f>
        <v/>
      </c>
      <c r="AH456" s="99" t="str">
        <f aca="false">IF($AF456=Constants!$B$7,IF(AD456,V456,Constants!$B$13),"")</f>
        <v/>
      </c>
      <c r="AI456" s="99" t="str">
        <f aca="false">IF($AF456=Constants!$B$7,IF(AD456,T456*IF(W456, 1, Constants!$B$11)*IF(X456, 1, Constants!$B$12),Constants!$B$13),"")</f>
        <v/>
      </c>
      <c r="AJ456" s="99" t="str">
        <f aca="false">IF($AF456=Constants!$B$7,AH456*AI456,"")</f>
        <v/>
      </c>
      <c r="AK456" s="99" t="str">
        <f aca="false">IF($AF456=Constants!$B$7,IF(AE456,Z456,Constants!$B$13),"")</f>
        <v/>
      </c>
      <c r="AL456" s="99" t="str">
        <f aca="false">IF($AF456=Constants!$B$7,IF(AE456,T456*IF(AA456, 1, Constants!$B$11)*IF(AB456, 1, Constants!$B$12),Constants!$B$13),"")</f>
        <v/>
      </c>
      <c r="AM456" s="99" t="str">
        <f aca="false">IF($AF456=Constants!$B$7,AK456*AL456,"")</f>
        <v/>
      </c>
      <c r="AN456" s="99" t="str">
        <f aca="false">IF($AF456=Constants!$B$7,IF(AM456&gt;AJ456,2,1),"")</f>
        <v/>
      </c>
      <c r="AO456" s="99" t="str">
        <f aca="false">IF($AF456=Constants!$B$7,IF(AN456=1,2,1),"")</f>
        <v/>
      </c>
      <c r="AP456" s="99" t="str">
        <f aca="false">IF(ISBLANK($C456),"",IF($AF456&lt;&gt;Constants!$B$7,$AF456,IF(AN456=1,AJ456,AM456)))</f>
        <v/>
      </c>
      <c r="AQ456" s="99" t="str">
        <f aca="false">IF(ISBLANK($C456),"",IF($AF456=Constants!$B$7,IF(ISNUMBER(AP456),RANK(AP456,$AP$8:$AP$507),Constants!$B$14),$AF456))</f>
        <v/>
      </c>
      <c r="AR456" s="99" t="str">
        <f aca="false">IF(ISBLANK($C456),"",IF($AF456=Constants!$B$7,IF(AO456=1,AJ456,AM456),""))</f>
        <v/>
      </c>
      <c r="AS456" s="99" t="str">
        <f aca="false">IF(ISBLANK($C456),"",IF($AF456=Constants!$B$7,RANK(AR456,$AR$8:$AR$507),$AF456))</f>
        <v/>
      </c>
      <c r="AT456" s="99" t="str">
        <f aca="false">IF(ISBLANK($C456),"",IF($AF456=Constants!$B$7,IF(ISNUMBER(AQ456),COUNTIFS($AQ$8:$AQ$507,"&lt;"&amp;$AQ456)+COUNTIFS($AQ$8:$AQ$507,$AQ456,$AS$8:$AS$507,"&lt;"&amp;$AS456)+1,Constants!$B$14),$AF456))</f>
        <v/>
      </c>
      <c r="AU456" s="99" t="str">
        <f aca="false">IF(ISBLANK($C456),"",IF($AF456=Constants!$B$7,IF(ISNUMBER(AQ456),AQ456-AT456,Constants!$B$14),$AF456))</f>
        <v/>
      </c>
      <c r="AV456" s="100"/>
      <c r="AW456" s="101" t="str">
        <f aca="false">IF(ISBLANK($C456),"",IF($AF456&lt;&gt;Constants!$B$7,"",AN456))</f>
        <v/>
      </c>
      <c r="AX456" s="102" t="str">
        <f aca="false">IF(ISBLANK($C456),"",IF($AF456&lt;&gt;Constants!$B$7,"",IF(AN456=1,AH456,AK456)))</f>
        <v/>
      </c>
      <c r="AY456" s="103" t="str">
        <f aca="false">IF(ISBLANK($C456),"",IF($AF456&lt;&gt;Constants!$B$7,"",IF(AN456=1,AI456,AL456)))</f>
        <v/>
      </c>
      <c r="AZ456" s="104" t="str">
        <f aca="false">IF(ISBLANK($C456),"",IF($AF456&lt;&gt;Constants!$B$7,$AF456,AP456))</f>
        <v/>
      </c>
      <c r="BA456" s="105" t="str">
        <f aca="false">IF(ISBLANK($C456),"",IF($AF456&lt;&gt;Constants!$B$7,$AF456,AG456))</f>
        <v/>
      </c>
      <c r="BB456" s="106" t="str">
        <f aca="false">IF(ISBLANK($C456),"",AU456)</f>
        <v/>
      </c>
      <c r="BC456" s="106" t="str">
        <f aca="false">IF(ISBLANK($C456),"",AT456)</f>
        <v/>
      </c>
      <c r="BD456" s="107" t="str">
        <f aca="false">IF(ISBLANK($C456),"",IFERROR(_xlfn.SWITCH(BC456,Constants!$B$4,COUNTA($C$8:$C$507)+2,Constants!$B$5,COUNTA($C$8:$C$507)+1,Constants!$B$6,COUNTA($C$8:$C$507)),BC456))</f>
        <v/>
      </c>
      <c r="BE456" s="5"/>
      <c r="BF456" s="108" t="n">
        <f aca="false">IF(OR(ISNUMBER(BC456),BC456=Constants!$B$4,BC456=Constants!$B$6,BC456=Constants!$B$5),1,0)</f>
        <v>0</v>
      </c>
      <c r="BG456" s="108" t="n">
        <v>449</v>
      </c>
      <c r="BH456" s="108" t="str">
        <f aca="false">IF(ISBLANK($C456),"",IF(ISNUMBER(BD456),BD456+ROW($B456)/1000,""))</f>
        <v/>
      </c>
      <c r="BI456" s="108" t="str">
        <f aca="false">IF(ISNUMBER(BH456),RANK(BH456,$BH$8:$BH$507,1),"")</f>
        <v/>
      </c>
      <c r="BJ456" s="108" t="str">
        <f aca="false">IF(ISBLANK($C456),"",$B456)</f>
        <v/>
      </c>
      <c r="BK456" s="108" t="str">
        <f aca="false">IF(ISBLANK($C456),"",$C456)</f>
        <v/>
      </c>
      <c r="BL456" s="108" t="str">
        <f aca="false">IF(ISBLANK($C456),"",$D456)</f>
        <v/>
      </c>
      <c r="BM456" s="109" t="str">
        <f aca="false">BA456</f>
        <v/>
      </c>
      <c r="BN456" s="110" t="str">
        <f aca="false">AZ456</f>
        <v/>
      </c>
      <c r="BO456" s="108" t="str">
        <f aca="false">IF(ISBLANK($C456),"",BC456)</f>
        <v/>
      </c>
      <c r="BP456" s="111" t="str">
        <f aca="false">IF($BG456&gt;$BF$7,"",VLOOKUP($BG456,$BI$8:$BO$507,7,FALSE()))</f>
        <v/>
      </c>
      <c r="BQ456" s="112" t="str">
        <f aca="false">IF($BG456&gt;$BF$7,"",VLOOKUP($BG456,$BI$8:$BO$507,2,FALSE()))</f>
        <v/>
      </c>
      <c r="BR456" s="112" t="str">
        <f aca="false">IF($BG456&gt;$BF$7,"",VLOOKUP($BG456,$BI$8:$BO$507,3,FALSE()))</f>
        <v/>
      </c>
      <c r="BS456" s="112" t="str">
        <f aca="false">IF($BG456&gt;$BF$7,"",VLOOKUP($BG456,$BI$8:$BO$507,4,FALSE()))</f>
        <v/>
      </c>
      <c r="BT456" s="112" t="str">
        <f aca="false">IF($BG456&gt;$BF$7,"",VLOOKUP($BG456,$BI$8:$BO$507,5,FALSE()))</f>
        <v/>
      </c>
      <c r="BU456" s="113" t="str">
        <f aca="false">IF($BG456&gt;$BF$7,"",VLOOKUP($BG456,$BI$8:$BO$507,6,FALSE()))</f>
        <v/>
      </c>
      <c r="BV456" s="54"/>
    </row>
    <row r="457" customFormat="false" ht="15.75" hidden="false" customHeight="false" outlineLevel="0" collapsed="false">
      <c r="A457" s="5"/>
      <c r="B457" s="128"/>
      <c r="C457" s="129"/>
      <c r="D457" s="114"/>
      <c r="E457" s="134"/>
      <c r="F457" s="139"/>
      <c r="G457" s="93"/>
      <c r="H457" s="140"/>
      <c r="I457" s="95"/>
      <c r="J457" s="95"/>
      <c r="K457" s="93"/>
      <c r="L457" s="141"/>
      <c r="M457" s="95"/>
      <c r="N457" s="95"/>
      <c r="O457" s="93"/>
      <c r="P457" s="134"/>
      <c r="Q457" s="98"/>
      <c r="R457" s="99" t="str">
        <f aca="false">IF(ISBLANK($C457),"",IF(E457=Constants!$B$2, TRUE(), IF(E457=Constants!$B$3, FALSE(), TRUE())))</f>
        <v/>
      </c>
      <c r="S457" s="99" t="str">
        <f aca="false">IF(ISBLANK($C457),"",IF(F457=Constants!$B$2, TRUE(), IF(F457=Constants!$B$3, FALSE(), TRUE())))</f>
        <v/>
      </c>
      <c r="T457" s="99" t="str">
        <f aca="false">IF(ISBLANK($C457),"",IF(G457=Constants!$B$16,Constants!$B$9,IF(G457=Constants!$B$17,Constants!$B$10,Constants!$B$8)))</f>
        <v/>
      </c>
      <c r="U457" s="99" t="str">
        <f aca="false">IF(ISBLANK($C457),"",IF(H457=Constants!$B$19,Constants!$B$19,Constants!$B$18))</f>
        <v/>
      </c>
      <c r="V457" s="99" t="str">
        <f aca="false">IF(ISBLANK($C457),"",IF(ISNUMBER(I457),IF(I457&gt;=0,I457,""),""))</f>
        <v/>
      </c>
      <c r="W457" s="99" t="str">
        <f aca="false">IF(ISBLANK($C457),"",IF(J457=Constants!$B$2, TRUE(), IF(J457=Constants!$B$3, FALSE(), TRUE())))</f>
        <v/>
      </c>
      <c r="X457" s="99" t="str">
        <f aca="false">IF(ISBLANK($C457),"",IF(K457=Constants!$B$2, TRUE(), IF(K457=Constants!$B$3, FALSE(), TRUE())))</f>
        <v/>
      </c>
      <c r="Y457" s="99" t="str">
        <f aca="false">IF(ISBLANK($C457),"",IF(L457=Constants!$B$19,Constants!$B$19,Constants!$B$18))</f>
        <v/>
      </c>
      <c r="Z457" s="99" t="str">
        <f aca="false">IF(ISBLANK($C457),"",IF(ISNUMBER(M457),IF(M457&gt;=0,M457,""),""))</f>
        <v/>
      </c>
      <c r="AA457" s="99" t="str">
        <f aca="false">IF(ISBLANK($C457),"",IF(N457=Constants!$B$2, TRUE(), IF(N457=Constants!$B$3, FALSE(), TRUE())))</f>
        <v/>
      </c>
      <c r="AB457" s="99" t="str">
        <f aca="false">IF(ISBLANK($C457),"",IF(O457=Constants!$B$2, TRUE(), IF(O457=Constants!$B$3, FALSE(), TRUE())))</f>
        <v/>
      </c>
      <c r="AC457" s="99" t="str">
        <f aca="false">IF(ISBLANK($C457),"",IF(P457=Constants!$B$2, TRUE(), IF(P457=Constants!$B$3, FALSE(), FALSE())))</f>
        <v/>
      </c>
      <c r="AD457" s="99" t="str">
        <f aca="false">IF(ISBLANK($C457),"",AND(V457&lt;&gt;"",IF(U457=Constants!$B$19,S457,R457)))</f>
        <v/>
      </c>
      <c r="AE457" s="99" t="str">
        <f aca="false">IF(ISBLANK($C457),"",AND(Z457&lt;&gt;"",IF(Y457=Constants!$B$19,S457,R457)))</f>
        <v/>
      </c>
      <c r="AF457" s="99" t="str">
        <f aca="false">IF(ISBLANK($C457),"",IF(AC457,Constants!$B$4,IF(COUNTA(E457:O457)=0,Constants!$B$5,IF(AND(NOT(AD457),NOT(AE457)),Constants!$B$6,Constants!$B$7))))</f>
        <v/>
      </c>
      <c r="AG457" s="99" t="str">
        <f aca="false">IF(ISBLANK($C457),"",IF($AF457&lt;&gt;Constants!$B$7,$AF457,Constants!$B$20))</f>
        <v/>
      </c>
      <c r="AH457" s="99" t="str">
        <f aca="false">IF($AF457=Constants!$B$7,IF(AD457,V457,Constants!$B$13),"")</f>
        <v/>
      </c>
      <c r="AI457" s="99" t="str">
        <f aca="false">IF($AF457=Constants!$B$7,IF(AD457,T457*IF(W457, 1, Constants!$B$11)*IF(X457, 1, Constants!$B$12),Constants!$B$13),"")</f>
        <v/>
      </c>
      <c r="AJ457" s="99" t="str">
        <f aca="false">IF($AF457=Constants!$B$7,AH457*AI457,"")</f>
        <v/>
      </c>
      <c r="AK457" s="99" t="str">
        <f aca="false">IF($AF457=Constants!$B$7,IF(AE457,Z457,Constants!$B$13),"")</f>
        <v/>
      </c>
      <c r="AL457" s="99" t="str">
        <f aca="false">IF($AF457=Constants!$B$7,IF(AE457,T457*IF(AA457, 1, Constants!$B$11)*IF(AB457, 1, Constants!$B$12),Constants!$B$13),"")</f>
        <v/>
      </c>
      <c r="AM457" s="99" t="str">
        <f aca="false">IF($AF457=Constants!$B$7,AK457*AL457,"")</f>
        <v/>
      </c>
      <c r="AN457" s="99" t="str">
        <f aca="false">IF($AF457=Constants!$B$7,IF(AM457&gt;AJ457,2,1),"")</f>
        <v/>
      </c>
      <c r="AO457" s="99" t="str">
        <f aca="false">IF($AF457=Constants!$B$7,IF(AN457=1,2,1),"")</f>
        <v/>
      </c>
      <c r="AP457" s="99" t="str">
        <f aca="false">IF(ISBLANK($C457),"",IF($AF457&lt;&gt;Constants!$B$7,$AF457,IF(AN457=1,AJ457,AM457)))</f>
        <v/>
      </c>
      <c r="AQ457" s="99" t="str">
        <f aca="false">IF(ISBLANK($C457),"",IF($AF457=Constants!$B$7,IF(ISNUMBER(AP457),RANK(AP457,$AP$8:$AP$507),Constants!$B$14),$AF457))</f>
        <v/>
      </c>
      <c r="AR457" s="99" t="str">
        <f aca="false">IF(ISBLANK($C457),"",IF($AF457=Constants!$B$7,IF(AO457=1,AJ457,AM457),""))</f>
        <v/>
      </c>
      <c r="AS457" s="99" t="str">
        <f aca="false">IF(ISBLANK($C457),"",IF($AF457=Constants!$B$7,RANK(AR457,$AR$8:$AR$507),$AF457))</f>
        <v/>
      </c>
      <c r="AT457" s="99" t="str">
        <f aca="false">IF(ISBLANK($C457),"",IF($AF457=Constants!$B$7,IF(ISNUMBER(AQ457),COUNTIFS($AQ$8:$AQ$507,"&lt;"&amp;$AQ457)+COUNTIFS($AQ$8:$AQ$507,$AQ457,$AS$8:$AS$507,"&lt;"&amp;$AS457)+1,Constants!$B$14),$AF457))</f>
        <v/>
      </c>
      <c r="AU457" s="99" t="str">
        <f aca="false">IF(ISBLANK($C457),"",IF($AF457=Constants!$B$7,IF(ISNUMBER(AQ457),AQ457-AT457,Constants!$B$14),$AF457))</f>
        <v/>
      </c>
      <c r="AV457" s="100"/>
      <c r="AW457" s="101" t="str">
        <f aca="false">IF(ISBLANK($C457),"",IF($AF457&lt;&gt;Constants!$B$7,"",AN457))</f>
        <v/>
      </c>
      <c r="AX457" s="102" t="str">
        <f aca="false">IF(ISBLANK($C457),"",IF($AF457&lt;&gt;Constants!$B$7,"",IF(AN457=1,AH457,AK457)))</f>
        <v/>
      </c>
      <c r="AY457" s="103" t="str">
        <f aca="false">IF(ISBLANK($C457),"",IF($AF457&lt;&gt;Constants!$B$7,"",IF(AN457=1,AI457,AL457)))</f>
        <v/>
      </c>
      <c r="AZ457" s="104" t="str">
        <f aca="false">IF(ISBLANK($C457),"",IF($AF457&lt;&gt;Constants!$B$7,$AF457,AP457))</f>
        <v/>
      </c>
      <c r="BA457" s="105" t="str">
        <f aca="false">IF(ISBLANK($C457),"",IF($AF457&lt;&gt;Constants!$B$7,$AF457,AG457))</f>
        <v/>
      </c>
      <c r="BB457" s="106" t="str">
        <f aca="false">IF(ISBLANK($C457),"",AU457)</f>
        <v/>
      </c>
      <c r="BC457" s="106" t="str">
        <f aca="false">IF(ISBLANK($C457),"",AT457)</f>
        <v/>
      </c>
      <c r="BD457" s="107" t="str">
        <f aca="false">IF(ISBLANK($C457),"",IFERROR(_xlfn.SWITCH(BC457,Constants!$B$4,COUNTA($C$8:$C$507)+2,Constants!$B$5,COUNTA($C$8:$C$507)+1,Constants!$B$6,COUNTA($C$8:$C$507)),BC457))</f>
        <v/>
      </c>
      <c r="BE457" s="5"/>
      <c r="BF457" s="108" t="n">
        <f aca="false">IF(OR(ISNUMBER(BC457),BC457=Constants!$B$4,BC457=Constants!$B$6,BC457=Constants!$B$5),1,0)</f>
        <v>0</v>
      </c>
      <c r="BG457" s="108" t="n">
        <v>450</v>
      </c>
      <c r="BH457" s="108" t="str">
        <f aca="false">IF(ISBLANK($C457),"",IF(ISNUMBER(BD457),BD457+ROW($B457)/1000,""))</f>
        <v/>
      </c>
      <c r="BI457" s="108" t="str">
        <f aca="false">IF(ISNUMBER(BH457),RANK(BH457,$BH$8:$BH$507,1),"")</f>
        <v/>
      </c>
      <c r="BJ457" s="108" t="str">
        <f aca="false">IF(ISBLANK($C457),"",$B457)</f>
        <v/>
      </c>
      <c r="BK457" s="108" t="str">
        <f aca="false">IF(ISBLANK($C457),"",$C457)</f>
        <v/>
      </c>
      <c r="BL457" s="108" t="str">
        <f aca="false">IF(ISBLANK($C457),"",$D457)</f>
        <v/>
      </c>
      <c r="BM457" s="109" t="str">
        <f aca="false">BA457</f>
        <v/>
      </c>
      <c r="BN457" s="110" t="str">
        <f aca="false">AZ457</f>
        <v/>
      </c>
      <c r="BO457" s="108" t="str">
        <f aca="false">IF(ISBLANK($C457),"",BC457)</f>
        <v/>
      </c>
      <c r="BP457" s="111" t="str">
        <f aca="false">IF($BG457&gt;$BF$7,"",VLOOKUP($BG457,$BI$8:$BO$507,7,FALSE()))</f>
        <v/>
      </c>
      <c r="BQ457" s="112" t="str">
        <f aca="false">IF($BG457&gt;$BF$7,"",VLOOKUP($BG457,$BI$8:$BO$507,2,FALSE()))</f>
        <v/>
      </c>
      <c r="BR457" s="112" t="str">
        <f aca="false">IF($BG457&gt;$BF$7,"",VLOOKUP($BG457,$BI$8:$BO$507,3,FALSE()))</f>
        <v/>
      </c>
      <c r="BS457" s="112" t="str">
        <f aca="false">IF($BG457&gt;$BF$7,"",VLOOKUP($BG457,$BI$8:$BO$507,4,FALSE()))</f>
        <v/>
      </c>
      <c r="BT457" s="112" t="str">
        <f aca="false">IF($BG457&gt;$BF$7,"",VLOOKUP($BG457,$BI$8:$BO$507,5,FALSE()))</f>
        <v/>
      </c>
      <c r="BU457" s="113" t="str">
        <f aca="false">IF($BG457&gt;$BF$7,"",VLOOKUP($BG457,$BI$8:$BO$507,6,FALSE()))</f>
        <v/>
      </c>
      <c r="BV457" s="54"/>
    </row>
    <row r="458" customFormat="false" ht="15.75" hidden="false" customHeight="false" outlineLevel="0" collapsed="false">
      <c r="A458" s="5"/>
      <c r="B458" s="135"/>
      <c r="C458" s="56"/>
      <c r="D458" s="57"/>
      <c r="E458" s="84"/>
      <c r="F458" s="136"/>
      <c r="G458" s="60"/>
      <c r="H458" s="137"/>
      <c r="I458" s="62"/>
      <c r="J458" s="62"/>
      <c r="K458" s="60"/>
      <c r="L458" s="138"/>
      <c r="M458" s="62"/>
      <c r="N458" s="62"/>
      <c r="O458" s="60"/>
      <c r="P458" s="84"/>
      <c r="Q458" s="65"/>
      <c r="R458" s="67" t="str">
        <f aca="false">IF(ISBLANK($C458),"",IF(E458=Constants!$B$2, TRUE(), IF(E458=Constants!$B$3, FALSE(), TRUE())))</f>
        <v/>
      </c>
      <c r="S458" s="67" t="str">
        <f aca="false">IF(ISBLANK($C458),"",IF(F458=Constants!$B$2, TRUE(), IF(F458=Constants!$B$3, FALSE(), TRUE())))</f>
        <v/>
      </c>
      <c r="T458" s="67" t="str">
        <f aca="false">IF(ISBLANK($C458),"",IF(G458=Constants!$B$16,Constants!$B$9,IF(G458=Constants!$B$17,Constants!$B$10,Constants!$B$8)))</f>
        <v/>
      </c>
      <c r="U458" s="67" t="str">
        <f aca="false">IF(ISBLANK($C458),"",IF(H458=Constants!$B$19,Constants!$B$19,Constants!$B$18))</f>
        <v/>
      </c>
      <c r="V458" s="67" t="str">
        <f aca="false">IF(ISBLANK($C458),"",IF(ISNUMBER(I458),IF(I458&gt;=0,I458,""),""))</f>
        <v/>
      </c>
      <c r="W458" s="67" t="str">
        <f aca="false">IF(ISBLANK($C458),"",IF(J458=Constants!$B$2, TRUE(), IF(J458=Constants!$B$3, FALSE(), TRUE())))</f>
        <v/>
      </c>
      <c r="X458" s="67" t="str">
        <f aca="false">IF(ISBLANK($C458),"",IF(K458=Constants!$B$2, TRUE(), IF(K458=Constants!$B$3, FALSE(), TRUE())))</f>
        <v/>
      </c>
      <c r="Y458" s="67" t="str">
        <f aca="false">IF(ISBLANK($C458),"",IF(L458=Constants!$B$19,Constants!$B$19,Constants!$B$18))</f>
        <v/>
      </c>
      <c r="Z458" s="67" t="str">
        <f aca="false">IF(ISBLANK($C458),"",IF(ISNUMBER(M458),IF(M458&gt;=0,M458,""),""))</f>
        <v/>
      </c>
      <c r="AA458" s="67" t="str">
        <f aca="false">IF(ISBLANK($C458),"",IF(N458=Constants!$B$2, TRUE(), IF(N458=Constants!$B$3, FALSE(), TRUE())))</f>
        <v/>
      </c>
      <c r="AB458" s="67" t="str">
        <f aca="false">IF(ISBLANK($C458),"",IF(O458=Constants!$B$2, TRUE(), IF(O458=Constants!$B$3, FALSE(), TRUE())))</f>
        <v/>
      </c>
      <c r="AC458" s="67" t="str">
        <f aca="false">IF(ISBLANK($C458),"",IF(P458=Constants!$B$2, TRUE(), IF(P458=Constants!$B$3, FALSE(), FALSE())))</f>
        <v/>
      </c>
      <c r="AD458" s="67" t="str">
        <f aca="false">IF(ISBLANK($C458),"",AND(V458&lt;&gt;"",IF(U458=Constants!$B$19,S458,R458)))</f>
        <v/>
      </c>
      <c r="AE458" s="67" t="str">
        <f aca="false">IF(ISBLANK($C458),"",AND(Z458&lt;&gt;"",IF(Y458=Constants!$B$19,S458,R458)))</f>
        <v/>
      </c>
      <c r="AF458" s="67" t="str">
        <f aca="false">IF(ISBLANK($C458),"",IF(AC458,Constants!$B$4,IF(COUNTA(E458:O458)=0,Constants!$B$5,IF(AND(NOT(AD458),NOT(AE458)),Constants!$B$6,Constants!$B$7))))</f>
        <v/>
      </c>
      <c r="AG458" s="67" t="str">
        <f aca="false">IF(ISBLANK($C458),"",IF($AF458&lt;&gt;Constants!$B$7,$AF458,Constants!$B$20))</f>
        <v/>
      </c>
      <c r="AH458" s="67" t="str">
        <f aca="false">IF($AF458=Constants!$B$7,IF(AD458,V458,Constants!$B$13),"")</f>
        <v/>
      </c>
      <c r="AI458" s="67" t="str">
        <f aca="false">IF($AF458=Constants!$B$7,IF(AD458,T458*IF(W458, 1, Constants!$B$11)*IF(X458, 1, Constants!$B$12),Constants!$B$13),"")</f>
        <v/>
      </c>
      <c r="AJ458" s="67" t="str">
        <f aca="false">IF($AF458=Constants!$B$7,AH458*AI458,"")</f>
        <v/>
      </c>
      <c r="AK458" s="67" t="str">
        <f aca="false">IF($AF458=Constants!$B$7,IF(AE458,Z458,Constants!$B$13),"")</f>
        <v/>
      </c>
      <c r="AL458" s="67" t="str">
        <f aca="false">IF($AF458=Constants!$B$7,IF(AE458,T458*IF(AA458, 1, Constants!$B$11)*IF(AB458, 1, Constants!$B$12),Constants!$B$13),"")</f>
        <v/>
      </c>
      <c r="AM458" s="67" t="str">
        <f aca="false">IF($AF458=Constants!$B$7,AK458*AL458,"")</f>
        <v/>
      </c>
      <c r="AN458" s="67" t="str">
        <f aca="false">IF($AF458=Constants!$B$7,IF(AM458&gt;AJ458,2,1),"")</f>
        <v/>
      </c>
      <c r="AO458" s="67" t="str">
        <f aca="false">IF($AF458=Constants!$B$7,IF(AN458=1,2,1),"")</f>
        <v/>
      </c>
      <c r="AP458" s="67" t="str">
        <f aca="false">IF(ISBLANK($C458),"",IF($AF458&lt;&gt;Constants!$B$7,$AF458,IF(AN458=1,AJ458,AM458)))</f>
        <v/>
      </c>
      <c r="AQ458" s="67" t="str">
        <f aca="false">IF(ISBLANK($C458),"",IF($AF458=Constants!$B$7,IF(ISNUMBER(AP458),RANK(AP458,$AP$8:$AP$507),Constants!$B$14),$AF458))</f>
        <v/>
      </c>
      <c r="AR458" s="67" t="str">
        <f aca="false">IF(ISBLANK($C458),"",IF($AF458=Constants!$B$7,IF(AO458=1,AJ458,AM458),""))</f>
        <v/>
      </c>
      <c r="AS458" s="67" t="str">
        <f aca="false">IF(ISBLANK($C458),"",IF($AF458=Constants!$B$7,RANK(AR458,$AR$8:$AR$507),$AF458))</f>
        <v/>
      </c>
      <c r="AT458" s="67" t="str">
        <f aca="false">IF(ISBLANK($C458),"",IF($AF458=Constants!$B$7,IF(ISNUMBER(AQ458),COUNTIFS($AQ$8:$AQ$507,"&lt;"&amp;$AQ458)+COUNTIFS($AQ$8:$AQ$507,$AQ458,$AS$8:$AS$507,"&lt;"&amp;$AS458)+1,Constants!$B$14),$AF458))</f>
        <v/>
      </c>
      <c r="AU458" s="67" t="str">
        <f aca="false">IF(ISBLANK($C458),"",IF($AF458=Constants!$B$7,IF(ISNUMBER(AQ458),AQ458-AT458,Constants!$B$14),$AF458))</f>
        <v/>
      </c>
      <c r="AV458" s="69"/>
      <c r="AW458" s="70" t="str">
        <f aca="false">IF(ISBLANK($C458),"",IF($AF458&lt;&gt;Constants!$B$7,"",AN458))</f>
        <v/>
      </c>
      <c r="AX458" s="85" t="str">
        <f aca="false">IF(ISBLANK($C458),"",IF($AF458&lt;&gt;Constants!$B$7,"",IF(AN458=1,AH458,AK458)))</f>
        <v/>
      </c>
      <c r="AY458" s="72" t="str">
        <f aca="false">IF(ISBLANK($C458),"",IF($AF458&lt;&gt;Constants!$B$7,"",IF(AN458=1,AI458,AL458)))</f>
        <v/>
      </c>
      <c r="AZ458" s="73" t="str">
        <f aca="false">IF(ISBLANK($C458),"",IF($AF458&lt;&gt;Constants!$B$7,$AF458,AP458))</f>
        <v/>
      </c>
      <c r="BA458" s="74" t="str">
        <f aca="false">IF(ISBLANK($C458),"",IF($AF458&lt;&gt;Constants!$B$7,$AF458,AG458))</f>
        <v/>
      </c>
      <c r="BB458" s="75" t="str">
        <f aca="false">IF(ISBLANK($C458),"",AU458)</f>
        <v/>
      </c>
      <c r="BC458" s="75" t="str">
        <f aca="false">IF(ISBLANK($C458),"",AT458)</f>
        <v/>
      </c>
      <c r="BD458" s="76" t="str">
        <f aca="false">IF(ISBLANK($C458),"",IFERROR(_xlfn.SWITCH(BC458,Constants!$B$4,COUNTA($C$8:$C$507)+2,Constants!$B$5,COUNTA($C$8:$C$507)+1,Constants!$B$6,COUNTA($C$8:$C$507)),BC458))</f>
        <v/>
      </c>
      <c r="BE458" s="5"/>
      <c r="BF458" s="77" t="n">
        <f aca="false">IF(OR(ISNUMBER(BC458),BC458=Constants!$B$4,BC458=Constants!$B$6,BC458=Constants!$B$5),1,0)</f>
        <v>0</v>
      </c>
      <c r="BG458" s="77" t="n">
        <v>451</v>
      </c>
      <c r="BH458" s="77" t="str">
        <f aca="false">IF(ISBLANK($C458),"",IF(ISNUMBER(BD458),BD458+ROW($B458)/1000,""))</f>
        <v/>
      </c>
      <c r="BI458" s="77" t="str">
        <f aca="false">IF(ISNUMBER(BH458),RANK(BH458,$BH$8:$BH$507,1),"")</f>
        <v/>
      </c>
      <c r="BJ458" s="77" t="str">
        <f aca="false">IF(ISBLANK($C458),"",$B458)</f>
        <v/>
      </c>
      <c r="BK458" s="77" t="str">
        <f aca="false">IF(ISBLANK($C458),"",$C458)</f>
        <v/>
      </c>
      <c r="BL458" s="77" t="str">
        <f aca="false">IF(ISBLANK($C458),"",$D458)</f>
        <v/>
      </c>
      <c r="BM458" s="78" t="str">
        <f aca="false">BA458</f>
        <v/>
      </c>
      <c r="BN458" s="79" t="str">
        <f aca="false">AZ458</f>
        <v/>
      </c>
      <c r="BO458" s="77" t="str">
        <f aca="false">IF(ISBLANK($C458),"",BC458)</f>
        <v/>
      </c>
      <c r="BP458" s="80" t="str">
        <f aca="false">IF($BG458&gt;$BF$7,"",VLOOKUP($BG458,$BI$8:$BO$507,7,FALSE()))</f>
        <v/>
      </c>
      <c r="BQ458" s="81" t="str">
        <f aca="false">IF($BG458&gt;$BF$7,"",VLOOKUP($BG458,$BI$8:$BO$507,2,FALSE()))</f>
        <v/>
      </c>
      <c r="BR458" s="81" t="str">
        <f aca="false">IF($BG458&gt;$BF$7,"",VLOOKUP($BG458,$BI$8:$BO$507,3,FALSE()))</f>
        <v/>
      </c>
      <c r="BS458" s="81" t="str">
        <f aca="false">IF($BG458&gt;$BF$7,"",VLOOKUP($BG458,$BI$8:$BO$507,4,FALSE()))</f>
        <v/>
      </c>
      <c r="BT458" s="81" t="str">
        <f aca="false">IF($BG458&gt;$BF$7,"",VLOOKUP($BG458,$BI$8:$BO$507,5,FALSE()))</f>
        <v/>
      </c>
      <c r="BU458" s="82" t="str">
        <f aca="false">IF($BG458&gt;$BF$7,"",VLOOKUP($BG458,$BI$8:$BO$507,6,FALSE()))</f>
        <v/>
      </c>
      <c r="BV458" s="54"/>
    </row>
    <row r="459" customFormat="false" ht="15.75" hidden="false" customHeight="false" outlineLevel="0" collapsed="false">
      <c r="A459" s="5"/>
      <c r="B459" s="135"/>
      <c r="C459" s="56"/>
      <c r="D459" s="57"/>
      <c r="E459" s="84"/>
      <c r="F459" s="136"/>
      <c r="G459" s="60"/>
      <c r="H459" s="137"/>
      <c r="I459" s="62"/>
      <c r="J459" s="62"/>
      <c r="K459" s="60"/>
      <c r="L459" s="138"/>
      <c r="M459" s="62"/>
      <c r="N459" s="62"/>
      <c r="O459" s="60"/>
      <c r="P459" s="84"/>
      <c r="Q459" s="65"/>
      <c r="R459" s="67" t="str">
        <f aca="false">IF(ISBLANK($C459),"",IF(E459=Constants!$B$2, TRUE(), IF(E459=Constants!$B$3, FALSE(), TRUE())))</f>
        <v/>
      </c>
      <c r="S459" s="67" t="str">
        <f aca="false">IF(ISBLANK($C459),"",IF(F459=Constants!$B$2, TRUE(), IF(F459=Constants!$B$3, FALSE(), TRUE())))</f>
        <v/>
      </c>
      <c r="T459" s="67" t="str">
        <f aca="false">IF(ISBLANK($C459),"",IF(G459=Constants!$B$16,Constants!$B$9,IF(G459=Constants!$B$17,Constants!$B$10,Constants!$B$8)))</f>
        <v/>
      </c>
      <c r="U459" s="67" t="str">
        <f aca="false">IF(ISBLANK($C459),"",IF(H459=Constants!$B$19,Constants!$B$19,Constants!$B$18))</f>
        <v/>
      </c>
      <c r="V459" s="67" t="str">
        <f aca="false">IF(ISBLANK($C459),"",IF(ISNUMBER(I459),IF(I459&gt;=0,I459,""),""))</f>
        <v/>
      </c>
      <c r="W459" s="67" t="str">
        <f aca="false">IF(ISBLANK($C459),"",IF(J459=Constants!$B$2, TRUE(), IF(J459=Constants!$B$3, FALSE(), TRUE())))</f>
        <v/>
      </c>
      <c r="X459" s="67" t="str">
        <f aca="false">IF(ISBLANK($C459),"",IF(K459=Constants!$B$2, TRUE(), IF(K459=Constants!$B$3, FALSE(), TRUE())))</f>
        <v/>
      </c>
      <c r="Y459" s="67" t="str">
        <f aca="false">IF(ISBLANK($C459),"",IF(L459=Constants!$B$19,Constants!$B$19,Constants!$B$18))</f>
        <v/>
      </c>
      <c r="Z459" s="67" t="str">
        <f aca="false">IF(ISBLANK($C459),"",IF(ISNUMBER(M459),IF(M459&gt;=0,M459,""),""))</f>
        <v/>
      </c>
      <c r="AA459" s="67" t="str">
        <f aca="false">IF(ISBLANK($C459),"",IF(N459=Constants!$B$2, TRUE(), IF(N459=Constants!$B$3, FALSE(), TRUE())))</f>
        <v/>
      </c>
      <c r="AB459" s="67" t="str">
        <f aca="false">IF(ISBLANK($C459),"",IF(O459=Constants!$B$2, TRUE(), IF(O459=Constants!$B$3, FALSE(), TRUE())))</f>
        <v/>
      </c>
      <c r="AC459" s="67" t="str">
        <f aca="false">IF(ISBLANK($C459),"",IF(P459=Constants!$B$2, TRUE(), IF(P459=Constants!$B$3, FALSE(), FALSE())))</f>
        <v/>
      </c>
      <c r="AD459" s="67" t="str">
        <f aca="false">IF(ISBLANK($C459),"",AND(V459&lt;&gt;"",IF(U459=Constants!$B$19,S459,R459)))</f>
        <v/>
      </c>
      <c r="AE459" s="67" t="str">
        <f aca="false">IF(ISBLANK($C459),"",AND(Z459&lt;&gt;"",IF(Y459=Constants!$B$19,S459,R459)))</f>
        <v/>
      </c>
      <c r="AF459" s="67" t="str">
        <f aca="false">IF(ISBLANK($C459),"",IF(AC459,Constants!$B$4,IF(COUNTA(E459:O459)=0,Constants!$B$5,IF(AND(NOT(AD459),NOT(AE459)),Constants!$B$6,Constants!$B$7))))</f>
        <v/>
      </c>
      <c r="AG459" s="67" t="str">
        <f aca="false">IF(ISBLANK($C459),"",IF($AF459&lt;&gt;Constants!$B$7,$AF459,Constants!$B$20))</f>
        <v/>
      </c>
      <c r="AH459" s="67" t="str">
        <f aca="false">IF($AF459=Constants!$B$7,IF(AD459,V459,Constants!$B$13),"")</f>
        <v/>
      </c>
      <c r="AI459" s="67" t="str">
        <f aca="false">IF($AF459=Constants!$B$7,IF(AD459,T459*IF(W459, 1, Constants!$B$11)*IF(X459, 1, Constants!$B$12),Constants!$B$13),"")</f>
        <v/>
      </c>
      <c r="AJ459" s="67" t="str">
        <f aca="false">IF($AF459=Constants!$B$7,AH459*AI459,"")</f>
        <v/>
      </c>
      <c r="AK459" s="67" t="str">
        <f aca="false">IF($AF459=Constants!$B$7,IF(AE459,Z459,Constants!$B$13),"")</f>
        <v/>
      </c>
      <c r="AL459" s="67" t="str">
        <f aca="false">IF($AF459=Constants!$B$7,IF(AE459,T459*IF(AA459, 1, Constants!$B$11)*IF(AB459, 1, Constants!$B$12),Constants!$B$13),"")</f>
        <v/>
      </c>
      <c r="AM459" s="67" t="str">
        <f aca="false">IF($AF459=Constants!$B$7,AK459*AL459,"")</f>
        <v/>
      </c>
      <c r="AN459" s="67" t="str">
        <f aca="false">IF($AF459=Constants!$B$7,IF(AM459&gt;AJ459,2,1),"")</f>
        <v/>
      </c>
      <c r="AO459" s="67" t="str">
        <f aca="false">IF($AF459=Constants!$B$7,IF(AN459=1,2,1),"")</f>
        <v/>
      </c>
      <c r="AP459" s="67" t="str">
        <f aca="false">IF(ISBLANK($C459),"",IF($AF459&lt;&gt;Constants!$B$7,$AF459,IF(AN459=1,AJ459,AM459)))</f>
        <v/>
      </c>
      <c r="AQ459" s="67" t="str">
        <f aca="false">IF(ISBLANK($C459),"",IF($AF459=Constants!$B$7,IF(ISNUMBER(AP459),RANK(AP459,$AP$8:$AP$507),Constants!$B$14),$AF459))</f>
        <v/>
      </c>
      <c r="AR459" s="67" t="str">
        <f aca="false">IF(ISBLANK($C459),"",IF($AF459=Constants!$B$7,IF(AO459=1,AJ459,AM459),""))</f>
        <v/>
      </c>
      <c r="AS459" s="67" t="str">
        <f aca="false">IF(ISBLANK($C459),"",IF($AF459=Constants!$B$7,RANK(AR459,$AR$8:$AR$507),$AF459))</f>
        <v/>
      </c>
      <c r="AT459" s="67" t="str">
        <f aca="false">IF(ISBLANK($C459),"",IF($AF459=Constants!$B$7,IF(ISNUMBER(AQ459),COUNTIFS($AQ$8:$AQ$507,"&lt;"&amp;$AQ459)+COUNTIFS($AQ$8:$AQ$507,$AQ459,$AS$8:$AS$507,"&lt;"&amp;$AS459)+1,Constants!$B$14),$AF459))</f>
        <v/>
      </c>
      <c r="AU459" s="67" t="str">
        <f aca="false">IF(ISBLANK($C459),"",IF($AF459=Constants!$B$7,IF(ISNUMBER(AQ459),AQ459-AT459,Constants!$B$14),$AF459))</f>
        <v/>
      </c>
      <c r="AV459" s="69"/>
      <c r="AW459" s="70" t="str">
        <f aca="false">IF(ISBLANK($C459),"",IF($AF459&lt;&gt;Constants!$B$7,"",AN459))</f>
        <v/>
      </c>
      <c r="AX459" s="85" t="str">
        <f aca="false">IF(ISBLANK($C459),"",IF($AF459&lt;&gt;Constants!$B$7,"",IF(AN459=1,AH459,AK459)))</f>
        <v/>
      </c>
      <c r="AY459" s="72" t="str">
        <f aca="false">IF(ISBLANK($C459),"",IF($AF459&lt;&gt;Constants!$B$7,"",IF(AN459=1,AI459,AL459)))</f>
        <v/>
      </c>
      <c r="AZ459" s="73" t="str">
        <f aca="false">IF(ISBLANK($C459),"",IF($AF459&lt;&gt;Constants!$B$7,$AF459,AP459))</f>
        <v/>
      </c>
      <c r="BA459" s="74" t="str">
        <f aca="false">IF(ISBLANK($C459),"",IF($AF459&lt;&gt;Constants!$B$7,$AF459,AG459))</f>
        <v/>
      </c>
      <c r="BB459" s="75" t="str">
        <f aca="false">IF(ISBLANK($C459),"",AU459)</f>
        <v/>
      </c>
      <c r="BC459" s="75" t="str">
        <f aca="false">IF(ISBLANK($C459),"",AT459)</f>
        <v/>
      </c>
      <c r="BD459" s="76" t="str">
        <f aca="false">IF(ISBLANK($C459),"",IFERROR(_xlfn.SWITCH(BC459,Constants!$B$4,COUNTA($C$8:$C$507)+2,Constants!$B$5,COUNTA($C$8:$C$507)+1,Constants!$B$6,COUNTA($C$8:$C$507)),BC459))</f>
        <v/>
      </c>
      <c r="BE459" s="5"/>
      <c r="BF459" s="77" t="n">
        <f aca="false">IF(OR(ISNUMBER(BC459),BC459=Constants!$B$4,BC459=Constants!$B$6,BC459=Constants!$B$5),1,0)</f>
        <v>0</v>
      </c>
      <c r="BG459" s="77" t="n">
        <v>452</v>
      </c>
      <c r="BH459" s="77" t="str">
        <f aca="false">IF(ISBLANK($C459),"",IF(ISNUMBER(BD459),BD459+ROW($B459)/1000,""))</f>
        <v/>
      </c>
      <c r="BI459" s="77" t="str">
        <f aca="false">IF(ISNUMBER(BH459),RANK(BH459,$BH$8:$BH$507,1),"")</f>
        <v/>
      </c>
      <c r="BJ459" s="77" t="str">
        <f aca="false">IF(ISBLANK($C459),"",$B459)</f>
        <v/>
      </c>
      <c r="BK459" s="77" t="str">
        <f aca="false">IF(ISBLANK($C459),"",$C459)</f>
        <v/>
      </c>
      <c r="BL459" s="77" t="str">
        <f aca="false">IF(ISBLANK($C459),"",$D459)</f>
        <v/>
      </c>
      <c r="BM459" s="78" t="str">
        <f aca="false">BA459</f>
        <v/>
      </c>
      <c r="BN459" s="79" t="str">
        <f aca="false">AZ459</f>
        <v/>
      </c>
      <c r="BO459" s="77" t="str">
        <f aca="false">IF(ISBLANK($C459),"",BC459)</f>
        <v/>
      </c>
      <c r="BP459" s="80" t="str">
        <f aca="false">IF($BG459&gt;$BF$7,"",VLOOKUP($BG459,$BI$8:$BO$507,7,FALSE()))</f>
        <v/>
      </c>
      <c r="BQ459" s="81" t="str">
        <f aca="false">IF($BG459&gt;$BF$7,"",VLOOKUP($BG459,$BI$8:$BO$507,2,FALSE()))</f>
        <v/>
      </c>
      <c r="BR459" s="81" t="str">
        <f aca="false">IF($BG459&gt;$BF$7,"",VLOOKUP($BG459,$BI$8:$BO$507,3,FALSE()))</f>
        <v/>
      </c>
      <c r="BS459" s="81" t="str">
        <f aca="false">IF($BG459&gt;$BF$7,"",VLOOKUP($BG459,$BI$8:$BO$507,4,FALSE()))</f>
        <v/>
      </c>
      <c r="BT459" s="81" t="str">
        <f aca="false">IF($BG459&gt;$BF$7,"",VLOOKUP($BG459,$BI$8:$BO$507,5,FALSE()))</f>
        <v/>
      </c>
      <c r="BU459" s="82" t="str">
        <f aca="false">IF($BG459&gt;$BF$7,"",VLOOKUP($BG459,$BI$8:$BO$507,6,FALSE()))</f>
        <v/>
      </c>
      <c r="BV459" s="54"/>
    </row>
    <row r="460" customFormat="false" ht="15.75" hidden="false" customHeight="false" outlineLevel="0" collapsed="false">
      <c r="A460" s="5"/>
      <c r="B460" s="135"/>
      <c r="C460" s="56"/>
      <c r="D460" s="57"/>
      <c r="E460" s="84"/>
      <c r="F460" s="136"/>
      <c r="G460" s="60"/>
      <c r="H460" s="137"/>
      <c r="I460" s="62"/>
      <c r="J460" s="62"/>
      <c r="K460" s="60"/>
      <c r="L460" s="138"/>
      <c r="M460" s="62"/>
      <c r="N460" s="62"/>
      <c r="O460" s="60"/>
      <c r="P460" s="84"/>
      <c r="Q460" s="65"/>
      <c r="R460" s="67" t="str">
        <f aca="false">IF(ISBLANK($C460),"",IF(E460=Constants!$B$2, TRUE(), IF(E460=Constants!$B$3, FALSE(), TRUE())))</f>
        <v/>
      </c>
      <c r="S460" s="67" t="str">
        <f aca="false">IF(ISBLANK($C460),"",IF(F460=Constants!$B$2, TRUE(), IF(F460=Constants!$B$3, FALSE(), TRUE())))</f>
        <v/>
      </c>
      <c r="T460" s="67" t="str">
        <f aca="false">IF(ISBLANK($C460),"",IF(G460=Constants!$B$16,Constants!$B$9,IF(G460=Constants!$B$17,Constants!$B$10,Constants!$B$8)))</f>
        <v/>
      </c>
      <c r="U460" s="67" t="str">
        <f aca="false">IF(ISBLANK($C460),"",IF(H460=Constants!$B$19,Constants!$B$19,Constants!$B$18))</f>
        <v/>
      </c>
      <c r="V460" s="67" t="str">
        <f aca="false">IF(ISBLANK($C460),"",IF(ISNUMBER(I460),IF(I460&gt;=0,I460,""),""))</f>
        <v/>
      </c>
      <c r="W460" s="67" t="str">
        <f aca="false">IF(ISBLANK($C460),"",IF(J460=Constants!$B$2, TRUE(), IF(J460=Constants!$B$3, FALSE(), TRUE())))</f>
        <v/>
      </c>
      <c r="X460" s="67" t="str">
        <f aca="false">IF(ISBLANK($C460),"",IF(K460=Constants!$B$2, TRUE(), IF(K460=Constants!$B$3, FALSE(), TRUE())))</f>
        <v/>
      </c>
      <c r="Y460" s="67" t="str">
        <f aca="false">IF(ISBLANK($C460),"",IF(L460=Constants!$B$19,Constants!$B$19,Constants!$B$18))</f>
        <v/>
      </c>
      <c r="Z460" s="67" t="str">
        <f aca="false">IF(ISBLANK($C460),"",IF(ISNUMBER(M460),IF(M460&gt;=0,M460,""),""))</f>
        <v/>
      </c>
      <c r="AA460" s="67" t="str">
        <f aca="false">IF(ISBLANK($C460),"",IF(N460=Constants!$B$2, TRUE(), IF(N460=Constants!$B$3, FALSE(), TRUE())))</f>
        <v/>
      </c>
      <c r="AB460" s="67" t="str">
        <f aca="false">IF(ISBLANK($C460),"",IF(O460=Constants!$B$2, TRUE(), IF(O460=Constants!$B$3, FALSE(), TRUE())))</f>
        <v/>
      </c>
      <c r="AC460" s="67" t="str">
        <f aca="false">IF(ISBLANK($C460),"",IF(P460=Constants!$B$2, TRUE(), IF(P460=Constants!$B$3, FALSE(), FALSE())))</f>
        <v/>
      </c>
      <c r="AD460" s="67" t="str">
        <f aca="false">IF(ISBLANK($C460),"",AND(V460&lt;&gt;"",IF(U460=Constants!$B$19,S460,R460)))</f>
        <v/>
      </c>
      <c r="AE460" s="67" t="str">
        <f aca="false">IF(ISBLANK($C460),"",AND(Z460&lt;&gt;"",IF(Y460=Constants!$B$19,S460,R460)))</f>
        <v/>
      </c>
      <c r="AF460" s="67" t="str">
        <f aca="false">IF(ISBLANK($C460),"",IF(AC460,Constants!$B$4,IF(COUNTA(E460:O460)=0,Constants!$B$5,IF(AND(NOT(AD460),NOT(AE460)),Constants!$B$6,Constants!$B$7))))</f>
        <v/>
      </c>
      <c r="AG460" s="67" t="str">
        <f aca="false">IF(ISBLANK($C460),"",IF($AF460&lt;&gt;Constants!$B$7,$AF460,Constants!$B$20))</f>
        <v/>
      </c>
      <c r="AH460" s="67" t="str">
        <f aca="false">IF($AF460=Constants!$B$7,IF(AD460,V460,Constants!$B$13),"")</f>
        <v/>
      </c>
      <c r="AI460" s="67" t="str">
        <f aca="false">IF($AF460=Constants!$B$7,IF(AD460,T460*IF(W460, 1, Constants!$B$11)*IF(X460, 1, Constants!$B$12),Constants!$B$13),"")</f>
        <v/>
      </c>
      <c r="AJ460" s="67" t="str">
        <f aca="false">IF($AF460=Constants!$B$7,AH460*AI460,"")</f>
        <v/>
      </c>
      <c r="AK460" s="67" t="str">
        <f aca="false">IF($AF460=Constants!$B$7,IF(AE460,Z460,Constants!$B$13),"")</f>
        <v/>
      </c>
      <c r="AL460" s="67" t="str">
        <f aca="false">IF($AF460=Constants!$B$7,IF(AE460,T460*IF(AA460, 1, Constants!$B$11)*IF(AB460, 1, Constants!$B$12),Constants!$B$13),"")</f>
        <v/>
      </c>
      <c r="AM460" s="67" t="str">
        <f aca="false">IF($AF460=Constants!$B$7,AK460*AL460,"")</f>
        <v/>
      </c>
      <c r="AN460" s="67" t="str">
        <f aca="false">IF($AF460=Constants!$B$7,IF(AM460&gt;AJ460,2,1),"")</f>
        <v/>
      </c>
      <c r="AO460" s="67" t="str">
        <f aca="false">IF($AF460=Constants!$B$7,IF(AN460=1,2,1),"")</f>
        <v/>
      </c>
      <c r="AP460" s="67" t="str">
        <f aca="false">IF(ISBLANK($C460),"",IF($AF460&lt;&gt;Constants!$B$7,$AF460,IF(AN460=1,AJ460,AM460)))</f>
        <v/>
      </c>
      <c r="AQ460" s="67" t="str">
        <f aca="false">IF(ISBLANK($C460),"",IF($AF460=Constants!$B$7,IF(ISNUMBER(AP460),RANK(AP460,$AP$8:$AP$507),Constants!$B$14),$AF460))</f>
        <v/>
      </c>
      <c r="AR460" s="67" t="str">
        <f aca="false">IF(ISBLANK($C460),"",IF($AF460=Constants!$B$7,IF(AO460=1,AJ460,AM460),""))</f>
        <v/>
      </c>
      <c r="AS460" s="67" t="str">
        <f aca="false">IF(ISBLANK($C460),"",IF($AF460=Constants!$B$7,RANK(AR460,$AR$8:$AR$507),$AF460))</f>
        <v/>
      </c>
      <c r="AT460" s="67" t="str">
        <f aca="false">IF(ISBLANK($C460),"",IF($AF460=Constants!$B$7,IF(ISNUMBER(AQ460),COUNTIFS($AQ$8:$AQ$507,"&lt;"&amp;$AQ460)+COUNTIFS($AQ$8:$AQ$507,$AQ460,$AS$8:$AS$507,"&lt;"&amp;$AS460)+1,Constants!$B$14),$AF460))</f>
        <v/>
      </c>
      <c r="AU460" s="67" t="str">
        <f aca="false">IF(ISBLANK($C460),"",IF($AF460=Constants!$B$7,IF(ISNUMBER(AQ460),AQ460-AT460,Constants!$B$14),$AF460))</f>
        <v/>
      </c>
      <c r="AV460" s="69"/>
      <c r="AW460" s="70" t="str">
        <f aca="false">IF(ISBLANK($C460),"",IF($AF460&lt;&gt;Constants!$B$7,"",AN460))</f>
        <v/>
      </c>
      <c r="AX460" s="85" t="str">
        <f aca="false">IF(ISBLANK($C460),"",IF($AF460&lt;&gt;Constants!$B$7,"",IF(AN460=1,AH460,AK460)))</f>
        <v/>
      </c>
      <c r="AY460" s="72" t="str">
        <f aca="false">IF(ISBLANK($C460),"",IF($AF460&lt;&gt;Constants!$B$7,"",IF(AN460=1,AI460,AL460)))</f>
        <v/>
      </c>
      <c r="AZ460" s="73" t="str">
        <f aca="false">IF(ISBLANK($C460),"",IF($AF460&lt;&gt;Constants!$B$7,$AF460,AP460))</f>
        <v/>
      </c>
      <c r="BA460" s="74" t="str">
        <f aca="false">IF(ISBLANK($C460),"",IF($AF460&lt;&gt;Constants!$B$7,$AF460,AG460))</f>
        <v/>
      </c>
      <c r="BB460" s="75" t="str">
        <f aca="false">IF(ISBLANK($C460),"",AU460)</f>
        <v/>
      </c>
      <c r="BC460" s="75" t="str">
        <f aca="false">IF(ISBLANK($C460),"",AT460)</f>
        <v/>
      </c>
      <c r="BD460" s="76" t="str">
        <f aca="false">IF(ISBLANK($C460),"",IFERROR(_xlfn.SWITCH(BC460,Constants!$B$4,COUNTA($C$8:$C$507)+2,Constants!$B$5,COUNTA($C$8:$C$507)+1,Constants!$B$6,COUNTA($C$8:$C$507)),BC460))</f>
        <v/>
      </c>
      <c r="BE460" s="5"/>
      <c r="BF460" s="77" t="n">
        <f aca="false">IF(OR(ISNUMBER(BC460),BC460=Constants!$B$4,BC460=Constants!$B$6,BC460=Constants!$B$5),1,0)</f>
        <v>0</v>
      </c>
      <c r="BG460" s="77" t="n">
        <v>453</v>
      </c>
      <c r="BH460" s="77" t="str">
        <f aca="false">IF(ISBLANK($C460),"",IF(ISNUMBER(BD460),BD460+ROW($B460)/1000,""))</f>
        <v/>
      </c>
      <c r="BI460" s="77" t="str">
        <f aca="false">IF(ISNUMBER(BH460),RANK(BH460,$BH$8:$BH$507,1),"")</f>
        <v/>
      </c>
      <c r="BJ460" s="77" t="str">
        <f aca="false">IF(ISBLANK($C460),"",$B460)</f>
        <v/>
      </c>
      <c r="BK460" s="77" t="str">
        <f aca="false">IF(ISBLANK($C460),"",$C460)</f>
        <v/>
      </c>
      <c r="BL460" s="77" t="str">
        <f aca="false">IF(ISBLANK($C460),"",$D460)</f>
        <v/>
      </c>
      <c r="BM460" s="78" t="str">
        <f aca="false">BA460</f>
        <v/>
      </c>
      <c r="BN460" s="79" t="str">
        <f aca="false">AZ460</f>
        <v/>
      </c>
      <c r="BO460" s="77" t="str">
        <f aca="false">IF(ISBLANK($C460),"",BC460)</f>
        <v/>
      </c>
      <c r="BP460" s="80" t="str">
        <f aca="false">IF($BG460&gt;$BF$7,"",VLOOKUP($BG460,$BI$8:$BO$507,7,FALSE()))</f>
        <v/>
      </c>
      <c r="BQ460" s="81" t="str">
        <f aca="false">IF($BG460&gt;$BF$7,"",VLOOKUP($BG460,$BI$8:$BO$507,2,FALSE()))</f>
        <v/>
      </c>
      <c r="BR460" s="81" t="str">
        <f aca="false">IF($BG460&gt;$BF$7,"",VLOOKUP($BG460,$BI$8:$BO$507,3,FALSE()))</f>
        <v/>
      </c>
      <c r="BS460" s="81" t="str">
        <f aca="false">IF($BG460&gt;$BF$7,"",VLOOKUP($BG460,$BI$8:$BO$507,4,FALSE()))</f>
        <v/>
      </c>
      <c r="BT460" s="81" t="str">
        <f aca="false">IF($BG460&gt;$BF$7,"",VLOOKUP($BG460,$BI$8:$BO$507,5,FALSE()))</f>
        <v/>
      </c>
      <c r="BU460" s="82" t="str">
        <f aca="false">IF($BG460&gt;$BF$7,"",VLOOKUP($BG460,$BI$8:$BO$507,6,FALSE()))</f>
        <v/>
      </c>
      <c r="BV460" s="54"/>
    </row>
    <row r="461" customFormat="false" ht="15.75" hidden="false" customHeight="false" outlineLevel="0" collapsed="false">
      <c r="A461" s="5"/>
      <c r="B461" s="128"/>
      <c r="C461" s="129"/>
      <c r="D461" s="114"/>
      <c r="E461" s="134"/>
      <c r="F461" s="139"/>
      <c r="G461" s="93"/>
      <c r="H461" s="140"/>
      <c r="I461" s="95"/>
      <c r="J461" s="95"/>
      <c r="K461" s="93"/>
      <c r="L461" s="141"/>
      <c r="M461" s="95"/>
      <c r="N461" s="95"/>
      <c r="O461" s="93"/>
      <c r="P461" s="134"/>
      <c r="Q461" s="98"/>
      <c r="R461" s="99" t="str">
        <f aca="false">IF(ISBLANK($C461),"",IF(E461=Constants!$B$2, TRUE(), IF(E461=Constants!$B$3, FALSE(), TRUE())))</f>
        <v/>
      </c>
      <c r="S461" s="99" t="str">
        <f aca="false">IF(ISBLANK($C461),"",IF(F461=Constants!$B$2, TRUE(), IF(F461=Constants!$B$3, FALSE(), TRUE())))</f>
        <v/>
      </c>
      <c r="T461" s="99" t="str">
        <f aca="false">IF(ISBLANK($C461),"",IF(G461=Constants!$B$16,Constants!$B$9,IF(G461=Constants!$B$17,Constants!$B$10,Constants!$B$8)))</f>
        <v/>
      </c>
      <c r="U461" s="99" t="str">
        <f aca="false">IF(ISBLANK($C461),"",IF(H461=Constants!$B$19,Constants!$B$19,Constants!$B$18))</f>
        <v/>
      </c>
      <c r="V461" s="99" t="str">
        <f aca="false">IF(ISBLANK($C461),"",IF(ISNUMBER(I461),IF(I461&gt;=0,I461,""),""))</f>
        <v/>
      </c>
      <c r="W461" s="99" t="str">
        <f aca="false">IF(ISBLANK($C461),"",IF(J461=Constants!$B$2, TRUE(), IF(J461=Constants!$B$3, FALSE(), TRUE())))</f>
        <v/>
      </c>
      <c r="X461" s="99" t="str">
        <f aca="false">IF(ISBLANK($C461),"",IF(K461=Constants!$B$2, TRUE(), IF(K461=Constants!$B$3, FALSE(), TRUE())))</f>
        <v/>
      </c>
      <c r="Y461" s="99" t="str">
        <f aca="false">IF(ISBLANK($C461),"",IF(L461=Constants!$B$19,Constants!$B$19,Constants!$B$18))</f>
        <v/>
      </c>
      <c r="Z461" s="99" t="str">
        <f aca="false">IF(ISBLANK($C461),"",IF(ISNUMBER(M461),IF(M461&gt;=0,M461,""),""))</f>
        <v/>
      </c>
      <c r="AA461" s="99" t="str">
        <f aca="false">IF(ISBLANK($C461),"",IF(N461=Constants!$B$2, TRUE(), IF(N461=Constants!$B$3, FALSE(), TRUE())))</f>
        <v/>
      </c>
      <c r="AB461" s="99" t="str">
        <f aca="false">IF(ISBLANK($C461),"",IF(O461=Constants!$B$2, TRUE(), IF(O461=Constants!$B$3, FALSE(), TRUE())))</f>
        <v/>
      </c>
      <c r="AC461" s="99" t="str">
        <f aca="false">IF(ISBLANK($C461),"",IF(P461=Constants!$B$2, TRUE(), IF(P461=Constants!$B$3, FALSE(), FALSE())))</f>
        <v/>
      </c>
      <c r="AD461" s="99" t="str">
        <f aca="false">IF(ISBLANK($C461),"",AND(V461&lt;&gt;"",IF(U461=Constants!$B$19,S461,R461)))</f>
        <v/>
      </c>
      <c r="AE461" s="99" t="str">
        <f aca="false">IF(ISBLANK($C461),"",AND(Z461&lt;&gt;"",IF(Y461=Constants!$B$19,S461,R461)))</f>
        <v/>
      </c>
      <c r="AF461" s="99" t="str">
        <f aca="false">IF(ISBLANK($C461),"",IF(AC461,Constants!$B$4,IF(COUNTA(E461:O461)=0,Constants!$B$5,IF(AND(NOT(AD461),NOT(AE461)),Constants!$B$6,Constants!$B$7))))</f>
        <v/>
      </c>
      <c r="AG461" s="99" t="str">
        <f aca="false">IF(ISBLANK($C461),"",IF($AF461&lt;&gt;Constants!$B$7,$AF461,Constants!$B$20))</f>
        <v/>
      </c>
      <c r="AH461" s="99" t="str">
        <f aca="false">IF($AF461=Constants!$B$7,IF(AD461,V461,Constants!$B$13),"")</f>
        <v/>
      </c>
      <c r="AI461" s="99" t="str">
        <f aca="false">IF($AF461=Constants!$B$7,IF(AD461,T461*IF(W461, 1, Constants!$B$11)*IF(X461, 1, Constants!$B$12),Constants!$B$13),"")</f>
        <v/>
      </c>
      <c r="AJ461" s="99" t="str">
        <f aca="false">IF($AF461=Constants!$B$7,AH461*AI461,"")</f>
        <v/>
      </c>
      <c r="AK461" s="99" t="str">
        <f aca="false">IF($AF461=Constants!$B$7,IF(AE461,Z461,Constants!$B$13),"")</f>
        <v/>
      </c>
      <c r="AL461" s="99" t="str">
        <f aca="false">IF($AF461=Constants!$B$7,IF(AE461,T461*IF(AA461, 1, Constants!$B$11)*IF(AB461, 1, Constants!$B$12),Constants!$B$13),"")</f>
        <v/>
      </c>
      <c r="AM461" s="99" t="str">
        <f aca="false">IF($AF461=Constants!$B$7,AK461*AL461,"")</f>
        <v/>
      </c>
      <c r="AN461" s="99" t="str">
        <f aca="false">IF($AF461=Constants!$B$7,IF(AM461&gt;AJ461,2,1),"")</f>
        <v/>
      </c>
      <c r="AO461" s="99" t="str">
        <f aca="false">IF($AF461=Constants!$B$7,IF(AN461=1,2,1),"")</f>
        <v/>
      </c>
      <c r="AP461" s="99" t="str">
        <f aca="false">IF(ISBLANK($C461),"",IF($AF461&lt;&gt;Constants!$B$7,$AF461,IF(AN461=1,AJ461,AM461)))</f>
        <v/>
      </c>
      <c r="AQ461" s="99" t="str">
        <f aca="false">IF(ISBLANK($C461),"",IF($AF461=Constants!$B$7,IF(ISNUMBER(AP461),RANK(AP461,$AP$8:$AP$507),Constants!$B$14),$AF461))</f>
        <v/>
      </c>
      <c r="AR461" s="99" t="str">
        <f aca="false">IF(ISBLANK($C461),"",IF($AF461=Constants!$B$7,IF(AO461=1,AJ461,AM461),""))</f>
        <v/>
      </c>
      <c r="AS461" s="99" t="str">
        <f aca="false">IF(ISBLANK($C461),"",IF($AF461=Constants!$B$7,RANK(AR461,$AR$8:$AR$507),$AF461))</f>
        <v/>
      </c>
      <c r="AT461" s="99" t="str">
        <f aca="false">IF(ISBLANK($C461),"",IF($AF461=Constants!$B$7,IF(ISNUMBER(AQ461),COUNTIFS($AQ$8:$AQ$507,"&lt;"&amp;$AQ461)+COUNTIFS($AQ$8:$AQ$507,$AQ461,$AS$8:$AS$507,"&lt;"&amp;$AS461)+1,Constants!$B$14),$AF461))</f>
        <v/>
      </c>
      <c r="AU461" s="99" t="str">
        <f aca="false">IF(ISBLANK($C461),"",IF($AF461=Constants!$B$7,IF(ISNUMBER(AQ461),AQ461-AT461,Constants!$B$14),$AF461))</f>
        <v/>
      </c>
      <c r="AV461" s="100"/>
      <c r="AW461" s="101" t="str">
        <f aca="false">IF(ISBLANK($C461),"",IF($AF461&lt;&gt;Constants!$B$7,"",AN461))</f>
        <v/>
      </c>
      <c r="AX461" s="102" t="str">
        <f aca="false">IF(ISBLANK($C461),"",IF($AF461&lt;&gt;Constants!$B$7,"",IF(AN461=1,AH461,AK461)))</f>
        <v/>
      </c>
      <c r="AY461" s="103" t="str">
        <f aca="false">IF(ISBLANK($C461),"",IF($AF461&lt;&gt;Constants!$B$7,"",IF(AN461=1,AI461,AL461)))</f>
        <v/>
      </c>
      <c r="AZ461" s="104" t="str">
        <f aca="false">IF(ISBLANK($C461),"",IF($AF461&lt;&gt;Constants!$B$7,$AF461,AP461))</f>
        <v/>
      </c>
      <c r="BA461" s="105" t="str">
        <f aca="false">IF(ISBLANK($C461),"",IF($AF461&lt;&gt;Constants!$B$7,$AF461,AG461))</f>
        <v/>
      </c>
      <c r="BB461" s="106" t="str">
        <f aca="false">IF(ISBLANK($C461),"",AU461)</f>
        <v/>
      </c>
      <c r="BC461" s="106" t="str">
        <f aca="false">IF(ISBLANK($C461),"",AT461)</f>
        <v/>
      </c>
      <c r="BD461" s="107" t="str">
        <f aca="false">IF(ISBLANK($C461),"",IFERROR(_xlfn.SWITCH(BC461,Constants!$B$4,COUNTA($C$8:$C$507)+2,Constants!$B$5,COUNTA($C$8:$C$507)+1,Constants!$B$6,COUNTA($C$8:$C$507)),BC461))</f>
        <v/>
      </c>
      <c r="BE461" s="5"/>
      <c r="BF461" s="108" t="n">
        <f aca="false">IF(OR(ISNUMBER(BC461),BC461=Constants!$B$4,BC461=Constants!$B$6,BC461=Constants!$B$5),1,0)</f>
        <v>0</v>
      </c>
      <c r="BG461" s="108" t="n">
        <v>454</v>
      </c>
      <c r="BH461" s="108" t="str">
        <f aca="false">IF(ISBLANK($C461),"",IF(ISNUMBER(BD461),BD461+ROW($B461)/1000,""))</f>
        <v/>
      </c>
      <c r="BI461" s="108" t="str">
        <f aca="false">IF(ISNUMBER(BH461),RANK(BH461,$BH$8:$BH$507,1),"")</f>
        <v/>
      </c>
      <c r="BJ461" s="108" t="str">
        <f aca="false">IF(ISBLANK($C461),"",$B461)</f>
        <v/>
      </c>
      <c r="BK461" s="108" t="str">
        <f aca="false">IF(ISBLANK($C461),"",$C461)</f>
        <v/>
      </c>
      <c r="BL461" s="108" t="str">
        <f aca="false">IF(ISBLANK($C461),"",$D461)</f>
        <v/>
      </c>
      <c r="BM461" s="109" t="str">
        <f aca="false">BA461</f>
        <v/>
      </c>
      <c r="BN461" s="110" t="str">
        <f aca="false">AZ461</f>
        <v/>
      </c>
      <c r="BO461" s="108" t="str">
        <f aca="false">IF(ISBLANK($C461),"",BC461)</f>
        <v/>
      </c>
      <c r="BP461" s="111" t="str">
        <f aca="false">IF($BG461&gt;$BF$7,"",VLOOKUP($BG461,$BI$8:$BO$507,7,FALSE()))</f>
        <v/>
      </c>
      <c r="BQ461" s="112" t="str">
        <f aca="false">IF($BG461&gt;$BF$7,"",VLOOKUP($BG461,$BI$8:$BO$507,2,FALSE()))</f>
        <v/>
      </c>
      <c r="BR461" s="112" t="str">
        <f aca="false">IF($BG461&gt;$BF$7,"",VLOOKUP($BG461,$BI$8:$BO$507,3,FALSE()))</f>
        <v/>
      </c>
      <c r="BS461" s="112" t="str">
        <f aca="false">IF($BG461&gt;$BF$7,"",VLOOKUP($BG461,$BI$8:$BO$507,4,FALSE()))</f>
        <v/>
      </c>
      <c r="BT461" s="112" t="str">
        <f aca="false">IF($BG461&gt;$BF$7,"",VLOOKUP($BG461,$BI$8:$BO$507,5,FALSE()))</f>
        <v/>
      </c>
      <c r="BU461" s="113" t="str">
        <f aca="false">IF($BG461&gt;$BF$7,"",VLOOKUP($BG461,$BI$8:$BO$507,6,FALSE()))</f>
        <v/>
      </c>
      <c r="BV461" s="54"/>
    </row>
    <row r="462" customFormat="false" ht="15.75" hidden="false" customHeight="false" outlineLevel="0" collapsed="false">
      <c r="A462" s="5"/>
      <c r="B462" s="128"/>
      <c r="C462" s="129"/>
      <c r="D462" s="114"/>
      <c r="E462" s="134"/>
      <c r="F462" s="139"/>
      <c r="G462" s="93"/>
      <c r="H462" s="140"/>
      <c r="I462" s="95"/>
      <c r="J462" s="95"/>
      <c r="K462" s="93"/>
      <c r="L462" s="141"/>
      <c r="M462" s="95"/>
      <c r="N462" s="95"/>
      <c r="O462" s="93"/>
      <c r="P462" s="134"/>
      <c r="Q462" s="98"/>
      <c r="R462" s="99" t="str">
        <f aca="false">IF(ISBLANK($C462),"",IF(E462=Constants!$B$2, TRUE(), IF(E462=Constants!$B$3, FALSE(), TRUE())))</f>
        <v/>
      </c>
      <c r="S462" s="99" t="str">
        <f aca="false">IF(ISBLANK($C462),"",IF(F462=Constants!$B$2, TRUE(), IF(F462=Constants!$B$3, FALSE(), TRUE())))</f>
        <v/>
      </c>
      <c r="T462" s="99" t="str">
        <f aca="false">IF(ISBLANK($C462),"",IF(G462=Constants!$B$16,Constants!$B$9,IF(G462=Constants!$B$17,Constants!$B$10,Constants!$B$8)))</f>
        <v/>
      </c>
      <c r="U462" s="99" t="str">
        <f aca="false">IF(ISBLANK($C462),"",IF(H462=Constants!$B$19,Constants!$B$19,Constants!$B$18))</f>
        <v/>
      </c>
      <c r="V462" s="99" t="str">
        <f aca="false">IF(ISBLANK($C462),"",IF(ISNUMBER(I462),IF(I462&gt;=0,I462,""),""))</f>
        <v/>
      </c>
      <c r="W462" s="99" t="str">
        <f aca="false">IF(ISBLANK($C462),"",IF(J462=Constants!$B$2, TRUE(), IF(J462=Constants!$B$3, FALSE(), TRUE())))</f>
        <v/>
      </c>
      <c r="X462" s="99" t="str">
        <f aca="false">IF(ISBLANK($C462),"",IF(K462=Constants!$B$2, TRUE(), IF(K462=Constants!$B$3, FALSE(), TRUE())))</f>
        <v/>
      </c>
      <c r="Y462" s="99" t="str">
        <f aca="false">IF(ISBLANK($C462),"",IF(L462=Constants!$B$19,Constants!$B$19,Constants!$B$18))</f>
        <v/>
      </c>
      <c r="Z462" s="99" t="str">
        <f aca="false">IF(ISBLANK($C462),"",IF(ISNUMBER(M462),IF(M462&gt;=0,M462,""),""))</f>
        <v/>
      </c>
      <c r="AA462" s="99" t="str">
        <f aca="false">IF(ISBLANK($C462),"",IF(N462=Constants!$B$2, TRUE(), IF(N462=Constants!$B$3, FALSE(), TRUE())))</f>
        <v/>
      </c>
      <c r="AB462" s="99" t="str">
        <f aca="false">IF(ISBLANK($C462),"",IF(O462=Constants!$B$2, TRUE(), IF(O462=Constants!$B$3, FALSE(), TRUE())))</f>
        <v/>
      </c>
      <c r="AC462" s="99" t="str">
        <f aca="false">IF(ISBLANK($C462),"",IF(P462=Constants!$B$2, TRUE(), IF(P462=Constants!$B$3, FALSE(), FALSE())))</f>
        <v/>
      </c>
      <c r="AD462" s="99" t="str">
        <f aca="false">IF(ISBLANK($C462),"",AND(V462&lt;&gt;"",IF(U462=Constants!$B$19,S462,R462)))</f>
        <v/>
      </c>
      <c r="AE462" s="99" t="str">
        <f aca="false">IF(ISBLANK($C462),"",AND(Z462&lt;&gt;"",IF(Y462=Constants!$B$19,S462,R462)))</f>
        <v/>
      </c>
      <c r="AF462" s="99" t="str">
        <f aca="false">IF(ISBLANK($C462),"",IF(AC462,Constants!$B$4,IF(COUNTA(E462:O462)=0,Constants!$B$5,IF(AND(NOT(AD462),NOT(AE462)),Constants!$B$6,Constants!$B$7))))</f>
        <v/>
      </c>
      <c r="AG462" s="99" t="str">
        <f aca="false">IF(ISBLANK($C462),"",IF($AF462&lt;&gt;Constants!$B$7,$AF462,Constants!$B$20))</f>
        <v/>
      </c>
      <c r="AH462" s="99" t="str">
        <f aca="false">IF($AF462=Constants!$B$7,IF(AD462,V462,Constants!$B$13),"")</f>
        <v/>
      </c>
      <c r="AI462" s="99" t="str">
        <f aca="false">IF($AF462=Constants!$B$7,IF(AD462,T462*IF(W462, 1, Constants!$B$11)*IF(X462, 1, Constants!$B$12),Constants!$B$13),"")</f>
        <v/>
      </c>
      <c r="AJ462" s="99" t="str">
        <f aca="false">IF($AF462=Constants!$B$7,AH462*AI462,"")</f>
        <v/>
      </c>
      <c r="AK462" s="99" t="str">
        <f aca="false">IF($AF462=Constants!$B$7,IF(AE462,Z462,Constants!$B$13),"")</f>
        <v/>
      </c>
      <c r="AL462" s="99" t="str">
        <f aca="false">IF($AF462=Constants!$B$7,IF(AE462,T462*IF(AA462, 1, Constants!$B$11)*IF(AB462, 1, Constants!$B$12),Constants!$B$13),"")</f>
        <v/>
      </c>
      <c r="AM462" s="99" t="str">
        <f aca="false">IF($AF462=Constants!$B$7,AK462*AL462,"")</f>
        <v/>
      </c>
      <c r="AN462" s="99" t="str">
        <f aca="false">IF($AF462=Constants!$B$7,IF(AM462&gt;AJ462,2,1),"")</f>
        <v/>
      </c>
      <c r="AO462" s="99" t="str">
        <f aca="false">IF($AF462=Constants!$B$7,IF(AN462=1,2,1),"")</f>
        <v/>
      </c>
      <c r="AP462" s="99" t="str">
        <f aca="false">IF(ISBLANK($C462),"",IF($AF462&lt;&gt;Constants!$B$7,$AF462,IF(AN462=1,AJ462,AM462)))</f>
        <v/>
      </c>
      <c r="AQ462" s="99" t="str">
        <f aca="false">IF(ISBLANK($C462),"",IF($AF462=Constants!$B$7,IF(ISNUMBER(AP462),RANK(AP462,$AP$8:$AP$507),Constants!$B$14),$AF462))</f>
        <v/>
      </c>
      <c r="AR462" s="99" t="str">
        <f aca="false">IF(ISBLANK($C462),"",IF($AF462=Constants!$B$7,IF(AO462=1,AJ462,AM462),""))</f>
        <v/>
      </c>
      <c r="AS462" s="99" t="str">
        <f aca="false">IF(ISBLANK($C462),"",IF($AF462=Constants!$B$7,RANK(AR462,$AR$8:$AR$507),$AF462))</f>
        <v/>
      </c>
      <c r="AT462" s="99" t="str">
        <f aca="false">IF(ISBLANK($C462),"",IF($AF462=Constants!$B$7,IF(ISNUMBER(AQ462),COUNTIFS($AQ$8:$AQ$507,"&lt;"&amp;$AQ462)+COUNTIFS($AQ$8:$AQ$507,$AQ462,$AS$8:$AS$507,"&lt;"&amp;$AS462)+1,Constants!$B$14),$AF462))</f>
        <v/>
      </c>
      <c r="AU462" s="99" t="str">
        <f aca="false">IF(ISBLANK($C462),"",IF($AF462=Constants!$B$7,IF(ISNUMBER(AQ462),AQ462-AT462,Constants!$B$14),$AF462))</f>
        <v/>
      </c>
      <c r="AV462" s="100"/>
      <c r="AW462" s="101" t="str">
        <f aca="false">IF(ISBLANK($C462),"",IF($AF462&lt;&gt;Constants!$B$7,"",AN462))</f>
        <v/>
      </c>
      <c r="AX462" s="102" t="str">
        <f aca="false">IF(ISBLANK($C462),"",IF($AF462&lt;&gt;Constants!$B$7,"",IF(AN462=1,AH462,AK462)))</f>
        <v/>
      </c>
      <c r="AY462" s="103" t="str">
        <f aca="false">IF(ISBLANK($C462),"",IF($AF462&lt;&gt;Constants!$B$7,"",IF(AN462=1,AI462,AL462)))</f>
        <v/>
      </c>
      <c r="AZ462" s="104" t="str">
        <f aca="false">IF(ISBLANK($C462),"",IF($AF462&lt;&gt;Constants!$B$7,$AF462,AP462))</f>
        <v/>
      </c>
      <c r="BA462" s="105" t="str">
        <f aca="false">IF(ISBLANK($C462),"",IF($AF462&lt;&gt;Constants!$B$7,$AF462,AG462))</f>
        <v/>
      </c>
      <c r="BB462" s="106" t="str">
        <f aca="false">IF(ISBLANK($C462),"",AU462)</f>
        <v/>
      </c>
      <c r="BC462" s="106" t="str">
        <f aca="false">IF(ISBLANK($C462),"",AT462)</f>
        <v/>
      </c>
      <c r="BD462" s="107" t="str">
        <f aca="false">IF(ISBLANK($C462),"",IFERROR(_xlfn.SWITCH(BC462,Constants!$B$4,COUNTA($C$8:$C$507)+2,Constants!$B$5,COUNTA($C$8:$C$507)+1,Constants!$B$6,COUNTA($C$8:$C$507)),BC462))</f>
        <v/>
      </c>
      <c r="BE462" s="5"/>
      <c r="BF462" s="108" t="n">
        <f aca="false">IF(OR(ISNUMBER(BC462),BC462=Constants!$B$4,BC462=Constants!$B$6,BC462=Constants!$B$5),1,0)</f>
        <v>0</v>
      </c>
      <c r="BG462" s="108" t="n">
        <v>455</v>
      </c>
      <c r="BH462" s="108" t="str">
        <f aca="false">IF(ISBLANK($C462),"",IF(ISNUMBER(BD462),BD462+ROW($B462)/1000,""))</f>
        <v/>
      </c>
      <c r="BI462" s="108" t="str">
        <f aca="false">IF(ISNUMBER(BH462),RANK(BH462,$BH$8:$BH$507,1),"")</f>
        <v/>
      </c>
      <c r="BJ462" s="108" t="str">
        <f aca="false">IF(ISBLANK($C462),"",$B462)</f>
        <v/>
      </c>
      <c r="BK462" s="108" t="str">
        <f aca="false">IF(ISBLANK($C462),"",$C462)</f>
        <v/>
      </c>
      <c r="BL462" s="108" t="str">
        <f aca="false">IF(ISBLANK($C462),"",$D462)</f>
        <v/>
      </c>
      <c r="BM462" s="109" t="str">
        <f aca="false">BA462</f>
        <v/>
      </c>
      <c r="BN462" s="110" t="str">
        <f aca="false">AZ462</f>
        <v/>
      </c>
      <c r="BO462" s="108" t="str">
        <f aca="false">IF(ISBLANK($C462),"",BC462)</f>
        <v/>
      </c>
      <c r="BP462" s="111" t="str">
        <f aca="false">IF($BG462&gt;$BF$7,"",VLOOKUP($BG462,$BI$8:$BO$507,7,FALSE()))</f>
        <v/>
      </c>
      <c r="BQ462" s="112" t="str">
        <f aca="false">IF($BG462&gt;$BF$7,"",VLOOKUP($BG462,$BI$8:$BO$507,2,FALSE()))</f>
        <v/>
      </c>
      <c r="BR462" s="112" t="str">
        <f aca="false">IF($BG462&gt;$BF$7,"",VLOOKUP($BG462,$BI$8:$BO$507,3,FALSE()))</f>
        <v/>
      </c>
      <c r="BS462" s="112" t="str">
        <f aca="false">IF($BG462&gt;$BF$7,"",VLOOKUP($BG462,$BI$8:$BO$507,4,FALSE()))</f>
        <v/>
      </c>
      <c r="BT462" s="112" t="str">
        <f aca="false">IF($BG462&gt;$BF$7,"",VLOOKUP($BG462,$BI$8:$BO$507,5,FALSE()))</f>
        <v/>
      </c>
      <c r="BU462" s="113" t="str">
        <f aca="false">IF($BG462&gt;$BF$7,"",VLOOKUP($BG462,$BI$8:$BO$507,6,FALSE()))</f>
        <v/>
      </c>
      <c r="BV462" s="54"/>
    </row>
    <row r="463" customFormat="false" ht="15.75" hidden="false" customHeight="false" outlineLevel="0" collapsed="false">
      <c r="A463" s="5"/>
      <c r="B463" s="128"/>
      <c r="C463" s="129"/>
      <c r="D463" s="114"/>
      <c r="E463" s="134"/>
      <c r="F463" s="139"/>
      <c r="G463" s="93"/>
      <c r="H463" s="140"/>
      <c r="I463" s="95"/>
      <c r="J463" s="95"/>
      <c r="K463" s="93"/>
      <c r="L463" s="141"/>
      <c r="M463" s="95"/>
      <c r="N463" s="95"/>
      <c r="O463" s="93"/>
      <c r="P463" s="134"/>
      <c r="Q463" s="98"/>
      <c r="R463" s="99" t="str">
        <f aca="false">IF(ISBLANK($C463),"",IF(E463=Constants!$B$2, TRUE(), IF(E463=Constants!$B$3, FALSE(), TRUE())))</f>
        <v/>
      </c>
      <c r="S463" s="99" t="str">
        <f aca="false">IF(ISBLANK($C463),"",IF(F463=Constants!$B$2, TRUE(), IF(F463=Constants!$B$3, FALSE(), TRUE())))</f>
        <v/>
      </c>
      <c r="T463" s="99" t="str">
        <f aca="false">IF(ISBLANK($C463),"",IF(G463=Constants!$B$16,Constants!$B$9,IF(G463=Constants!$B$17,Constants!$B$10,Constants!$B$8)))</f>
        <v/>
      </c>
      <c r="U463" s="99" t="str">
        <f aca="false">IF(ISBLANK($C463),"",IF(H463=Constants!$B$19,Constants!$B$19,Constants!$B$18))</f>
        <v/>
      </c>
      <c r="V463" s="99" t="str">
        <f aca="false">IF(ISBLANK($C463),"",IF(ISNUMBER(I463),IF(I463&gt;=0,I463,""),""))</f>
        <v/>
      </c>
      <c r="W463" s="99" t="str">
        <f aca="false">IF(ISBLANK($C463),"",IF(J463=Constants!$B$2, TRUE(), IF(J463=Constants!$B$3, FALSE(), TRUE())))</f>
        <v/>
      </c>
      <c r="X463" s="99" t="str">
        <f aca="false">IF(ISBLANK($C463),"",IF(K463=Constants!$B$2, TRUE(), IF(K463=Constants!$B$3, FALSE(), TRUE())))</f>
        <v/>
      </c>
      <c r="Y463" s="99" t="str">
        <f aca="false">IF(ISBLANK($C463),"",IF(L463=Constants!$B$19,Constants!$B$19,Constants!$B$18))</f>
        <v/>
      </c>
      <c r="Z463" s="99" t="str">
        <f aca="false">IF(ISBLANK($C463),"",IF(ISNUMBER(M463),IF(M463&gt;=0,M463,""),""))</f>
        <v/>
      </c>
      <c r="AA463" s="99" t="str">
        <f aca="false">IF(ISBLANK($C463),"",IF(N463=Constants!$B$2, TRUE(), IF(N463=Constants!$B$3, FALSE(), TRUE())))</f>
        <v/>
      </c>
      <c r="AB463" s="99" t="str">
        <f aca="false">IF(ISBLANK($C463),"",IF(O463=Constants!$B$2, TRUE(), IF(O463=Constants!$B$3, FALSE(), TRUE())))</f>
        <v/>
      </c>
      <c r="AC463" s="99" t="str">
        <f aca="false">IF(ISBLANK($C463),"",IF(P463=Constants!$B$2, TRUE(), IF(P463=Constants!$B$3, FALSE(), FALSE())))</f>
        <v/>
      </c>
      <c r="AD463" s="99" t="str">
        <f aca="false">IF(ISBLANK($C463),"",AND(V463&lt;&gt;"",IF(U463=Constants!$B$19,S463,R463)))</f>
        <v/>
      </c>
      <c r="AE463" s="99" t="str">
        <f aca="false">IF(ISBLANK($C463),"",AND(Z463&lt;&gt;"",IF(Y463=Constants!$B$19,S463,R463)))</f>
        <v/>
      </c>
      <c r="AF463" s="99" t="str">
        <f aca="false">IF(ISBLANK($C463),"",IF(AC463,Constants!$B$4,IF(COUNTA(E463:O463)=0,Constants!$B$5,IF(AND(NOT(AD463),NOT(AE463)),Constants!$B$6,Constants!$B$7))))</f>
        <v/>
      </c>
      <c r="AG463" s="99" t="str">
        <f aca="false">IF(ISBLANK($C463),"",IF($AF463&lt;&gt;Constants!$B$7,$AF463,Constants!$B$20))</f>
        <v/>
      </c>
      <c r="AH463" s="99" t="str">
        <f aca="false">IF($AF463=Constants!$B$7,IF(AD463,V463,Constants!$B$13),"")</f>
        <v/>
      </c>
      <c r="AI463" s="99" t="str">
        <f aca="false">IF($AF463=Constants!$B$7,IF(AD463,T463*IF(W463, 1, Constants!$B$11)*IF(X463, 1, Constants!$B$12),Constants!$B$13),"")</f>
        <v/>
      </c>
      <c r="AJ463" s="99" t="str">
        <f aca="false">IF($AF463=Constants!$B$7,AH463*AI463,"")</f>
        <v/>
      </c>
      <c r="AK463" s="99" t="str">
        <f aca="false">IF($AF463=Constants!$B$7,IF(AE463,Z463,Constants!$B$13),"")</f>
        <v/>
      </c>
      <c r="AL463" s="99" t="str">
        <f aca="false">IF($AF463=Constants!$B$7,IF(AE463,T463*IF(AA463, 1, Constants!$B$11)*IF(AB463, 1, Constants!$B$12),Constants!$B$13),"")</f>
        <v/>
      </c>
      <c r="AM463" s="99" t="str">
        <f aca="false">IF($AF463=Constants!$B$7,AK463*AL463,"")</f>
        <v/>
      </c>
      <c r="AN463" s="99" t="str">
        <f aca="false">IF($AF463=Constants!$B$7,IF(AM463&gt;AJ463,2,1),"")</f>
        <v/>
      </c>
      <c r="AO463" s="99" t="str">
        <f aca="false">IF($AF463=Constants!$B$7,IF(AN463=1,2,1),"")</f>
        <v/>
      </c>
      <c r="AP463" s="99" t="str">
        <f aca="false">IF(ISBLANK($C463),"",IF($AF463&lt;&gt;Constants!$B$7,$AF463,IF(AN463=1,AJ463,AM463)))</f>
        <v/>
      </c>
      <c r="AQ463" s="99" t="str">
        <f aca="false">IF(ISBLANK($C463),"",IF($AF463=Constants!$B$7,IF(ISNUMBER(AP463),RANK(AP463,$AP$8:$AP$507),Constants!$B$14),$AF463))</f>
        <v/>
      </c>
      <c r="AR463" s="99" t="str">
        <f aca="false">IF(ISBLANK($C463),"",IF($AF463=Constants!$B$7,IF(AO463=1,AJ463,AM463),""))</f>
        <v/>
      </c>
      <c r="AS463" s="99" t="str">
        <f aca="false">IF(ISBLANK($C463),"",IF($AF463=Constants!$B$7,RANK(AR463,$AR$8:$AR$507),$AF463))</f>
        <v/>
      </c>
      <c r="AT463" s="99" t="str">
        <f aca="false">IF(ISBLANK($C463),"",IF($AF463=Constants!$B$7,IF(ISNUMBER(AQ463),COUNTIFS($AQ$8:$AQ$507,"&lt;"&amp;$AQ463)+COUNTIFS($AQ$8:$AQ$507,$AQ463,$AS$8:$AS$507,"&lt;"&amp;$AS463)+1,Constants!$B$14),$AF463))</f>
        <v/>
      </c>
      <c r="AU463" s="99" t="str">
        <f aca="false">IF(ISBLANK($C463),"",IF($AF463=Constants!$B$7,IF(ISNUMBER(AQ463),AQ463-AT463,Constants!$B$14),$AF463))</f>
        <v/>
      </c>
      <c r="AV463" s="100"/>
      <c r="AW463" s="101" t="str">
        <f aca="false">IF(ISBLANK($C463),"",IF($AF463&lt;&gt;Constants!$B$7,"",AN463))</f>
        <v/>
      </c>
      <c r="AX463" s="102" t="str">
        <f aca="false">IF(ISBLANK($C463),"",IF($AF463&lt;&gt;Constants!$B$7,"",IF(AN463=1,AH463,AK463)))</f>
        <v/>
      </c>
      <c r="AY463" s="103" t="str">
        <f aca="false">IF(ISBLANK($C463),"",IF($AF463&lt;&gt;Constants!$B$7,"",IF(AN463=1,AI463,AL463)))</f>
        <v/>
      </c>
      <c r="AZ463" s="104" t="str">
        <f aca="false">IF(ISBLANK($C463),"",IF($AF463&lt;&gt;Constants!$B$7,$AF463,AP463))</f>
        <v/>
      </c>
      <c r="BA463" s="105" t="str">
        <f aca="false">IF(ISBLANK($C463),"",IF($AF463&lt;&gt;Constants!$B$7,$AF463,AG463))</f>
        <v/>
      </c>
      <c r="BB463" s="106" t="str">
        <f aca="false">IF(ISBLANK($C463),"",AU463)</f>
        <v/>
      </c>
      <c r="BC463" s="106" t="str">
        <f aca="false">IF(ISBLANK($C463),"",AT463)</f>
        <v/>
      </c>
      <c r="BD463" s="107" t="str">
        <f aca="false">IF(ISBLANK($C463),"",IFERROR(_xlfn.SWITCH(BC463,Constants!$B$4,COUNTA($C$8:$C$507)+2,Constants!$B$5,COUNTA($C$8:$C$507)+1,Constants!$B$6,COUNTA($C$8:$C$507)),BC463))</f>
        <v/>
      </c>
      <c r="BE463" s="5"/>
      <c r="BF463" s="108" t="n">
        <f aca="false">IF(OR(ISNUMBER(BC463),BC463=Constants!$B$4,BC463=Constants!$B$6,BC463=Constants!$B$5),1,0)</f>
        <v>0</v>
      </c>
      <c r="BG463" s="108" t="n">
        <v>456</v>
      </c>
      <c r="BH463" s="108" t="str">
        <f aca="false">IF(ISBLANK($C463),"",IF(ISNUMBER(BD463),BD463+ROW($B463)/1000,""))</f>
        <v/>
      </c>
      <c r="BI463" s="108" t="str">
        <f aca="false">IF(ISNUMBER(BH463),RANK(BH463,$BH$8:$BH$507,1),"")</f>
        <v/>
      </c>
      <c r="BJ463" s="108" t="str">
        <f aca="false">IF(ISBLANK($C463),"",$B463)</f>
        <v/>
      </c>
      <c r="BK463" s="108" t="str">
        <f aca="false">IF(ISBLANK($C463),"",$C463)</f>
        <v/>
      </c>
      <c r="BL463" s="108" t="str">
        <f aca="false">IF(ISBLANK($C463),"",$D463)</f>
        <v/>
      </c>
      <c r="BM463" s="109" t="str">
        <f aca="false">BA463</f>
        <v/>
      </c>
      <c r="BN463" s="110" t="str">
        <f aca="false">AZ463</f>
        <v/>
      </c>
      <c r="BO463" s="108" t="str">
        <f aca="false">IF(ISBLANK($C463),"",BC463)</f>
        <v/>
      </c>
      <c r="BP463" s="111" t="str">
        <f aca="false">IF($BG463&gt;$BF$7,"",VLOOKUP($BG463,$BI$8:$BO$507,7,FALSE()))</f>
        <v/>
      </c>
      <c r="BQ463" s="112" t="str">
        <f aca="false">IF($BG463&gt;$BF$7,"",VLOOKUP($BG463,$BI$8:$BO$507,2,FALSE()))</f>
        <v/>
      </c>
      <c r="BR463" s="112" t="str">
        <f aca="false">IF($BG463&gt;$BF$7,"",VLOOKUP($BG463,$BI$8:$BO$507,3,FALSE()))</f>
        <v/>
      </c>
      <c r="BS463" s="112" t="str">
        <f aca="false">IF($BG463&gt;$BF$7,"",VLOOKUP($BG463,$BI$8:$BO$507,4,FALSE()))</f>
        <v/>
      </c>
      <c r="BT463" s="112" t="str">
        <f aca="false">IF($BG463&gt;$BF$7,"",VLOOKUP($BG463,$BI$8:$BO$507,5,FALSE()))</f>
        <v/>
      </c>
      <c r="BU463" s="113" t="str">
        <f aca="false">IF($BG463&gt;$BF$7,"",VLOOKUP($BG463,$BI$8:$BO$507,6,FALSE()))</f>
        <v/>
      </c>
      <c r="BV463" s="54"/>
    </row>
    <row r="464" customFormat="false" ht="15.75" hidden="false" customHeight="false" outlineLevel="0" collapsed="false">
      <c r="A464" s="5"/>
      <c r="B464" s="135"/>
      <c r="C464" s="56"/>
      <c r="D464" s="57"/>
      <c r="E464" s="84"/>
      <c r="F464" s="136"/>
      <c r="G464" s="60"/>
      <c r="H464" s="137"/>
      <c r="I464" s="62"/>
      <c r="J464" s="62"/>
      <c r="K464" s="60"/>
      <c r="L464" s="138"/>
      <c r="M464" s="62"/>
      <c r="N464" s="62"/>
      <c r="O464" s="60"/>
      <c r="P464" s="84"/>
      <c r="Q464" s="65"/>
      <c r="R464" s="67" t="str">
        <f aca="false">IF(ISBLANK($C464),"",IF(E464=Constants!$B$2, TRUE(), IF(E464=Constants!$B$3, FALSE(), TRUE())))</f>
        <v/>
      </c>
      <c r="S464" s="67" t="str">
        <f aca="false">IF(ISBLANK($C464),"",IF(F464=Constants!$B$2, TRUE(), IF(F464=Constants!$B$3, FALSE(), TRUE())))</f>
        <v/>
      </c>
      <c r="T464" s="67" t="str">
        <f aca="false">IF(ISBLANK($C464),"",IF(G464=Constants!$B$16,Constants!$B$9,IF(G464=Constants!$B$17,Constants!$B$10,Constants!$B$8)))</f>
        <v/>
      </c>
      <c r="U464" s="67" t="str">
        <f aca="false">IF(ISBLANK($C464),"",IF(H464=Constants!$B$19,Constants!$B$19,Constants!$B$18))</f>
        <v/>
      </c>
      <c r="V464" s="67" t="str">
        <f aca="false">IF(ISBLANK($C464),"",IF(ISNUMBER(I464),IF(I464&gt;=0,I464,""),""))</f>
        <v/>
      </c>
      <c r="W464" s="67" t="str">
        <f aca="false">IF(ISBLANK($C464),"",IF(J464=Constants!$B$2, TRUE(), IF(J464=Constants!$B$3, FALSE(), TRUE())))</f>
        <v/>
      </c>
      <c r="X464" s="67" t="str">
        <f aca="false">IF(ISBLANK($C464),"",IF(K464=Constants!$B$2, TRUE(), IF(K464=Constants!$B$3, FALSE(), TRUE())))</f>
        <v/>
      </c>
      <c r="Y464" s="67" t="str">
        <f aca="false">IF(ISBLANK($C464),"",IF(L464=Constants!$B$19,Constants!$B$19,Constants!$B$18))</f>
        <v/>
      </c>
      <c r="Z464" s="67" t="str">
        <f aca="false">IF(ISBLANK($C464),"",IF(ISNUMBER(M464),IF(M464&gt;=0,M464,""),""))</f>
        <v/>
      </c>
      <c r="AA464" s="67" t="str">
        <f aca="false">IF(ISBLANK($C464),"",IF(N464=Constants!$B$2, TRUE(), IF(N464=Constants!$B$3, FALSE(), TRUE())))</f>
        <v/>
      </c>
      <c r="AB464" s="67" t="str">
        <f aca="false">IF(ISBLANK($C464),"",IF(O464=Constants!$B$2, TRUE(), IF(O464=Constants!$B$3, FALSE(), TRUE())))</f>
        <v/>
      </c>
      <c r="AC464" s="67" t="str">
        <f aca="false">IF(ISBLANK($C464),"",IF(P464=Constants!$B$2, TRUE(), IF(P464=Constants!$B$3, FALSE(), FALSE())))</f>
        <v/>
      </c>
      <c r="AD464" s="67" t="str">
        <f aca="false">IF(ISBLANK($C464),"",AND(V464&lt;&gt;"",IF(U464=Constants!$B$19,S464,R464)))</f>
        <v/>
      </c>
      <c r="AE464" s="67" t="str">
        <f aca="false">IF(ISBLANK($C464),"",AND(Z464&lt;&gt;"",IF(Y464=Constants!$B$19,S464,R464)))</f>
        <v/>
      </c>
      <c r="AF464" s="67" t="str">
        <f aca="false">IF(ISBLANK($C464),"",IF(AC464,Constants!$B$4,IF(COUNTA(E464:O464)=0,Constants!$B$5,IF(AND(NOT(AD464),NOT(AE464)),Constants!$B$6,Constants!$B$7))))</f>
        <v/>
      </c>
      <c r="AG464" s="67" t="str">
        <f aca="false">IF(ISBLANK($C464),"",IF($AF464&lt;&gt;Constants!$B$7,$AF464,Constants!$B$20))</f>
        <v/>
      </c>
      <c r="AH464" s="67" t="str">
        <f aca="false">IF($AF464=Constants!$B$7,IF(AD464,V464,Constants!$B$13),"")</f>
        <v/>
      </c>
      <c r="AI464" s="67" t="str">
        <f aca="false">IF($AF464=Constants!$B$7,IF(AD464,T464*IF(W464, 1, Constants!$B$11)*IF(X464, 1, Constants!$B$12),Constants!$B$13),"")</f>
        <v/>
      </c>
      <c r="AJ464" s="67" t="str">
        <f aca="false">IF($AF464=Constants!$B$7,AH464*AI464,"")</f>
        <v/>
      </c>
      <c r="AK464" s="67" t="str">
        <f aca="false">IF($AF464=Constants!$B$7,IF(AE464,Z464,Constants!$B$13),"")</f>
        <v/>
      </c>
      <c r="AL464" s="67" t="str">
        <f aca="false">IF($AF464=Constants!$B$7,IF(AE464,T464*IF(AA464, 1, Constants!$B$11)*IF(AB464, 1, Constants!$B$12),Constants!$B$13),"")</f>
        <v/>
      </c>
      <c r="AM464" s="67" t="str">
        <f aca="false">IF($AF464=Constants!$B$7,AK464*AL464,"")</f>
        <v/>
      </c>
      <c r="AN464" s="67" t="str">
        <f aca="false">IF($AF464=Constants!$B$7,IF(AM464&gt;AJ464,2,1),"")</f>
        <v/>
      </c>
      <c r="AO464" s="67" t="str">
        <f aca="false">IF($AF464=Constants!$B$7,IF(AN464=1,2,1),"")</f>
        <v/>
      </c>
      <c r="AP464" s="67" t="str">
        <f aca="false">IF(ISBLANK($C464),"",IF($AF464&lt;&gt;Constants!$B$7,$AF464,IF(AN464=1,AJ464,AM464)))</f>
        <v/>
      </c>
      <c r="AQ464" s="67" t="str">
        <f aca="false">IF(ISBLANK($C464),"",IF($AF464=Constants!$B$7,IF(ISNUMBER(AP464),RANK(AP464,$AP$8:$AP$507),Constants!$B$14),$AF464))</f>
        <v/>
      </c>
      <c r="AR464" s="67" t="str">
        <f aca="false">IF(ISBLANK($C464),"",IF($AF464=Constants!$B$7,IF(AO464=1,AJ464,AM464),""))</f>
        <v/>
      </c>
      <c r="AS464" s="67" t="str">
        <f aca="false">IF(ISBLANK($C464),"",IF($AF464=Constants!$B$7,RANK(AR464,$AR$8:$AR$507),$AF464))</f>
        <v/>
      </c>
      <c r="AT464" s="67" t="str">
        <f aca="false">IF(ISBLANK($C464),"",IF($AF464=Constants!$B$7,IF(ISNUMBER(AQ464),COUNTIFS($AQ$8:$AQ$507,"&lt;"&amp;$AQ464)+COUNTIFS($AQ$8:$AQ$507,$AQ464,$AS$8:$AS$507,"&lt;"&amp;$AS464)+1,Constants!$B$14),$AF464))</f>
        <v/>
      </c>
      <c r="AU464" s="67" t="str">
        <f aca="false">IF(ISBLANK($C464),"",IF($AF464=Constants!$B$7,IF(ISNUMBER(AQ464),AQ464-AT464,Constants!$B$14),$AF464))</f>
        <v/>
      </c>
      <c r="AV464" s="69"/>
      <c r="AW464" s="70" t="str">
        <f aca="false">IF(ISBLANK($C464),"",IF($AF464&lt;&gt;Constants!$B$7,"",AN464))</f>
        <v/>
      </c>
      <c r="AX464" s="85" t="str">
        <f aca="false">IF(ISBLANK($C464),"",IF($AF464&lt;&gt;Constants!$B$7,"",IF(AN464=1,AH464,AK464)))</f>
        <v/>
      </c>
      <c r="AY464" s="72" t="str">
        <f aca="false">IF(ISBLANK($C464),"",IF($AF464&lt;&gt;Constants!$B$7,"",IF(AN464=1,AI464,AL464)))</f>
        <v/>
      </c>
      <c r="AZ464" s="73" t="str">
        <f aca="false">IF(ISBLANK($C464),"",IF($AF464&lt;&gt;Constants!$B$7,$AF464,AP464))</f>
        <v/>
      </c>
      <c r="BA464" s="74" t="str">
        <f aca="false">IF(ISBLANK($C464),"",IF($AF464&lt;&gt;Constants!$B$7,$AF464,AG464))</f>
        <v/>
      </c>
      <c r="BB464" s="75" t="str">
        <f aca="false">IF(ISBLANK($C464),"",AU464)</f>
        <v/>
      </c>
      <c r="BC464" s="75" t="str">
        <f aca="false">IF(ISBLANK($C464),"",AT464)</f>
        <v/>
      </c>
      <c r="BD464" s="76" t="str">
        <f aca="false">IF(ISBLANK($C464),"",IFERROR(_xlfn.SWITCH(BC464,Constants!$B$4,COUNTA($C$8:$C$507)+2,Constants!$B$5,COUNTA($C$8:$C$507)+1,Constants!$B$6,COUNTA($C$8:$C$507)),BC464))</f>
        <v/>
      </c>
      <c r="BE464" s="5"/>
      <c r="BF464" s="77" t="n">
        <f aca="false">IF(OR(ISNUMBER(BC464),BC464=Constants!$B$4,BC464=Constants!$B$6,BC464=Constants!$B$5),1,0)</f>
        <v>0</v>
      </c>
      <c r="BG464" s="77" t="n">
        <v>457</v>
      </c>
      <c r="BH464" s="77" t="str">
        <f aca="false">IF(ISBLANK($C464),"",IF(ISNUMBER(BD464),BD464+ROW($B464)/1000,""))</f>
        <v/>
      </c>
      <c r="BI464" s="77" t="str">
        <f aca="false">IF(ISNUMBER(BH464),RANK(BH464,$BH$8:$BH$507,1),"")</f>
        <v/>
      </c>
      <c r="BJ464" s="77" t="str">
        <f aca="false">IF(ISBLANK($C464),"",$B464)</f>
        <v/>
      </c>
      <c r="BK464" s="77" t="str">
        <f aca="false">IF(ISBLANK($C464),"",$C464)</f>
        <v/>
      </c>
      <c r="BL464" s="77" t="str">
        <f aca="false">IF(ISBLANK($C464),"",$D464)</f>
        <v/>
      </c>
      <c r="BM464" s="78" t="str">
        <f aca="false">BA464</f>
        <v/>
      </c>
      <c r="BN464" s="79" t="str">
        <f aca="false">AZ464</f>
        <v/>
      </c>
      <c r="BO464" s="77" t="str">
        <f aca="false">IF(ISBLANK($C464),"",BC464)</f>
        <v/>
      </c>
      <c r="BP464" s="80" t="str">
        <f aca="false">IF($BG464&gt;$BF$7,"",VLOOKUP($BG464,$BI$8:$BO$507,7,FALSE()))</f>
        <v/>
      </c>
      <c r="BQ464" s="81" t="str">
        <f aca="false">IF($BG464&gt;$BF$7,"",VLOOKUP($BG464,$BI$8:$BO$507,2,FALSE()))</f>
        <v/>
      </c>
      <c r="BR464" s="81" t="str">
        <f aca="false">IF($BG464&gt;$BF$7,"",VLOOKUP($BG464,$BI$8:$BO$507,3,FALSE()))</f>
        <v/>
      </c>
      <c r="BS464" s="81" t="str">
        <f aca="false">IF($BG464&gt;$BF$7,"",VLOOKUP($BG464,$BI$8:$BO$507,4,FALSE()))</f>
        <v/>
      </c>
      <c r="BT464" s="81" t="str">
        <f aca="false">IF($BG464&gt;$BF$7,"",VLOOKUP($BG464,$BI$8:$BO$507,5,FALSE()))</f>
        <v/>
      </c>
      <c r="BU464" s="82" t="str">
        <f aca="false">IF($BG464&gt;$BF$7,"",VLOOKUP($BG464,$BI$8:$BO$507,6,FALSE()))</f>
        <v/>
      </c>
      <c r="BV464" s="54"/>
    </row>
    <row r="465" customFormat="false" ht="15.75" hidden="false" customHeight="false" outlineLevel="0" collapsed="false">
      <c r="A465" s="5"/>
      <c r="B465" s="135"/>
      <c r="C465" s="56"/>
      <c r="D465" s="57"/>
      <c r="E465" s="84"/>
      <c r="F465" s="136"/>
      <c r="G465" s="60"/>
      <c r="H465" s="137"/>
      <c r="I465" s="62"/>
      <c r="J465" s="62"/>
      <c r="K465" s="60"/>
      <c r="L465" s="138"/>
      <c r="M465" s="62"/>
      <c r="N465" s="62"/>
      <c r="O465" s="60"/>
      <c r="P465" s="84"/>
      <c r="Q465" s="65"/>
      <c r="R465" s="67" t="str">
        <f aca="false">IF(ISBLANK($C465),"",IF(E465=Constants!$B$2, TRUE(), IF(E465=Constants!$B$3, FALSE(), TRUE())))</f>
        <v/>
      </c>
      <c r="S465" s="67" t="str">
        <f aca="false">IF(ISBLANK($C465),"",IF(F465=Constants!$B$2, TRUE(), IF(F465=Constants!$B$3, FALSE(), TRUE())))</f>
        <v/>
      </c>
      <c r="T465" s="67" t="str">
        <f aca="false">IF(ISBLANK($C465),"",IF(G465=Constants!$B$16,Constants!$B$9,IF(G465=Constants!$B$17,Constants!$B$10,Constants!$B$8)))</f>
        <v/>
      </c>
      <c r="U465" s="67" t="str">
        <f aca="false">IF(ISBLANK($C465),"",IF(H465=Constants!$B$19,Constants!$B$19,Constants!$B$18))</f>
        <v/>
      </c>
      <c r="V465" s="67" t="str">
        <f aca="false">IF(ISBLANK($C465),"",IF(ISNUMBER(I465),IF(I465&gt;=0,I465,""),""))</f>
        <v/>
      </c>
      <c r="W465" s="67" t="str">
        <f aca="false">IF(ISBLANK($C465),"",IF(J465=Constants!$B$2, TRUE(), IF(J465=Constants!$B$3, FALSE(), TRUE())))</f>
        <v/>
      </c>
      <c r="X465" s="67" t="str">
        <f aca="false">IF(ISBLANK($C465),"",IF(K465=Constants!$B$2, TRUE(), IF(K465=Constants!$B$3, FALSE(), TRUE())))</f>
        <v/>
      </c>
      <c r="Y465" s="67" t="str">
        <f aca="false">IF(ISBLANK($C465),"",IF(L465=Constants!$B$19,Constants!$B$19,Constants!$B$18))</f>
        <v/>
      </c>
      <c r="Z465" s="67" t="str">
        <f aca="false">IF(ISBLANK($C465),"",IF(ISNUMBER(M465),IF(M465&gt;=0,M465,""),""))</f>
        <v/>
      </c>
      <c r="AA465" s="67" t="str">
        <f aca="false">IF(ISBLANK($C465),"",IF(N465=Constants!$B$2, TRUE(), IF(N465=Constants!$B$3, FALSE(), TRUE())))</f>
        <v/>
      </c>
      <c r="AB465" s="67" t="str">
        <f aca="false">IF(ISBLANK($C465),"",IF(O465=Constants!$B$2, TRUE(), IF(O465=Constants!$B$3, FALSE(), TRUE())))</f>
        <v/>
      </c>
      <c r="AC465" s="67" t="str">
        <f aca="false">IF(ISBLANK($C465),"",IF(P465=Constants!$B$2, TRUE(), IF(P465=Constants!$B$3, FALSE(), FALSE())))</f>
        <v/>
      </c>
      <c r="AD465" s="67" t="str">
        <f aca="false">IF(ISBLANK($C465),"",AND(V465&lt;&gt;"",IF(U465=Constants!$B$19,S465,R465)))</f>
        <v/>
      </c>
      <c r="AE465" s="67" t="str">
        <f aca="false">IF(ISBLANK($C465),"",AND(Z465&lt;&gt;"",IF(Y465=Constants!$B$19,S465,R465)))</f>
        <v/>
      </c>
      <c r="AF465" s="67" t="str">
        <f aca="false">IF(ISBLANK($C465),"",IF(AC465,Constants!$B$4,IF(COUNTA(E465:O465)=0,Constants!$B$5,IF(AND(NOT(AD465),NOT(AE465)),Constants!$B$6,Constants!$B$7))))</f>
        <v/>
      </c>
      <c r="AG465" s="67" t="str">
        <f aca="false">IF(ISBLANK($C465),"",IF($AF465&lt;&gt;Constants!$B$7,$AF465,Constants!$B$20))</f>
        <v/>
      </c>
      <c r="AH465" s="67" t="str">
        <f aca="false">IF($AF465=Constants!$B$7,IF(AD465,V465,Constants!$B$13),"")</f>
        <v/>
      </c>
      <c r="AI465" s="67" t="str">
        <f aca="false">IF($AF465=Constants!$B$7,IF(AD465,T465*IF(W465, 1, Constants!$B$11)*IF(X465, 1, Constants!$B$12),Constants!$B$13),"")</f>
        <v/>
      </c>
      <c r="AJ465" s="67" t="str">
        <f aca="false">IF($AF465=Constants!$B$7,AH465*AI465,"")</f>
        <v/>
      </c>
      <c r="AK465" s="67" t="str">
        <f aca="false">IF($AF465=Constants!$B$7,IF(AE465,Z465,Constants!$B$13),"")</f>
        <v/>
      </c>
      <c r="AL465" s="67" t="str">
        <f aca="false">IF($AF465=Constants!$B$7,IF(AE465,T465*IF(AA465, 1, Constants!$B$11)*IF(AB465, 1, Constants!$B$12),Constants!$B$13),"")</f>
        <v/>
      </c>
      <c r="AM465" s="67" t="str">
        <f aca="false">IF($AF465=Constants!$B$7,AK465*AL465,"")</f>
        <v/>
      </c>
      <c r="AN465" s="67" t="str">
        <f aca="false">IF($AF465=Constants!$B$7,IF(AM465&gt;AJ465,2,1),"")</f>
        <v/>
      </c>
      <c r="AO465" s="67" t="str">
        <f aca="false">IF($AF465=Constants!$B$7,IF(AN465=1,2,1),"")</f>
        <v/>
      </c>
      <c r="AP465" s="67" t="str">
        <f aca="false">IF(ISBLANK($C465),"",IF($AF465&lt;&gt;Constants!$B$7,$AF465,IF(AN465=1,AJ465,AM465)))</f>
        <v/>
      </c>
      <c r="AQ465" s="67" t="str">
        <f aca="false">IF(ISBLANK($C465),"",IF($AF465=Constants!$B$7,IF(ISNUMBER(AP465),RANK(AP465,$AP$8:$AP$507),Constants!$B$14),$AF465))</f>
        <v/>
      </c>
      <c r="AR465" s="67" t="str">
        <f aca="false">IF(ISBLANK($C465),"",IF($AF465=Constants!$B$7,IF(AO465=1,AJ465,AM465),""))</f>
        <v/>
      </c>
      <c r="AS465" s="67" t="str">
        <f aca="false">IF(ISBLANK($C465),"",IF($AF465=Constants!$B$7,RANK(AR465,$AR$8:$AR$507),$AF465))</f>
        <v/>
      </c>
      <c r="AT465" s="67" t="str">
        <f aca="false">IF(ISBLANK($C465),"",IF($AF465=Constants!$B$7,IF(ISNUMBER(AQ465),COUNTIFS($AQ$8:$AQ$507,"&lt;"&amp;$AQ465)+COUNTIFS($AQ$8:$AQ$507,$AQ465,$AS$8:$AS$507,"&lt;"&amp;$AS465)+1,Constants!$B$14),$AF465))</f>
        <v/>
      </c>
      <c r="AU465" s="67" t="str">
        <f aca="false">IF(ISBLANK($C465),"",IF($AF465=Constants!$B$7,IF(ISNUMBER(AQ465),AQ465-AT465,Constants!$B$14),$AF465))</f>
        <v/>
      </c>
      <c r="AV465" s="69"/>
      <c r="AW465" s="70" t="str">
        <f aca="false">IF(ISBLANK($C465),"",IF($AF465&lt;&gt;Constants!$B$7,"",AN465))</f>
        <v/>
      </c>
      <c r="AX465" s="85" t="str">
        <f aca="false">IF(ISBLANK($C465),"",IF($AF465&lt;&gt;Constants!$B$7,"",IF(AN465=1,AH465,AK465)))</f>
        <v/>
      </c>
      <c r="AY465" s="72" t="str">
        <f aca="false">IF(ISBLANK($C465),"",IF($AF465&lt;&gt;Constants!$B$7,"",IF(AN465=1,AI465,AL465)))</f>
        <v/>
      </c>
      <c r="AZ465" s="73" t="str">
        <f aca="false">IF(ISBLANK($C465),"",IF($AF465&lt;&gt;Constants!$B$7,$AF465,AP465))</f>
        <v/>
      </c>
      <c r="BA465" s="74" t="str">
        <f aca="false">IF(ISBLANK($C465),"",IF($AF465&lt;&gt;Constants!$B$7,$AF465,AG465))</f>
        <v/>
      </c>
      <c r="BB465" s="75" t="str">
        <f aca="false">IF(ISBLANK($C465),"",AU465)</f>
        <v/>
      </c>
      <c r="BC465" s="75" t="str">
        <f aca="false">IF(ISBLANK($C465),"",AT465)</f>
        <v/>
      </c>
      <c r="BD465" s="76" t="str">
        <f aca="false">IF(ISBLANK($C465),"",IFERROR(_xlfn.SWITCH(BC465,Constants!$B$4,COUNTA($C$8:$C$507)+2,Constants!$B$5,COUNTA($C$8:$C$507)+1,Constants!$B$6,COUNTA($C$8:$C$507)),BC465))</f>
        <v/>
      </c>
      <c r="BE465" s="5"/>
      <c r="BF465" s="77" t="n">
        <f aca="false">IF(OR(ISNUMBER(BC465),BC465=Constants!$B$4,BC465=Constants!$B$6,BC465=Constants!$B$5),1,0)</f>
        <v>0</v>
      </c>
      <c r="BG465" s="77" t="n">
        <v>458</v>
      </c>
      <c r="BH465" s="77" t="str">
        <f aca="false">IF(ISBLANK($C465),"",IF(ISNUMBER(BD465),BD465+ROW($B465)/1000,""))</f>
        <v/>
      </c>
      <c r="BI465" s="77" t="str">
        <f aca="false">IF(ISNUMBER(BH465),RANK(BH465,$BH$8:$BH$507,1),"")</f>
        <v/>
      </c>
      <c r="BJ465" s="77" t="str">
        <f aca="false">IF(ISBLANK($C465),"",$B465)</f>
        <v/>
      </c>
      <c r="BK465" s="77" t="str">
        <f aca="false">IF(ISBLANK($C465),"",$C465)</f>
        <v/>
      </c>
      <c r="BL465" s="77" t="str">
        <f aca="false">IF(ISBLANK($C465),"",$D465)</f>
        <v/>
      </c>
      <c r="BM465" s="78" t="str">
        <f aca="false">BA465</f>
        <v/>
      </c>
      <c r="BN465" s="79" t="str">
        <f aca="false">AZ465</f>
        <v/>
      </c>
      <c r="BO465" s="77" t="str">
        <f aca="false">IF(ISBLANK($C465),"",BC465)</f>
        <v/>
      </c>
      <c r="BP465" s="80" t="str">
        <f aca="false">IF($BG465&gt;$BF$7,"",VLOOKUP($BG465,$BI$8:$BO$507,7,FALSE()))</f>
        <v/>
      </c>
      <c r="BQ465" s="81" t="str">
        <f aca="false">IF($BG465&gt;$BF$7,"",VLOOKUP($BG465,$BI$8:$BO$507,2,FALSE()))</f>
        <v/>
      </c>
      <c r="BR465" s="81" t="str">
        <f aca="false">IF($BG465&gt;$BF$7,"",VLOOKUP($BG465,$BI$8:$BO$507,3,FALSE()))</f>
        <v/>
      </c>
      <c r="BS465" s="81" t="str">
        <f aca="false">IF($BG465&gt;$BF$7,"",VLOOKUP($BG465,$BI$8:$BO$507,4,FALSE()))</f>
        <v/>
      </c>
      <c r="BT465" s="81" t="str">
        <f aca="false">IF($BG465&gt;$BF$7,"",VLOOKUP($BG465,$BI$8:$BO$507,5,FALSE()))</f>
        <v/>
      </c>
      <c r="BU465" s="82" t="str">
        <f aca="false">IF($BG465&gt;$BF$7,"",VLOOKUP($BG465,$BI$8:$BO$507,6,FALSE()))</f>
        <v/>
      </c>
      <c r="BV465" s="54"/>
    </row>
    <row r="466" customFormat="false" ht="15.75" hidden="false" customHeight="false" outlineLevel="0" collapsed="false">
      <c r="A466" s="5"/>
      <c r="B466" s="135"/>
      <c r="C466" s="56"/>
      <c r="D466" s="57"/>
      <c r="E466" s="84"/>
      <c r="F466" s="136"/>
      <c r="G466" s="60"/>
      <c r="H466" s="137"/>
      <c r="I466" s="62"/>
      <c r="J466" s="62"/>
      <c r="K466" s="60"/>
      <c r="L466" s="138"/>
      <c r="M466" s="62"/>
      <c r="N466" s="62"/>
      <c r="O466" s="60"/>
      <c r="P466" s="84"/>
      <c r="Q466" s="65"/>
      <c r="R466" s="67" t="str">
        <f aca="false">IF(ISBLANK($C466),"",IF(E466=Constants!$B$2, TRUE(), IF(E466=Constants!$B$3, FALSE(), TRUE())))</f>
        <v/>
      </c>
      <c r="S466" s="67" t="str">
        <f aca="false">IF(ISBLANK($C466),"",IF(F466=Constants!$B$2, TRUE(), IF(F466=Constants!$B$3, FALSE(), TRUE())))</f>
        <v/>
      </c>
      <c r="T466" s="67" t="str">
        <f aca="false">IF(ISBLANK($C466),"",IF(G466=Constants!$B$16,Constants!$B$9,IF(G466=Constants!$B$17,Constants!$B$10,Constants!$B$8)))</f>
        <v/>
      </c>
      <c r="U466" s="67" t="str">
        <f aca="false">IF(ISBLANK($C466),"",IF(H466=Constants!$B$19,Constants!$B$19,Constants!$B$18))</f>
        <v/>
      </c>
      <c r="V466" s="67" t="str">
        <f aca="false">IF(ISBLANK($C466),"",IF(ISNUMBER(I466),IF(I466&gt;=0,I466,""),""))</f>
        <v/>
      </c>
      <c r="W466" s="67" t="str">
        <f aca="false">IF(ISBLANK($C466),"",IF(J466=Constants!$B$2, TRUE(), IF(J466=Constants!$B$3, FALSE(), TRUE())))</f>
        <v/>
      </c>
      <c r="X466" s="67" t="str">
        <f aca="false">IF(ISBLANK($C466),"",IF(K466=Constants!$B$2, TRUE(), IF(K466=Constants!$B$3, FALSE(), TRUE())))</f>
        <v/>
      </c>
      <c r="Y466" s="67" t="str">
        <f aca="false">IF(ISBLANK($C466),"",IF(L466=Constants!$B$19,Constants!$B$19,Constants!$B$18))</f>
        <v/>
      </c>
      <c r="Z466" s="67" t="str">
        <f aca="false">IF(ISBLANK($C466),"",IF(ISNUMBER(M466),IF(M466&gt;=0,M466,""),""))</f>
        <v/>
      </c>
      <c r="AA466" s="67" t="str">
        <f aca="false">IF(ISBLANK($C466),"",IF(N466=Constants!$B$2, TRUE(), IF(N466=Constants!$B$3, FALSE(), TRUE())))</f>
        <v/>
      </c>
      <c r="AB466" s="67" t="str">
        <f aca="false">IF(ISBLANK($C466),"",IF(O466=Constants!$B$2, TRUE(), IF(O466=Constants!$B$3, FALSE(), TRUE())))</f>
        <v/>
      </c>
      <c r="AC466" s="67" t="str">
        <f aca="false">IF(ISBLANK($C466),"",IF(P466=Constants!$B$2, TRUE(), IF(P466=Constants!$B$3, FALSE(), FALSE())))</f>
        <v/>
      </c>
      <c r="AD466" s="67" t="str">
        <f aca="false">IF(ISBLANK($C466),"",AND(V466&lt;&gt;"",IF(U466=Constants!$B$19,S466,R466)))</f>
        <v/>
      </c>
      <c r="AE466" s="67" t="str">
        <f aca="false">IF(ISBLANK($C466),"",AND(Z466&lt;&gt;"",IF(Y466=Constants!$B$19,S466,R466)))</f>
        <v/>
      </c>
      <c r="AF466" s="67" t="str">
        <f aca="false">IF(ISBLANK($C466),"",IF(AC466,Constants!$B$4,IF(COUNTA(E466:O466)=0,Constants!$B$5,IF(AND(NOT(AD466),NOT(AE466)),Constants!$B$6,Constants!$B$7))))</f>
        <v/>
      </c>
      <c r="AG466" s="67" t="str">
        <f aca="false">IF(ISBLANK($C466),"",IF($AF466&lt;&gt;Constants!$B$7,$AF466,Constants!$B$20))</f>
        <v/>
      </c>
      <c r="AH466" s="67" t="str">
        <f aca="false">IF($AF466=Constants!$B$7,IF(AD466,V466,Constants!$B$13),"")</f>
        <v/>
      </c>
      <c r="AI466" s="67" t="str">
        <f aca="false">IF($AF466=Constants!$B$7,IF(AD466,T466*IF(W466, 1, Constants!$B$11)*IF(X466, 1, Constants!$B$12),Constants!$B$13),"")</f>
        <v/>
      </c>
      <c r="AJ466" s="67" t="str">
        <f aca="false">IF($AF466=Constants!$B$7,AH466*AI466,"")</f>
        <v/>
      </c>
      <c r="AK466" s="67" t="str">
        <f aca="false">IF($AF466=Constants!$B$7,IF(AE466,Z466,Constants!$B$13),"")</f>
        <v/>
      </c>
      <c r="AL466" s="67" t="str">
        <f aca="false">IF($AF466=Constants!$B$7,IF(AE466,T466*IF(AA466, 1, Constants!$B$11)*IF(AB466, 1, Constants!$B$12),Constants!$B$13),"")</f>
        <v/>
      </c>
      <c r="AM466" s="67" t="str">
        <f aca="false">IF($AF466=Constants!$B$7,AK466*AL466,"")</f>
        <v/>
      </c>
      <c r="AN466" s="67" t="str">
        <f aca="false">IF($AF466=Constants!$B$7,IF(AM466&gt;AJ466,2,1),"")</f>
        <v/>
      </c>
      <c r="AO466" s="67" t="str">
        <f aca="false">IF($AF466=Constants!$B$7,IF(AN466=1,2,1),"")</f>
        <v/>
      </c>
      <c r="AP466" s="67" t="str">
        <f aca="false">IF(ISBLANK($C466),"",IF($AF466&lt;&gt;Constants!$B$7,$AF466,IF(AN466=1,AJ466,AM466)))</f>
        <v/>
      </c>
      <c r="AQ466" s="67" t="str">
        <f aca="false">IF(ISBLANK($C466),"",IF($AF466=Constants!$B$7,IF(ISNUMBER(AP466),RANK(AP466,$AP$8:$AP$507),Constants!$B$14),$AF466))</f>
        <v/>
      </c>
      <c r="AR466" s="67" t="str">
        <f aca="false">IF(ISBLANK($C466),"",IF($AF466=Constants!$B$7,IF(AO466=1,AJ466,AM466),""))</f>
        <v/>
      </c>
      <c r="AS466" s="67" t="str">
        <f aca="false">IF(ISBLANK($C466),"",IF($AF466=Constants!$B$7,RANK(AR466,$AR$8:$AR$507),$AF466))</f>
        <v/>
      </c>
      <c r="AT466" s="67" t="str">
        <f aca="false">IF(ISBLANK($C466),"",IF($AF466=Constants!$B$7,IF(ISNUMBER(AQ466),COUNTIFS($AQ$8:$AQ$507,"&lt;"&amp;$AQ466)+COUNTIFS($AQ$8:$AQ$507,$AQ466,$AS$8:$AS$507,"&lt;"&amp;$AS466)+1,Constants!$B$14),$AF466))</f>
        <v/>
      </c>
      <c r="AU466" s="67" t="str">
        <f aca="false">IF(ISBLANK($C466),"",IF($AF466=Constants!$B$7,IF(ISNUMBER(AQ466),AQ466-AT466,Constants!$B$14),$AF466))</f>
        <v/>
      </c>
      <c r="AV466" s="69"/>
      <c r="AW466" s="70" t="str">
        <f aca="false">IF(ISBLANK($C466),"",IF($AF466&lt;&gt;Constants!$B$7,"",AN466))</f>
        <v/>
      </c>
      <c r="AX466" s="85" t="str">
        <f aca="false">IF(ISBLANK($C466),"",IF($AF466&lt;&gt;Constants!$B$7,"",IF(AN466=1,AH466,AK466)))</f>
        <v/>
      </c>
      <c r="AY466" s="72" t="str">
        <f aca="false">IF(ISBLANK($C466),"",IF($AF466&lt;&gt;Constants!$B$7,"",IF(AN466=1,AI466,AL466)))</f>
        <v/>
      </c>
      <c r="AZ466" s="73" t="str">
        <f aca="false">IF(ISBLANK($C466),"",IF($AF466&lt;&gt;Constants!$B$7,$AF466,AP466))</f>
        <v/>
      </c>
      <c r="BA466" s="74" t="str">
        <f aca="false">IF(ISBLANK($C466),"",IF($AF466&lt;&gt;Constants!$B$7,$AF466,AG466))</f>
        <v/>
      </c>
      <c r="BB466" s="75" t="str">
        <f aca="false">IF(ISBLANK($C466),"",AU466)</f>
        <v/>
      </c>
      <c r="BC466" s="75" t="str">
        <f aca="false">IF(ISBLANK($C466),"",AT466)</f>
        <v/>
      </c>
      <c r="BD466" s="76" t="str">
        <f aca="false">IF(ISBLANK($C466),"",IFERROR(_xlfn.SWITCH(BC466,Constants!$B$4,COUNTA($C$8:$C$507)+2,Constants!$B$5,COUNTA($C$8:$C$507)+1,Constants!$B$6,COUNTA($C$8:$C$507)),BC466))</f>
        <v/>
      </c>
      <c r="BE466" s="5"/>
      <c r="BF466" s="77" t="n">
        <f aca="false">IF(OR(ISNUMBER(BC466),BC466=Constants!$B$4,BC466=Constants!$B$6,BC466=Constants!$B$5),1,0)</f>
        <v>0</v>
      </c>
      <c r="BG466" s="77" t="n">
        <v>459</v>
      </c>
      <c r="BH466" s="77" t="str">
        <f aca="false">IF(ISBLANK($C466),"",IF(ISNUMBER(BD466),BD466+ROW($B466)/1000,""))</f>
        <v/>
      </c>
      <c r="BI466" s="77" t="str">
        <f aca="false">IF(ISNUMBER(BH466),RANK(BH466,$BH$8:$BH$507,1),"")</f>
        <v/>
      </c>
      <c r="BJ466" s="77" t="str">
        <f aca="false">IF(ISBLANK($C466),"",$B466)</f>
        <v/>
      </c>
      <c r="BK466" s="77" t="str">
        <f aca="false">IF(ISBLANK($C466),"",$C466)</f>
        <v/>
      </c>
      <c r="BL466" s="77" t="str">
        <f aca="false">IF(ISBLANK($C466),"",$D466)</f>
        <v/>
      </c>
      <c r="BM466" s="78" t="str">
        <f aca="false">BA466</f>
        <v/>
      </c>
      <c r="BN466" s="79" t="str">
        <f aca="false">AZ466</f>
        <v/>
      </c>
      <c r="BO466" s="77" t="str">
        <f aca="false">IF(ISBLANK($C466),"",BC466)</f>
        <v/>
      </c>
      <c r="BP466" s="80" t="str">
        <f aca="false">IF($BG466&gt;$BF$7,"",VLOOKUP($BG466,$BI$8:$BO$507,7,FALSE()))</f>
        <v/>
      </c>
      <c r="BQ466" s="81" t="str">
        <f aca="false">IF($BG466&gt;$BF$7,"",VLOOKUP($BG466,$BI$8:$BO$507,2,FALSE()))</f>
        <v/>
      </c>
      <c r="BR466" s="81" t="str">
        <f aca="false">IF($BG466&gt;$BF$7,"",VLOOKUP($BG466,$BI$8:$BO$507,3,FALSE()))</f>
        <v/>
      </c>
      <c r="BS466" s="81" t="str">
        <f aca="false">IF($BG466&gt;$BF$7,"",VLOOKUP($BG466,$BI$8:$BO$507,4,FALSE()))</f>
        <v/>
      </c>
      <c r="BT466" s="81" t="str">
        <f aca="false">IF($BG466&gt;$BF$7,"",VLOOKUP($BG466,$BI$8:$BO$507,5,FALSE()))</f>
        <v/>
      </c>
      <c r="BU466" s="82" t="str">
        <f aca="false">IF($BG466&gt;$BF$7,"",VLOOKUP($BG466,$BI$8:$BO$507,6,FALSE()))</f>
        <v/>
      </c>
      <c r="BV466" s="54"/>
    </row>
    <row r="467" customFormat="false" ht="15.75" hidden="false" customHeight="false" outlineLevel="0" collapsed="false">
      <c r="A467" s="5"/>
      <c r="B467" s="128"/>
      <c r="C467" s="129"/>
      <c r="D467" s="114"/>
      <c r="E467" s="134"/>
      <c r="F467" s="139"/>
      <c r="G467" s="93"/>
      <c r="H467" s="140"/>
      <c r="I467" s="95"/>
      <c r="J467" s="95"/>
      <c r="K467" s="93"/>
      <c r="L467" s="141"/>
      <c r="M467" s="95"/>
      <c r="N467" s="95"/>
      <c r="O467" s="93"/>
      <c r="P467" s="134"/>
      <c r="Q467" s="98"/>
      <c r="R467" s="99" t="str">
        <f aca="false">IF(ISBLANK($C467),"",IF(E467=Constants!$B$2, TRUE(), IF(E467=Constants!$B$3, FALSE(), TRUE())))</f>
        <v/>
      </c>
      <c r="S467" s="99" t="str">
        <f aca="false">IF(ISBLANK($C467),"",IF(F467=Constants!$B$2, TRUE(), IF(F467=Constants!$B$3, FALSE(), TRUE())))</f>
        <v/>
      </c>
      <c r="T467" s="99" t="str">
        <f aca="false">IF(ISBLANK($C467),"",IF(G467=Constants!$B$16,Constants!$B$9,IF(G467=Constants!$B$17,Constants!$B$10,Constants!$B$8)))</f>
        <v/>
      </c>
      <c r="U467" s="99" t="str">
        <f aca="false">IF(ISBLANK($C467),"",IF(H467=Constants!$B$19,Constants!$B$19,Constants!$B$18))</f>
        <v/>
      </c>
      <c r="V467" s="99" t="str">
        <f aca="false">IF(ISBLANK($C467),"",IF(ISNUMBER(I467),IF(I467&gt;=0,I467,""),""))</f>
        <v/>
      </c>
      <c r="W467" s="99" t="str">
        <f aca="false">IF(ISBLANK($C467),"",IF(J467=Constants!$B$2, TRUE(), IF(J467=Constants!$B$3, FALSE(), TRUE())))</f>
        <v/>
      </c>
      <c r="X467" s="99" t="str">
        <f aca="false">IF(ISBLANK($C467),"",IF(K467=Constants!$B$2, TRUE(), IF(K467=Constants!$B$3, FALSE(), TRUE())))</f>
        <v/>
      </c>
      <c r="Y467" s="99" t="str">
        <f aca="false">IF(ISBLANK($C467),"",IF(L467=Constants!$B$19,Constants!$B$19,Constants!$B$18))</f>
        <v/>
      </c>
      <c r="Z467" s="99" t="str">
        <f aca="false">IF(ISBLANK($C467),"",IF(ISNUMBER(M467),IF(M467&gt;=0,M467,""),""))</f>
        <v/>
      </c>
      <c r="AA467" s="99" t="str">
        <f aca="false">IF(ISBLANK($C467),"",IF(N467=Constants!$B$2, TRUE(), IF(N467=Constants!$B$3, FALSE(), TRUE())))</f>
        <v/>
      </c>
      <c r="AB467" s="99" t="str">
        <f aca="false">IF(ISBLANK($C467),"",IF(O467=Constants!$B$2, TRUE(), IF(O467=Constants!$B$3, FALSE(), TRUE())))</f>
        <v/>
      </c>
      <c r="AC467" s="99" t="str">
        <f aca="false">IF(ISBLANK($C467),"",IF(P467=Constants!$B$2, TRUE(), IF(P467=Constants!$B$3, FALSE(), FALSE())))</f>
        <v/>
      </c>
      <c r="AD467" s="99" t="str">
        <f aca="false">IF(ISBLANK($C467),"",AND(V467&lt;&gt;"",IF(U467=Constants!$B$19,S467,R467)))</f>
        <v/>
      </c>
      <c r="AE467" s="99" t="str">
        <f aca="false">IF(ISBLANK($C467),"",AND(Z467&lt;&gt;"",IF(Y467=Constants!$B$19,S467,R467)))</f>
        <v/>
      </c>
      <c r="AF467" s="99" t="str">
        <f aca="false">IF(ISBLANK($C467),"",IF(AC467,Constants!$B$4,IF(COUNTA(E467:O467)=0,Constants!$B$5,IF(AND(NOT(AD467),NOT(AE467)),Constants!$B$6,Constants!$B$7))))</f>
        <v/>
      </c>
      <c r="AG467" s="99" t="str">
        <f aca="false">IF(ISBLANK($C467),"",IF($AF467&lt;&gt;Constants!$B$7,$AF467,Constants!$B$20))</f>
        <v/>
      </c>
      <c r="AH467" s="99" t="str">
        <f aca="false">IF($AF467=Constants!$B$7,IF(AD467,V467,Constants!$B$13),"")</f>
        <v/>
      </c>
      <c r="AI467" s="99" t="str">
        <f aca="false">IF($AF467=Constants!$B$7,IF(AD467,T467*IF(W467, 1, Constants!$B$11)*IF(X467, 1, Constants!$B$12),Constants!$B$13),"")</f>
        <v/>
      </c>
      <c r="AJ467" s="99" t="str">
        <f aca="false">IF($AF467=Constants!$B$7,AH467*AI467,"")</f>
        <v/>
      </c>
      <c r="AK467" s="99" t="str">
        <f aca="false">IF($AF467=Constants!$B$7,IF(AE467,Z467,Constants!$B$13),"")</f>
        <v/>
      </c>
      <c r="AL467" s="99" t="str">
        <f aca="false">IF($AF467=Constants!$B$7,IF(AE467,T467*IF(AA467, 1, Constants!$B$11)*IF(AB467, 1, Constants!$B$12),Constants!$B$13),"")</f>
        <v/>
      </c>
      <c r="AM467" s="99" t="str">
        <f aca="false">IF($AF467=Constants!$B$7,AK467*AL467,"")</f>
        <v/>
      </c>
      <c r="AN467" s="99" t="str">
        <f aca="false">IF($AF467=Constants!$B$7,IF(AM467&gt;AJ467,2,1),"")</f>
        <v/>
      </c>
      <c r="AO467" s="99" t="str">
        <f aca="false">IF($AF467=Constants!$B$7,IF(AN467=1,2,1),"")</f>
        <v/>
      </c>
      <c r="AP467" s="99" t="str">
        <f aca="false">IF(ISBLANK($C467),"",IF($AF467&lt;&gt;Constants!$B$7,$AF467,IF(AN467=1,AJ467,AM467)))</f>
        <v/>
      </c>
      <c r="AQ467" s="99" t="str">
        <f aca="false">IF(ISBLANK($C467),"",IF($AF467=Constants!$B$7,IF(ISNUMBER(AP467),RANK(AP467,$AP$8:$AP$507),Constants!$B$14),$AF467))</f>
        <v/>
      </c>
      <c r="AR467" s="99" t="str">
        <f aca="false">IF(ISBLANK($C467),"",IF($AF467=Constants!$B$7,IF(AO467=1,AJ467,AM467),""))</f>
        <v/>
      </c>
      <c r="AS467" s="99" t="str">
        <f aca="false">IF(ISBLANK($C467),"",IF($AF467=Constants!$B$7,RANK(AR467,$AR$8:$AR$507),$AF467))</f>
        <v/>
      </c>
      <c r="AT467" s="99" t="str">
        <f aca="false">IF(ISBLANK($C467),"",IF($AF467=Constants!$B$7,IF(ISNUMBER(AQ467),COUNTIFS($AQ$8:$AQ$507,"&lt;"&amp;$AQ467)+COUNTIFS($AQ$8:$AQ$507,$AQ467,$AS$8:$AS$507,"&lt;"&amp;$AS467)+1,Constants!$B$14),$AF467))</f>
        <v/>
      </c>
      <c r="AU467" s="99" t="str">
        <f aca="false">IF(ISBLANK($C467),"",IF($AF467=Constants!$B$7,IF(ISNUMBER(AQ467),AQ467-AT467,Constants!$B$14),$AF467))</f>
        <v/>
      </c>
      <c r="AV467" s="100"/>
      <c r="AW467" s="101" t="str">
        <f aca="false">IF(ISBLANK($C467),"",IF($AF467&lt;&gt;Constants!$B$7,"",AN467))</f>
        <v/>
      </c>
      <c r="AX467" s="102" t="str">
        <f aca="false">IF(ISBLANK($C467),"",IF($AF467&lt;&gt;Constants!$B$7,"",IF(AN467=1,AH467,AK467)))</f>
        <v/>
      </c>
      <c r="AY467" s="103" t="str">
        <f aca="false">IF(ISBLANK($C467),"",IF($AF467&lt;&gt;Constants!$B$7,"",IF(AN467=1,AI467,AL467)))</f>
        <v/>
      </c>
      <c r="AZ467" s="104" t="str">
        <f aca="false">IF(ISBLANK($C467),"",IF($AF467&lt;&gt;Constants!$B$7,$AF467,AP467))</f>
        <v/>
      </c>
      <c r="BA467" s="105" t="str">
        <f aca="false">IF(ISBLANK($C467),"",IF($AF467&lt;&gt;Constants!$B$7,$AF467,AG467))</f>
        <v/>
      </c>
      <c r="BB467" s="106" t="str">
        <f aca="false">IF(ISBLANK($C467),"",AU467)</f>
        <v/>
      </c>
      <c r="BC467" s="106" t="str">
        <f aca="false">IF(ISBLANK($C467),"",AT467)</f>
        <v/>
      </c>
      <c r="BD467" s="107" t="str">
        <f aca="false">IF(ISBLANK($C467),"",IFERROR(_xlfn.SWITCH(BC467,Constants!$B$4,COUNTA($C$8:$C$507)+2,Constants!$B$5,COUNTA($C$8:$C$507)+1,Constants!$B$6,COUNTA($C$8:$C$507)),BC467))</f>
        <v/>
      </c>
      <c r="BE467" s="5"/>
      <c r="BF467" s="108" t="n">
        <f aca="false">IF(OR(ISNUMBER(BC467),BC467=Constants!$B$4,BC467=Constants!$B$6,BC467=Constants!$B$5),1,0)</f>
        <v>0</v>
      </c>
      <c r="BG467" s="108" t="n">
        <v>460</v>
      </c>
      <c r="BH467" s="108" t="str">
        <f aca="false">IF(ISBLANK($C467),"",IF(ISNUMBER(BD467),BD467+ROW($B467)/1000,""))</f>
        <v/>
      </c>
      <c r="BI467" s="108" t="str">
        <f aca="false">IF(ISNUMBER(BH467),RANK(BH467,$BH$8:$BH$507,1),"")</f>
        <v/>
      </c>
      <c r="BJ467" s="108" t="str">
        <f aca="false">IF(ISBLANK($C467),"",$B467)</f>
        <v/>
      </c>
      <c r="BK467" s="108" t="str">
        <f aca="false">IF(ISBLANK($C467),"",$C467)</f>
        <v/>
      </c>
      <c r="BL467" s="108" t="str">
        <f aca="false">IF(ISBLANK($C467),"",$D467)</f>
        <v/>
      </c>
      <c r="BM467" s="109" t="str">
        <f aca="false">BA467</f>
        <v/>
      </c>
      <c r="BN467" s="110" t="str">
        <f aca="false">AZ467</f>
        <v/>
      </c>
      <c r="BO467" s="108" t="str">
        <f aca="false">IF(ISBLANK($C467),"",BC467)</f>
        <v/>
      </c>
      <c r="BP467" s="111" t="str">
        <f aca="false">IF($BG467&gt;$BF$7,"",VLOOKUP($BG467,$BI$8:$BO$507,7,FALSE()))</f>
        <v/>
      </c>
      <c r="BQ467" s="112" t="str">
        <f aca="false">IF($BG467&gt;$BF$7,"",VLOOKUP($BG467,$BI$8:$BO$507,2,FALSE()))</f>
        <v/>
      </c>
      <c r="BR467" s="112" t="str">
        <f aca="false">IF($BG467&gt;$BF$7,"",VLOOKUP($BG467,$BI$8:$BO$507,3,FALSE()))</f>
        <v/>
      </c>
      <c r="BS467" s="112" t="str">
        <f aca="false">IF($BG467&gt;$BF$7,"",VLOOKUP($BG467,$BI$8:$BO$507,4,FALSE()))</f>
        <v/>
      </c>
      <c r="BT467" s="112" t="str">
        <f aca="false">IF($BG467&gt;$BF$7,"",VLOOKUP($BG467,$BI$8:$BO$507,5,FALSE()))</f>
        <v/>
      </c>
      <c r="BU467" s="113" t="str">
        <f aca="false">IF($BG467&gt;$BF$7,"",VLOOKUP($BG467,$BI$8:$BO$507,6,FALSE()))</f>
        <v/>
      </c>
      <c r="BV467" s="54"/>
    </row>
    <row r="468" customFormat="false" ht="15.75" hidden="false" customHeight="false" outlineLevel="0" collapsed="false">
      <c r="A468" s="5"/>
      <c r="B468" s="128"/>
      <c r="C468" s="129"/>
      <c r="D468" s="114"/>
      <c r="E468" s="134"/>
      <c r="F468" s="139"/>
      <c r="G468" s="93"/>
      <c r="H468" s="140"/>
      <c r="I468" s="95"/>
      <c r="J468" s="95"/>
      <c r="K468" s="93"/>
      <c r="L468" s="141"/>
      <c r="M468" s="95"/>
      <c r="N468" s="95"/>
      <c r="O468" s="93"/>
      <c r="P468" s="134"/>
      <c r="Q468" s="98"/>
      <c r="R468" s="99" t="str">
        <f aca="false">IF(ISBLANK($C468),"",IF(E468=Constants!$B$2, TRUE(), IF(E468=Constants!$B$3, FALSE(), TRUE())))</f>
        <v/>
      </c>
      <c r="S468" s="99" t="str">
        <f aca="false">IF(ISBLANK($C468),"",IF(F468=Constants!$B$2, TRUE(), IF(F468=Constants!$B$3, FALSE(), TRUE())))</f>
        <v/>
      </c>
      <c r="T468" s="99" t="str">
        <f aca="false">IF(ISBLANK($C468),"",IF(G468=Constants!$B$16,Constants!$B$9,IF(G468=Constants!$B$17,Constants!$B$10,Constants!$B$8)))</f>
        <v/>
      </c>
      <c r="U468" s="99" t="str">
        <f aca="false">IF(ISBLANK($C468),"",IF(H468=Constants!$B$19,Constants!$B$19,Constants!$B$18))</f>
        <v/>
      </c>
      <c r="V468" s="99" t="str">
        <f aca="false">IF(ISBLANK($C468),"",IF(ISNUMBER(I468),IF(I468&gt;=0,I468,""),""))</f>
        <v/>
      </c>
      <c r="W468" s="99" t="str">
        <f aca="false">IF(ISBLANK($C468),"",IF(J468=Constants!$B$2, TRUE(), IF(J468=Constants!$B$3, FALSE(), TRUE())))</f>
        <v/>
      </c>
      <c r="X468" s="99" t="str">
        <f aca="false">IF(ISBLANK($C468),"",IF(K468=Constants!$B$2, TRUE(), IF(K468=Constants!$B$3, FALSE(), TRUE())))</f>
        <v/>
      </c>
      <c r="Y468" s="99" t="str">
        <f aca="false">IF(ISBLANK($C468),"",IF(L468=Constants!$B$19,Constants!$B$19,Constants!$B$18))</f>
        <v/>
      </c>
      <c r="Z468" s="99" t="str">
        <f aca="false">IF(ISBLANK($C468),"",IF(ISNUMBER(M468),IF(M468&gt;=0,M468,""),""))</f>
        <v/>
      </c>
      <c r="AA468" s="99" t="str">
        <f aca="false">IF(ISBLANK($C468),"",IF(N468=Constants!$B$2, TRUE(), IF(N468=Constants!$B$3, FALSE(), TRUE())))</f>
        <v/>
      </c>
      <c r="AB468" s="99" t="str">
        <f aca="false">IF(ISBLANK($C468),"",IF(O468=Constants!$B$2, TRUE(), IF(O468=Constants!$B$3, FALSE(), TRUE())))</f>
        <v/>
      </c>
      <c r="AC468" s="99" t="str">
        <f aca="false">IF(ISBLANK($C468),"",IF(P468=Constants!$B$2, TRUE(), IF(P468=Constants!$B$3, FALSE(), FALSE())))</f>
        <v/>
      </c>
      <c r="AD468" s="99" t="str">
        <f aca="false">IF(ISBLANK($C468),"",AND(V468&lt;&gt;"",IF(U468=Constants!$B$19,S468,R468)))</f>
        <v/>
      </c>
      <c r="AE468" s="99" t="str">
        <f aca="false">IF(ISBLANK($C468),"",AND(Z468&lt;&gt;"",IF(Y468=Constants!$B$19,S468,R468)))</f>
        <v/>
      </c>
      <c r="AF468" s="99" t="str">
        <f aca="false">IF(ISBLANK($C468),"",IF(AC468,Constants!$B$4,IF(COUNTA(E468:O468)=0,Constants!$B$5,IF(AND(NOT(AD468),NOT(AE468)),Constants!$B$6,Constants!$B$7))))</f>
        <v/>
      </c>
      <c r="AG468" s="99" t="str">
        <f aca="false">IF(ISBLANK($C468),"",IF($AF468&lt;&gt;Constants!$B$7,$AF468,Constants!$B$20))</f>
        <v/>
      </c>
      <c r="AH468" s="99" t="str">
        <f aca="false">IF($AF468=Constants!$B$7,IF(AD468,V468,Constants!$B$13),"")</f>
        <v/>
      </c>
      <c r="AI468" s="99" t="str">
        <f aca="false">IF($AF468=Constants!$B$7,IF(AD468,T468*IF(W468, 1, Constants!$B$11)*IF(X468, 1, Constants!$B$12),Constants!$B$13),"")</f>
        <v/>
      </c>
      <c r="AJ468" s="99" t="str">
        <f aca="false">IF($AF468=Constants!$B$7,AH468*AI468,"")</f>
        <v/>
      </c>
      <c r="AK468" s="99" t="str">
        <f aca="false">IF($AF468=Constants!$B$7,IF(AE468,Z468,Constants!$B$13),"")</f>
        <v/>
      </c>
      <c r="AL468" s="99" t="str">
        <f aca="false">IF($AF468=Constants!$B$7,IF(AE468,T468*IF(AA468, 1, Constants!$B$11)*IF(AB468, 1, Constants!$B$12),Constants!$B$13),"")</f>
        <v/>
      </c>
      <c r="AM468" s="99" t="str">
        <f aca="false">IF($AF468=Constants!$B$7,AK468*AL468,"")</f>
        <v/>
      </c>
      <c r="AN468" s="99" t="str">
        <f aca="false">IF($AF468=Constants!$B$7,IF(AM468&gt;AJ468,2,1),"")</f>
        <v/>
      </c>
      <c r="AO468" s="99" t="str">
        <f aca="false">IF($AF468=Constants!$B$7,IF(AN468=1,2,1),"")</f>
        <v/>
      </c>
      <c r="AP468" s="99" t="str">
        <f aca="false">IF(ISBLANK($C468),"",IF($AF468&lt;&gt;Constants!$B$7,$AF468,IF(AN468=1,AJ468,AM468)))</f>
        <v/>
      </c>
      <c r="AQ468" s="99" t="str">
        <f aca="false">IF(ISBLANK($C468),"",IF($AF468=Constants!$B$7,IF(ISNUMBER(AP468),RANK(AP468,$AP$8:$AP$507),Constants!$B$14),$AF468))</f>
        <v/>
      </c>
      <c r="AR468" s="99" t="str">
        <f aca="false">IF(ISBLANK($C468),"",IF($AF468=Constants!$B$7,IF(AO468=1,AJ468,AM468),""))</f>
        <v/>
      </c>
      <c r="AS468" s="99" t="str">
        <f aca="false">IF(ISBLANK($C468),"",IF($AF468=Constants!$B$7,RANK(AR468,$AR$8:$AR$507),$AF468))</f>
        <v/>
      </c>
      <c r="AT468" s="99" t="str">
        <f aca="false">IF(ISBLANK($C468),"",IF($AF468=Constants!$B$7,IF(ISNUMBER(AQ468),COUNTIFS($AQ$8:$AQ$507,"&lt;"&amp;$AQ468)+COUNTIFS($AQ$8:$AQ$507,$AQ468,$AS$8:$AS$507,"&lt;"&amp;$AS468)+1,Constants!$B$14),$AF468))</f>
        <v/>
      </c>
      <c r="AU468" s="99" t="str">
        <f aca="false">IF(ISBLANK($C468),"",IF($AF468=Constants!$B$7,IF(ISNUMBER(AQ468),AQ468-AT468,Constants!$B$14),$AF468))</f>
        <v/>
      </c>
      <c r="AV468" s="100"/>
      <c r="AW468" s="101" t="str">
        <f aca="false">IF(ISBLANK($C468),"",IF($AF468&lt;&gt;Constants!$B$7,"",AN468))</f>
        <v/>
      </c>
      <c r="AX468" s="102" t="str">
        <f aca="false">IF(ISBLANK($C468),"",IF($AF468&lt;&gt;Constants!$B$7,"",IF(AN468=1,AH468,AK468)))</f>
        <v/>
      </c>
      <c r="AY468" s="103" t="str">
        <f aca="false">IF(ISBLANK($C468),"",IF($AF468&lt;&gt;Constants!$B$7,"",IF(AN468=1,AI468,AL468)))</f>
        <v/>
      </c>
      <c r="AZ468" s="104" t="str">
        <f aca="false">IF(ISBLANK($C468),"",IF($AF468&lt;&gt;Constants!$B$7,$AF468,AP468))</f>
        <v/>
      </c>
      <c r="BA468" s="105" t="str">
        <f aca="false">IF(ISBLANK($C468),"",IF($AF468&lt;&gt;Constants!$B$7,$AF468,AG468))</f>
        <v/>
      </c>
      <c r="BB468" s="106" t="str">
        <f aca="false">IF(ISBLANK($C468),"",AU468)</f>
        <v/>
      </c>
      <c r="BC468" s="106" t="str">
        <f aca="false">IF(ISBLANK($C468),"",AT468)</f>
        <v/>
      </c>
      <c r="BD468" s="107" t="str">
        <f aca="false">IF(ISBLANK($C468),"",IFERROR(_xlfn.SWITCH(BC468,Constants!$B$4,COUNTA($C$8:$C$507)+2,Constants!$B$5,COUNTA($C$8:$C$507)+1,Constants!$B$6,COUNTA($C$8:$C$507)),BC468))</f>
        <v/>
      </c>
      <c r="BE468" s="5"/>
      <c r="BF468" s="108" t="n">
        <f aca="false">IF(OR(ISNUMBER(BC468),BC468=Constants!$B$4,BC468=Constants!$B$6,BC468=Constants!$B$5),1,0)</f>
        <v>0</v>
      </c>
      <c r="BG468" s="108" t="n">
        <v>461</v>
      </c>
      <c r="BH468" s="108" t="str">
        <f aca="false">IF(ISBLANK($C468),"",IF(ISNUMBER(BD468),BD468+ROW($B468)/1000,""))</f>
        <v/>
      </c>
      <c r="BI468" s="108" t="str">
        <f aca="false">IF(ISNUMBER(BH468),RANK(BH468,$BH$8:$BH$507,1),"")</f>
        <v/>
      </c>
      <c r="BJ468" s="108" t="str">
        <f aca="false">IF(ISBLANK($C468),"",$B468)</f>
        <v/>
      </c>
      <c r="BK468" s="108" t="str">
        <f aca="false">IF(ISBLANK($C468),"",$C468)</f>
        <v/>
      </c>
      <c r="BL468" s="108" t="str">
        <f aca="false">IF(ISBLANK($C468),"",$D468)</f>
        <v/>
      </c>
      <c r="BM468" s="109" t="str">
        <f aca="false">BA468</f>
        <v/>
      </c>
      <c r="BN468" s="110" t="str">
        <f aca="false">AZ468</f>
        <v/>
      </c>
      <c r="BO468" s="108" t="str">
        <f aca="false">IF(ISBLANK($C468),"",BC468)</f>
        <v/>
      </c>
      <c r="BP468" s="111" t="str">
        <f aca="false">IF($BG468&gt;$BF$7,"",VLOOKUP($BG468,$BI$8:$BO$507,7,FALSE()))</f>
        <v/>
      </c>
      <c r="BQ468" s="112" t="str">
        <f aca="false">IF($BG468&gt;$BF$7,"",VLOOKUP($BG468,$BI$8:$BO$507,2,FALSE()))</f>
        <v/>
      </c>
      <c r="BR468" s="112" t="str">
        <f aca="false">IF($BG468&gt;$BF$7,"",VLOOKUP($BG468,$BI$8:$BO$507,3,FALSE()))</f>
        <v/>
      </c>
      <c r="BS468" s="112" t="str">
        <f aca="false">IF($BG468&gt;$BF$7,"",VLOOKUP($BG468,$BI$8:$BO$507,4,FALSE()))</f>
        <v/>
      </c>
      <c r="BT468" s="112" t="str">
        <f aca="false">IF($BG468&gt;$BF$7,"",VLOOKUP($BG468,$BI$8:$BO$507,5,FALSE()))</f>
        <v/>
      </c>
      <c r="BU468" s="113" t="str">
        <f aca="false">IF($BG468&gt;$BF$7,"",VLOOKUP($BG468,$BI$8:$BO$507,6,FALSE()))</f>
        <v/>
      </c>
      <c r="BV468" s="54"/>
    </row>
    <row r="469" customFormat="false" ht="15.75" hidden="false" customHeight="false" outlineLevel="0" collapsed="false">
      <c r="A469" s="5"/>
      <c r="B469" s="128"/>
      <c r="C469" s="129"/>
      <c r="D469" s="114"/>
      <c r="E469" s="134"/>
      <c r="F469" s="139"/>
      <c r="G469" s="93"/>
      <c r="H469" s="140"/>
      <c r="I469" s="95"/>
      <c r="J469" s="95"/>
      <c r="K469" s="93"/>
      <c r="L469" s="141"/>
      <c r="M469" s="95"/>
      <c r="N469" s="95"/>
      <c r="O469" s="93"/>
      <c r="P469" s="134"/>
      <c r="Q469" s="98"/>
      <c r="R469" s="99" t="str">
        <f aca="false">IF(ISBLANK($C469),"",IF(E469=Constants!$B$2, TRUE(), IF(E469=Constants!$B$3, FALSE(), TRUE())))</f>
        <v/>
      </c>
      <c r="S469" s="99" t="str">
        <f aca="false">IF(ISBLANK($C469),"",IF(F469=Constants!$B$2, TRUE(), IF(F469=Constants!$B$3, FALSE(), TRUE())))</f>
        <v/>
      </c>
      <c r="T469" s="99" t="str">
        <f aca="false">IF(ISBLANK($C469),"",IF(G469=Constants!$B$16,Constants!$B$9,IF(G469=Constants!$B$17,Constants!$B$10,Constants!$B$8)))</f>
        <v/>
      </c>
      <c r="U469" s="99" t="str">
        <f aca="false">IF(ISBLANK($C469),"",IF(H469=Constants!$B$19,Constants!$B$19,Constants!$B$18))</f>
        <v/>
      </c>
      <c r="V469" s="99" t="str">
        <f aca="false">IF(ISBLANK($C469),"",IF(ISNUMBER(I469),IF(I469&gt;=0,I469,""),""))</f>
        <v/>
      </c>
      <c r="W469" s="99" t="str">
        <f aca="false">IF(ISBLANK($C469),"",IF(J469=Constants!$B$2, TRUE(), IF(J469=Constants!$B$3, FALSE(), TRUE())))</f>
        <v/>
      </c>
      <c r="X469" s="99" t="str">
        <f aca="false">IF(ISBLANK($C469),"",IF(K469=Constants!$B$2, TRUE(), IF(K469=Constants!$B$3, FALSE(), TRUE())))</f>
        <v/>
      </c>
      <c r="Y469" s="99" t="str">
        <f aca="false">IF(ISBLANK($C469),"",IF(L469=Constants!$B$19,Constants!$B$19,Constants!$B$18))</f>
        <v/>
      </c>
      <c r="Z469" s="99" t="str">
        <f aca="false">IF(ISBLANK($C469),"",IF(ISNUMBER(M469),IF(M469&gt;=0,M469,""),""))</f>
        <v/>
      </c>
      <c r="AA469" s="99" t="str">
        <f aca="false">IF(ISBLANK($C469),"",IF(N469=Constants!$B$2, TRUE(), IF(N469=Constants!$B$3, FALSE(), TRUE())))</f>
        <v/>
      </c>
      <c r="AB469" s="99" t="str">
        <f aca="false">IF(ISBLANK($C469),"",IF(O469=Constants!$B$2, TRUE(), IF(O469=Constants!$B$3, FALSE(), TRUE())))</f>
        <v/>
      </c>
      <c r="AC469" s="99" t="str">
        <f aca="false">IF(ISBLANK($C469),"",IF(P469=Constants!$B$2, TRUE(), IF(P469=Constants!$B$3, FALSE(), FALSE())))</f>
        <v/>
      </c>
      <c r="AD469" s="99" t="str">
        <f aca="false">IF(ISBLANK($C469),"",AND(V469&lt;&gt;"",IF(U469=Constants!$B$19,S469,R469)))</f>
        <v/>
      </c>
      <c r="AE469" s="99" t="str">
        <f aca="false">IF(ISBLANK($C469),"",AND(Z469&lt;&gt;"",IF(Y469=Constants!$B$19,S469,R469)))</f>
        <v/>
      </c>
      <c r="AF469" s="99" t="str">
        <f aca="false">IF(ISBLANK($C469),"",IF(AC469,Constants!$B$4,IF(COUNTA(E469:O469)=0,Constants!$B$5,IF(AND(NOT(AD469),NOT(AE469)),Constants!$B$6,Constants!$B$7))))</f>
        <v/>
      </c>
      <c r="AG469" s="99" t="str">
        <f aca="false">IF(ISBLANK($C469),"",IF($AF469&lt;&gt;Constants!$B$7,$AF469,Constants!$B$20))</f>
        <v/>
      </c>
      <c r="AH469" s="99" t="str">
        <f aca="false">IF($AF469=Constants!$B$7,IF(AD469,V469,Constants!$B$13),"")</f>
        <v/>
      </c>
      <c r="AI469" s="99" t="str">
        <f aca="false">IF($AF469=Constants!$B$7,IF(AD469,T469*IF(W469, 1, Constants!$B$11)*IF(X469, 1, Constants!$B$12),Constants!$B$13),"")</f>
        <v/>
      </c>
      <c r="AJ469" s="99" t="str">
        <f aca="false">IF($AF469=Constants!$B$7,AH469*AI469,"")</f>
        <v/>
      </c>
      <c r="AK469" s="99" t="str">
        <f aca="false">IF($AF469=Constants!$B$7,IF(AE469,Z469,Constants!$B$13),"")</f>
        <v/>
      </c>
      <c r="AL469" s="99" t="str">
        <f aca="false">IF($AF469=Constants!$B$7,IF(AE469,T469*IF(AA469, 1, Constants!$B$11)*IF(AB469, 1, Constants!$B$12),Constants!$B$13),"")</f>
        <v/>
      </c>
      <c r="AM469" s="99" t="str">
        <f aca="false">IF($AF469=Constants!$B$7,AK469*AL469,"")</f>
        <v/>
      </c>
      <c r="AN469" s="99" t="str">
        <f aca="false">IF($AF469=Constants!$B$7,IF(AM469&gt;AJ469,2,1),"")</f>
        <v/>
      </c>
      <c r="AO469" s="99" t="str">
        <f aca="false">IF($AF469=Constants!$B$7,IF(AN469=1,2,1),"")</f>
        <v/>
      </c>
      <c r="AP469" s="99" t="str">
        <f aca="false">IF(ISBLANK($C469),"",IF($AF469&lt;&gt;Constants!$B$7,$AF469,IF(AN469=1,AJ469,AM469)))</f>
        <v/>
      </c>
      <c r="AQ469" s="99" t="str">
        <f aca="false">IF(ISBLANK($C469),"",IF($AF469=Constants!$B$7,IF(ISNUMBER(AP469),RANK(AP469,$AP$8:$AP$507),Constants!$B$14),$AF469))</f>
        <v/>
      </c>
      <c r="AR469" s="99" t="str">
        <f aca="false">IF(ISBLANK($C469),"",IF($AF469=Constants!$B$7,IF(AO469=1,AJ469,AM469),""))</f>
        <v/>
      </c>
      <c r="AS469" s="99" t="str">
        <f aca="false">IF(ISBLANK($C469),"",IF($AF469=Constants!$B$7,RANK(AR469,$AR$8:$AR$507),$AF469))</f>
        <v/>
      </c>
      <c r="AT469" s="99" t="str">
        <f aca="false">IF(ISBLANK($C469),"",IF($AF469=Constants!$B$7,IF(ISNUMBER(AQ469),COUNTIFS($AQ$8:$AQ$507,"&lt;"&amp;$AQ469)+COUNTIFS($AQ$8:$AQ$507,$AQ469,$AS$8:$AS$507,"&lt;"&amp;$AS469)+1,Constants!$B$14),$AF469))</f>
        <v/>
      </c>
      <c r="AU469" s="99" t="str">
        <f aca="false">IF(ISBLANK($C469),"",IF($AF469=Constants!$B$7,IF(ISNUMBER(AQ469),AQ469-AT469,Constants!$B$14),$AF469))</f>
        <v/>
      </c>
      <c r="AV469" s="100"/>
      <c r="AW469" s="101" t="str">
        <f aca="false">IF(ISBLANK($C469),"",IF($AF469&lt;&gt;Constants!$B$7,"",AN469))</f>
        <v/>
      </c>
      <c r="AX469" s="102" t="str">
        <f aca="false">IF(ISBLANK($C469),"",IF($AF469&lt;&gt;Constants!$B$7,"",IF(AN469=1,AH469,AK469)))</f>
        <v/>
      </c>
      <c r="AY469" s="103" t="str">
        <f aca="false">IF(ISBLANK($C469),"",IF($AF469&lt;&gt;Constants!$B$7,"",IF(AN469=1,AI469,AL469)))</f>
        <v/>
      </c>
      <c r="AZ469" s="104" t="str">
        <f aca="false">IF(ISBLANK($C469),"",IF($AF469&lt;&gt;Constants!$B$7,$AF469,AP469))</f>
        <v/>
      </c>
      <c r="BA469" s="105" t="str">
        <f aca="false">IF(ISBLANK($C469),"",IF($AF469&lt;&gt;Constants!$B$7,$AF469,AG469))</f>
        <v/>
      </c>
      <c r="BB469" s="106" t="str">
        <f aca="false">IF(ISBLANK($C469),"",AU469)</f>
        <v/>
      </c>
      <c r="BC469" s="106" t="str">
        <f aca="false">IF(ISBLANK($C469),"",AT469)</f>
        <v/>
      </c>
      <c r="BD469" s="107" t="str">
        <f aca="false">IF(ISBLANK($C469),"",IFERROR(_xlfn.SWITCH(BC469,Constants!$B$4,COUNTA($C$8:$C$507)+2,Constants!$B$5,COUNTA($C$8:$C$507)+1,Constants!$B$6,COUNTA($C$8:$C$507)),BC469))</f>
        <v/>
      </c>
      <c r="BE469" s="5"/>
      <c r="BF469" s="108" t="n">
        <f aca="false">IF(OR(ISNUMBER(BC469),BC469=Constants!$B$4,BC469=Constants!$B$6,BC469=Constants!$B$5),1,0)</f>
        <v>0</v>
      </c>
      <c r="BG469" s="108" t="n">
        <v>462</v>
      </c>
      <c r="BH469" s="108" t="str">
        <f aca="false">IF(ISBLANK($C469),"",IF(ISNUMBER(BD469),BD469+ROW($B469)/1000,""))</f>
        <v/>
      </c>
      <c r="BI469" s="108" t="str">
        <f aca="false">IF(ISNUMBER(BH469),RANK(BH469,$BH$8:$BH$507,1),"")</f>
        <v/>
      </c>
      <c r="BJ469" s="108" t="str">
        <f aca="false">IF(ISBLANK($C469),"",$B469)</f>
        <v/>
      </c>
      <c r="BK469" s="108" t="str">
        <f aca="false">IF(ISBLANK($C469),"",$C469)</f>
        <v/>
      </c>
      <c r="BL469" s="108" t="str">
        <f aca="false">IF(ISBLANK($C469),"",$D469)</f>
        <v/>
      </c>
      <c r="BM469" s="109" t="str">
        <f aca="false">BA469</f>
        <v/>
      </c>
      <c r="BN469" s="110" t="str">
        <f aca="false">AZ469</f>
        <v/>
      </c>
      <c r="BO469" s="108" t="str">
        <f aca="false">IF(ISBLANK($C469),"",BC469)</f>
        <v/>
      </c>
      <c r="BP469" s="111" t="str">
        <f aca="false">IF($BG469&gt;$BF$7,"",VLOOKUP($BG469,$BI$8:$BO$507,7,FALSE()))</f>
        <v/>
      </c>
      <c r="BQ469" s="112" t="str">
        <f aca="false">IF($BG469&gt;$BF$7,"",VLOOKUP($BG469,$BI$8:$BO$507,2,FALSE()))</f>
        <v/>
      </c>
      <c r="BR469" s="112" t="str">
        <f aca="false">IF($BG469&gt;$BF$7,"",VLOOKUP($BG469,$BI$8:$BO$507,3,FALSE()))</f>
        <v/>
      </c>
      <c r="BS469" s="112" t="str">
        <f aca="false">IF($BG469&gt;$BF$7,"",VLOOKUP($BG469,$BI$8:$BO$507,4,FALSE()))</f>
        <v/>
      </c>
      <c r="BT469" s="112" t="str">
        <f aca="false">IF($BG469&gt;$BF$7,"",VLOOKUP($BG469,$BI$8:$BO$507,5,FALSE()))</f>
        <v/>
      </c>
      <c r="BU469" s="113" t="str">
        <f aca="false">IF($BG469&gt;$BF$7,"",VLOOKUP($BG469,$BI$8:$BO$507,6,FALSE()))</f>
        <v/>
      </c>
      <c r="BV469" s="54"/>
    </row>
    <row r="470" customFormat="false" ht="15.75" hidden="false" customHeight="false" outlineLevel="0" collapsed="false">
      <c r="A470" s="5"/>
      <c r="B470" s="135"/>
      <c r="C470" s="56"/>
      <c r="D470" s="57"/>
      <c r="E470" s="84"/>
      <c r="F470" s="136"/>
      <c r="G470" s="60"/>
      <c r="H470" s="137"/>
      <c r="I470" s="62"/>
      <c r="J470" s="62"/>
      <c r="K470" s="60"/>
      <c r="L470" s="138"/>
      <c r="M470" s="62"/>
      <c r="N470" s="62"/>
      <c r="O470" s="60"/>
      <c r="P470" s="84"/>
      <c r="Q470" s="65"/>
      <c r="R470" s="67" t="str">
        <f aca="false">IF(ISBLANK($C470),"",IF(E470=Constants!$B$2, TRUE(), IF(E470=Constants!$B$3, FALSE(), TRUE())))</f>
        <v/>
      </c>
      <c r="S470" s="67" t="str">
        <f aca="false">IF(ISBLANK($C470),"",IF(F470=Constants!$B$2, TRUE(), IF(F470=Constants!$B$3, FALSE(), TRUE())))</f>
        <v/>
      </c>
      <c r="T470" s="67" t="str">
        <f aca="false">IF(ISBLANK($C470),"",IF(G470=Constants!$B$16,Constants!$B$9,IF(G470=Constants!$B$17,Constants!$B$10,Constants!$B$8)))</f>
        <v/>
      </c>
      <c r="U470" s="67" t="str">
        <f aca="false">IF(ISBLANK($C470),"",IF(H470=Constants!$B$19,Constants!$B$19,Constants!$B$18))</f>
        <v/>
      </c>
      <c r="V470" s="67" t="str">
        <f aca="false">IF(ISBLANK($C470),"",IF(ISNUMBER(I470),IF(I470&gt;=0,I470,""),""))</f>
        <v/>
      </c>
      <c r="W470" s="67" t="str">
        <f aca="false">IF(ISBLANK($C470),"",IF(J470=Constants!$B$2, TRUE(), IF(J470=Constants!$B$3, FALSE(), TRUE())))</f>
        <v/>
      </c>
      <c r="X470" s="67" t="str">
        <f aca="false">IF(ISBLANK($C470),"",IF(K470=Constants!$B$2, TRUE(), IF(K470=Constants!$B$3, FALSE(), TRUE())))</f>
        <v/>
      </c>
      <c r="Y470" s="67" t="str">
        <f aca="false">IF(ISBLANK($C470),"",IF(L470=Constants!$B$19,Constants!$B$19,Constants!$B$18))</f>
        <v/>
      </c>
      <c r="Z470" s="67" t="str">
        <f aca="false">IF(ISBLANK($C470),"",IF(ISNUMBER(M470),IF(M470&gt;=0,M470,""),""))</f>
        <v/>
      </c>
      <c r="AA470" s="67" t="str">
        <f aca="false">IF(ISBLANK($C470),"",IF(N470=Constants!$B$2, TRUE(), IF(N470=Constants!$B$3, FALSE(), TRUE())))</f>
        <v/>
      </c>
      <c r="AB470" s="67" t="str">
        <f aca="false">IF(ISBLANK($C470),"",IF(O470=Constants!$B$2, TRUE(), IF(O470=Constants!$B$3, FALSE(), TRUE())))</f>
        <v/>
      </c>
      <c r="AC470" s="67" t="str">
        <f aca="false">IF(ISBLANK($C470),"",IF(P470=Constants!$B$2, TRUE(), IF(P470=Constants!$B$3, FALSE(), FALSE())))</f>
        <v/>
      </c>
      <c r="AD470" s="67" t="str">
        <f aca="false">IF(ISBLANK($C470),"",AND(V470&lt;&gt;"",IF(U470=Constants!$B$19,S470,R470)))</f>
        <v/>
      </c>
      <c r="AE470" s="67" t="str">
        <f aca="false">IF(ISBLANK($C470),"",AND(Z470&lt;&gt;"",IF(Y470=Constants!$B$19,S470,R470)))</f>
        <v/>
      </c>
      <c r="AF470" s="67" t="str">
        <f aca="false">IF(ISBLANK($C470),"",IF(AC470,Constants!$B$4,IF(COUNTA(E470:O470)=0,Constants!$B$5,IF(AND(NOT(AD470),NOT(AE470)),Constants!$B$6,Constants!$B$7))))</f>
        <v/>
      </c>
      <c r="AG470" s="67" t="str">
        <f aca="false">IF(ISBLANK($C470),"",IF($AF470&lt;&gt;Constants!$B$7,$AF470,Constants!$B$20))</f>
        <v/>
      </c>
      <c r="AH470" s="67" t="str">
        <f aca="false">IF($AF470=Constants!$B$7,IF(AD470,V470,Constants!$B$13),"")</f>
        <v/>
      </c>
      <c r="AI470" s="67" t="str">
        <f aca="false">IF($AF470=Constants!$B$7,IF(AD470,T470*IF(W470, 1, Constants!$B$11)*IF(X470, 1, Constants!$B$12),Constants!$B$13),"")</f>
        <v/>
      </c>
      <c r="AJ470" s="67" t="str">
        <f aca="false">IF($AF470=Constants!$B$7,AH470*AI470,"")</f>
        <v/>
      </c>
      <c r="AK470" s="67" t="str">
        <f aca="false">IF($AF470=Constants!$B$7,IF(AE470,Z470,Constants!$B$13),"")</f>
        <v/>
      </c>
      <c r="AL470" s="67" t="str">
        <f aca="false">IF($AF470=Constants!$B$7,IF(AE470,T470*IF(AA470, 1, Constants!$B$11)*IF(AB470, 1, Constants!$B$12),Constants!$B$13),"")</f>
        <v/>
      </c>
      <c r="AM470" s="67" t="str">
        <f aca="false">IF($AF470=Constants!$B$7,AK470*AL470,"")</f>
        <v/>
      </c>
      <c r="AN470" s="67" t="str">
        <f aca="false">IF($AF470=Constants!$B$7,IF(AM470&gt;AJ470,2,1),"")</f>
        <v/>
      </c>
      <c r="AO470" s="67" t="str">
        <f aca="false">IF($AF470=Constants!$B$7,IF(AN470=1,2,1),"")</f>
        <v/>
      </c>
      <c r="AP470" s="67" t="str">
        <f aca="false">IF(ISBLANK($C470),"",IF($AF470&lt;&gt;Constants!$B$7,$AF470,IF(AN470=1,AJ470,AM470)))</f>
        <v/>
      </c>
      <c r="AQ470" s="67" t="str">
        <f aca="false">IF(ISBLANK($C470),"",IF($AF470=Constants!$B$7,IF(ISNUMBER(AP470),RANK(AP470,$AP$8:$AP$507),Constants!$B$14),$AF470))</f>
        <v/>
      </c>
      <c r="AR470" s="67" t="str">
        <f aca="false">IF(ISBLANK($C470),"",IF($AF470=Constants!$B$7,IF(AO470=1,AJ470,AM470),""))</f>
        <v/>
      </c>
      <c r="AS470" s="67" t="str">
        <f aca="false">IF(ISBLANK($C470),"",IF($AF470=Constants!$B$7,RANK(AR470,$AR$8:$AR$507),$AF470))</f>
        <v/>
      </c>
      <c r="AT470" s="67" t="str">
        <f aca="false">IF(ISBLANK($C470),"",IF($AF470=Constants!$B$7,IF(ISNUMBER(AQ470),COUNTIFS($AQ$8:$AQ$507,"&lt;"&amp;$AQ470)+COUNTIFS($AQ$8:$AQ$507,$AQ470,$AS$8:$AS$507,"&lt;"&amp;$AS470)+1,Constants!$B$14),$AF470))</f>
        <v/>
      </c>
      <c r="AU470" s="67" t="str">
        <f aca="false">IF(ISBLANK($C470),"",IF($AF470=Constants!$B$7,IF(ISNUMBER(AQ470),AQ470-AT470,Constants!$B$14),$AF470))</f>
        <v/>
      </c>
      <c r="AV470" s="69"/>
      <c r="AW470" s="70" t="str">
        <f aca="false">IF(ISBLANK($C470),"",IF($AF470&lt;&gt;Constants!$B$7,"",AN470))</f>
        <v/>
      </c>
      <c r="AX470" s="85" t="str">
        <f aca="false">IF(ISBLANK($C470),"",IF($AF470&lt;&gt;Constants!$B$7,"",IF(AN470=1,AH470,AK470)))</f>
        <v/>
      </c>
      <c r="AY470" s="72" t="str">
        <f aca="false">IF(ISBLANK($C470),"",IF($AF470&lt;&gt;Constants!$B$7,"",IF(AN470=1,AI470,AL470)))</f>
        <v/>
      </c>
      <c r="AZ470" s="73" t="str">
        <f aca="false">IF(ISBLANK($C470),"",IF($AF470&lt;&gt;Constants!$B$7,$AF470,AP470))</f>
        <v/>
      </c>
      <c r="BA470" s="74" t="str">
        <f aca="false">IF(ISBLANK($C470),"",IF($AF470&lt;&gt;Constants!$B$7,$AF470,AG470))</f>
        <v/>
      </c>
      <c r="BB470" s="75" t="str">
        <f aca="false">IF(ISBLANK($C470),"",AU470)</f>
        <v/>
      </c>
      <c r="BC470" s="75" t="str">
        <f aca="false">IF(ISBLANK($C470),"",AT470)</f>
        <v/>
      </c>
      <c r="BD470" s="76" t="str">
        <f aca="false">IF(ISBLANK($C470),"",IFERROR(_xlfn.SWITCH(BC470,Constants!$B$4,COUNTA($C$8:$C$507)+2,Constants!$B$5,COUNTA($C$8:$C$507)+1,Constants!$B$6,COUNTA($C$8:$C$507)),BC470))</f>
        <v/>
      </c>
      <c r="BE470" s="5"/>
      <c r="BF470" s="77" t="n">
        <f aca="false">IF(OR(ISNUMBER(BC470),BC470=Constants!$B$4,BC470=Constants!$B$6,BC470=Constants!$B$5),1,0)</f>
        <v>0</v>
      </c>
      <c r="BG470" s="77" t="n">
        <v>463</v>
      </c>
      <c r="BH470" s="77" t="str">
        <f aca="false">IF(ISBLANK($C470),"",IF(ISNUMBER(BD470),BD470+ROW($B470)/1000,""))</f>
        <v/>
      </c>
      <c r="BI470" s="77" t="str">
        <f aca="false">IF(ISNUMBER(BH470),RANK(BH470,$BH$8:$BH$507,1),"")</f>
        <v/>
      </c>
      <c r="BJ470" s="77" t="str">
        <f aca="false">IF(ISBLANK($C470),"",$B470)</f>
        <v/>
      </c>
      <c r="BK470" s="77" t="str">
        <f aca="false">IF(ISBLANK($C470),"",$C470)</f>
        <v/>
      </c>
      <c r="BL470" s="77" t="str">
        <f aca="false">IF(ISBLANK($C470),"",$D470)</f>
        <v/>
      </c>
      <c r="BM470" s="78" t="str">
        <f aca="false">BA470</f>
        <v/>
      </c>
      <c r="BN470" s="79" t="str">
        <f aca="false">AZ470</f>
        <v/>
      </c>
      <c r="BO470" s="77" t="str">
        <f aca="false">IF(ISBLANK($C470),"",BC470)</f>
        <v/>
      </c>
      <c r="BP470" s="80" t="str">
        <f aca="false">IF($BG470&gt;$BF$7,"",VLOOKUP($BG470,$BI$8:$BO$507,7,FALSE()))</f>
        <v/>
      </c>
      <c r="BQ470" s="81" t="str">
        <f aca="false">IF($BG470&gt;$BF$7,"",VLOOKUP($BG470,$BI$8:$BO$507,2,FALSE()))</f>
        <v/>
      </c>
      <c r="BR470" s="81" t="str">
        <f aca="false">IF($BG470&gt;$BF$7,"",VLOOKUP($BG470,$BI$8:$BO$507,3,FALSE()))</f>
        <v/>
      </c>
      <c r="BS470" s="81" t="str">
        <f aca="false">IF($BG470&gt;$BF$7,"",VLOOKUP($BG470,$BI$8:$BO$507,4,FALSE()))</f>
        <v/>
      </c>
      <c r="BT470" s="81" t="str">
        <f aca="false">IF($BG470&gt;$BF$7,"",VLOOKUP($BG470,$BI$8:$BO$507,5,FALSE()))</f>
        <v/>
      </c>
      <c r="BU470" s="82" t="str">
        <f aca="false">IF($BG470&gt;$BF$7,"",VLOOKUP($BG470,$BI$8:$BO$507,6,FALSE()))</f>
        <v/>
      </c>
      <c r="BV470" s="54"/>
    </row>
    <row r="471" customFormat="false" ht="15.75" hidden="false" customHeight="false" outlineLevel="0" collapsed="false">
      <c r="A471" s="5"/>
      <c r="B471" s="135"/>
      <c r="C471" s="56"/>
      <c r="D471" s="57"/>
      <c r="E471" s="84"/>
      <c r="F471" s="136"/>
      <c r="G471" s="60"/>
      <c r="H471" s="137"/>
      <c r="I471" s="62"/>
      <c r="J471" s="62"/>
      <c r="K471" s="60"/>
      <c r="L471" s="138"/>
      <c r="M471" s="62"/>
      <c r="N471" s="62"/>
      <c r="O471" s="60"/>
      <c r="P471" s="84"/>
      <c r="Q471" s="65"/>
      <c r="R471" s="67" t="str">
        <f aca="false">IF(ISBLANK($C471),"",IF(E471=Constants!$B$2, TRUE(), IF(E471=Constants!$B$3, FALSE(), TRUE())))</f>
        <v/>
      </c>
      <c r="S471" s="67" t="str">
        <f aca="false">IF(ISBLANK($C471),"",IF(F471=Constants!$B$2, TRUE(), IF(F471=Constants!$B$3, FALSE(), TRUE())))</f>
        <v/>
      </c>
      <c r="T471" s="67" t="str">
        <f aca="false">IF(ISBLANK($C471),"",IF(G471=Constants!$B$16,Constants!$B$9,IF(G471=Constants!$B$17,Constants!$B$10,Constants!$B$8)))</f>
        <v/>
      </c>
      <c r="U471" s="67" t="str">
        <f aca="false">IF(ISBLANK($C471),"",IF(H471=Constants!$B$19,Constants!$B$19,Constants!$B$18))</f>
        <v/>
      </c>
      <c r="V471" s="67" t="str">
        <f aca="false">IF(ISBLANK($C471),"",IF(ISNUMBER(I471),IF(I471&gt;=0,I471,""),""))</f>
        <v/>
      </c>
      <c r="W471" s="67" t="str">
        <f aca="false">IF(ISBLANK($C471),"",IF(J471=Constants!$B$2, TRUE(), IF(J471=Constants!$B$3, FALSE(), TRUE())))</f>
        <v/>
      </c>
      <c r="X471" s="67" t="str">
        <f aca="false">IF(ISBLANK($C471),"",IF(K471=Constants!$B$2, TRUE(), IF(K471=Constants!$B$3, FALSE(), TRUE())))</f>
        <v/>
      </c>
      <c r="Y471" s="67" t="str">
        <f aca="false">IF(ISBLANK($C471),"",IF(L471=Constants!$B$19,Constants!$B$19,Constants!$B$18))</f>
        <v/>
      </c>
      <c r="Z471" s="67" t="str">
        <f aca="false">IF(ISBLANK($C471),"",IF(ISNUMBER(M471),IF(M471&gt;=0,M471,""),""))</f>
        <v/>
      </c>
      <c r="AA471" s="67" t="str">
        <f aca="false">IF(ISBLANK($C471),"",IF(N471=Constants!$B$2, TRUE(), IF(N471=Constants!$B$3, FALSE(), TRUE())))</f>
        <v/>
      </c>
      <c r="AB471" s="67" t="str">
        <f aca="false">IF(ISBLANK($C471),"",IF(O471=Constants!$B$2, TRUE(), IF(O471=Constants!$B$3, FALSE(), TRUE())))</f>
        <v/>
      </c>
      <c r="AC471" s="67" t="str">
        <f aca="false">IF(ISBLANK($C471),"",IF(P471=Constants!$B$2, TRUE(), IF(P471=Constants!$B$3, FALSE(), FALSE())))</f>
        <v/>
      </c>
      <c r="AD471" s="67" t="str">
        <f aca="false">IF(ISBLANK($C471),"",AND(V471&lt;&gt;"",IF(U471=Constants!$B$19,S471,R471)))</f>
        <v/>
      </c>
      <c r="AE471" s="67" t="str">
        <f aca="false">IF(ISBLANK($C471),"",AND(Z471&lt;&gt;"",IF(Y471=Constants!$B$19,S471,R471)))</f>
        <v/>
      </c>
      <c r="AF471" s="67" t="str">
        <f aca="false">IF(ISBLANK($C471),"",IF(AC471,Constants!$B$4,IF(COUNTA(E471:O471)=0,Constants!$B$5,IF(AND(NOT(AD471),NOT(AE471)),Constants!$B$6,Constants!$B$7))))</f>
        <v/>
      </c>
      <c r="AG471" s="67" t="str">
        <f aca="false">IF(ISBLANK($C471),"",IF($AF471&lt;&gt;Constants!$B$7,$AF471,Constants!$B$20))</f>
        <v/>
      </c>
      <c r="AH471" s="67" t="str">
        <f aca="false">IF($AF471=Constants!$B$7,IF(AD471,V471,Constants!$B$13),"")</f>
        <v/>
      </c>
      <c r="AI471" s="67" t="str">
        <f aca="false">IF($AF471=Constants!$B$7,IF(AD471,T471*IF(W471, 1, Constants!$B$11)*IF(X471, 1, Constants!$B$12),Constants!$B$13),"")</f>
        <v/>
      </c>
      <c r="AJ471" s="67" t="str">
        <f aca="false">IF($AF471=Constants!$B$7,AH471*AI471,"")</f>
        <v/>
      </c>
      <c r="AK471" s="67" t="str">
        <f aca="false">IF($AF471=Constants!$B$7,IF(AE471,Z471,Constants!$B$13),"")</f>
        <v/>
      </c>
      <c r="AL471" s="67" t="str">
        <f aca="false">IF($AF471=Constants!$B$7,IF(AE471,T471*IF(AA471, 1, Constants!$B$11)*IF(AB471, 1, Constants!$B$12),Constants!$B$13),"")</f>
        <v/>
      </c>
      <c r="AM471" s="67" t="str">
        <f aca="false">IF($AF471=Constants!$B$7,AK471*AL471,"")</f>
        <v/>
      </c>
      <c r="AN471" s="67" t="str">
        <f aca="false">IF($AF471=Constants!$B$7,IF(AM471&gt;AJ471,2,1),"")</f>
        <v/>
      </c>
      <c r="AO471" s="67" t="str">
        <f aca="false">IF($AF471=Constants!$B$7,IF(AN471=1,2,1),"")</f>
        <v/>
      </c>
      <c r="AP471" s="67" t="str">
        <f aca="false">IF(ISBLANK($C471),"",IF($AF471&lt;&gt;Constants!$B$7,$AF471,IF(AN471=1,AJ471,AM471)))</f>
        <v/>
      </c>
      <c r="AQ471" s="67" t="str">
        <f aca="false">IF(ISBLANK($C471),"",IF($AF471=Constants!$B$7,IF(ISNUMBER(AP471),RANK(AP471,$AP$8:$AP$507),Constants!$B$14),$AF471))</f>
        <v/>
      </c>
      <c r="AR471" s="67" t="str">
        <f aca="false">IF(ISBLANK($C471),"",IF($AF471=Constants!$B$7,IF(AO471=1,AJ471,AM471),""))</f>
        <v/>
      </c>
      <c r="AS471" s="67" t="str">
        <f aca="false">IF(ISBLANK($C471),"",IF($AF471=Constants!$B$7,RANK(AR471,$AR$8:$AR$507),$AF471))</f>
        <v/>
      </c>
      <c r="AT471" s="67" t="str">
        <f aca="false">IF(ISBLANK($C471),"",IF($AF471=Constants!$B$7,IF(ISNUMBER(AQ471),COUNTIFS($AQ$8:$AQ$507,"&lt;"&amp;$AQ471)+COUNTIFS($AQ$8:$AQ$507,$AQ471,$AS$8:$AS$507,"&lt;"&amp;$AS471)+1,Constants!$B$14),$AF471))</f>
        <v/>
      </c>
      <c r="AU471" s="67" t="str">
        <f aca="false">IF(ISBLANK($C471),"",IF($AF471=Constants!$B$7,IF(ISNUMBER(AQ471),AQ471-AT471,Constants!$B$14),$AF471))</f>
        <v/>
      </c>
      <c r="AV471" s="69"/>
      <c r="AW471" s="70" t="str">
        <f aca="false">IF(ISBLANK($C471),"",IF($AF471&lt;&gt;Constants!$B$7,"",AN471))</f>
        <v/>
      </c>
      <c r="AX471" s="85" t="str">
        <f aca="false">IF(ISBLANK($C471),"",IF($AF471&lt;&gt;Constants!$B$7,"",IF(AN471=1,AH471,AK471)))</f>
        <v/>
      </c>
      <c r="AY471" s="72" t="str">
        <f aca="false">IF(ISBLANK($C471),"",IF($AF471&lt;&gt;Constants!$B$7,"",IF(AN471=1,AI471,AL471)))</f>
        <v/>
      </c>
      <c r="AZ471" s="73" t="str">
        <f aca="false">IF(ISBLANK($C471),"",IF($AF471&lt;&gt;Constants!$B$7,$AF471,AP471))</f>
        <v/>
      </c>
      <c r="BA471" s="74" t="str">
        <f aca="false">IF(ISBLANK($C471),"",IF($AF471&lt;&gt;Constants!$B$7,$AF471,AG471))</f>
        <v/>
      </c>
      <c r="BB471" s="75" t="str">
        <f aca="false">IF(ISBLANK($C471),"",AU471)</f>
        <v/>
      </c>
      <c r="BC471" s="75" t="str">
        <f aca="false">IF(ISBLANK($C471),"",AT471)</f>
        <v/>
      </c>
      <c r="BD471" s="76" t="str">
        <f aca="false">IF(ISBLANK($C471),"",IFERROR(_xlfn.SWITCH(BC471,Constants!$B$4,COUNTA($C$8:$C$507)+2,Constants!$B$5,COUNTA($C$8:$C$507)+1,Constants!$B$6,COUNTA($C$8:$C$507)),BC471))</f>
        <v/>
      </c>
      <c r="BE471" s="5"/>
      <c r="BF471" s="77" t="n">
        <f aca="false">IF(OR(ISNUMBER(BC471),BC471=Constants!$B$4,BC471=Constants!$B$6,BC471=Constants!$B$5),1,0)</f>
        <v>0</v>
      </c>
      <c r="BG471" s="77" t="n">
        <v>464</v>
      </c>
      <c r="BH471" s="77" t="str">
        <f aca="false">IF(ISBLANK($C471),"",IF(ISNUMBER(BD471),BD471+ROW($B471)/1000,""))</f>
        <v/>
      </c>
      <c r="BI471" s="77" t="str">
        <f aca="false">IF(ISNUMBER(BH471),RANK(BH471,$BH$8:$BH$507,1),"")</f>
        <v/>
      </c>
      <c r="BJ471" s="77" t="str">
        <f aca="false">IF(ISBLANK($C471),"",$B471)</f>
        <v/>
      </c>
      <c r="BK471" s="77" t="str">
        <f aca="false">IF(ISBLANK($C471),"",$C471)</f>
        <v/>
      </c>
      <c r="BL471" s="77" t="str">
        <f aca="false">IF(ISBLANK($C471),"",$D471)</f>
        <v/>
      </c>
      <c r="BM471" s="78" t="str">
        <f aca="false">BA471</f>
        <v/>
      </c>
      <c r="BN471" s="79" t="str">
        <f aca="false">AZ471</f>
        <v/>
      </c>
      <c r="BO471" s="77" t="str">
        <f aca="false">IF(ISBLANK($C471),"",BC471)</f>
        <v/>
      </c>
      <c r="BP471" s="80" t="str">
        <f aca="false">IF($BG471&gt;$BF$7,"",VLOOKUP($BG471,$BI$8:$BO$507,7,FALSE()))</f>
        <v/>
      </c>
      <c r="BQ471" s="81" t="str">
        <f aca="false">IF($BG471&gt;$BF$7,"",VLOOKUP($BG471,$BI$8:$BO$507,2,FALSE()))</f>
        <v/>
      </c>
      <c r="BR471" s="81" t="str">
        <f aca="false">IF($BG471&gt;$BF$7,"",VLOOKUP($BG471,$BI$8:$BO$507,3,FALSE()))</f>
        <v/>
      </c>
      <c r="BS471" s="81" t="str">
        <f aca="false">IF($BG471&gt;$BF$7,"",VLOOKUP($BG471,$BI$8:$BO$507,4,FALSE()))</f>
        <v/>
      </c>
      <c r="BT471" s="81" t="str">
        <f aca="false">IF($BG471&gt;$BF$7,"",VLOOKUP($BG471,$BI$8:$BO$507,5,FALSE()))</f>
        <v/>
      </c>
      <c r="BU471" s="82" t="str">
        <f aca="false">IF($BG471&gt;$BF$7,"",VLOOKUP($BG471,$BI$8:$BO$507,6,FALSE()))</f>
        <v/>
      </c>
      <c r="BV471" s="54"/>
    </row>
    <row r="472" customFormat="false" ht="15.75" hidden="false" customHeight="false" outlineLevel="0" collapsed="false">
      <c r="A472" s="5"/>
      <c r="B472" s="135"/>
      <c r="C472" s="56"/>
      <c r="D472" s="57"/>
      <c r="E472" s="84"/>
      <c r="F472" s="136"/>
      <c r="G472" s="60"/>
      <c r="H472" s="137"/>
      <c r="I472" s="62"/>
      <c r="J472" s="62"/>
      <c r="K472" s="60"/>
      <c r="L472" s="138"/>
      <c r="M472" s="62"/>
      <c r="N472" s="62"/>
      <c r="O472" s="60"/>
      <c r="P472" s="84"/>
      <c r="Q472" s="65"/>
      <c r="R472" s="67" t="str">
        <f aca="false">IF(ISBLANK($C472),"",IF(E472=Constants!$B$2, TRUE(), IF(E472=Constants!$B$3, FALSE(), TRUE())))</f>
        <v/>
      </c>
      <c r="S472" s="67" t="str">
        <f aca="false">IF(ISBLANK($C472),"",IF(F472=Constants!$B$2, TRUE(), IF(F472=Constants!$B$3, FALSE(), TRUE())))</f>
        <v/>
      </c>
      <c r="T472" s="67" t="str">
        <f aca="false">IF(ISBLANK($C472),"",IF(G472=Constants!$B$16,Constants!$B$9,IF(G472=Constants!$B$17,Constants!$B$10,Constants!$B$8)))</f>
        <v/>
      </c>
      <c r="U472" s="67" t="str">
        <f aca="false">IF(ISBLANK($C472),"",IF(H472=Constants!$B$19,Constants!$B$19,Constants!$B$18))</f>
        <v/>
      </c>
      <c r="V472" s="67" t="str">
        <f aca="false">IF(ISBLANK($C472),"",IF(ISNUMBER(I472),IF(I472&gt;=0,I472,""),""))</f>
        <v/>
      </c>
      <c r="W472" s="67" t="str">
        <f aca="false">IF(ISBLANK($C472),"",IF(J472=Constants!$B$2, TRUE(), IF(J472=Constants!$B$3, FALSE(), TRUE())))</f>
        <v/>
      </c>
      <c r="X472" s="67" t="str">
        <f aca="false">IF(ISBLANK($C472),"",IF(K472=Constants!$B$2, TRUE(), IF(K472=Constants!$B$3, FALSE(), TRUE())))</f>
        <v/>
      </c>
      <c r="Y472" s="67" t="str">
        <f aca="false">IF(ISBLANK($C472),"",IF(L472=Constants!$B$19,Constants!$B$19,Constants!$B$18))</f>
        <v/>
      </c>
      <c r="Z472" s="67" t="str">
        <f aca="false">IF(ISBLANK($C472),"",IF(ISNUMBER(M472),IF(M472&gt;=0,M472,""),""))</f>
        <v/>
      </c>
      <c r="AA472" s="67" t="str">
        <f aca="false">IF(ISBLANK($C472),"",IF(N472=Constants!$B$2, TRUE(), IF(N472=Constants!$B$3, FALSE(), TRUE())))</f>
        <v/>
      </c>
      <c r="AB472" s="67" t="str">
        <f aca="false">IF(ISBLANK($C472),"",IF(O472=Constants!$B$2, TRUE(), IF(O472=Constants!$B$3, FALSE(), TRUE())))</f>
        <v/>
      </c>
      <c r="AC472" s="67" t="str">
        <f aca="false">IF(ISBLANK($C472),"",IF(P472=Constants!$B$2, TRUE(), IF(P472=Constants!$B$3, FALSE(), FALSE())))</f>
        <v/>
      </c>
      <c r="AD472" s="67" t="str">
        <f aca="false">IF(ISBLANK($C472),"",AND(V472&lt;&gt;"",IF(U472=Constants!$B$19,S472,R472)))</f>
        <v/>
      </c>
      <c r="AE472" s="67" t="str">
        <f aca="false">IF(ISBLANK($C472),"",AND(Z472&lt;&gt;"",IF(Y472=Constants!$B$19,S472,R472)))</f>
        <v/>
      </c>
      <c r="AF472" s="67" t="str">
        <f aca="false">IF(ISBLANK($C472),"",IF(AC472,Constants!$B$4,IF(COUNTA(E472:O472)=0,Constants!$B$5,IF(AND(NOT(AD472),NOT(AE472)),Constants!$B$6,Constants!$B$7))))</f>
        <v/>
      </c>
      <c r="AG472" s="67" t="str">
        <f aca="false">IF(ISBLANK($C472),"",IF($AF472&lt;&gt;Constants!$B$7,$AF472,Constants!$B$20))</f>
        <v/>
      </c>
      <c r="AH472" s="67" t="str">
        <f aca="false">IF($AF472=Constants!$B$7,IF(AD472,V472,Constants!$B$13),"")</f>
        <v/>
      </c>
      <c r="AI472" s="67" t="str">
        <f aca="false">IF($AF472=Constants!$B$7,IF(AD472,T472*IF(W472, 1, Constants!$B$11)*IF(X472, 1, Constants!$B$12),Constants!$B$13),"")</f>
        <v/>
      </c>
      <c r="AJ472" s="67" t="str">
        <f aca="false">IF($AF472=Constants!$B$7,AH472*AI472,"")</f>
        <v/>
      </c>
      <c r="AK472" s="67" t="str">
        <f aca="false">IF($AF472=Constants!$B$7,IF(AE472,Z472,Constants!$B$13),"")</f>
        <v/>
      </c>
      <c r="AL472" s="67" t="str">
        <f aca="false">IF($AF472=Constants!$B$7,IF(AE472,T472*IF(AA472, 1, Constants!$B$11)*IF(AB472, 1, Constants!$B$12),Constants!$B$13),"")</f>
        <v/>
      </c>
      <c r="AM472" s="67" t="str">
        <f aca="false">IF($AF472=Constants!$B$7,AK472*AL472,"")</f>
        <v/>
      </c>
      <c r="AN472" s="67" t="str">
        <f aca="false">IF($AF472=Constants!$B$7,IF(AM472&gt;AJ472,2,1),"")</f>
        <v/>
      </c>
      <c r="AO472" s="67" t="str">
        <f aca="false">IF($AF472=Constants!$B$7,IF(AN472=1,2,1),"")</f>
        <v/>
      </c>
      <c r="AP472" s="67" t="str">
        <f aca="false">IF(ISBLANK($C472),"",IF($AF472&lt;&gt;Constants!$B$7,$AF472,IF(AN472=1,AJ472,AM472)))</f>
        <v/>
      </c>
      <c r="AQ472" s="67" t="str">
        <f aca="false">IF(ISBLANK($C472),"",IF($AF472=Constants!$B$7,IF(ISNUMBER(AP472),RANK(AP472,$AP$8:$AP$507),Constants!$B$14),$AF472))</f>
        <v/>
      </c>
      <c r="AR472" s="67" t="str">
        <f aca="false">IF(ISBLANK($C472),"",IF($AF472=Constants!$B$7,IF(AO472=1,AJ472,AM472),""))</f>
        <v/>
      </c>
      <c r="AS472" s="67" t="str">
        <f aca="false">IF(ISBLANK($C472),"",IF($AF472=Constants!$B$7,RANK(AR472,$AR$8:$AR$507),$AF472))</f>
        <v/>
      </c>
      <c r="AT472" s="67" t="str">
        <f aca="false">IF(ISBLANK($C472),"",IF($AF472=Constants!$B$7,IF(ISNUMBER(AQ472),COUNTIFS($AQ$8:$AQ$507,"&lt;"&amp;$AQ472)+COUNTIFS($AQ$8:$AQ$507,$AQ472,$AS$8:$AS$507,"&lt;"&amp;$AS472)+1,Constants!$B$14),$AF472))</f>
        <v/>
      </c>
      <c r="AU472" s="67" t="str">
        <f aca="false">IF(ISBLANK($C472),"",IF($AF472=Constants!$B$7,IF(ISNUMBER(AQ472),AQ472-AT472,Constants!$B$14),$AF472))</f>
        <v/>
      </c>
      <c r="AV472" s="69"/>
      <c r="AW472" s="70" t="str">
        <f aca="false">IF(ISBLANK($C472),"",IF($AF472&lt;&gt;Constants!$B$7,"",AN472))</f>
        <v/>
      </c>
      <c r="AX472" s="85" t="str">
        <f aca="false">IF(ISBLANK($C472),"",IF($AF472&lt;&gt;Constants!$B$7,"",IF(AN472=1,AH472,AK472)))</f>
        <v/>
      </c>
      <c r="AY472" s="72" t="str">
        <f aca="false">IF(ISBLANK($C472),"",IF($AF472&lt;&gt;Constants!$B$7,"",IF(AN472=1,AI472,AL472)))</f>
        <v/>
      </c>
      <c r="AZ472" s="73" t="str">
        <f aca="false">IF(ISBLANK($C472),"",IF($AF472&lt;&gt;Constants!$B$7,$AF472,AP472))</f>
        <v/>
      </c>
      <c r="BA472" s="74" t="str">
        <f aca="false">IF(ISBLANK($C472),"",IF($AF472&lt;&gt;Constants!$B$7,$AF472,AG472))</f>
        <v/>
      </c>
      <c r="BB472" s="75" t="str">
        <f aca="false">IF(ISBLANK($C472),"",AU472)</f>
        <v/>
      </c>
      <c r="BC472" s="75" t="str">
        <f aca="false">IF(ISBLANK($C472),"",AT472)</f>
        <v/>
      </c>
      <c r="BD472" s="76" t="str">
        <f aca="false">IF(ISBLANK($C472),"",IFERROR(_xlfn.SWITCH(BC472,Constants!$B$4,COUNTA($C$8:$C$507)+2,Constants!$B$5,COUNTA($C$8:$C$507)+1,Constants!$B$6,COUNTA($C$8:$C$507)),BC472))</f>
        <v/>
      </c>
      <c r="BE472" s="5"/>
      <c r="BF472" s="77" t="n">
        <f aca="false">IF(OR(ISNUMBER(BC472),BC472=Constants!$B$4,BC472=Constants!$B$6,BC472=Constants!$B$5),1,0)</f>
        <v>0</v>
      </c>
      <c r="BG472" s="77" t="n">
        <v>465</v>
      </c>
      <c r="BH472" s="77" t="str">
        <f aca="false">IF(ISBLANK($C472),"",IF(ISNUMBER(BD472),BD472+ROW($B472)/1000,""))</f>
        <v/>
      </c>
      <c r="BI472" s="77" t="str">
        <f aca="false">IF(ISNUMBER(BH472),RANK(BH472,$BH$8:$BH$507,1),"")</f>
        <v/>
      </c>
      <c r="BJ472" s="77" t="str">
        <f aca="false">IF(ISBLANK($C472),"",$B472)</f>
        <v/>
      </c>
      <c r="BK472" s="77" t="str">
        <f aca="false">IF(ISBLANK($C472),"",$C472)</f>
        <v/>
      </c>
      <c r="BL472" s="77" t="str">
        <f aca="false">IF(ISBLANK($C472),"",$D472)</f>
        <v/>
      </c>
      <c r="BM472" s="78" t="str">
        <f aca="false">BA472</f>
        <v/>
      </c>
      <c r="BN472" s="79" t="str">
        <f aca="false">AZ472</f>
        <v/>
      </c>
      <c r="BO472" s="77" t="str">
        <f aca="false">IF(ISBLANK($C472),"",BC472)</f>
        <v/>
      </c>
      <c r="BP472" s="80" t="str">
        <f aca="false">IF($BG472&gt;$BF$7,"",VLOOKUP($BG472,$BI$8:$BO$507,7,FALSE()))</f>
        <v/>
      </c>
      <c r="BQ472" s="81" t="str">
        <f aca="false">IF($BG472&gt;$BF$7,"",VLOOKUP($BG472,$BI$8:$BO$507,2,FALSE()))</f>
        <v/>
      </c>
      <c r="BR472" s="81" t="str">
        <f aca="false">IF($BG472&gt;$BF$7,"",VLOOKUP($BG472,$BI$8:$BO$507,3,FALSE()))</f>
        <v/>
      </c>
      <c r="BS472" s="81" t="str">
        <f aca="false">IF($BG472&gt;$BF$7,"",VLOOKUP($BG472,$BI$8:$BO$507,4,FALSE()))</f>
        <v/>
      </c>
      <c r="BT472" s="81" t="str">
        <f aca="false">IF($BG472&gt;$BF$7,"",VLOOKUP($BG472,$BI$8:$BO$507,5,FALSE()))</f>
        <v/>
      </c>
      <c r="BU472" s="82" t="str">
        <f aca="false">IF($BG472&gt;$BF$7,"",VLOOKUP($BG472,$BI$8:$BO$507,6,FALSE()))</f>
        <v/>
      </c>
      <c r="BV472" s="54"/>
    </row>
    <row r="473" customFormat="false" ht="15.75" hidden="false" customHeight="false" outlineLevel="0" collapsed="false">
      <c r="A473" s="5"/>
      <c r="B473" s="128"/>
      <c r="C473" s="129"/>
      <c r="D473" s="114"/>
      <c r="E473" s="134"/>
      <c r="F473" s="139"/>
      <c r="G473" s="93"/>
      <c r="H473" s="140"/>
      <c r="I473" s="95"/>
      <c r="J473" s="95"/>
      <c r="K473" s="93"/>
      <c r="L473" s="141"/>
      <c r="M473" s="95"/>
      <c r="N473" s="95"/>
      <c r="O473" s="93"/>
      <c r="P473" s="134"/>
      <c r="Q473" s="98"/>
      <c r="R473" s="99" t="str">
        <f aca="false">IF(ISBLANK($C473),"",IF(E473=Constants!$B$2, TRUE(), IF(E473=Constants!$B$3, FALSE(), TRUE())))</f>
        <v/>
      </c>
      <c r="S473" s="99" t="str">
        <f aca="false">IF(ISBLANK($C473),"",IF(F473=Constants!$B$2, TRUE(), IF(F473=Constants!$B$3, FALSE(), TRUE())))</f>
        <v/>
      </c>
      <c r="T473" s="99" t="str">
        <f aca="false">IF(ISBLANK($C473),"",IF(G473=Constants!$B$16,Constants!$B$9,IF(G473=Constants!$B$17,Constants!$B$10,Constants!$B$8)))</f>
        <v/>
      </c>
      <c r="U473" s="99" t="str">
        <f aca="false">IF(ISBLANK($C473),"",IF(H473=Constants!$B$19,Constants!$B$19,Constants!$B$18))</f>
        <v/>
      </c>
      <c r="V473" s="99" t="str">
        <f aca="false">IF(ISBLANK($C473),"",IF(ISNUMBER(I473),IF(I473&gt;=0,I473,""),""))</f>
        <v/>
      </c>
      <c r="W473" s="99" t="str">
        <f aca="false">IF(ISBLANK($C473),"",IF(J473=Constants!$B$2, TRUE(), IF(J473=Constants!$B$3, FALSE(), TRUE())))</f>
        <v/>
      </c>
      <c r="X473" s="99" t="str">
        <f aca="false">IF(ISBLANK($C473),"",IF(K473=Constants!$B$2, TRUE(), IF(K473=Constants!$B$3, FALSE(), TRUE())))</f>
        <v/>
      </c>
      <c r="Y473" s="99" t="str">
        <f aca="false">IF(ISBLANK($C473),"",IF(L473=Constants!$B$19,Constants!$B$19,Constants!$B$18))</f>
        <v/>
      </c>
      <c r="Z473" s="99" t="str">
        <f aca="false">IF(ISBLANK($C473),"",IF(ISNUMBER(M473),IF(M473&gt;=0,M473,""),""))</f>
        <v/>
      </c>
      <c r="AA473" s="99" t="str">
        <f aca="false">IF(ISBLANK($C473),"",IF(N473=Constants!$B$2, TRUE(), IF(N473=Constants!$B$3, FALSE(), TRUE())))</f>
        <v/>
      </c>
      <c r="AB473" s="99" t="str">
        <f aca="false">IF(ISBLANK($C473),"",IF(O473=Constants!$B$2, TRUE(), IF(O473=Constants!$B$3, FALSE(), TRUE())))</f>
        <v/>
      </c>
      <c r="AC473" s="99" t="str">
        <f aca="false">IF(ISBLANK($C473),"",IF(P473=Constants!$B$2, TRUE(), IF(P473=Constants!$B$3, FALSE(), FALSE())))</f>
        <v/>
      </c>
      <c r="AD473" s="99" t="str">
        <f aca="false">IF(ISBLANK($C473),"",AND(V473&lt;&gt;"",IF(U473=Constants!$B$19,S473,R473)))</f>
        <v/>
      </c>
      <c r="AE473" s="99" t="str">
        <f aca="false">IF(ISBLANK($C473),"",AND(Z473&lt;&gt;"",IF(Y473=Constants!$B$19,S473,R473)))</f>
        <v/>
      </c>
      <c r="AF473" s="99" t="str">
        <f aca="false">IF(ISBLANK($C473),"",IF(AC473,Constants!$B$4,IF(COUNTA(E473:O473)=0,Constants!$B$5,IF(AND(NOT(AD473),NOT(AE473)),Constants!$B$6,Constants!$B$7))))</f>
        <v/>
      </c>
      <c r="AG473" s="99" t="str">
        <f aca="false">IF(ISBLANK($C473),"",IF($AF473&lt;&gt;Constants!$B$7,$AF473,Constants!$B$20))</f>
        <v/>
      </c>
      <c r="AH473" s="99" t="str">
        <f aca="false">IF($AF473=Constants!$B$7,IF(AD473,V473,Constants!$B$13),"")</f>
        <v/>
      </c>
      <c r="AI473" s="99" t="str">
        <f aca="false">IF($AF473=Constants!$B$7,IF(AD473,T473*IF(W473, 1, Constants!$B$11)*IF(X473, 1, Constants!$B$12),Constants!$B$13),"")</f>
        <v/>
      </c>
      <c r="AJ473" s="99" t="str">
        <f aca="false">IF($AF473=Constants!$B$7,AH473*AI473,"")</f>
        <v/>
      </c>
      <c r="AK473" s="99" t="str">
        <f aca="false">IF($AF473=Constants!$B$7,IF(AE473,Z473,Constants!$B$13),"")</f>
        <v/>
      </c>
      <c r="AL473" s="99" t="str">
        <f aca="false">IF($AF473=Constants!$B$7,IF(AE473,T473*IF(AA473, 1, Constants!$B$11)*IF(AB473, 1, Constants!$B$12),Constants!$B$13),"")</f>
        <v/>
      </c>
      <c r="AM473" s="99" t="str">
        <f aca="false">IF($AF473=Constants!$B$7,AK473*AL473,"")</f>
        <v/>
      </c>
      <c r="AN473" s="99" t="str">
        <f aca="false">IF($AF473=Constants!$B$7,IF(AM473&gt;AJ473,2,1),"")</f>
        <v/>
      </c>
      <c r="AO473" s="99" t="str">
        <f aca="false">IF($AF473=Constants!$B$7,IF(AN473=1,2,1),"")</f>
        <v/>
      </c>
      <c r="AP473" s="99" t="str">
        <f aca="false">IF(ISBLANK($C473),"",IF($AF473&lt;&gt;Constants!$B$7,$AF473,IF(AN473=1,AJ473,AM473)))</f>
        <v/>
      </c>
      <c r="AQ473" s="99" t="str">
        <f aca="false">IF(ISBLANK($C473),"",IF($AF473=Constants!$B$7,IF(ISNUMBER(AP473),RANK(AP473,$AP$8:$AP$507),Constants!$B$14),$AF473))</f>
        <v/>
      </c>
      <c r="AR473" s="99" t="str">
        <f aca="false">IF(ISBLANK($C473),"",IF($AF473=Constants!$B$7,IF(AO473=1,AJ473,AM473),""))</f>
        <v/>
      </c>
      <c r="AS473" s="99" t="str">
        <f aca="false">IF(ISBLANK($C473),"",IF($AF473=Constants!$B$7,RANK(AR473,$AR$8:$AR$507),$AF473))</f>
        <v/>
      </c>
      <c r="AT473" s="99" t="str">
        <f aca="false">IF(ISBLANK($C473),"",IF($AF473=Constants!$B$7,IF(ISNUMBER(AQ473),COUNTIFS($AQ$8:$AQ$507,"&lt;"&amp;$AQ473)+COUNTIFS($AQ$8:$AQ$507,$AQ473,$AS$8:$AS$507,"&lt;"&amp;$AS473)+1,Constants!$B$14),$AF473))</f>
        <v/>
      </c>
      <c r="AU473" s="99" t="str">
        <f aca="false">IF(ISBLANK($C473),"",IF($AF473=Constants!$B$7,IF(ISNUMBER(AQ473),AQ473-AT473,Constants!$B$14),$AF473))</f>
        <v/>
      </c>
      <c r="AV473" s="100"/>
      <c r="AW473" s="101" t="str">
        <f aca="false">IF(ISBLANK($C473),"",IF($AF473&lt;&gt;Constants!$B$7,"",AN473))</f>
        <v/>
      </c>
      <c r="AX473" s="102" t="str">
        <f aca="false">IF(ISBLANK($C473),"",IF($AF473&lt;&gt;Constants!$B$7,"",IF(AN473=1,AH473,AK473)))</f>
        <v/>
      </c>
      <c r="AY473" s="103" t="str">
        <f aca="false">IF(ISBLANK($C473),"",IF($AF473&lt;&gt;Constants!$B$7,"",IF(AN473=1,AI473,AL473)))</f>
        <v/>
      </c>
      <c r="AZ473" s="104" t="str">
        <f aca="false">IF(ISBLANK($C473),"",IF($AF473&lt;&gt;Constants!$B$7,$AF473,AP473))</f>
        <v/>
      </c>
      <c r="BA473" s="105" t="str">
        <f aca="false">IF(ISBLANK($C473),"",IF($AF473&lt;&gt;Constants!$B$7,$AF473,AG473))</f>
        <v/>
      </c>
      <c r="BB473" s="106" t="str">
        <f aca="false">IF(ISBLANK($C473),"",AU473)</f>
        <v/>
      </c>
      <c r="BC473" s="106" t="str">
        <f aca="false">IF(ISBLANK($C473),"",AT473)</f>
        <v/>
      </c>
      <c r="BD473" s="107" t="str">
        <f aca="false">IF(ISBLANK($C473),"",IFERROR(_xlfn.SWITCH(BC473,Constants!$B$4,COUNTA($C$8:$C$507)+2,Constants!$B$5,COUNTA($C$8:$C$507)+1,Constants!$B$6,COUNTA($C$8:$C$507)),BC473))</f>
        <v/>
      </c>
      <c r="BE473" s="5"/>
      <c r="BF473" s="108" t="n">
        <f aca="false">IF(OR(ISNUMBER(BC473),BC473=Constants!$B$4,BC473=Constants!$B$6,BC473=Constants!$B$5),1,0)</f>
        <v>0</v>
      </c>
      <c r="BG473" s="108" t="n">
        <v>466</v>
      </c>
      <c r="BH473" s="108" t="str">
        <f aca="false">IF(ISBLANK($C473),"",IF(ISNUMBER(BD473),BD473+ROW($B473)/1000,""))</f>
        <v/>
      </c>
      <c r="BI473" s="108" t="str">
        <f aca="false">IF(ISNUMBER(BH473),RANK(BH473,$BH$8:$BH$507,1),"")</f>
        <v/>
      </c>
      <c r="BJ473" s="108" t="str">
        <f aca="false">IF(ISBLANK($C473),"",$B473)</f>
        <v/>
      </c>
      <c r="BK473" s="108" t="str">
        <f aca="false">IF(ISBLANK($C473),"",$C473)</f>
        <v/>
      </c>
      <c r="BL473" s="108" t="str">
        <f aca="false">IF(ISBLANK($C473),"",$D473)</f>
        <v/>
      </c>
      <c r="BM473" s="109" t="str">
        <f aca="false">BA473</f>
        <v/>
      </c>
      <c r="BN473" s="110" t="str">
        <f aca="false">AZ473</f>
        <v/>
      </c>
      <c r="BO473" s="108" t="str">
        <f aca="false">IF(ISBLANK($C473),"",BC473)</f>
        <v/>
      </c>
      <c r="BP473" s="111" t="str">
        <f aca="false">IF($BG473&gt;$BF$7,"",VLOOKUP($BG473,$BI$8:$BO$507,7,FALSE()))</f>
        <v/>
      </c>
      <c r="BQ473" s="112" t="str">
        <f aca="false">IF($BG473&gt;$BF$7,"",VLOOKUP($BG473,$BI$8:$BO$507,2,FALSE()))</f>
        <v/>
      </c>
      <c r="BR473" s="112" t="str">
        <f aca="false">IF($BG473&gt;$BF$7,"",VLOOKUP($BG473,$BI$8:$BO$507,3,FALSE()))</f>
        <v/>
      </c>
      <c r="BS473" s="112" t="str">
        <f aca="false">IF($BG473&gt;$BF$7,"",VLOOKUP($BG473,$BI$8:$BO$507,4,FALSE()))</f>
        <v/>
      </c>
      <c r="BT473" s="112" t="str">
        <f aca="false">IF($BG473&gt;$BF$7,"",VLOOKUP($BG473,$BI$8:$BO$507,5,FALSE()))</f>
        <v/>
      </c>
      <c r="BU473" s="113" t="str">
        <f aca="false">IF($BG473&gt;$BF$7,"",VLOOKUP($BG473,$BI$8:$BO$507,6,FALSE()))</f>
        <v/>
      </c>
      <c r="BV473" s="54"/>
    </row>
    <row r="474" customFormat="false" ht="15.75" hidden="false" customHeight="false" outlineLevel="0" collapsed="false">
      <c r="A474" s="5"/>
      <c r="B474" s="128"/>
      <c r="C474" s="129"/>
      <c r="D474" s="114"/>
      <c r="E474" s="134"/>
      <c r="F474" s="139"/>
      <c r="G474" s="93"/>
      <c r="H474" s="140"/>
      <c r="I474" s="95"/>
      <c r="J474" s="95"/>
      <c r="K474" s="93"/>
      <c r="L474" s="141"/>
      <c r="M474" s="95"/>
      <c r="N474" s="95"/>
      <c r="O474" s="93"/>
      <c r="P474" s="134"/>
      <c r="Q474" s="98"/>
      <c r="R474" s="99" t="str">
        <f aca="false">IF(ISBLANK($C474),"",IF(E474=Constants!$B$2, TRUE(), IF(E474=Constants!$B$3, FALSE(), TRUE())))</f>
        <v/>
      </c>
      <c r="S474" s="99" t="str">
        <f aca="false">IF(ISBLANK($C474),"",IF(F474=Constants!$B$2, TRUE(), IF(F474=Constants!$B$3, FALSE(), TRUE())))</f>
        <v/>
      </c>
      <c r="T474" s="99" t="str">
        <f aca="false">IF(ISBLANK($C474),"",IF(G474=Constants!$B$16,Constants!$B$9,IF(G474=Constants!$B$17,Constants!$B$10,Constants!$B$8)))</f>
        <v/>
      </c>
      <c r="U474" s="99" t="str">
        <f aca="false">IF(ISBLANK($C474),"",IF(H474=Constants!$B$19,Constants!$B$19,Constants!$B$18))</f>
        <v/>
      </c>
      <c r="V474" s="99" t="str">
        <f aca="false">IF(ISBLANK($C474),"",IF(ISNUMBER(I474),IF(I474&gt;=0,I474,""),""))</f>
        <v/>
      </c>
      <c r="W474" s="99" t="str">
        <f aca="false">IF(ISBLANK($C474),"",IF(J474=Constants!$B$2, TRUE(), IF(J474=Constants!$B$3, FALSE(), TRUE())))</f>
        <v/>
      </c>
      <c r="X474" s="99" t="str">
        <f aca="false">IF(ISBLANK($C474),"",IF(K474=Constants!$B$2, TRUE(), IF(K474=Constants!$B$3, FALSE(), TRUE())))</f>
        <v/>
      </c>
      <c r="Y474" s="99" t="str">
        <f aca="false">IF(ISBLANK($C474),"",IF(L474=Constants!$B$19,Constants!$B$19,Constants!$B$18))</f>
        <v/>
      </c>
      <c r="Z474" s="99" t="str">
        <f aca="false">IF(ISBLANK($C474),"",IF(ISNUMBER(M474),IF(M474&gt;=0,M474,""),""))</f>
        <v/>
      </c>
      <c r="AA474" s="99" t="str">
        <f aca="false">IF(ISBLANK($C474),"",IF(N474=Constants!$B$2, TRUE(), IF(N474=Constants!$B$3, FALSE(), TRUE())))</f>
        <v/>
      </c>
      <c r="AB474" s="99" t="str">
        <f aca="false">IF(ISBLANK($C474),"",IF(O474=Constants!$B$2, TRUE(), IF(O474=Constants!$B$3, FALSE(), TRUE())))</f>
        <v/>
      </c>
      <c r="AC474" s="99" t="str">
        <f aca="false">IF(ISBLANK($C474),"",IF(P474=Constants!$B$2, TRUE(), IF(P474=Constants!$B$3, FALSE(), FALSE())))</f>
        <v/>
      </c>
      <c r="AD474" s="99" t="str">
        <f aca="false">IF(ISBLANK($C474),"",AND(V474&lt;&gt;"",IF(U474=Constants!$B$19,S474,R474)))</f>
        <v/>
      </c>
      <c r="AE474" s="99" t="str">
        <f aca="false">IF(ISBLANK($C474),"",AND(Z474&lt;&gt;"",IF(Y474=Constants!$B$19,S474,R474)))</f>
        <v/>
      </c>
      <c r="AF474" s="99" t="str">
        <f aca="false">IF(ISBLANK($C474),"",IF(AC474,Constants!$B$4,IF(COUNTA(E474:O474)=0,Constants!$B$5,IF(AND(NOT(AD474),NOT(AE474)),Constants!$B$6,Constants!$B$7))))</f>
        <v/>
      </c>
      <c r="AG474" s="99" t="str">
        <f aca="false">IF(ISBLANK($C474),"",IF($AF474&lt;&gt;Constants!$B$7,$AF474,Constants!$B$20))</f>
        <v/>
      </c>
      <c r="AH474" s="99" t="str">
        <f aca="false">IF($AF474=Constants!$B$7,IF(AD474,V474,Constants!$B$13),"")</f>
        <v/>
      </c>
      <c r="AI474" s="99" t="str">
        <f aca="false">IF($AF474=Constants!$B$7,IF(AD474,T474*IF(W474, 1, Constants!$B$11)*IF(X474, 1, Constants!$B$12),Constants!$B$13),"")</f>
        <v/>
      </c>
      <c r="AJ474" s="99" t="str">
        <f aca="false">IF($AF474=Constants!$B$7,AH474*AI474,"")</f>
        <v/>
      </c>
      <c r="AK474" s="99" t="str">
        <f aca="false">IF($AF474=Constants!$B$7,IF(AE474,Z474,Constants!$B$13),"")</f>
        <v/>
      </c>
      <c r="AL474" s="99" t="str">
        <f aca="false">IF($AF474=Constants!$B$7,IF(AE474,T474*IF(AA474, 1, Constants!$B$11)*IF(AB474, 1, Constants!$B$12),Constants!$B$13),"")</f>
        <v/>
      </c>
      <c r="AM474" s="99" t="str">
        <f aca="false">IF($AF474=Constants!$B$7,AK474*AL474,"")</f>
        <v/>
      </c>
      <c r="AN474" s="99" t="str">
        <f aca="false">IF($AF474=Constants!$B$7,IF(AM474&gt;AJ474,2,1),"")</f>
        <v/>
      </c>
      <c r="AO474" s="99" t="str">
        <f aca="false">IF($AF474=Constants!$B$7,IF(AN474=1,2,1),"")</f>
        <v/>
      </c>
      <c r="AP474" s="99" t="str">
        <f aca="false">IF(ISBLANK($C474),"",IF($AF474&lt;&gt;Constants!$B$7,$AF474,IF(AN474=1,AJ474,AM474)))</f>
        <v/>
      </c>
      <c r="AQ474" s="99" t="str">
        <f aca="false">IF(ISBLANK($C474),"",IF($AF474=Constants!$B$7,IF(ISNUMBER(AP474),RANK(AP474,$AP$8:$AP$507),Constants!$B$14),$AF474))</f>
        <v/>
      </c>
      <c r="AR474" s="99" t="str">
        <f aca="false">IF(ISBLANK($C474),"",IF($AF474=Constants!$B$7,IF(AO474=1,AJ474,AM474),""))</f>
        <v/>
      </c>
      <c r="AS474" s="99" t="str">
        <f aca="false">IF(ISBLANK($C474),"",IF($AF474=Constants!$B$7,RANK(AR474,$AR$8:$AR$507),$AF474))</f>
        <v/>
      </c>
      <c r="AT474" s="99" t="str">
        <f aca="false">IF(ISBLANK($C474),"",IF($AF474=Constants!$B$7,IF(ISNUMBER(AQ474),COUNTIFS($AQ$8:$AQ$507,"&lt;"&amp;$AQ474)+COUNTIFS($AQ$8:$AQ$507,$AQ474,$AS$8:$AS$507,"&lt;"&amp;$AS474)+1,Constants!$B$14),$AF474))</f>
        <v/>
      </c>
      <c r="AU474" s="99" t="str">
        <f aca="false">IF(ISBLANK($C474),"",IF($AF474=Constants!$B$7,IF(ISNUMBER(AQ474),AQ474-AT474,Constants!$B$14),$AF474))</f>
        <v/>
      </c>
      <c r="AV474" s="100"/>
      <c r="AW474" s="101" t="str">
        <f aca="false">IF(ISBLANK($C474),"",IF($AF474&lt;&gt;Constants!$B$7,"",AN474))</f>
        <v/>
      </c>
      <c r="AX474" s="102" t="str">
        <f aca="false">IF(ISBLANK($C474),"",IF($AF474&lt;&gt;Constants!$B$7,"",IF(AN474=1,AH474,AK474)))</f>
        <v/>
      </c>
      <c r="AY474" s="103" t="str">
        <f aca="false">IF(ISBLANK($C474),"",IF($AF474&lt;&gt;Constants!$B$7,"",IF(AN474=1,AI474,AL474)))</f>
        <v/>
      </c>
      <c r="AZ474" s="104" t="str">
        <f aca="false">IF(ISBLANK($C474),"",IF($AF474&lt;&gt;Constants!$B$7,$AF474,AP474))</f>
        <v/>
      </c>
      <c r="BA474" s="105" t="str">
        <f aca="false">IF(ISBLANK($C474),"",IF($AF474&lt;&gt;Constants!$B$7,$AF474,AG474))</f>
        <v/>
      </c>
      <c r="BB474" s="106" t="str">
        <f aca="false">IF(ISBLANK($C474),"",AU474)</f>
        <v/>
      </c>
      <c r="BC474" s="106" t="str">
        <f aca="false">IF(ISBLANK($C474),"",AT474)</f>
        <v/>
      </c>
      <c r="BD474" s="107" t="str">
        <f aca="false">IF(ISBLANK($C474),"",IFERROR(_xlfn.SWITCH(BC474,Constants!$B$4,COUNTA($C$8:$C$507)+2,Constants!$B$5,COUNTA($C$8:$C$507)+1,Constants!$B$6,COUNTA($C$8:$C$507)),BC474))</f>
        <v/>
      </c>
      <c r="BE474" s="5"/>
      <c r="BF474" s="108" t="n">
        <f aca="false">IF(OR(ISNUMBER(BC474),BC474=Constants!$B$4,BC474=Constants!$B$6,BC474=Constants!$B$5),1,0)</f>
        <v>0</v>
      </c>
      <c r="BG474" s="108" t="n">
        <v>467</v>
      </c>
      <c r="BH474" s="108" t="str">
        <f aca="false">IF(ISBLANK($C474),"",IF(ISNUMBER(BD474),BD474+ROW($B474)/1000,""))</f>
        <v/>
      </c>
      <c r="BI474" s="108" t="str">
        <f aca="false">IF(ISNUMBER(BH474),RANK(BH474,$BH$8:$BH$507,1),"")</f>
        <v/>
      </c>
      <c r="BJ474" s="108" t="str">
        <f aca="false">IF(ISBLANK($C474),"",$B474)</f>
        <v/>
      </c>
      <c r="BK474" s="108" t="str">
        <f aca="false">IF(ISBLANK($C474),"",$C474)</f>
        <v/>
      </c>
      <c r="BL474" s="108" t="str">
        <f aca="false">IF(ISBLANK($C474),"",$D474)</f>
        <v/>
      </c>
      <c r="BM474" s="109" t="str">
        <f aca="false">BA474</f>
        <v/>
      </c>
      <c r="BN474" s="110" t="str">
        <f aca="false">AZ474</f>
        <v/>
      </c>
      <c r="BO474" s="108" t="str">
        <f aca="false">IF(ISBLANK($C474),"",BC474)</f>
        <v/>
      </c>
      <c r="BP474" s="111" t="str">
        <f aca="false">IF($BG474&gt;$BF$7,"",VLOOKUP($BG474,$BI$8:$BO$507,7,FALSE()))</f>
        <v/>
      </c>
      <c r="BQ474" s="112" t="str">
        <f aca="false">IF($BG474&gt;$BF$7,"",VLOOKUP($BG474,$BI$8:$BO$507,2,FALSE()))</f>
        <v/>
      </c>
      <c r="BR474" s="112" t="str">
        <f aca="false">IF($BG474&gt;$BF$7,"",VLOOKUP($BG474,$BI$8:$BO$507,3,FALSE()))</f>
        <v/>
      </c>
      <c r="BS474" s="112" t="str">
        <f aca="false">IF($BG474&gt;$BF$7,"",VLOOKUP($BG474,$BI$8:$BO$507,4,FALSE()))</f>
        <v/>
      </c>
      <c r="BT474" s="112" t="str">
        <f aca="false">IF($BG474&gt;$BF$7,"",VLOOKUP($BG474,$BI$8:$BO$507,5,FALSE()))</f>
        <v/>
      </c>
      <c r="BU474" s="113" t="str">
        <f aca="false">IF($BG474&gt;$BF$7,"",VLOOKUP($BG474,$BI$8:$BO$507,6,FALSE()))</f>
        <v/>
      </c>
      <c r="BV474" s="54"/>
    </row>
    <row r="475" customFormat="false" ht="15.75" hidden="false" customHeight="false" outlineLevel="0" collapsed="false">
      <c r="A475" s="5"/>
      <c r="B475" s="128"/>
      <c r="C475" s="129"/>
      <c r="D475" s="114"/>
      <c r="E475" s="134"/>
      <c r="F475" s="139"/>
      <c r="G475" s="93"/>
      <c r="H475" s="140"/>
      <c r="I475" s="95"/>
      <c r="J475" s="95"/>
      <c r="K475" s="93"/>
      <c r="L475" s="141"/>
      <c r="M475" s="95"/>
      <c r="N475" s="95"/>
      <c r="O475" s="93"/>
      <c r="P475" s="134"/>
      <c r="Q475" s="98"/>
      <c r="R475" s="99" t="str">
        <f aca="false">IF(ISBLANK($C475),"",IF(E475=Constants!$B$2, TRUE(), IF(E475=Constants!$B$3, FALSE(), TRUE())))</f>
        <v/>
      </c>
      <c r="S475" s="99" t="str">
        <f aca="false">IF(ISBLANK($C475),"",IF(F475=Constants!$B$2, TRUE(), IF(F475=Constants!$B$3, FALSE(), TRUE())))</f>
        <v/>
      </c>
      <c r="T475" s="99" t="str">
        <f aca="false">IF(ISBLANK($C475),"",IF(G475=Constants!$B$16,Constants!$B$9,IF(G475=Constants!$B$17,Constants!$B$10,Constants!$B$8)))</f>
        <v/>
      </c>
      <c r="U475" s="99" t="str">
        <f aca="false">IF(ISBLANK($C475),"",IF(H475=Constants!$B$19,Constants!$B$19,Constants!$B$18))</f>
        <v/>
      </c>
      <c r="V475" s="99" t="str">
        <f aca="false">IF(ISBLANK($C475),"",IF(ISNUMBER(I475),IF(I475&gt;=0,I475,""),""))</f>
        <v/>
      </c>
      <c r="W475" s="99" t="str">
        <f aca="false">IF(ISBLANK($C475),"",IF(J475=Constants!$B$2, TRUE(), IF(J475=Constants!$B$3, FALSE(), TRUE())))</f>
        <v/>
      </c>
      <c r="X475" s="99" t="str">
        <f aca="false">IF(ISBLANK($C475),"",IF(K475=Constants!$B$2, TRUE(), IF(K475=Constants!$B$3, FALSE(), TRUE())))</f>
        <v/>
      </c>
      <c r="Y475" s="99" t="str">
        <f aca="false">IF(ISBLANK($C475),"",IF(L475=Constants!$B$19,Constants!$B$19,Constants!$B$18))</f>
        <v/>
      </c>
      <c r="Z475" s="99" t="str">
        <f aca="false">IF(ISBLANK($C475),"",IF(ISNUMBER(M475),IF(M475&gt;=0,M475,""),""))</f>
        <v/>
      </c>
      <c r="AA475" s="99" t="str">
        <f aca="false">IF(ISBLANK($C475),"",IF(N475=Constants!$B$2, TRUE(), IF(N475=Constants!$B$3, FALSE(), TRUE())))</f>
        <v/>
      </c>
      <c r="AB475" s="99" t="str">
        <f aca="false">IF(ISBLANK($C475),"",IF(O475=Constants!$B$2, TRUE(), IF(O475=Constants!$B$3, FALSE(), TRUE())))</f>
        <v/>
      </c>
      <c r="AC475" s="99" t="str">
        <f aca="false">IF(ISBLANK($C475),"",IF(P475=Constants!$B$2, TRUE(), IF(P475=Constants!$B$3, FALSE(), FALSE())))</f>
        <v/>
      </c>
      <c r="AD475" s="99" t="str">
        <f aca="false">IF(ISBLANK($C475),"",AND(V475&lt;&gt;"",IF(U475=Constants!$B$19,S475,R475)))</f>
        <v/>
      </c>
      <c r="AE475" s="99" t="str">
        <f aca="false">IF(ISBLANK($C475),"",AND(Z475&lt;&gt;"",IF(Y475=Constants!$B$19,S475,R475)))</f>
        <v/>
      </c>
      <c r="AF475" s="99" t="str">
        <f aca="false">IF(ISBLANK($C475),"",IF(AC475,Constants!$B$4,IF(COUNTA(E475:O475)=0,Constants!$B$5,IF(AND(NOT(AD475),NOT(AE475)),Constants!$B$6,Constants!$B$7))))</f>
        <v/>
      </c>
      <c r="AG475" s="99" t="str">
        <f aca="false">IF(ISBLANK($C475),"",IF($AF475&lt;&gt;Constants!$B$7,$AF475,Constants!$B$20))</f>
        <v/>
      </c>
      <c r="AH475" s="99" t="str">
        <f aca="false">IF($AF475=Constants!$B$7,IF(AD475,V475,Constants!$B$13),"")</f>
        <v/>
      </c>
      <c r="AI475" s="99" t="str">
        <f aca="false">IF($AF475=Constants!$B$7,IF(AD475,T475*IF(W475, 1, Constants!$B$11)*IF(X475, 1, Constants!$B$12),Constants!$B$13),"")</f>
        <v/>
      </c>
      <c r="AJ475" s="99" t="str">
        <f aca="false">IF($AF475=Constants!$B$7,AH475*AI475,"")</f>
        <v/>
      </c>
      <c r="AK475" s="99" t="str">
        <f aca="false">IF($AF475=Constants!$B$7,IF(AE475,Z475,Constants!$B$13),"")</f>
        <v/>
      </c>
      <c r="AL475" s="99" t="str">
        <f aca="false">IF($AF475=Constants!$B$7,IF(AE475,T475*IF(AA475, 1, Constants!$B$11)*IF(AB475, 1, Constants!$B$12),Constants!$B$13),"")</f>
        <v/>
      </c>
      <c r="AM475" s="99" t="str">
        <f aca="false">IF($AF475=Constants!$B$7,AK475*AL475,"")</f>
        <v/>
      </c>
      <c r="AN475" s="99" t="str">
        <f aca="false">IF($AF475=Constants!$B$7,IF(AM475&gt;AJ475,2,1),"")</f>
        <v/>
      </c>
      <c r="AO475" s="99" t="str">
        <f aca="false">IF($AF475=Constants!$B$7,IF(AN475=1,2,1),"")</f>
        <v/>
      </c>
      <c r="AP475" s="99" t="str">
        <f aca="false">IF(ISBLANK($C475),"",IF($AF475&lt;&gt;Constants!$B$7,$AF475,IF(AN475=1,AJ475,AM475)))</f>
        <v/>
      </c>
      <c r="AQ475" s="99" t="str">
        <f aca="false">IF(ISBLANK($C475),"",IF($AF475=Constants!$B$7,IF(ISNUMBER(AP475),RANK(AP475,$AP$8:$AP$507),Constants!$B$14),$AF475))</f>
        <v/>
      </c>
      <c r="AR475" s="99" t="str">
        <f aca="false">IF(ISBLANK($C475),"",IF($AF475=Constants!$B$7,IF(AO475=1,AJ475,AM475),""))</f>
        <v/>
      </c>
      <c r="AS475" s="99" t="str">
        <f aca="false">IF(ISBLANK($C475),"",IF($AF475=Constants!$B$7,RANK(AR475,$AR$8:$AR$507),$AF475))</f>
        <v/>
      </c>
      <c r="AT475" s="99" t="str">
        <f aca="false">IF(ISBLANK($C475),"",IF($AF475=Constants!$B$7,IF(ISNUMBER(AQ475),COUNTIFS($AQ$8:$AQ$507,"&lt;"&amp;$AQ475)+COUNTIFS($AQ$8:$AQ$507,$AQ475,$AS$8:$AS$507,"&lt;"&amp;$AS475)+1,Constants!$B$14),$AF475))</f>
        <v/>
      </c>
      <c r="AU475" s="99" t="str">
        <f aca="false">IF(ISBLANK($C475),"",IF($AF475=Constants!$B$7,IF(ISNUMBER(AQ475),AQ475-AT475,Constants!$B$14),$AF475))</f>
        <v/>
      </c>
      <c r="AV475" s="100"/>
      <c r="AW475" s="101" t="str">
        <f aca="false">IF(ISBLANK($C475),"",IF($AF475&lt;&gt;Constants!$B$7,"",AN475))</f>
        <v/>
      </c>
      <c r="AX475" s="102" t="str">
        <f aca="false">IF(ISBLANK($C475),"",IF($AF475&lt;&gt;Constants!$B$7,"",IF(AN475=1,AH475,AK475)))</f>
        <v/>
      </c>
      <c r="AY475" s="103" t="str">
        <f aca="false">IF(ISBLANK($C475),"",IF($AF475&lt;&gt;Constants!$B$7,"",IF(AN475=1,AI475,AL475)))</f>
        <v/>
      </c>
      <c r="AZ475" s="104" t="str">
        <f aca="false">IF(ISBLANK($C475),"",IF($AF475&lt;&gt;Constants!$B$7,$AF475,AP475))</f>
        <v/>
      </c>
      <c r="BA475" s="105" t="str">
        <f aca="false">IF(ISBLANK($C475),"",IF($AF475&lt;&gt;Constants!$B$7,$AF475,AG475))</f>
        <v/>
      </c>
      <c r="BB475" s="106" t="str">
        <f aca="false">IF(ISBLANK($C475),"",AU475)</f>
        <v/>
      </c>
      <c r="BC475" s="106" t="str">
        <f aca="false">IF(ISBLANK($C475),"",AT475)</f>
        <v/>
      </c>
      <c r="BD475" s="107" t="str">
        <f aca="false">IF(ISBLANK($C475),"",IFERROR(_xlfn.SWITCH(BC475,Constants!$B$4,COUNTA($C$8:$C$507)+2,Constants!$B$5,COUNTA($C$8:$C$507)+1,Constants!$B$6,COUNTA($C$8:$C$507)),BC475))</f>
        <v/>
      </c>
      <c r="BE475" s="5"/>
      <c r="BF475" s="108" t="n">
        <f aca="false">IF(OR(ISNUMBER(BC475),BC475=Constants!$B$4,BC475=Constants!$B$6,BC475=Constants!$B$5),1,0)</f>
        <v>0</v>
      </c>
      <c r="BG475" s="108" t="n">
        <v>468</v>
      </c>
      <c r="BH475" s="108" t="str">
        <f aca="false">IF(ISBLANK($C475),"",IF(ISNUMBER(BD475),BD475+ROW($B475)/1000,""))</f>
        <v/>
      </c>
      <c r="BI475" s="108" t="str">
        <f aca="false">IF(ISNUMBER(BH475),RANK(BH475,$BH$8:$BH$507,1),"")</f>
        <v/>
      </c>
      <c r="BJ475" s="108" t="str">
        <f aca="false">IF(ISBLANK($C475),"",$B475)</f>
        <v/>
      </c>
      <c r="BK475" s="108" t="str">
        <f aca="false">IF(ISBLANK($C475),"",$C475)</f>
        <v/>
      </c>
      <c r="BL475" s="108" t="str">
        <f aca="false">IF(ISBLANK($C475),"",$D475)</f>
        <v/>
      </c>
      <c r="BM475" s="109" t="str">
        <f aca="false">BA475</f>
        <v/>
      </c>
      <c r="BN475" s="110" t="str">
        <f aca="false">AZ475</f>
        <v/>
      </c>
      <c r="BO475" s="108" t="str">
        <f aca="false">IF(ISBLANK($C475),"",BC475)</f>
        <v/>
      </c>
      <c r="BP475" s="111" t="str">
        <f aca="false">IF($BG475&gt;$BF$7,"",VLOOKUP($BG475,$BI$8:$BO$507,7,FALSE()))</f>
        <v/>
      </c>
      <c r="BQ475" s="112" t="str">
        <f aca="false">IF($BG475&gt;$BF$7,"",VLOOKUP($BG475,$BI$8:$BO$507,2,FALSE()))</f>
        <v/>
      </c>
      <c r="BR475" s="112" t="str">
        <f aca="false">IF($BG475&gt;$BF$7,"",VLOOKUP($BG475,$BI$8:$BO$507,3,FALSE()))</f>
        <v/>
      </c>
      <c r="BS475" s="112" t="str">
        <f aca="false">IF($BG475&gt;$BF$7,"",VLOOKUP($BG475,$BI$8:$BO$507,4,FALSE()))</f>
        <v/>
      </c>
      <c r="BT475" s="112" t="str">
        <f aca="false">IF($BG475&gt;$BF$7,"",VLOOKUP($BG475,$BI$8:$BO$507,5,FALSE()))</f>
        <v/>
      </c>
      <c r="BU475" s="113" t="str">
        <f aca="false">IF($BG475&gt;$BF$7,"",VLOOKUP($BG475,$BI$8:$BO$507,6,FALSE()))</f>
        <v/>
      </c>
      <c r="BV475" s="54"/>
    </row>
    <row r="476" customFormat="false" ht="15.75" hidden="false" customHeight="false" outlineLevel="0" collapsed="false">
      <c r="A476" s="5"/>
      <c r="B476" s="135"/>
      <c r="C476" s="56"/>
      <c r="D476" s="57"/>
      <c r="E476" s="84"/>
      <c r="F476" s="136"/>
      <c r="G476" s="60"/>
      <c r="H476" s="137"/>
      <c r="I476" s="62"/>
      <c r="J476" s="62"/>
      <c r="K476" s="60"/>
      <c r="L476" s="138"/>
      <c r="M476" s="62"/>
      <c r="N476" s="62"/>
      <c r="O476" s="60"/>
      <c r="P476" s="84"/>
      <c r="Q476" s="65"/>
      <c r="R476" s="67" t="str">
        <f aca="false">IF(ISBLANK($C476),"",IF(E476=Constants!$B$2, TRUE(), IF(E476=Constants!$B$3, FALSE(), TRUE())))</f>
        <v/>
      </c>
      <c r="S476" s="67" t="str">
        <f aca="false">IF(ISBLANK($C476),"",IF(F476=Constants!$B$2, TRUE(), IF(F476=Constants!$B$3, FALSE(), TRUE())))</f>
        <v/>
      </c>
      <c r="T476" s="67" t="str">
        <f aca="false">IF(ISBLANK($C476),"",IF(G476=Constants!$B$16,Constants!$B$9,IF(G476=Constants!$B$17,Constants!$B$10,Constants!$B$8)))</f>
        <v/>
      </c>
      <c r="U476" s="67" t="str">
        <f aca="false">IF(ISBLANK($C476),"",IF(H476=Constants!$B$19,Constants!$B$19,Constants!$B$18))</f>
        <v/>
      </c>
      <c r="V476" s="67" t="str">
        <f aca="false">IF(ISBLANK($C476),"",IF(ISNUMBER(I476),IF(I476&gt;=0,I476,""),""))</f>
        <v/>
      </c>
      <c r="W476" s="67" t="str">
        <f aca="false">IF(ISBLANK($C476),"",IF(J476=Constants!$B$2, TRUE(), IF(J476=Constants!$B$3, FALSE(), TRUE())))</f>
        <v/>
      </c>
      <c r="X476" s="67" t="str">
        <f aca="false">IF(ISBLANK($C476),"",IF(K476=Constants!$B$2, TRUE(), IF(K476=Constants!$B$3, FALSE(), TRUE())))</f>
        <v/>
      </c>
      <c r="Y476" s="67" t="str">
        <f aca="false">IF(ISBLANK($C476),"",IF(L476=Constants!$B$19,Constants!$B$19,Constants!$B$18))</f>
        <v/>
      </c>
      <c r="Z476" s="67" t="str">
        <f aca="false">IF(ISBLANK($C476),"",IF(ISNUMBER(M476),IF(M476&gt;=0,M476,""),""))</f>
        <v/>
      </c>
      <c r="AA476" s="67" t="str">
        <f aca="false">IF(ISBLANK($C476),"",IF(N476=Constants!$B$2, TRUE(), IF(N476=Constants!$B$3, FALSE(), TRUE())))</f>
        <v/>
      </c>
      <c r="AB476" s="67" t="str">
        <f aca="false">IF(ISBLANK($C476),"",IF(O476=Constants!$B$2, TRUE(), IF(O476=Constants!$B$3, FALSE(), TRUE())))</f>
        <v/>
      </c>
      <c r="AC476" s="67" t="str">
        <f aca="false">IF(ISBLANK($C476),"",IF(P476=Constants!$B$2, TRUE(), IF(P476=Constants!$B$3, FALSE(), FALSE())))</f>
        <v/>
      </c>
      <c r="AD476" s="67" t="str">
        <f aca="false">IF(ISBLANK($C476),"",AND(V476&lt;&gt;"",IF(U476=Constants!$B$19,S476,R476)))</f>
        <v/>
      </c>
      <c r="AE476" s="67" t="str">
        <f aca="false">IF(ISBLANK($C476),"",AND(Z476&lt;&gt;"",IF(Y476=Constants!$B$19,S476,R476)))</f>
        <v/>
      </c>
      <c r="AF476" s="67" t="str">
        <f aca="false">IF(ISBLANK($C476),"",IF(AC476,Constants!$B$4,IF(COUNTA(E476:O476)=0,Constants!$B$5,IF(AND(NOT(AD476),NOT(AE476)),Constants!$B$6,Constants!$B$7))))</f>
        <v/>
      </c>
      <c r="AG476" s="67" t="str">
        <f aca="false">IF(ISBLANK($C476),"",IF($AF476&lt;&gt;Constants!$B$7,$AF476,Constants!$B$20))</f>
        <v/>
      </c>
      <c r="AH476" s="67" t="str">
        <f aca="false">IF($AF476=Constants!$B$7,IF(AD476,V476,Constants!$B$13),"")</f>
        <v/>
      </c>
      <c r="AI476" s="67" t="str">
        <f aca="false">IF($AF476=Constants!$B$7,IF(AD476,T476*IF(W476, 1, Constants!$B$11)*IF(X476, 1, Constants!$B$12),Constants!$B$13),"")</f>
        <v/>
      </c>
      <c r="AJ476" s="67" t="str">
        <f aca="false">IF($AF476=Constants!$B$7,AH476*AI476,"")</f>
        <v/>
      </c>
      <c r="AK476" s="67" t="str">
        <f aca="false">IF($AF476=Constants!$B$7,IF(AE476,Z476,Constants!$B$13),"")</f>
        <v/>
      </c>
      <c r="AL476" s="67" t="str">
        <f aca="false">IF($AF476=Constants!$B$7,IF(AE476,T476*IF(AA476, 1, Constants!$B$11)*IF(AB476, 1, Constants!$B$12),Constants!$B$13),"")</f>
        <v/>
      </c>
      <c r="AM476" s="67" t="str">
        <f aca="false">IF($AF476=Constants!$B$7,AK476*AL476,"")</f>
        <v/>
      </c>
      <c r="AN476" s="67" t="str">
        <f aca="false">IF($AF476=Constants!$B$7,IF(AM476&gt;AJ476,2,1),"")</f>
        <v/>
      </c>
      <c r="AO476" s="67" t="str">
        <f aca="false">IF($AF476=Constants!$B$7,IF(AN476=1,2,1),"")</f>
        <v/>
      </c>
      <c r="AP476" s="67" t="str">
        <f aca="false">IF(ISBLANK($C476),"",IF($AF476&lt;&gt;Constants!$B$7,$AF476,IF(AN476=1,AJ476,AM476)))</f>
        <v/>
      </c>
      <c r="AQ476" s="67" t="str">
        <f aca="false">IF(ISBLANK($C476),"",IF($AF476=Constants!$B$7,IF(ISNUMBER(AP476),RANK(AP476,$AP$8:$AP$507),Constants!$B$14),$AF476))</f>
        <v/>
      </c>
      <c r="AR476" s="67" t="str">
        <f aca="false">IF(ISBLANK($C476),"",IF($AF476=Constants!$B$7,IF(AO476=1,AJ476,AM476),""))</f>
        <v/>
      </c>
      <c r="AS476" s="67" t="str">
        <f aca="false">IF(ISBLANK($C476),"",IF($AF476=Constants!$B$7,RANK(AR476,$AR$8:$AR$507),$AF476))</f>
        <v/>
      </c>
      <c r="AT476" s="67" t="str">
        <f aca="false">IF(ISBLANK($C476),"",IF($AF476=Constants!$B$7,IF(ISNUMBER(AQ476),COUNTIFS($AQ$8:$AQ$507,"&lt;"&amp;$AQ476)+COUNTIFS($AQ$8:$AQ$507,$AQ476,$AS$8:$AS$507,"&lt;"&amp;$AS476)+1,Constants!$B$14),$AF476))</f>
        <v/>
      </c>
      <c r="AU476" s="67" t="str">
        <f aca="false">IF(ISBLANK($C476),"",IF($AF476=Constants!$B$7,IF(ISNUMBER(AQ476),AQ476-AT476,Constants!$B$14),$AF476))</f>
        <v/>
      </c>
      <c r="AV476" s="69"/>
      <c r="AW476" s="70" t="str">
        <f aca="false">IF(ISBLANK($C476),"",IF($AF476&lt;&gt;Constants!$B$7,"",AN476))</f>
        <v/>
      </c>
      <c r="AX476" s="85" t="str">
        <f aca="false">IF(ISBLANK($C476),"",IF($AF476&lt;&gt;Constants!$B$7,"",IF(AN476=1,AH476,AK476)))</f>
        <v/>
      </c>
      <c r="AY476" s="72" t="str">
        <f aca="false">IF(ISBLANK($C476),"",IF($AF476&lt;&gt;Constants!$B$7,"",IF(AN476=1,AI476,AL476)))</f>
        <v/>
      </c>
      <c r="AZ476" s="73" t="str">
        <f aca="false">IF(ISBLANK($C476),"",IF($AF476&lt;&gt;Constants!$B$7,$AF476,AP476))</f>
        <v/>
      </c>
      <c r="BA476" s="74" t="str">
        <f aca="false">IF(ISBLANK($C476),"",IF($AF476&lt;&gt;Constants!$B$7,$AF476,AG476))</f>
        <v/>
      </c>
      <c r="BB476" s="75" t="str">
        <f aca="false">IF(ISBLANK($C476),"",AU476)</f>
        <v/>
      </c>
      <c r="BC476" s="75" t="str">
        <f aca="false">IF(ISBLANK($C476),"",AT476)</f>
        <v/>
      </c>
      <c r="BD476" s="76" t="str">
        <f aca="false">IF(ISBLANK($C476),"",IFERROR(_xlfn.SWITCH(BC476,Constants!$B$4,COUNTA($C$8:$C$507)+2,Constants!$B$5,COUNTA($C$8:$C$507)+1,Constants!$B$6,COUNTA($C$8:$C$507)),BC476))</f>
        <v/>
      </c>
      <c r="BE476" s="5"/>
      <c r="BF476" s="77" t="n">
        <f aca="false">IF(OR(ISNUMBER(BC476),BC476=Constants!$B$4,BC476=Constants!$B$6,BC476=Constants!$B$5),1,0)</f>
        <v>0</v>
      </c>
      <c r="BG476" s="77" t="n">
        <v>469</v>
      </c>
      <c r="BH476" s="77" t="str">
        <f aca="false">IF(ISBLANK($C476),"",IF(ISNUMBER(BD476),BD476+ROW($B476)/1000,""))</f>
        <v/>
      </c>
      <c r="BI476" s="77" t="str">
        <f aca="false">IF(ISNUMBER(BH476),RANK(BH476,$BH$8:$BH$507,1),"")</f>
        <v/>
      </c>
      <c r="BJ476" s="77" t="str">
        <f aca="false">IF(ISBLANK($C476),"",$B476)</f>
        <v/>
      </c>
      <c r="BK476" s="77" t="str">
        <f aca="false">IF(ISBLANK($C476),"",$C476)</f>
        <v/>
      </c>
      <c r="BL476" s="77" t="str">
        <f aca="false">IF(ISBLANK($C476),"",$D476)</f>
        <v/>
      </c>
      <c r="BM476" s="78" t="str">
        <f aca="false">BA476</f>
        <v/>
      </c>
      <c r="BN476" s="79" t="str">
        <f aca="false">AZ476</f>
        <v/>
      </c>
      <c r="BO476" s="77" t="str">
        <f aca="false">IF(ISBLANK($C476),"",BC476)</f>
        <v/>
      </c>
      <c r="BP476" s="80" t="str">
        <f aca="false">IF($BG476&gt;$BF$7,"",VLOOKUP($BG476,$BI$8:$BO$507,7,FALSE()))</f>
        <v/>
      </c>
      <c r="BQ476" s="81" t="str">
        <f aca="false">IF($BG476&gt;$BF$7,"",VLOOKUP($BG476,$BI$8:$BO$507,2,FALSE()))</f>
        <v/>
      </c>
      <c r="BR476" s="81" t="str">
        <f aca="false">IF($BG476&gt;$BF$7,"",VLOOKUP($BG476,$BI$8:$BO$507,3,FALSE()))</f>
        <v/>
      </c>
      <c r="BS476" s="81" t="str">
        <f aca="false">IF($BG476&gt;$BF$7,"",VLOOKUP($BG476,$BI$8:$BO$507,4,FALSE()))</f>
        <v/>
      </c>
      <c r="BT476" s="81" t="str">
        <f aca="false">IF($BG476&gt;$BF$7,"",VLOOKUP($BG476,$BI$8:$BO$507,5,FALSE()))</f>
        <v/>
      </c>
      <c r="BU476" s="82" t="str">
        <f aca="false">IF($BG476&gt;$BF$7,"",VLOOKUP($BG476,$BI$8:$BO$507,6,FALSE()))</f>
        <v/>
      </c>
      <c r="BV476" s="54"/>
    </row>
    <row r="477" customFormat="false" ht="15.75" hidden="false" customHeight="false" outlineLevel="0" collapsed="false">
      <c r="A477" s="5"/>
      <c r="B477" s="135"/>
      <c r="C477" s="56"/>
      <c r="D477" s="57"/>
      <c r="E477" s="84"/>
      <c r="F477" s="136"/>
      <c r="G477" s="60"/>
      <c r="H477" s="137"/>
      <c r="I477" s="62"/>
      <c r="J477" s="62"/>
      <c r="K477" s="60"/>
      <c r="L477" s="138"/>
      <c r="M477" s="62"/>
      <c r="N477" s="62"/>
      <c r="O477" s="60"/>
      <c r="P477" s="84"/>
      <c r="Q477" s="65"/>
      <c r="R477" s="67" t="str">
        <f aca="false">IF(ISBLANK($C477),"",IF(E477=Constants!$B$2, TRUE(), IF(E477=Constants!$B$3, FALSE(), TRUE())))</f>
        <v/>
      </c>
      <c r="S477" s="67" t="str">
        <f aca="false">IF(ISBLANK($C477),"",IF(F477=Constants!$B$2, TRUE(), IF(F477=Constants!$B$3, FALSE(), TRUE())))</f>
        <v/>
      </c>
      <c r="T477" s="67" t="str">
        <f aca="false">IF(ISBLANK($C477),"",IF(G477=Constants!$B$16,Constants!$B$9,IF(G477=Constants!$B$17,Constants!$B$10,Constants!$B$8)))</f>
        <v/>
      </c>
      <c r="U477" s="67" t="str">
        <f aca="false">IF(ISBLANK($C477),"",IF(H477=Constants!$B$19,Constants!$B$19,Constants!$B$18))</f>
        <v/>
      </c>
      <c r="V477" s="67" t="str">
        <f aca="false">IF(ISBLANK($C477),"",IF(ISNUMBER(I477),IF(I477&gt;=0,I477,""),""))</f>
        <v/>
      </c>
      <c r="W477" s="67" t="str">
        <f aca="false">IF(ISBLANK($C477),"",IF(J477=Constants!$B$2, TRUE(), IF(J477=Constants!$B$3, FALSE(), TRUE())))</f>
        <v/>
      </c>
      <c r="X477" s="67" t="str">
        <f aca="false">IF(ISBLANK($C477),"",IF(K477=Constants!$B$2, TRUE(), IF(K477=Constants!$B$3, FALSE(), TRUE())))</f>
        <v/>
      </c>
      <c r="Y477" s="67" t="str">
        <f aca="false">IF(ISBLANK($C477),"",IF(L477=Constants!$B$19,Constants!$B$19,Constants!$B$18))</f>
        <v/>
      </c>
      <c r="Z477" s="67" t="str">
        <f aca="false">IF(ISBLANK($C477),"",IF(ISNUMBER(M477),IF(M477&gt;=0,M477,""),""))</f>
        <v/>
      </c>
      <c r="AA477" s="67" t="str">
        <f aca="false">IF(ISBLANK($C477),"",IF(N477=Constants!$B$2, TRUE(), IF(N477=Constants!$B$3, FALSE(), TRUE())))</f>
        <v/>
      </c>
      <c r="AB477" s="67" t="str">
        <f aca="false">IF(ISBLANK($C477),"",IF(O477=Constants!$B$2, TRUE(), IF(O477=Constants!$B$3, FALSE(), TRUE())))</f>
        <v/>
      </c>
      <c r="AC477" s="67" t="str">
        <f aca="false">IF(ISBLANK($C477),"",IF(P477=Constants!$B$2, TRUE(), IF(P477=Constants!$B$3, FALSE(), FALSE())))</f>
        <v/>
      </c>
      <c r="AD477" s="67" t="str">
        <f aca="false">IF(ISBLANK($C477),"",AND(V477&lt;&gt;"",IF(U477=Constants!$B$19,S477,R477)))</f>
        <v/>
      </c>
      <c r="AE477" s="67" t="str">
        <f aca="false">IF(ISBLANK($C477),"",AND(Z477&lt;&gt;"",IF(Y477=Constants!$B$19,S477,R477)))</f>
        <v/>
      </c>
      <c r="AF477" s="67" t="str">
        <f aca="false">IF(ISBLANK($C477),"",IF(AC477,Constants!$B$4,IF(COUNTA(E477:O477)=0,Constants!$B$5,IF(AND(NOT(AD477),NOT(AE477)),Constants!$B$6,Constants!$B$7))))</f>
        <v/>
      </c>
      <c r="AG477" s="67" t="str">
        <f aca="false">IF(ISBLANK($C477),"",IF($AF477&lt;&gt;Constants!$B$7,$AF477,Constants!$B$20))</f>
        <v/>
      </c>
      <c r="AH477" s="67" t="str">
        <f aca="false">IF($AF477=Constants!$B$7,IF(AD477,V477,Constants!$B$13),"")</f>
        <v/>
      </c>
      <c r="AI477" s="67" t="str">
        <f aca="false">IF($AF477=Constants!$B$7,IF(AD477,T477*IF(W477, 1, Constants!$B$11)*IF(X477, 1, Constants!$B$12),Constants!$B$13),"")</f>
        <v/>
      </c>
      <c r="AJ477" s="67" t="str">
        <f aca="false">IF($AF477=Constants!$B$7,AH477*AI477,"")</f>
        <v/>
      </c>
      <c r="AK477" s="67" t="str">
        <f aca="false">IF($AF477=Constants!$B$7,IF(AE477,Z477,Constants!$B$13),"")</f>
        <v/>
      </c>
      <c r="AL477" s="67" t="str">
        <f aca="false">IF($AF477=Constants!$B$7,IF(AE477,T477*IF(AA477, 1, Constants!$B$11)*IF(AB477, 1, Constants!$B$12),Constants!$B$13),"")</f>
        <v/>
      </c>
      <c r="AM477" s="67" t="str">
        <f aca="false">IF($AF477=Constants!$B$7,AK477*AL477,"")</f>
        <v/>
      </c>
      <c r="AN477" s="67" t="str">
        <f aca="false">IF($AF477=Constants!$B$7,IF(AM477&gt;AJ477,2,1),"")</f>
        <v/>
      </c>
      <c r="AO477" s="67" t="str">
        <f aca="false">IF($AF477=Constants!$B$7,IF(AN477=1,2,1),"")</f>
        <v/>
      </c>
      <c r="AP477" s="67" t="str">
        <f aca="false">IF(ISBLANK($C477),"",IF($AF477&lt;&gt;Constants!$B$7,$AF477,IF(AN477=1,AJ477,AM477)))</f>
        <v/>
      </c>
      <c r="AQ477" s="67" t="str">
        <f aca="false">IF(ISBLANK($C477),"",IF($AF477=Constants!$B$7,IF(ISNUMBER(AP477),RANK(AP477,$AP$8:$AP$507),Constants!$B$14),$AF477))</f>
        <v/>
      </c>
      <c r="AR477" s="67" t="str">
        <f aca="false">IF(ISBLANK($C477),"",IF($AF477=Constants!$B$7,IF(AO477=1,AJ477,AM477),""))</f>
        <v/>
      </c>
      <c r="AS477" s="67" t="str">
        <f aca="false">IF(ISBLANK($C477),"",IF($AF477=Constants!$B$7,RANK(AR477,$AR$8:$AR$507),$AF477))</f>
        <v/>
      </c>
      <c r="AT477" s="67" t="str">
        <f aca="false">IF(ISBLANK($C477),"",IF($AF477=Constants!$B$7,IF(ISNUMBER(AQ477),COUNTIFS($AQ$8:$AQ$507,"&lt;"&amp;$AQ477)+COUNTIFS($AQ$8:$AQ$507,$AQ477,$AS$8:$AS$507,"&lt;"&amp;$AS477)+1,Constants!$B$14),$AF477))</f>
        <v/>
      </c>
      <c r="AU477" s="67" t="str">
        <f aca="false">IF(ISBLANK($C477),"",IF($AF477=Constants!$B$7,IF(ISNUMBER(AQ477),AQ477-AT477,Constants!$B$14),$AF477))</f>
        <v/>
      </c>
      <c r="AV477" s="69"/>
      <c r="AW477" s="70" t="str">
        <f aca="false">IF(ISBLANK($C477),"",IF($AF477&lt;&gt;Constants!$B$7,"",AN477))</f>
        <v/>
      </c>
      <c r="AX477" s="85" t="str">
        <f aca="false">IF(ISBLANK($C477),"",IF($AF477&lt;&gt;Constants!$B$7,"",IF(AN477=1,AH477,AK477)))</f>
        <v/>
      </c>
      <c r="AY477" s="72" t="str">
        <f aca="false">IF(ISBLANK($C477),"",IF($AF477&lt;&gt;Constants!$B$7,"",IF(AN477=1,AI477,AL477)))</f>
        <v/>
      </c>
      <c r="AZ477" s="73" t="str">
        <f aca="false">IF(ISBLANK($C477),"",IF($AF477&lt;&gt;Constants!$B$7,$AF477,AP477))</f>
        <v/>
      </c>
      <c r="BA477" s="74" t="str">
        <f aca="false">IF(ISBLANK($C477),"",IF($AF477&lt;&gt;Constants!$B$7,$AF477,AG477))</f>
        <v/>
      </c>
      <c r="BB477" s="75" t="str">
        <f aca="false">IF(ISBLANK($C477),"",AU477)</f>
        <v/>
      </c>
      <c r="BC477" s="75" t="str">
        <f aca="false">IF(ISBLANK($C477),"",AT477)</f>
        <v/>
      </c>
      <c r="BD477" s="76" t="str">
        <f aca="false">IF(ISBLANK($C477),"",IFERROR(_xlfn.SWITCH(BC477,Constants!$B$4,COUNTA($C$8:$C$507)+2,Constants!$B$5,COUNTA($C$8:$C$507)+1,Constants!$B$6,COUNTA($C$8:$C$507)),BC477))</f>
        <v/>
      </c>
      <c r="BE477" s="5"/>
      <c r="BF477" s="77" t="n">
        <f aca="false">IF(OR(ISNUMBER(BC477),BC477=Constants!$B$4,BC477=Constants!$B$6,BC477=Constants!$B$5),1,0)</f>
        <v>0</v>
      </c>
      <c r="BG477" s="77" t="n">
        <v>470</v>
      </c>
      <c r="BH477" s="77" t="str">
        <f aca="false">IF(ISBLANK($C477),"",IF(ISNUMBER(BD477),BD477+ROW($B477)/1000,""))</f>
        <v/>
      </c>
      <c r="BI477" s="77" t="str">
        <f aca="false">IF(ISNUMBER(BH477),RANK(BH477,$BH$8:$BH$507,1),"")</f>
        <v/>
      </c>
      <c r="BJ477" s="77" t="str">
        <f aca="false">IF(ISBLANK($C477),"",$B477)</f>
        <v/>
      </c>
      <c r="BK477" s="77" t="str">
        <f aca="false">IF(ISBLANK($C477),"",$C477)</f>
        <v/>
      </c>
      <c r="BL477" s="77" t="str">
        <f aca="false">IF(ISBLANK($C477),"",$D477)</f>
        <v/>
      </c>
      <c r="BM477" s="78" t="str">
        <f aca="false">BA477</f>
        <v/>
      </c>
      <c r="BN477" s="79" t="str">
        <f aca="false">AZ477</f>
        <v/>
      </c>
      <c r="BO477" s="77" t="str">
        <f aca="false">IF(ISBLANK($C477),"",BC477)</f>
        <v/>
      </c>
      <c r="BP477" s="80" t="str">
        <f aca="false">IF($BG477&gt;$BF$7,"",VLOOKUP($BG477,$BI$8:$BO$507,7,FALSE()))</f>
        <v/>
      </c>
      <c r="BQ477" s="81" t="str">
        <f aca="false">IF($BG477&gt;$BF$7,"",VLOOKUP($BG477,$BI$8:$BO$507,2,FALSE()))</f>
        <v/>
      </c>
      <c r="BR477" s="81" t="str">
        <f aca="false">IF($BG477&gt;$BF$7,"",VLOOKUP($BG477,$BI$8:$BO$507,3,FALSE()))</f>
        <v/>
      </c>
      <c r="BS477" s="81" t="str">
        <f aca="false">IF($BG477&gt;$BF$7,"",VLOOKUP($BG477,$BI$8:$BO$507,4,FALSE()))</f>
        <v/>
      </c>
      <c r="BT477" s="81" t="str">
        <f aca="false">IF($BG477&gt;$BF$7,"",VLOOKUP($BG477,$BI$8:$BO$507,5,FALSE()))</f>
        <v/>
      </c>
      <c r="BU477" s="82" t="str">
        <f aca="false">IF($BG477&gt;$BF$7,"",VLOOKUP($BG477,$BI$8:$BO$507,6,FALSE()))</f>
        <v/>
      </c>
      <c r="BV477" s="54"/>
    </row>
    <row r="478" customFormat="false" ht="15.75" hidden="false" customHeight="false" outlineLevel="0" collapsed="false">
      <c r="A478" s="5"/>
      <c r="B478" s="135"/>
      <c r="C478" s="56"/>
      <c r="D478" s="57"/>
      <c r="E478" s="84"/>
      <c r="F478" s="136"/>
      <c r="G478" s="60"/>
      <c r="H478" s="137"/>
      <c r="I478" s="62"/>
      <c r="J478" s="62"/>
      <c r="K478" s="60"/>
      <c r="L478" s="138"/>
      <c r="M478" s="62"/>
      <c r="N478" s="62"/>
      <c r="O478" s="60"/>
      <c r="P478" s="84"/>
      <c r="Q478" s="65"/>
      <c r="R478" s="67" t="str">
        <f aca="false">IF(ISBLANK($C478),"",IF(E478=Constants!$B$2, TRUE(), IF(E478=Constants!$B$3, FALSE(), TRUE())))</f>
        <v/>
      </c>
      <c r="S478" s="67" t="str">
        <f aca="false">IF(ISBLANK($C478),"",IF(F478=Constants!$B$2, TRUE(), IF(F478=Constants!$B$3, FALSE(), TRUE())))</f>
        <v/>
      </c>
      <c r="T478" s="67" t="str">
        <f aca="false">IF(ISBLANK($C478),"",IF(G478=Constants!$B$16,Constants!$B$9,IF(G478=Constants!$B$17,Constants!$B$10,Constants!$B$8)))</f>
        <v/>
      </c>
      <c r="U478" s="67" t="str">
        <f aca="false">IF(ISBLANK($C478),"",IF(H478=Constants!$B$19,Constants!$B$19,Constants!$B$18))</f>
        <v/>
      </c>
      <c r="V478" s="67" t="str">
        <f aca="false">IF(ISBLANK($C478),"",IF(ISNUMBER(I478),IF(I478&gt;=0,I478,""),""))</f>
        <v/>
      </c>
      <c r="W478" s="67" t="str">
        <f aca="false">IF(ISBLANK($C478),"",IF(J478=Constants!$B$2, TRUE(), IF(J478=Constants!$B$3, FALSE(), TRUE())))</f>
        <v/>
      </c>
      <c r="X478" s="67" t="str">
        <f aca="false">IF(ISBLANK($C478),"",IF(K478=Constants!$B$2, TRUE(), IF(K478=Constants!$B$3, FALSE(), TRUE())))</f>
        <v/>
      </c>
      <c r="Y478" s="67" t="str">
        <f aca="false">IF(ISBLANK($C478),"",IF(L478=Constants!$B$19,Constants!$B$19,Constants!$B$18))</f>
        <v/>
      </c>
      <c r="Z478" s="67" t="str">
        <f aca="false">IF(ISBLANK($C478),"",IF(ISNUMBER(M478),IF(M478&gt;=0,M478,""),""))</f>
        <v/>
      </c>
      <c r="AA478" s="67" t="str">
        <f aca="false">IF(ISBLANK($C478),"",IF(N478=Constants!$B$2, TRUE(), IF(N478=Constants!$B$3, FALSE(), TRUE())))</f>
        <v/>
      </c>
      <c r="AB478" s="67" t="str">
        <f aca="false">IF(ISBLANK($C478),"",IF(O478=Constants!$B$2, TRUE(), IF(O478=Constants!$B$3, FALSE(), TRUE())))</f>
        <v/>
      </c>
      <c r="AC478" s="67" t="str">
        <f aca="false">IF(ISBLANK($C478),"",IF(P478=Constants!$B$2, TRUE(), IF(P478=Constants!$B$3, FALSE(), FALSE())))</f>
        <v/>
      </c>
      <c r="AD478" s="67" t="str">
        <f aca="false">IF(ISBLANK($C478),"",AND(V478&lt;&gt;"",IF(U478=Constants!$B$19,S478,R478)))</f>
        <v/>
      </c>
      <c r="AE478" s="67" t="str">
        <f aca="false">IF(ISBLANK($C478),"",AND(Z478&lt;&gt;"",IF(Y478=Constants!$B$19,S478,R478)))</f>
        <v/>
      </c>
      <c r="AF478" s="67" t="str">
        <f aca="false">IF(ISBLANK($C478),"",IF(AC478,Constants!$B$4,IF(COUNTA(E478:O478)=0,Constants!$B$5,IF(AND(NOT(AD478),NOT(AE478)),Constants!$B$6,Constants!$B$7))))</f>
        <v/>
      </c>
      <c r="AG478" s="67" t="str">
        <f aca="false">IF(ISBLANK($C478),"",IF($AF478&lt;&gt;Constants!$B$7,$AF478,Constants!$B$20))</f>
        <v/>
      </c>
      <c r="AH478" s="67" t="str">
        <f aca="false">IF($AF478=Constants!$B$7,IF(AD478,V478,Constants!$B$13),"")</f>
        <v/>
      </c>
      <c r="AI478" s="67" t="str">
        <f aca="false">IF($AF478=Constants!$B$7,IF(AD478,T478*IF(W478, 1, Constants!$B$11)*IF(X478, 1, Constants!$B$12),Constants!$B$13),"")</f>
        <v/>
      </c>
      <c r="AJ478" s="67" t="str">
        <f aca="false">IF($AF478=Constants!$B$7,AH478*AI478,"")</f>
        <v/>
      </c>
      <c r="AK478" s="67" t="str">
        <f aca="false">IF($AF478=Constants!$B$7,IF(AE478,Z478,Constants!$B$13),"")</f>
        <v/>
      </c>
      <c r="AL478" s="67" t="str">
        <f aca="false">IF($AF478=Constants!$B$7,IF(AE478,T478*IF(AA478, 1, Constants!$B$11)*IF(AB478, 1, Constants!$B$12),Constants!$B$13),"")</f>
        <v/>
      </c>
      <c r="AM478" s="67" t="str">
        <f aca="false">IF($AF478=Constants!$B$7,AK478*AL478,"")</f>
        <v/>
      </c>
      <c r="AN478" s="67" t="str">
        <f aca="false">IF($AF478=Constants!$B$7,IF(AM478&gt;AJ478,2,1),"")</f>
        <v/>
      </c>
      <c r="AO478" s="67" t="str">
        <f aca="false">IF($AF478=Constants!$B$7,IF(AN478=1,2,1),"")</f>
        <v/>
      </c>
      <c r="AP478" s="67" t="str">
        <f aca="false">IF(ISBLANK($C478),"",IF($AF478&lt;&gt;Constants!$B$7,$AF478,IF(AN478=1,AJ478,AM478)))</f>
        <v/>
      </c>
      <c r="AQ478" s="67" t="str">
        <f aca="false">IF(ISBLANK($C478),"",IF($AF478=Constants!$B$7,IF(ISNUMBER(AP478),RANK(AP478,$AP$8:$AP$507),Constants!$B$14),$AF478))</f>
        <v/>
      </c>
      <c r="AR478" s="67" t="str">
        <f aca="false">IF(ISBLANK($C478),"",IF($AF478=Constants!$B$7,IF(AO478=1,AJ478,AM478),""))</f>
        <v/>
      </c>
      <c r="AS478" s="67" t="str">
        <f aca="false">IF(ISBLANK($C478),"",IF($AF478=Constants!$B$7,RANK(AR478,$AR$8:$AR$507),$AF478))</f>
        <v/>
      </c>
      <c r="AT478" s="67" t="str">
        <f aca="false">IF(ISBLANK($C478),"",IF($AF478=Constants!$B$7,IF(ISNUMBER(AQ478),COUNTIFS($AQ$8:$AQ$507,"&lt;"&amp;$AQ478)+COUNTIFS($AQ$8:$AQ$507,$AQ478,$AS$8:$AS$507,"&lt;"&amp;$AS478)+1,Constants!$B$14),$AF478))</f>
        <v/>
      </c>
      <c r="AU478" s="67" t="str">
        <f aca="false">IF(ISBLANK($C478),"",IF($AF478=Constants!$B$7,IF(ISNUMBER(AQ478),AQ478-AT478,Constants!$B$14),$AF478))</f>
        <v/>
      </c>
      <c r="AV478" s="69"/>
      <c r="AW478" s="70" t="str">
        <f aca="false">IF(ISBLANK($C478),"",IF($AF478&lt;&gt;Constants!$B$7,"",AN478))</f>
        <v/>
      </c>
      <c r="AX478" s="85" t="str">
        <f aca="false">IF(ISBLANK($C478),"",IF($AF478&lt;&gt;Constants!$B$7,"",IF(AN478=1,AH478,AK478)))</f>
        <v/>
      </c>
      <c r="AY478" s="72" t="str">
        <f aca="false">IF(ISBLANK($C478),"",IF($AF478&lt;&gt;Constants!$B$7,"",IF(AN478=1,AI478,AL478)))</f>
        <v/>
      </c>
      <c r="AZ478" s="73" t="str">
        <f aca="false">IF(ISBLANK($C478),"",IF($AF478&lt;&gt;Constants!$B$7,$AF478,AP478))</f>
        <v/>
      </c>
      <c r="BA478" s="74" t="str">
        <f aca="false">IF(ISBLANK($C478),"",IF($AF478&lt;&gt;Constants!$B$7,$AF478,AG478))</f>
        <v/>
      </c>
      <c r="BB478" s="75" t="str">
        <f aca="false">IF(ISBLANK($C478),"",AU478)</f>
        <v/>
      </c>
      <c r="BC478" s="75" t="str">
        <f aca="false">IF(ISBLANK($C478),"",AT478)</f>
        <v/>
      </c>
      <c r="BD478" s="76" t="str">
        <f aca="false">IF(ISBLANK($C478),"",IFERROR(_xlfn.SWITCH(BC478,Constants!$B$4,COUNTA($C$8:$C$507)+2,Constants!$B$5,COUNTA($C$8:$C$507)+1,Constants!$B$6,COUNTA($C$8:$C$507)),BC478))</f>
        <v/>
      </c>
      <c r="BE478" s="5"/>
      <c r="BF478" s="77" t="n">
        <f aca="false">IF(OR(ISNUMBER(BC478),BC478=Constants!$B$4,BC478=Constants!$B$6,BC478=Constants!$B$5),1,0)</f>
        <v>0</v>
      </c>
      <c r="BG478" s="77" t="n">
        <v>471</v>
      </c>
      <c r="BH478" s="77" t="str">
        <f aca="false">IF(ISBLANK($C478),"",IF(ISNUMBER(BD478),BD478+ROW($B478)/1000,""))</f>
        <v/>
      </c>
      <c r="BI478" s="77" t="str">
        <f aca="false">IF(ISNUMBER(BH478),RANK(BH478,$BH$8:$BH$507,1),"")</f>
        <v/>
      </c>
      <c r="BJ478" s="77" t="str">
        <f aca="false">IF(ISBLANK($C478),"",$B478)</f>
        <v/>
      </c>
      <c r="BK478" s="77" t="str">
        <f aca="false">IF(ISBLANK($C478),"",$C478)</f>
        <v/>
      </c>
      <c r="BL478" s="77" t="str">
        <f aca="false">IF(ISBLANK($C478),"",$D478)</f>
        <v/>
      </c>
      <c r="BM478" s="78" t="str">
        <f aca="false">BA478</f>
        <v/>
      </c>
      <c r="BN478" s="79" t="str">
        <f aca="false">AZ478</f>
        <v/>
      </c>
      <c r="BO478" s="77" t="str">
        <f aca="false">IF(ISBLANK($C478),"",BC478)</f>
        <v/>
      </c>
      <c r="BP478" s="80" t="str">
        <f aca="false">IF($BG478&gt;$BF$7,"",VLOOKUP($BG478,$BI$8:$BO$507,7,FALSE()))</f>
        <v/>
      </c>
      <c r="BQ478" s="81" t="str">
        <f aca="false">IF($BG478&gt;$BF$7,"",VLOOKUP($BG478,$BI$8:$BO$507,2,FALSE()))</f>
        <v/>
      </c>
      <c r="BR478" s="81" t="str">
        <f aca="false">IF($BG478&gt;$BF$7,"",VLOOKUP($BG478,$BI$8:$BO$507,3,FALSE()))</f>
        <v/>
      </c>
      <c r="BS478" s="81" t="str">
        <f aca="false">IF($BG478&gt;$BF$7,"",VLOOKUP($BG478,$BI$8:$BO$507,4,FALSE()))</f>
        <v/>
      </c>
      <c r="BT478" s="81" t="str">
        <f aca="false">IF($BG478&gt;$BF$7,"",VLOOKUP($BG478,$BI$8:$BO$507,5,FALSE()))</f>
        <v/>
      </c>
      <c r="BU478" s="82" t="str">
        <f aca="false">IF($BG478&gt;$BF$7,"",VLOOKUP($BG478,$BI$8:$BO$507,6,FALSE()))</f>
        <v/>
      </c>
      <c r="BV478" s="54"/>
    </row>
    <row r="479" customFormat="false" ht="15.75" hidden="false" customHeight="false" outlineLevel="0" collapsed="false">
      <c r="A479" s="5"/>
      <c r="B479" s="128"/>
      <c r="C479" s="129"/>
      <c r="D479" s="114"/>
      <c r="E479" s="134"/>
      <c r="F479" s="139"/>
      <c r="G479" s="93"/>
      <c r="H479" s="140"/>
      <c r="I479" s="95"/>
      <c r="J479" s="95"/>
      <c r="K479" s="93"/>
      <c r="L479" s="141"/>
      <c r="M479" s="95"/>
      <c r="N479" s="95"/>
      <c r="O479" s="93"/>
      <c r="P479" s="134"/>
      <c r="Q479" s="98"/>
      <c r="R479" s="99" t="str">
        <f aca="false">IF(ISBLANK($C479),"",IF(E479=Constants!$B$2, TRUE(), IF(E479=Constants!$B$3, FALSE(), TRUE())))</f>
        <v/>
      </c>
      <c r="S479" s="99" t="str">
        <f aca="false">IF(ISBLANK($C479),"",IF(F479=Constants!$B$2, TRUE(), IF(F479=Constants!$B$3, FALSE(), TRUE())))</f>
        <v/>
      </c>
      <c r="T479" s="99" t="str">
        <f aca="false">IF(ISBLANK($C479),"",IF(G479=Constants!$B$16,Constants!$B$9,IF(G479=Constants!$B$17,Constants!$B$10,Constants!$B$8)))</f>
        <v/>
      </c>
      <c r="U479" s="99" t="str">
        <f aca="false">IF(ISBLANK($C479),"",IF(H479=Constants!$B$19,Constants!$B$19,Constants!$B$18))</f>
        <v/>
      </c>
      <c r="V479" s="99" t="str">
        <f aca="false">IF(ISBLANK($C479),"",IF(ISNUMBER(I479),IF(I479&gt;=0,I479,""),""))</f>
        <v/>
      </c>
      <c r="W479" s="99" t="str">
        <f aca="false">IF(ISBLANK($C479),"",IF(J479=Constants!$B$2, TRUE(), IF(J479=Constants!$B$3, FALSE(), TRUE())))</f>
        <v/>
      </c>
      <c r="X479" s="99" t="str">
        <f aca="false">IF(ISBLANK($C479),"",IF(K479=Constants!$B$2, TRUE(), IF(K479=Constants!$B$3, FALSE(), TRUE())))</f>
        <v/>
      </c>
      <c r="Y479" s="99" t="str">
        <f aca="false">IF(ISBLANK($C479),"",IF(L479=Constants!$B$19,Constants!$B$19,Constants!$B$18))</f>
        <v/>
      </c>
      <c r="Z479" s="99" t="str">
        <f aca="false">IF(ISBLANK($C479),"",IF(ISNUMBER(M479),IF(M479&gt;=0,M479,""),""))</f>
        <v/>
      </c>
      <c r="AA479" s="99" t="str">
        <f aca="false">IF(ISBLANK($C479),"",IF(N479=Constants!$B$2, TRUE(), IF(N479=Constants!$B$3, FALSE(), TRUE())))</f>
        <v/>
      </c>
      <c r="AB479" s="99" t="str">
        <f aca="false">IF(ISBLANK($C479),"",IF(O479=Constants!$B$2, TRUE(), IF(O479=Constants!$B$3, FALSE(), TRUE())))</f>
        <v/>
      </c>
      <c r="AC479" s="99" t="str">
        <f aca="false">IF(ISBLANK($C479),"",IF(P479=Constants!$B$2, TRUE(), IF(P479=Constants!$B$3, FALSE(), FALSE())))</f>
        <v/>
      </c>
      <c r="AD479" s="99" t="str">
        <f aca="false">IF(ISBLANK($C479),"",AND(V479&lt;&gt;"",IF(U479=Constants!$B$19,S479,R479)))</f>
        <v/>
      </c>
      <c r="AE479" s="99" t="str">
        <f aca="false">IF(ISBLANK($C479),"",AND(Z479&lt;&gt;"",IF(Y479=Constants!$B$19,S479,R479)))</f>
        <v/>
      </c>
      <c r="AF479" s="99" t="str">
        <f aca="false">IF(ISBLANK($C479),"",IF(AC479,Constants!$B$4,IF(COUNTA(E479:O479)=0,Constants!$B$5,IF(AND(NOT(AD479),NOT(AE479)),Constants!$B$6,Constants!$B$7))))</f>
        <v/>
      </c>
      <c r="AG479" s="99" t="str">
        <f aca="false">IF(ISBLANK($C479),"",IF($AF479&lt;&gt;Constants!$B$7,$AF479,Constants!$B$20))</f>
        <v/>
      </c>
      <c r="AH479" s="99" t="str">
        <f aca="false">IF($AF479=Constants!$B$7,IF(AD479,V479,Constants!$B$13),"")</f>
        <v/>
      </c>
      <c r="AI479" s="99" t="str">
        <f aca="false">IF($AF479=Constants!$B$7,IF(AD479,T479*IF(W479, 1, Constants!$B$11)*IF(X479, 1, Constants!$B$12),Constants!$B$13),"")</f>
        <v/>
      </c>
      <c r="AJ479" s="99" t="str">
        <f aca="false">IF($AF479=Constants!$B$7,AH479*AI479,"")</f>
        <v/>
      </c>
      <c r="AK479" s="99" t="str">
        <f aca="false">IF($AF479=Constants!$B$7,IF(AE479,Z479,Constants!$B$13),"")</f>
        <v/>
      </c>
      <c r="AL479" s="99" t="str">
        <f aca="false">IF($AF479=Constants!$B$7,IF(AE479,T479*IF(AA479, 1, Constants!$B$11)*IF(AB479, 1, Constants!$B$12),Constants!$B$13),"")</f>
        <v/>
      </c>
      <c r="AM479" s="99" t="str">
        <f aca="false">IF($AF479=Constants!$B$7,AK479*AL479,"")</f>
        <v/>
      </c>
      <c r="AN479" s="99" t="str">
        <f aca="false">IF($AF479=Constants!$B$7,IF(AM479&gt;AJ479,2,1),"")</f>
        <v/>
      </c>
      <c r="AO479" s="99" t="str">
        <f aca="false">IF($AF479=Constants!$B$7,IF(AN479=1,2,1),"")</f>
        <v/>
      </c>
      <c r="AP479" s="99" t="str">
        <f aca="false">IF(ISBLANK($C479),"",IF($AF479&lt;&gt;Constants!$B$7,$AF479,IF(AN479=1,AJ479,AM479)))</f>
        <v/>
      </c>
      <c r="AQ479" s="99" t="str">
        <f aca="false">IF(ISBLANK($C479),"",IF($AF479=Constants!$B$7,IF(ISNUMBER(AP479),RANK(AP479,$AP$8:$AP$507),Constants!$B$14),$AF479))</f>
        <v/>
      </c>
      <c r="AR479" s="99" t="str">
        <f aca="false">IF(ISBLANK($C479),"",IF($AF479=Constants!$B$7,IF(AO479=1,AJ479,AM479),""))</f>
        <v/>
      </c>
      <c r="AS479" s="99" t="str">
        <f aca="false">IF(ISBLANK($C479),"",IF($AF479=Constants!$B$7,RANK(AR479,$AR$8:$AR$507),$AF479))</f>
        <v/>
      </c>
      <c r="AT479" s="99" t="str">
        <f aca="false">IF(ISBLANK($C479),"",IF($AF479=Constants!$B$7,IF(ISNUMBER(AQ479),COUNTIFS($AQ$8:$AQ$507,"&lt;"&amp;$AQ479)+COUNTIFS($AQ$8:$AQ$507,$AQ479,$AS$8:$AS$507,"&lt;"&amp;$AS479)+1,Constants!$B$14),$AF479))</f>
        <v/>
      </c>
      <c r="AU479" s="99" t="str">
        <f aca="false">IF(ISBLANK($C479),"",IF($AF479=Constants!$B$7,IF(ISNUMBER(AQ479),AQ479-AT479,Constants!$B$14),$AF479))</f>
        <v/>
      </c>
      <c r="AV479" s="100"/>
      <c r="AW479" s="101" t="str">
        <f aca="false">IF(ISBLANK($C479),"",IF($AF479&lt;&gt;Constants!$B$7,"",AN479))</f>
        <v/>
      </c>
      <c r="AX479" s="102" t="str">
        <f aca="false">IF(ISBLANK($C479),"",IF($AF479&lt;&gt;Constants!$B$7,"",IF(AN479=1,AH479,AK479)))</f>
        <v/>
      </c>
      <c r="AY479" s="103" t="str">
        <f aca="false">IF(ISBLANK($C479),"",IF($AF479&lt;&gt;Constants!$B$7,"",IF(AN479=1,AI479,AL479)))</f>
        <v/>
      </c>
      <c r="AZ479" s="104" t="str">
        <f aca="false">IF(ISBLANK($C479),"",IF($AF479&lt;&gt;Constants!$B$7,$AF479,AP479))</f>
        <v/>
      </c>
      <c r="BA479" s="105" t="str">
        <f aca="false">IF(ISBLANK($C479),"",IF($AF479&lt;&gt;Constants!$B$7,$AF479,AG479))</f>
        <v/>
      </c>
      <c r="BB479" s="106" t="str">
        <f aca="false">IF(ISBLANK($C479),"",AU479)</f>
        <v/>
      </c>
      <c r="BC479" s="106" t="str">
        <f aca="false">IF(ISBLANK($C479),"",AT479)</f>
        <v/>
      </c>
      <c r="BD479" s="107" t="str">
        <f aca="false">IF(ISBLANK($C479),"",IFERROR(_xlfn.SWITCH(BC479,Constants!$B$4,COUNTA($C$8:$C$507)+2,Constants!$B$5,COUNTA($C$8:$C$507)+1,Constants!$B$6,COUNTA($C$8:$C$507)),BC479))</f>
        <v/>
      </c>
      <c r="BE479" s="5"/>
      <c r="BF479" s="108" t="n">
        <f aca="false">IF(OR(ISNUMBER(BC479),BC479=Constants!$B$4,BC479=Constants!$B$6,BC479=Constants!$B$5),1,0)</f>
        <v>0</v>
      </c>
      <c r="BG479" s="108" t="n">
        <v>472</v>
      </c>
      <c r="BH479" s="108" t="str">
        <f aca="false">IF(ISBLANK($C479),"",IF(ISNUMBER(BD479),BD479+ROW($B479)/1000,""))</f>
        <v/>
      </c>
      <c r="BI479" s="108" t="str">
        <f aca="false">IF(ISNUMBER(BH479),RANK(BH479,$BH$8:$BH$507,1),"")</f>
        <v/>
      </c>
      <c r="BJ479" s="108" t="str">
        <f aca="false">IF(ISBLANK($C479),"",$B479)</f>
        <v/>
      </c>
      <c r="BK479" s="108" t="str">
        <f aca="false">IF(ISBLANK($C479),"",$C479)</f>
        <v/>
      </c>
      <c r="BL479" s="108" t="str">
        <f aca="false">IF(ISBLANK($C479),"",$D479)</f>
        <v/>
      </c>
      <c r="BM479" s="109" t="str">
        <f aca="false">BA479</f>
        <v/>
      </c>
      <c r="BN479" s="110" t="str">
        <f aca="false">AZ479</f>
        <v/>
      </c>
      <c r="BO479" s="108" t="str">
        <f aca="false">IF(ISBLANK($C479),"",BC479)</f>
        <v/>
      </c>
      <c r="BP479" s="111" t="str">
        <f aca="false">IF($BG479&gt;$BF$7,"",VLOOKUP($BG479,$BI$8:$BO$507,7,FALSE()))</f>
        <v/>
      </c>
      <c r="BQ479" s="112" t="str">
        <f aca="false">IF($BG479&gt;$BF$7,"",VLOOKUP($BG479,$BI$8:$BO$507,2,FALSE()))</f>
        <v/>
      </c>
      <c r="BR479" s="112" t="str">
        <f aca="false">IF($BG479&gt;$BF$7,"",VLOOKUP($BG479,$BI$8:$BO$507,3,FALSE()))</f>
        <v/>
      </c>
      <c r="BS479" s="112" t="str">
        <f aca="false">IF($BG479&gt;$BF$7,"",VLOOKUP($BG479,$BI$8:$BO$507,4,FALSE()))</f>
        <v/>
      </c>
      <c r="BT479" s="112" t="str">
        <f aca="false">IF($BG479&gt;$BF$7,"",VLOOKUP($BG479,$BI$8:$BO$507,5,FALSE()))</f>
        <v/>
      </c>
      <c r="BU479" s="113" t="str">
        <f aca="false">IF($BG479&gt;$BF$7,"",VLOOKUP($BG479,$BI$8:$BO$507,6,FALSE()))</f>
        <v/>
      </c>
      <c r="BV479" s="54"/>
    </row>
    <row r="480" customFormat="false" ht="15.75" hidden="false" customHeight="false" outlineLevel="0" collapsed="false">
      <c r="A480" s="5"/>
      <c r="B480" s="128"/>
      <c r="C480" s="129"/>
      <c r="D480" s="114"/>
      <c r="E480" s="134"/>
      <c r="F480" s="139"/>
      <c r="G480" s="93"/>
      <c r="H480" s="140"/>
      <c r="I480" s="95"/>
      <c r="J480" s="95"/>
      <c r="K480" s="93"/>
      <c r="L480" s="141"/>
      <c r="M480" s="95"/>
      <c r="N480" s="95"/>
      <c r="O480" s="93"/>
      <c r="P480" s="134"/>
      <c r="Q480" s="98"/>
      <c r="R480" s="99" t="str">
        <f aca="false">IF(ISBLANK($C480),"",IF(E480=Constants!$B$2, TRUE(), IF(E480=Constants!$B$3, FALSE(), TRUE())))</f>
        <v/>
      </c>
      <c r="S480" s="99" t="str">
        <f aca="false">IF(ISBLANK($C480),"",IF(F480=Constants!$B$2, TRUE(), IF(F480=Constants!$B$3, FALSE(), TRUE())))</f>
        <v/>
      </c>
      <c r="T480" s="99" t="str">
        <f aca="false">IF(ISBLANK($C480),"",IF(G480=Constants!$B$16,Constants!$B$9,IF(G480=Constants!$B$17,Constants!$B$10,Constants!$B$8)))</f>
        <v/>
      </c>
      <c r="U480" s="99" t="str">
        <f aca="false">IF(ISBLANK($C480),"",IF(H480=Constants!$B$19,Constants!$B$19,Constants!$B$18))</f>
        <v/>
      </c>
      <c r="V480" s="99" t="str">
        <f aca="false">IF(ISBLANK($C480),"",IF(ISNUMBER(I480),IF(I480&gt;=0,I480,""),""))</f>
        <v/>
      </c>
      <c r="W480" s="99" t="str">
        <f aca="false">IF(ISBLANK($C480),"",IF(J480=Constants!$B$2, TRUE(), IF(J480=Constants!$B$3, FALSE(), TRUE())))</f>
        <v/>
      </c>
      <c r="X480" s="99" t="str">
        <f aca="false">IF(ISBLANK($C480),"",IF(K480=Constants!$B$2, TRUE(), IF(K480=Constants!$B$3, FALSE(), TRUE())))</f>
        <v/>
      </c>
      <c r="Y480" s="99" t="str">
        <f aca="false">IF(ISBLANK($C480),"",IF(L480=Constants!$B$19,Constants!$B$19,Constants!$B$18))</f>
        <v/>
      </c>
      <c r="Z480" s="99" t="str">
        <f aca="false">IF(ISBLANK($C480),"",IF(ISNUMBER(M480),IF(M480&gt;=0,M480,""),""))</f>
        <v/>
      </c>
      <c r="AA480" s="99" t="str">
        <f aca="false">IF(ISBLANK($C480),"",IF(N480=Constants!$B$2, TRUE(), IF(N480=Constants!$B$3, FALSE(), TRUE())))</f>
        <v/>
      </c>
      <c r="AB480" s="99" t="str">
        <f aca="false">IF(ISBLANK($C480),"",IF(O480=Constants!$B$2, TRUE(), IF(O480=Constants!$B$3, FALSE(), TRUE())))</f>
        <v/>
      </c>
      <c r="AC480" s="99" t="str">
        <f aca="false">IF(ISBLANK($C480),"",IF(P480=Constants!$B$2, TRUE(), IF(P480=Constants!$B$3, FALSE(), FALSE())))</f>
        <v/>
      </c>
      <c r="AD480" s="99" t="str">
        <f aca="false">IF(ISBLANK($C480),"",AND(V480&lt;&gt;"",IF(U480=Constants!$B$19,S480,R480)))</f>
        <v/>
      </c>
      <c r="AE480" s="99" t="str">
        <f aca="false">IF(ISBLANK($C480),"",AND(Z480&lt;&gt;"",IF(Y480=Constants!$B$19,S480,R480)))</f>
        <v/>
      </c>
      <c r="AF480" s="99" t="str">
        <f aca="false">IF(ISBLANK($C480),"",IF(AC480,Constants!$B$4,IF(COUNTA(E480:O480)=0,Constants!$B$5,IF(AND(NOT(AD480),NOT(AE480)),Constants!$B$6,Constants!$B$7))))</f>
        <v/>
      </c>
      <c r="AG480" s="99" t="str">
        <f aca="false">IF(ISBLANK($C480),"",IF($AF480&lt;&gt;Constants!$B$7,$AF480,Constants!$B$20))</f>
        <v/>
      </c>
      <c r="AH480" s="99" t="str">
        <f aca="false">IF($AF480=Constants!$B$7,IF(AD480,V480,Constants!$B$13),"")</f>
        <v/>
      </c>
      <c r="AI480" s="99" t="str">
        <f aca="false">IF($AF480=Constants!$B$7,IF(AD480,T480*IF(W480, 1, Constants!$B$11)*IF(X480, 1, Constants!$B$12),Constants!$B$13),"")</f>
        <v/>
      </c>
      <c r="AJ480" s="99" t="str">
        <f aca="false">IF($AF480=Constants!$B$7,AH480*AI480,"")</f>
        <v/>
      </c>
      <c r="AK480" s="99" t="str">
        <f aca="false">IF($AF480=Constants!$B$7,IF(AE480,Z480,Constants!$B$13),"")</f>
        <v/>
      </c>
      <c r="AL480" s="99" t="str">
        <f aca="false">IF($AF480=Constants!$B$7,IF(AE480,T480*IF(AA480, 1, Constants!$B$11)*IF(AB480, 1, Constants!$B$12),Constants!$B$13),"")</f>
        <v/>
      </c>
      <c r="AM480" s="99" t="str">
        <f aca="false">IF($AF480=Constants!$B$7,AK480*AL480,"")</f>
        <v/>
      </c>
      <c r="AN480" s="99" t="str">
        <f aca="false">IF($AF480=Constants!$B$7,IF(AM480&gt;AJ480,2,1),"")</f>
        <v/>
      </c>
      <c r="AO480" s="99" t="str">
        <f aca="false">IF($AF480=Constants!$B$7,IF(AN480=1,2,1),"")</f>
        <v/>
      </c>
      <c r="AP480" s="99" t="str">
        <f aca="false">IF(ISBLANK($C480),"",IF($AF480&lt;&gt;Constants!$B$7,$AF480,IF(AN480=1,AJ480,AM480)))</f>
        <v/>
      </c>
      <c r="AQ480" s="99" t="str">
        <f aca="false">IF(ISBLANK($C480),"",IF($AF480=Constants!$B$7,IF(ISNUMBER(AP480),RANK(AP480,$AP$8:$AP$507),Constants!$B$14),$AF480))</f>
        <v/>
      </c>
      <c r="AR480" s="99" t="str">
        <f aca="false">IF(ISBLANK($C480),"",IF($AF480=Constants!$B$7,IF(AO480=1,AJ480,AM480),""))</f>
        <v/>
      </c>
      <c r="AS480" s="99" t="str">
        <f aca="false">IF(ISBLANK($C480),"",IF($AF480=Constants!$B$7,RANK(AR480,$AR$8:$AR$507),$AF480))</f>
        <v/>
      </c>
      <c r="AT480" s="99" t="str">
        <f aca="false">IF(ISBLANK($C480),"",IF($AF480=Constants!$B$7,IF(ISNUMBER(AQ480),COUNTIFS($AQ$8:$AQ$507,"&lt;"&amp;$AQ480)+COUNTIFS($AQ$8:$AQ$507,$AQ480,$AS$8:$AS$507,"&lt;"&amp;$AS480)+1,Constants!$B$14),$AF480))</f>
        <v/>
      </c>
      <c r="AU480" s="99" t="str">
        <f aca="false">IF(ISBLANK($C480),"",IF($AF480=Constants!$B$7,IF(ISNUMBER(AQ480),AQ480-AT480,Constants!$B$14),$AF480))</f>
        <v/>
      </c>
      <c r="AV480" s="100"/>
      <c r="AW480" s="101" t="str">
        <f aca="false">IF(ISBLANK($C480),"",IF($AF480&lt;&gt;Constants!$B$7,"",AN480))</f>
        <v/>
      </c>
      <c r="AX480" s="102" t="str">
        <f aca="false">IF(ISBLANK($C480),"",IF($AF480&lt;&gt;Constants!$B$7,"",IF(AN480=1,AH480,AK480)))</f>
        <v/>
      </c>
      <c r="AY480" s="103" t="str">
        <f aca="false">IF(ISBLANK($C480),"",IF($AF480&lt;&gt;Constants!$B$7,"",IF(AN480=1,AI480,AL480)))</f>
        <v/>
      </c>
      <c r="AZ480" s="104" t="str">
        <f aca="false">IF(ISBLANK($C480),"",IF($AF480&lt;&gt;Constants!$B$7,$AF480,AP480))</f>
        <v/>
      </c>
      <c r="BA480" s="105" t="str">
        <f aca="false">IF(ISBLANK($C480),"",IF($AF480&lt;&gt;Constants!$B$7,$AF480,AG480))</f>
        <v/>
      </c>
      <c r="BB480" s="106" t="str">
        <f aca="false">IF(ISBLANK($C480),"",AU480)</f>
        <v/>
      </c>
      <c r="BC480" s="106" t="str">
        <f aca="false">IF(ISBLANK($C480),"",AT480)</f>
        <v/>
      </c>
      <c r="BD480" s="107" t="str">
        <f aca="false">IF(ISBLANK($C480),"",IFERROR(_xlfn.SWITCH(BC480,Constants!$B$4,COUNTA($C$8:$C$507)+2,Constants!$B$5,COUNTA($C$8:$C$507)+1,Constants!$B$6,COUNTA($C$8:$C$507)),BC480))</f>
        <v/>
      </c>
      <c r="BE480" s="5"/>
      <c r="BF480" s="108" t="n">
        <f aca="false">IF(OR(ISNUMBER(BC480),BC480=Constants!$B$4,BC480=Constants!$B$6,BC480=Constants!$B$5),1,0)</f>
        <v>0</v>
      </c>
      <c r="BG480" s="108" t="n">
        <v>473</v>
      </c>
      <c r="BH480" s="108" t="str">
        <f aca="false">IF(ISBLANK($C480),"",IF(ISNUMBER(BD480),BD480+ROW($B480)/1000,""))</f>
        <v/>
      </c>
      <c r="BI480" s="108" t="str">
        <f aca="false">IF(ISNUMBER(BH480),RANK(BH480,$BH$8:$BH$507,1),"")</f>
        <v/>
      </c>
      <c r="BJ480" s="108" t="str">
        <f aca="false">IF(ISBLANK($C480),"",$B480)</f>
        <v/>
      </c>
      <c r="BK480" s="108" t="str">
        <f aca="false">IF(ISBLANK($C480),"",$C480)</f>
        <v/>
      </c>
      <c r="BL480" s="108" t="str">
        <f aca="false">IF(ISBLANK($C480),"",$D480)</f>
        <v/>
      </c>
      <c r="BM480" s="109" t="str">
        <f aca="false">BA480</f>
        <v/>
      </c>
      <c r="BN480" s="110" t="str">
        <f aca="false">AZ480</f>
        <v/>
      </c>
      <c r="BO480" s="108" t="str">
        <f aca="false">IF(ISBLANK($C480),"",BC480)</f>
        <v/>
      </c>
      <c r="BP480" s="111" t="str">
        <f aca="false">IF($BG480&gt;$BF$7,"",VLOOKUP($BG480,$BI$8:$BO$507,7,FALSE()))</f>
        <v/>
      </c>
      <c r="BQ480" s="112" t="str">
        <f aca="false">IF($BG480&gt;$BF$7,"",VLOOKUP($BG480,$BI$8:$BO$507,2,FALSE()))</f>
        <v/>
      </c>
      <c r="BR480" s="112" t="str">
        <f aca="false">IF($BG480&gt;$BF$7,"",VLOOKUP($BG480,$BI$8:$BO$507,3,FALSE()))</f>
        <v/>
      </c>
      <c r="BS480" s="112" t="str">
        <f aca="false">IF($BG480&gt;$BF$7,"",VLOOKUP($BG480,$BI$8:$BO$507,4,FALSE()))</f>
        <v/>
      </c>
      <c r="BT480" s="112" t="str">
        <f aca="false">IF($BG480&gt;$BF$7,"",VLOOKUP($BG480,$BI$8:$BO$507,5,FALSE()))</f>
        <v/>
      </c>
      <c r="BU480" s="113" t="str">
        <f aca="false">IF($BG480&gt;$BF$7,"",VLOOKUP($BG480,$BI$8:$BO$507,6,FALSE()))</f>
        <v/>
      </c>
      <c r="BV480" s="54"/>
    </row>
    <row r="481" customFormat="false" ht="15.75" hidden="false" customHeight="false" outlineLevel="0" collapsed="false">
      <c r="A481" s="5"/>
      <c r="B481" s="128"/>
      <c r="C481" s="129"/>
      <c r="D481" s="114"/>
      <c r="E481" s="134"/>
      <c r="F481" s="139"/>
      <c r="G481" s="93"/>
      <c r="H481" s="140"/>
      <c r="I481" s="95"/>
      <c r="J481" s="95"/>
      <c r="K481" s="93"/>
      <c r="L481" s="141"/>
      <c r="M481" s="95"/>
      <c r="N481" s="95"/>
      <c r="O481" s="93"/>
      <c r="P481" s="134"/>
      <c r="Q481" s="98"/>
      <c r="R481" s="99" t="str">
        <f aca="false">IF(ISBLANK($C481),"",IF(E481=Constants!$B$2, TRUE(), IF(E481=Constants!$B$3, FALSE(), TRUE())))</f>
        <v/>
      </c>
      <c r="S481" s="99" t="str">
        <f aca="false">IF(ISBLANK($C481),"",IF(F481=Constants!$B$2, TRUE(), IF(F481=Constants!$B$3, FALSE(), TRUE())))</f>
        <v/>
      </c>
      <c r="T481" s="99" t="str">
        <f aca="false">IF(ISBLANK($C481),"",IF(G481=Constants!$B$16,Constants!$B$9,IF(G481=Constants!$B$17,Constants!$B$10,Constants!$B$8)))</f>
        <v/>
      </c>
      <c r="U481" s="99" t="str">
        <f aca="false">IF(ISBLANK($C481),"",IF(H481=Constants!$B$19,Constants!$B$19,Constants!$B$18))</f>
        <v/>
      </c>
      <c r="V481" s="99" t="str">
        <f aca="false">IF(ISBLANK($C481),"",IF(ISNUMBER(I481),IF(I481&gt;=0,I481,""),""))</f>
        <v/>
      </c>
      <c r="W481" s="99" t="str">
        <f aca="false">IF(ISBLANK($C481),"",IF(J481=Constants!$B$2, TRUE(), IF(J481=Constants!$B$3, FALSE(), TRUE())))</f>
        <v/>
      </c>
      <c r="X481" s="99" t="str">
        <f aca="false">IF(ISBLANK($C481),"",IF(K481=Constants!$B$2, TRUE(), IF(K481=Constants!$B$3, FALSE(), TRUE())))</f>
        <v/>
      </c>
      <c r="Y481" s="99" t="str">
        <f aca="false">IF(ISBLANK($C481),"",IF(L481=Constants!$B$19,Constants!$B$19,Constants!$B$18))</f>
        <v/>
      </c>
      <c r="Z481" s="99" t="str">
        <f aca="false">IF(ISBLANK($C481),"",IF(ISNUMBER(M481),IF(M481&gt;=0,M481,""),""))</f>
        <v/>
      </c>
      <c r="AA481" s="99" t="str">
        <f aca="false">IF(ISBLANK($C481),"",IF(N481=Constants!$B$2, TRUE(), IF(N481=Constants!$B$3, FALSE(), TRUE())))</f>
        <v/>
      </c>
      <c r="AB481" s="99" t="str">
        <f aca="false">IF(ISBLANK($C481),"",IF(O481=Constants!$B$2, TRUE(), IF(O481=Constants!$B$3, FALSE(), TRUE())))</f>
        <v/>
      </c>
      <c r="AC481" s="99" t="str">
        <f aca="false">IF(ISBLANK($C481),"",IF(P481=Constants!$B$2, TRUE(), IF(P481=Constants!$B$3, FALSE(), FALSE())))</f>
        <v/>
      </c>
      <c r="AD481" s="99" t="str">
        <f aca="false">IF(ISBLANK($C481),"",AND(V481&lt;&gt;"",IF(U481=Constants!$B$19,S481,R481)))</f>
        <v/>
      </c>
      <c r="AE481" s="99" t="str">
        <f aca="false">IF(ISBLANK($C481),"",AND(Z481&lt;&gt;"",IF(Y481=Constants!$B$19,S481,R481)))</f>
        <v/>
      </c>
      <c r="AF481" s="99" t="str">
        <f aca="false">IF(ISBLANK($C481),"",IF(AC481,Constants!$B$4,IF(COUNTA(E481:O481)=0,Constants!$B$5,IF(AND(NOT(AD481),NOT(AE481)),Constants!$B$6,Constants!$B$7))))</f>
        <v/>
      </c>
      <c r="AG481" s="99" t="str">
        <f aca="false">IF(ISBLANK($C481),"",IF($AF481&lt;&gt;Constants!$B$7,$AF481,Constants!$B$20))</f>
        <v/>
      </c>
      <c r="AH481" s="99" t="str">
        <f aca="false">IF($AF481=Constants!$B$7,IF(AD481,V481,Constants!$B$13),"")</f>
        <v/>
      </c>
      <c r="AI481" s="99" t="str">
        <f aca="false">IF($AF481=Constants!$B$7,IF(AD481,T481*IF(W481, 1, Constants!$B$11)*IF(X481, 1, Constants!$B$12),Constants!$B$13),"")</f>
        <v/>
      </c>
      <c r="AJ481" s="99" t="str">
        <f aca="false">IF($AF481=Constants!$B$7,AH481*AI481,"")</f>
        <v/>
      </c>
      <c r="AK481" s="99" t="str">
        <f aca="false">IF($AF481=Constants!$B$7,IF(AE481,Z481,Constants!$B$13),"")</f>
        <v/>
      </c>
      <c r="AL481" s="99" t="str">
        <f aca="false">IF($AF481=Constants!$B$7,IF(AE481,T481*IF(AA481, 1, Constants!$B$11)*IF(AB481, 1, Constants!$B$12),Constants!$B$13),"")</f>
        <v/>
      </c>
      <c r="AM481" s="99" t="str">
        <f aca="false">IF($AF481=Constants!$B$7,AK481*AL481,"")</f>
        <v/>
      </c>
      <c r="AN481" s="99" t="str">
        <f aca="false">IF($AF481=Constants!$B$7,IF(AM481&gt;AJ481,2,1),"")</f>
        <v/>
      </c>
      <c r="AO481" s="99" t="str">
        <f aca="false">IF($AF481=Constants!$B$7,IF(AN481=1,2,1),"")</f>
        <v/>
      </c>
      <c r="AP481" s="99" t="str">
        <f aca="false">IF(ISBLANK($C481),"",IF($AF481&lt;&gt;Constants!$B$7,$AF481,IF(AN481=1,AJ481,AM481)))</f>
        <v/>
      </c>
      <c r="AQ481" s="99" t="str">
        <f aca="false">IF(ISBLANK($C481),"",IF($AF481=Constants!$B$7,IF(ISNUMBER(AP481),RANK(AP481,$AP$8:$AP$507),Constants!$B$14),$AF481))</f>
        <v/>
      </c>
      <c r="AR481" s="99" t="str">
        <f aca="false">IF(ISBLANK($C481),"",IF($AF481=Constants!$B$7,IF(AO481=1,AJ481,AM481),""))</f>
        <v/>
      </c>
      <c r="AS481" s="99" t="str">
        <f aca="false">IF(ISBLANK($C481),"",IF($AF481=Constants!$B$7,RANK(AR481,$AR$8:$AR$507),$AF481))</f>
        <v/>
      </c>
      <c r="AT481" s="99" t="str">
        <f aca="false">IF(ISBLANK($C481),"",IF($AF481=Constants!$B$7,IF(ISNUMBER(AQ481),COUNTIFS($AQ$8:$AQ$507,"&lt;"&amp;$AQ481)+COUNTIFS($AQ$8:$AQ$507,$AQ481,$AS$8:$AS$507,"&lt;"&amp;$AS481)+1,Constants!$B$14),$AF481))</f>
        <v/>
      </c>
      <c r="AU481" s="99" t="str">
        <f aca="false">IF(ISBLANK($C481),"",IF($AF481=Constants!$B$7,IF(ISNUMBER(AQ481),AQ481-AT481,Constants!$B$14),$AF481))</f>
        <v/>
      </c>
      <c r="AV481" s="100"/>
      <c r="AW481" s="101" t="str">
        <f aca="false">IF(ISBLANK($C481),"",IF($AF481&lt;&gt;Constants!$B$7,"",AN481))</f>
        <v/>
      </c>
      <c r="AX481" s="102" t="str">
        <f aca="false">IF(ISBLANK($C481),"",IF($AF481&lt;&gt;Constants!$B$7,"",IF(AN481=1,AH481,AK481)))</f>
        <v/>
      </c>
      <c r="AY481" s="103" t="str">
        <f aca="false">IF(ISBLANK($C481),"",IF($AF481&lt;&gt;Constants!$B$7,"",IF(AN481=1,AI481,AL481)))</f>
        <v/>
      </c>
      <c r="AZ481" s="104" t="str">
        <f aca="false">IF(ISBLANK($C481),"",IF($AF481&lt;&gt;Constants!$B$7,$AF481,AP481))</f>
        <v/>
      </c>
      <c r="BA481" s="105" t="str">
        <f aca="false">IF(ISBLANK($C481),"",IF($AF481&lt;&gt;Constants!$B$7,$AF481,AG481))</f>
        <v/>
      </c>
      <c r="BB481" s="106" t="str">
        <f aca="false">IF(ISBLANK($C481),"",AU481)</f>
        <v/>
      </c>
      <c r="BC481" s="106" t="str">
        <f aca="false">IF(ISBLANK($C481),"",AT481)</f>
        <v/>
      </c>
      <c r="BD481" s="107" t="str">
        <f aca="false">IF(ISBLANK($C481),"",IFERROR(_xlfn.SWITCH(BC481,Constants!$B$4,COUNTA($C$8:$C$507)+2,Constants!$B$5,COUNTA($C$8:$C$507)+1,Constants!$B$6,COUNTA($C$8:$C$507)),BC481))</f>
        <v/>
      </c>
      <c r="BE481" s="5"/>
      <c r="BF481" s="108" t="n">
        <f aca="false">IF(OR(ISNUMBER(BC481),BC481=Constants!$B$4,BC481=Constants!$B$6,BC481=Constants!$B$5),1,0)</f>
        <v>0</v>
      </c>
      <c r="BG481" s="108" t="n">
        <v>474</v>
      </c>
      <c r="BH481" s="108" t="str">
        <f aca="false">IF(ISBLANK($C481),"",IF(ISNUMBER(BD481),BD481+ROW($B481)/1000,""))</f>
        <v/>
      </c>
      <c r="BI481" s="108" t="str">
        <f aca="false">IF(ISNUMBER(BH481),RANK(BH481,$BH$8:$BH$507,1),"")</f>
        <v/>
      </c>
      <c r="BJ481" s="108" t="str">
        <f aca="false">IF(ISBLANK($C481),"",$B481)</f>
        <v/>
      </c>
      <c r="BK481" s="108" t="str">
        <f aca="false">IF(ISBLANK($C481),"",$C481)</f>
        <v/>
      </c>
      <c r="BL481" s="108" t="str">
        <f aca="false">IF(ISBLANK($C481),"",$D481)</f>
        <v/>
      </c>
      <c r="BM481" s="109" t="str">
        <f aca="false">BA481</f>
        <v/>
      </c>
      <c r="BN481" s="110" t="str">
        <f aca="false">AZ481</f>
        <v/>
      </c>
      <c r="BO481" s="108" t="str">
        <f aca="false">IF(ISBLANK($C481),"",BC481)</f>
        <v/>
      </c>
      <c r="BP481" s="111" t="str">
        <f aca="false">IF($BG481&gt;$BF$7,"",VLOOKUP($BG481,$BI$8:$BO$507,7,FALSE()))</f>
        <v/>
      </c>
      <c r="BQ481" s="112" t="str">
        <f aca="false">IF($BG481&gt;$BF$7,"",VLOOKUP($BG481,$BI$8:$BO$507,2,FALSE()))</f>
        <v/>
      </c>
      <c r="BR481" s="112" t="str">
        <f aca="false">IF($BG481&gt;$BF$7,"",VLOOKUP($BG481,$BI$8:$BO$507,3,FALSE()))</f>
        <v/>
      </c>
      <c r="BS481" s="112" t="str">
        <f aca="false">IF($BG481&gt;$BF$7,"",VLOOKUP($BG481,$BI$8:$BO$507,4,FALSE()))</f>
        <v/>
      </c>
      <c r="BT481" s="112" t="str">
        <f aca="false">IF($BG481&gt;$BF$7,"",VLOOKUP($BG481,$BI$8:$BO$507,5,FALSE()))</f>
        <v/>
      </c>
      <c r="BU481" s="113" t="str">
        <f aca="false">IF($BG481&gt;$BF$7,"",VLOOKUP($BG481,$BI$8:$BO$507,6,FALSE()))</f>
        <v/>
      </c>
      <c r="BV481" s="54"/>
    </row>
    <row r="482" customFormat="false" ht="15.75" hidden="false" customHeight="false" outlineLevel="0" collapsed="false">
      <c r="A482" s="5"/>
      <c r="B482" s="135"/>
      <c r="C482" s="56"/>
      <c r="D482" s="57"/>
      <c r="E482" s="84"/>
      <c r="F482" s="136"/>
      <c r="G482" s="60"/>
      <c r="H482" s="137"/>
      <c r="I482" s="62"/>
      <c r="J482" s="62"/>
      <c r="K482" s="60"/>
      <c r="L482" s="138"/>
      <c r="M482" s="62"/>
      <c r="N482" s="62"/>
      <c r="O482" s="60"/>
      <c r="P482" s="84"/>
      <c r="Q482" s="65"/>
      <c r="R482" s="67" t="str">
        <f aca="false">IF(ISBLANK($C482),"",IF(E482=Constants!$B$2, TRUE(), IF(E482=Constants!$B$3, FALSE(), TRUE())))</f>
        <v/>
      </c>
      <c r="S482" s="67" t="str">
        <f aca="false">IF(ISBLANK($C482),"",IF(F482=Constants!$B$2, TRUE(), IF(F482=Constants!$B$3, FALSE(), TRUE())))</f>
        <v/>
      </c>
      <c r="T482" s="67" t="str">
        <f aca="false">IF(ISBLANK($C482),"",IF(G482=Constants!$B$16,Constants!$B$9,IF(G482=Constants!$B$17,Constants!$B$10,Constants!$B$8)))</f>
        <v/>
      </c>
      <c r="U482" s="67" t="str">
        <f aca="false">IF(ISBLANK($C482),"",IF(H482=Constants!$B$19,Constants!$B$19,Constants!$B$18))</f>
        <v/>
      </c>
      <c r="V482" s="67" t="str">
        <f aca="false">IF(ISBLANK($C482),"",IF(ISNUMBER(I482),IF(I482&gt;=0,I482,""),""))</f>
        <v/>
      </c>
      <c r="W482" s="67" t="str">
        <f aca="false">IF(ISBLANK($C482),"",IF(J482=Constants!$B$2, TRUE(), IF(J482=Constants!$B$3, FALSE(), TRUE())))</f>
        <v/>
      </c>
      <c r="X482" s="67" t="str">
        <f aca="false">IF(ISBLANK($C482),"",IF(K482=Constants!$B$2, TRUE(), IF(K482=Constants!$B$3, FALSE(), TRUE())))</f>
        <v/>
      </c>
      <c r="Y482" s="67" t="str">
        <f aca="false">IF(ISBLANK($C482),"",IF(L482=Constants!$B$19,Constants!$B$19,Constants!$B$18))</f>
        <v/>
      </c>
      <c r="Z482" s="67" t="str">
        <f aca="false">IF(ISBLANK($C482),"",IF(ISNUMBER(M482),IF(M482&gt;=0,M482,""),""))</f>
        <v/>
      </c>
      <c r="AA482" s="67" t="str">
        <f aca="false">IF(ISBLANK($C482),"",IF(N482=Constants!$B$2, TRUE(), IF(N482=Constants!$B$3, FALSE(), TRUE())))</f>
        <v/>
      </c>
      <c r="AB482" s="67" t="str">
        <f aca="false">IF(ISBLANK($C482),"",IF(O482=Constants!$B$2, TRUE(), IF(O482=Constants!$B$3, FALSE(), TRUE())))</f>
        <v/>
      </c>
      <c r="AC482" s="67" t="str">
        <f aca="false">IF(ISBLANK($C482),"",IF(P482=Constants!$B$2, TRUE(), IF(P482=Constants!$B$3, FALSE(), FALSE())))</f>
        <v/>
      </c>
      <c r="AD482" s="67" t="str">
        <f aca="false">IF(ISBLANK($C482),"",AND(V482&lt;&gt;"",IF(U482=Constants!$B$19,S482,R482)))</f>
        <v/>
      </c>
      <c r="AE482" s="67" t="str">
        <f aca="false">IF(ISBLANK($C482),"",AND(Z482&lt;&gt;"",IF(Y482=Constants!$B$19,S482,R482)))</f>
        <v/>
      </c>
      <c r="AF482" s="67" t="str">
        <f aca="false">IF(ISBLANK($C482),"",IF(AC482,Constants!$B$4,IF(COUNTA(E482:O482)=0,Constants!$B$5,IF(AND(NOT(AD482),NOT(AE482)),Constants!$B$6,Constants!$B$7))))</f>
        <v/>
      </c>
      <c r="AG482" s="67" t="str">
        <f aca="false">IF(ISBLANK($C482),"",IF($AF482&lt;&gt;Constants!$B$7,$AF482,Constants!$B$20))</f>
        <v/>
      </c>
      <c r="AH482" s="67" t="str">
        <f aca="false">IF($AF482=Constants!$B$7,IF(AD482,V482,Constants!$B$13),"")</f>
        <v/>
      </c>
      <c r="AI482" s="67" t="str">
        <f aca="false">IF($AF482=Constants!$B$7,IF(AD482,T482*IF(W482, 1, Constants!$B$11)*IF(X482, 1, Constants!$B$12),Constants!$B$13),"")</f>
        <v/>
      </c>
      <c r="AJ482" s="67" t="str">
        <f aca="false">IF($AF482=Constants!$B$7,AH482*AI482,"")</f>
        <v/>
      </c>
      <c r="AK482" s="67" t="str">
        <f aca="false">IF($AF482=Constants!$B$7,IF(AE482,Z482,Constants!$B$13),"")</f>
        <v/>
      </c>
      <c r="AL482" s="67" t="str">
        <f aca="false">IF($AF482=Constants!$B$7,IF(AE482,T482*IF(AA482, 1, Constants!$B$11)*IF(AB482, 1, Constants!$B$12),Constants!$B$13),"")</f>
        <v/>
      </c>
      <c r="AM482" s="67" t="str">
        <f aca="false">IF($AF482=Constants!$B$7,AK482*AL482,"")</f>
        <v/>
      </c>
      <c r="AN482" s="67" t="str">
        <f aca="false">IF($AF482=Constants!$B$7,IF(AM482&gt;AJ482,2,1),"")</f>
        <v/>
      </c>
      <c r="AO482" s="67" t="str">
        <f aca="false">IF($AF482=Constants!$B$7,IF(AN482=1,2,1),"")</f>
        <v/>
      </c>
      <c r="AP482" s="67" t="str">
        <f aca="false">IF(ISBLANK($C482),"",IF($AF482&lt;&gt;Constants!$B$7,$AF482,IF(AN482=1,AJ482,AM482)))</f>
        <v/>
      </c>
      <c r="AQ482" s="67" t="str">
        <f aca="false">IF(ISBLANK($C482),"",IF($AF482=Constants!$B$7,IF(ISNUMBER(AP482),RANK(AP482,$AP$8:$AP$507),Constants!$B$14),$AF482))</f>
        <v/>
      </c>
      <c r="AR482" s="67" t="str">
        <f aca="false">IF(ISBLANK($C482),"",IF($AF482=Constants!$B$7,IF(AO482=1,AJ482,AM482),""))</f>
        <v/>
      </c>
      <c r="AS482" s="67" t="str">
        <f aca="false">IF(ISBLANK($C482),"",IF($AF482=Constants!$B$7,RANK(AR482,$AR$8:$AR$507),$AF482))</f>
        <v/>
      </c>
      <c r="AT482" s="67" t="str">
        <f aca="false">IF(ISBLANK($C482),"",IF($AF482=Constants!$B$7,IF(ISNUMBER(AQ482),COUNTIFS($AQ$8:$AQ$507,"&lt;"&amp;$AQ482)+COUNTIFS($AQ$8:$AQ$507,$AQ482,$AS$8:$AS$507,"&lt;"&amp;$AS482)+1,Constants!$B$14),$AF482))</f>
        <v/>
      </c>
      <c r="AU482" s="67" t="str">
        <f aca="false">IF(ISBLANK($C482),"",IF($AF482=Constants!$B$7,IF(ISNUMBER(AQ482),AQ482-AT482,Constants!$B$14),$AF482))</f>
        <v/>
      </c>
      <c r="AV482" s="69"/>
      <c r="AW482" s="70" t="str">
        <f aca="false">IF(ISBLANK($C482),"",IF($AF482&lt;&gt;Constants!$B$7,"",AN482))</f>
        <v/>
      </c>
      <c r="AX482" s="85" t="str">
        <f aca="false">IF(ISBLANK($C482),"",IF($AF482&lt;&gt;Constants!$B$7,"",IF(AN482=1,AH482,AK482)))</f>
        <v/>
      </c>
      <c r="AY482" s="72" t="str">
        <f aca="false">IF(ISBLANK($C482),"",IF($AF482&lt;&gt;Constants!$B$7,"",IF(AN482=1,AI482,AL482)))</f>
        <v/>
      </c>
      <c r="AZ482" s="73" t="str">
        <f aca="false">IF(ISBLANK($C482),"",IF($AF482&lt;&gt;Constants!$B$7,$AF482,AP482))</f>
        <v/>
      </c>
      <c r="BA482" s="74" t="str">
        <f aca="false">IF(ISBLANK($C482),"",IF($AF482&lt;&gt;Constants!$B$7,$AF482,AG482))</f>
        <v/>
      </c>
      <c r="BB482" s="75" t="str">
        <f aca="false">IF(ISBLANK($C482),"",AU482)</f>
        <v/>
      </c>
      <c r="BC482" s="75" t="str">
        <f aca="false">IF(ISBLANK($C482),"",AT482)</f>
        <v/>
      </c>
      <c r="BD482" s="76" t="str">
        <f aca="false">IF(ISBLANK($C482),"",IFERROR(_xlfn.SWITCH(BC482,Constants!$B$4,COUNTA($C$8:$C$507)+2,Constants!$B$5,COUNTA($C$8:$C$507)+1,Constants!$B$6,COUNTA($C$8:$C$507)),BC482))</f>
        <v/>
      </c>
      <c r="BE482" s="5"/>
      <c r="BF482" s="77" t="n">
        <f aca="false">IF(OR(ISNUMBER(BC482),BC482=Constants!$B$4,BC482=Constants!$B$6,BC482=Constants!$B$5),1,0)</f>
        <v>0</v>
      </c>
      <c r="BG482" s="77" t="n">
        <v>475</v>
      </c>
      <c r="BH482" s="77" t="str">
        <f aca="false">IF(ISBLANK($C482),"",IF(ISNUMBER(BD482),BD482+ROW($B482)/1000,""))</f>
        <v/>
      </c>
      <c r="BI482" s="77" t="str">
        <f aca="false">IF(ISNUMBER(BH482),RANK(BH482,$BH$8:$BH$507,1),"")</f>
        <v/>
      </c>
      <c r="BJ482" s="77" t="str">
        <f aca="false">IF(ISBLANK($C482),"",$B482)</f>
        <v/>
      </c>
      <c r="BK482" s="77" t="str">
        <f aca="false">IF(ISBLANK($C482),"",$C482)</f>
        <v/>
      </c>
      <c r="BL482" s="77" t="str">
        <f aca="false">IF(ISBLANK($C482),"",$D482)</f>
        <v/>
      </c>
      <c r="BM482" s="78" t="str">
        <f aca="false">BA482</f>
        <v/>
      </c>
      <c r="BN482" s="79" t="str">
        <f aca="false">AZ482</f>
        <v/>
      </c>
      <c r="BO482" s="77" t="str">
        <f aca="false">IF(ISBLANK($C482),"",BC482)</f>
        <v/>
      </c>
      <c r="BP482" s="80" t="str">
        <f aca="false">IF($BG482&gt;$BF$7,"",VLOOKUP($BG482,$BI$8:$BO$507,7,FALSE()))</f>
        <v/>
      </c>
      <c r="BQ482" s="81" t="str">
        <f aca="false">IF($BG482&gt;$BF$7,"",VLOOKUP($BG482,$BI$8:$BO$507,2,FALSE()))</f>
        <v/>
      </c>
      <c r="BR482" s="81" t="str">
        <f aca="false">IF($BG482&gt;$BF$7,"",VLOOKUP($BG482,$BI$8:$BO$507,3,FALSE()))</f>
        <v/>
      </c>
      <c r="BS482" s="81" t="str">
        <f aca="false">IF($BG482&gt;$BF$7,"",VLOOKUP($BG482,$BI$8:$BO$507,4,FALSE()))</f>
        <v/>
      </c>
      <c r="BT482" s="81" t="str">
        <f aca="false">IF($BG482&gt;$BF$7,"",VLOOKUP($BG482,$BI$8:$BO$507,5,FALSE()))</f>
        <v/>
      </c>
      <c r="BU482" s="82" t="str">
        <f aca="false">IF($BG482&gt;$BF$7,"",VLOOKUP($BG482,$BI$8:$BO$507,6,FALSE()))</f>
        <v/>
      </c>
      <c r="BV482" s="54"/>
    </row>
    <row r="483" customFormat="false" ht="15.75" hidden="false" customHeight="false" outlineLevel="0" collapsed="false">
      <c r="A483" s="5"/>
      <c r="B483" s="135"/>
      <c r="C483" s="56"/>
      <c r="D483" s="57"/>
      <c r="E483" s="84"/>
      <c r="F483" s="136"/>
      <c r="G483" s="60"/>
      <c r="H483" s="137"/>
      <c r="I483" s="62"/>
      <c r="J483" s="62"/>
      <c r="K483" s="60"/>
      <c r="L483" s="138"/>
      <c r="M483" s="62"/>
      <c r="N483" s="62"/>
      <c r="O483" s="60"/>
      <c r="P483" s="84"/>
      <c r="Q483" s="65"/>
      <c r="R483" s="67" t="str">
        <f aca="false">IF(ISBLANK($C483),"",IF(E483=Constants!$B$2, TRUE(), IF(E483=Constants!$B$3, FALSE(), TRUE())))</f>
        <v/>
      </c>
      <c r="S483" s="67" t="str">
        <f aca="false">IF(ISBLANK($C483),"",IF(F483=Constants!$B$2, TRUE(), IF(F483=Constants!$B$3, FALSE(), TRUE())))</f>
        <v/>
      </c>
      <c r="T483" s="67" t="str">
        <f aca="false">IF(ISBLANK($C483),"",IF(G483=Constants!$B$16,Constants!$B$9,IF(G483=Constants!$B$17,Constants!$B$10,Constants!$B$8)))</f>
        <v/>
      </c>
      <c r="U483" s="67" t="str">
        <f aca="false">IF(ISBLANK($C483),"",IF(H483=Constants!$B$19,Constants!$B$19,Constants!$B$18))</f>
        <v/>
      </c>
      <c r="V483" s="67" t="str">
        <f aca="false">IF(ISBLANK($C483),"",IF(ISNUMBER(I483),IF(I483&gt;=0,I483,""),""))</f>
        <v/>
      </c>
      <c r="W483" s="67" t="str">
        <f aca="false">IF(ISBLANK($C483),"",IF(J483=Constants!$B$2, TRUE(), IF(J483=Constants!$B$3, FALSE(), TRUE())))</f>
        <v/>
      </c>
      <c r="X483" s="67" t="str">
        <f aca="false">IF(ISBLANK($C483),"",IF(K483=Constants!$B$2, TRUE(), IF(K483=Constants!$B$3, FALSE(), TRUE())))</f>
        <v/>
      </c>
      <c r="Y483" s="67" t="str">
        <f aca="false">IF(ISBLANK($C483),"",IF(L483=Constants!$B$19,Constants!$B$19,Constants!$B$18))</f>
        <v/>
      </c>
      <c r="Z483" s="67" t="str">
        <f aca="false">IF(ISBLANK($C483),"",IF(ISNUMBER(M483),IF(M483&gt;=0,M483,""),""))</f>
        <v/>
      </c>
      <c r="AA483" s="67" t="str">
        <f aca="false">IF(ISBLANK($C483),"",IF(N483=Constants!$B$2, TRUE(), IF(N483=Constants!$B$3, FALSE(), TRUE())))</f>
        <v/>
      </c>
      <c r="AB483" s="67" t="str">
        <f aca="false">IF(ISBLANK($C483),"",IF(O483=Constants!$B$2, TRUE(), IF(O483=Constants!$B$3, FALSE(), TRUE())))</f>
        <v/>
      </c>
      <c r="AC483" s="67" t="str">
        <f aca="false">IF(ISBLANK($C483),"",IF(P483=Constants!$B$2, TRUE(), IF(P483=Constants!$B$3, FALSE(), FALSE())))</f>
        <v/>
      </c>
      <c r="AD483" s="67" t="str">
        <f aca="false">IF(ISBLANK($C483),"",AND(V483&lt;&gt;"",IF(U483=Constants!$B$19,S483,R483)))</f>
        <v/>
      </c>
      <c r="AE483" s="67" t="str">
        <f aca="false">IF(ISBLANK($C483),"",AND(Z483&lt;&gt;"",IF(Y483=Constants!$B$19,S483,R483)))</f>
        <v/>
      </c>
      <c r="AF483" s="67" t="str">
        <f aca="false">IF(ISBLANK($C483),"",IF(AC483,Constants!$B$4,IF(COUNTA(E483:O483)=0,Constants!$B$5,IF(AND(NOT(AD483),NOT(AE483)),Constants!$B$6,Constants!$B$7))))</f>
        <v/>
      </c>
      <c r="AG483" s="67" t="str">
        <f aca="false">IF(ISBLANK($C483),"",IF($AF483&lt;&gt;Constants!$B$7,$AF483,Constants!$B$20))</f>
        <v/>
      </c>
      <c r="AH483" s="67" t="str">
        <f aca="false">IF($AF483=Constants!$B$7,IF(AD483,V483,Constants!$B$13),"")</f>
        <v/>
      </c>
      <c r="AI483" s="67" t="str">
        <f aca="false">IF($AF483=Constants!$B$7,IF(AD483,T483*IF(W483, 1, Constants!$B$11)*IF(X483, 1, Constants!$B$12),Constants!$B$13),"")</f>
        <v/>
      </c>
      <c r="AJ483" s="67" t="str">
        <f aca="false">IF($AF483=Constants!$B$7,AH483*AI483,"")</f>
        <v/>
      </c>
      <c r="AK483" s="67" t="str">
        <f aca="false">IF($AF483=Constants!$B$7,IF(AE483,Z483,Constants!$B$13),"")</f>
        <v/>
      </c>
      <c r="AL483" s="67" t="str">
        <f aca="false">IF($AF483=Constants!$B$7,IF(AE483,T483*IF(AA483, 1, Constants!$B$11)*IF(AB483, 1, Constants!$B$12),Constants!$B$13),"")</f>
        <v/>
      </c>
      <c r="AM483" s="67" t="str">
        <f aca="false">IF($AF483=Constants!$B$7,AK483*AL483,"")</f>
        <v/>
      </c>
      <c r="AN483" s="67" t="str">
        <f aca="false">IF($AF483=Constants!$B$7,IF(AM483&gt;AJ483,2,1),"")</f>
        <v/>
      </c>
      <c r="AO483" s="67" t="str">
        <f aca="false">IF($AF483=Constants!$B$7,IF(AN483=1,2,1),"")</f>
        <v/>
      </c>
      <c r="AP483" s="67" t="str">
        <f aca="false">IF(ISBLANK($C483),"",IF($AF483&lt;&gt;Constants!$B$7,$AF483,IF(AN483=1,AJ483,AM483)))</f>
        <v/>
      </c>
      <c r="AQ483" s="67" t="str">
        <f aca="false">IF(ISBLANK($C483),"",IF($AF483=Constants!$B$7,IF(ISNUMBER(AP483),RANK(AP483,$AP$8:$AP$507),Constants!$B$14),$AF483))</f>
        <v/>
      </c>
      <c r="AR483" s="67" t="str">
        <f aca="false">IF(ISBLANK($C483),"",IF($AF483=Constants!$B$7,IF(AO483=1,AJ483,AM483),""))</f>
        <v/>
      </c>
      <c r="AS483" s="67" t="str">
        <f aca="false">IF(ISBLANK($C483),"",IF($AF483=Constants!$B$7,RANK(AR483,$AR$8:$AR$507),$AF483))</f>
        <v/>
      </c>
      <c r="AT483" s="67" t="str">
        <f aca="false">IF(ISBLANK($C483),"",IF($AF483=Constants!$B$7,IF(ISNUMBER(AQ483),COUNTIFS($AQ$8:$AQ$507,"&lt;"&amp;$AQ483)+COUNTIFS($AQ$8:$AQ$507,$AQ483,$AS$8:$AS$507,"&lt;"&amp;$AS483)+1,Constants!$B$14),$AF483))</f>
        <v/>
      </c>
      <c r="AU483" s="67" t="str">
        <f aca="false">IF(ISBLANK($C483),"",IF($AF483=Constants!$B$7,IF(ISNUMBER(AQ483),AQ483-AT483,Constants!$B$14),$AF483))</f>
        <v/>
      </c>
      <c r="AV483" s="69"/>
      <c r="AW483" s="70" t="str">
        <f aca="false">IF(ISBLANK($C483),"",IF($AF483&lt;&gt;Constants!$B$7,"",AN483))</f>
        <v/>
      </c>
      <c r="AX483" s="85" t="str">
        <f aca="false">IF(ISBLANK($C483),"",IF($AF483&lt;&gt;Constants!$B$7,"",IF(AN483=1,AH483,AK483)))</f>
        <v/>
      </c>
      <c r="AY483" s="72" t="str">
        <f aca="false">IF(ISBLANK($C483),"",IF($AF483&lt;&gt;Constants!$B$7,"",IF(AN483=1,AI483,AL483)))</f>
        <v/>
      </c>
      <c r="AZ483" s="73" t="str">
        <f aca="false">IF(ISBLANK($C483),"",IF($AF483&lt;&gt;Constants!$B$7,$AF483,AP483))</f>
        <v/>
      </c>
      <c r="BA483" s="74" t="str">
        <f aca="false">IF(ISBLANK($C483),"",IF($AF483&lt;&gt;Constants!$B$7,$AF483,AG483))</f>
        <v/>
      </c>
      <c r="BB483" s="75" t="str">
        <f aca="false">IF(ISBLANK($C483),"",AU483)</f>
        <v/>
      </c>
      <c r="BC483" s="75" t="str">
        <f aca="false">IF(ISBLANK($C483),"",AT483)</f>
        <v/>
      </c>
      <c r="BD483" s="76" t="str">
        <f aca="false">IF(ISBLANK($C483),"",IFERROR(_xlfn.SWITCH(BC483,Constants!$B$4,COUNTA($C$8:$C$507)+2,Constants!$B$5,COUNTA($C$8:$C$507)+1,Constants!$B$6,COUNTA($C$8:$C$507)),BC483))</f>
        <v/>
      </c>
      <c r="BE483" s="5"/>
      <c r="BF483" s="77" t="n">
        <f aca="false">IF(OR(ISNUMBER(BC483),BC483=Constants!$B$4,BC483=Constants!$B$6,BC483=Constants!$B$5),1,0)</f>
        <v>0</v>
      </c>
      <c r="BG483" s="77" t="n">
        <v>476</v>
      </c>
      <c r="BH483" s="77" t="str">
        <f aca="false">IF(ISBLANK($C483),"",IF(ISNUMBER(BD483),BD483+ROW($B483)/1000,""))</f>
        <v/>
      </c>
      <c r="BI483" s="77" t="str">
        <f aca="false">IF(ISNUMBER(BH483),RANK(BH483,$BH$8:$BH$507,1),"")</f>
        <v/>
      </c>
      <c r="BJ483" s="77" t="str">
        <f aca="false">IF(ISBLANK($C483),"",$B483)</f>
        <v/>
      </c>
      <c r="BK483" s="77" t="str">
        <f aca="false">IF(ISBLANK($C483),"",$C483)</f>
        <v/>
      </c>
      <c r="BL483" s="77" t="str">
        <f aca="false">IF(ISBLANK($C483),"",$D483)</f>
        <v/>
      </c>
      <c r="BM483" s="78" t="str">
        <f aca="false">BA483</f>
        <v/>
      </c>
      <c r="BN483" s="79" t="str">
        <f aca="false">AZ483</f>
        <v/>
      </c>
      <c r="BO483" s="77" t="str">
        <f aca="false">IF(ISBLANK($C483),"",BC483)</f>
        <v/>
      </c>
      <c r="BP483" s="80" t="str">
        <f aca="false">IF($BG483&gt;$BF$7,"",VLOOKUP($BG483,$BI$8:$BO$507,7,FALSE()))</f>
        <v/>
      </c>
      <c r="BQ483" s="81" t="str">
        <f aca="false">IF($BG483&gt;$BF$7,"",VLOOKUP($BG483,$BI$8:$BO$507,2,FALSE()))</f>
        <v/>
      </c>
      <c r="BR483" s="81" t="str">
        <f aca="false">IF($BG483&gt;$BF$7,"",VLOOKUP($BG483,$BI$8:$BO$507,3,FALSE()))</f>
        <v/>
      </c>
      <c r="BS483" s="81" t="str">
        <f aca="false">IF($BG483&gt;$BF$7,"",VLOOKUP($BG483,$BI$8:$BO$507,4,FALSE()))</f>
        <v/>
      </c>
      <c r="BT483" s="81" t="str">
        <f aca="false">IF($BG483&gt;$BF$7,"",VLOOKUP($BG483,$BI$8:$BO$507,5,FALSE()))</f>
        <v/>
      </c>
      <c r="BU483" s="82" t="str">
        <f aca="false">IF($BG483&gt;$BF$7,"",VLOOKUP($BG483,$BI$8:$BO$507,6,FALSE()))</f>
        <v/>
      </c>
      <c r="BV483" s="54"/>
    </row>
    <row r="484" customFormat="false" ht="15.75" hidden="false" customHeight="false" outlineLevel="0" collapsed="false">
      <c r="A484" s="5"/>
      <c r="B484" s="135"/>
      <c r="C484" s="56"/>
      <c r="D484" s="57"/>
      <c r="E484" s="84"/>
      <c r="F484" s="136"/>
      <c r="G484" s="60"/>
      <c r="H484" s="137"/>
      <c r="I484" s="62"/>
      <c r="J484" s="62"/>
      <c r="K484" s="60"/>
      <c r="L484" s="138"/>
      <c r="M484" s="62"/>
      <c r="N484" s="62"/>
      <c r="O484" s="60"/>
      <c r="P484" s="84"/>
      <c r="Q484" s="65"/>
      <c r="R484" s="67" t="str">
        <f aca="false">IF(ISBLANK($C484),"",IF(E484=Constants!$B$2, TRUE(), IF(E484=Constants!$B$3, FALSE(), TRUE())))</f>
        <v/>
      </c>
      <c r="S484" s="67" t="str">
        <f aca="false">IF(ISBLANK($C484),"",IF(F484=Constants!$B$2, TRUE(), IF(F484=Constants!$B$3, FALSE(), TRUE())))</f>
        <v/>
      </c>
      <c r="T484" s="67" t="str">
        <f aca="false">IF(ISBLANK($C484),"",IF(G484=Constants!$B$16,Constants!$B$9,IF(G484=Constants!$B$17,Constants!$B$10,Constants!$B$8)))</f>
        <v/>
      </c>
      <c r="U484" s="67" t="str">
        <f aca="false">IF(ISBLANK($C484),"",IF(H484=Constants!$B$19,Constants!$B$19,Constants!$B$18))</f>
        <v/>
      </c>
      <c r="V484" s="67" t="str">
        <f aca="false">IF(ISBLANK($C484),"",IF(ISNUMBER(I484),IF(I484&gt;=0,I484,""),""))</f>
        <v/>
      </c>
      <c r="W484" s="67" t="str">
        <f aca="false">IF(ISBLANK($C484),"",IF(J484=Constants!$B$2, TRUE(), IF(J484=Constants!$B$3, FALSE(), TRUE())))</f>
        <v/>
      </c>
      <c r="X484" s="67" t="str">
        <f aca="false">IF(ISBLANK($C484),"",IF(K484=Constants!$B$2, TRUE(), IF(K484=Constants!$B$3, FALSE(), TRUE())))</f>
        <v/>
      </c>
      <c r="Y484" s="67" t="str">
        <f aca="false">IF(ISBLANK($C484),"",IF(L484=Constants!$B$19,Constants!$B$19,Constants!$B$18))</f>
        <v/>
      </c>
      <c r="Z484" s="67" t="str">
        <f aca="false">IF(ISBLANK($C484),"",IF(ISNUMBER(M484),IF(M484&gt;=0,M484,""),""))</f>
        <v/>
      </c>
      <c r="AA484" s="67" t="str">
        <f aca="false">IF(ISBLANK($C484),"",IF(N484=Constants!$B$2, TRUE(), IF(N484=Constants!$B$3, FALSE(), TRUE())))</f>
        <v/>
      </c>
      <c r="AB484" s="67" t="str">
        <f aca="false">IF(ISBLANK($C484),"",IF(O484=Constants!$B$2, TRUE(), IF(O484=Constants!$B$3, FALSE(), TRUE())))</f>
        <v/>
      </c>
      <c r="AC484" s="67" t="str">
        <f aca="false">IF(ISBLANK($C484),"",IF(P484=Constants!$B$2, TRUE(), IF(P484=Constants!$B$3, FALSE(), FALSE())))</f>
        <v/>
      </c>
      <c r="AD484" s="67" t="str">
        <f aca="false">IF(ISBLANK($C484),"",AND(V484&lt;&gt;"",IF(U484=Constants!$B$19,S484,R484)))</f>
        <v/>
      </c>
      <c r="AE484" s="67" t="str">
        <f aca="false">IF(ISBLANK($C484),"",AND(Z484&lt;&gt;"",IF(Y484=Constants!$B$19,S484,R484)))</f>
        <v/>
      </c>
      <c r="AF484" s="67" t="str">
        <f aca="false">IF(ISBLANK($C484),"",IF(AC484,Constants!$B$4,IF(COUNTA(E484:O484)=0,Constants!$B$5,IF(AND(NOT(AD484),NOT(AE484)),Constants!$B$6,Constants!$B$7))))</f>
        <v/>
      </c>
      <c r="AG484" s="67" t="str">
        <f aca="false">IF(ISBLANK($C484),"",IF($AF484&lt;&gt;Constants!$B$7,$AF484,Constants!$B$20))</f>
        <v/>
      </c>
      <c r="AH484" s="67" t="str">
        <f aca="false">IF($AF484=Constants!$B$7,IF(AD484,V484,Constants!$B$13),"")</f>
        <v/>
      </c>
      <c r="AI484" s="67" t="str">
        <f aca="false">IF($AF484=Constants!$B$7,IF(AD484,T484*IF(W484, 1, Constants!$B$11)*IF(X484, 1, Constants!$B$12),Constants!$B$13),"")</f>
        <v/>
      </c>
      <c r="AJ484" s="67" t="str">
        <f aca="false">IF($AF484=Constants!$B$7,AH484*AI484,"")</f>
        <v/>
      </c>
      <c r="AK484" s="67" t="str">
        <f aca="false">IF($AF484=Constants!$B$7,IF(AE484,Z484,Constants!$B$13),"")</f>
        <v/>
      </c>
      <c r="AL484" s="67" t="str">
        <f aca="false">IF($AF484=Constants!$B$7,IF(AE484,T484*IF(AA484, 1, Constants!$B$11)*IF(AB484, 1, Constants!$B$12),Constants!$B$13),"")</f>
        <v/>
      </c>
      <c r="AM484" s="67" t="str">
        <f aca="false">IF($AF484=Constants!$B$7,AK484*AL484,"")</f>
        <v/>
      </c>
      <c r="AN484" s="67" t="str">
        <f aca="false">IF($AF484=Constants!$B$7,IF(AM484&gt;AJ484,2,1),"")</f>
        <v/>
      </c>
      <c r="AO484" s="67" t="str">
        <f aca="false">IF($AF484=Constants!$B$7,IF(AN484=1,2,1),"")</f>
        <v/>
      </c>
      <c r="AP484" s="67" t="str">
        <f aca="false">IF(ISBLANK($C484),"",IF($AF484&lt;&gt;Constants!$B$7,$AF484,IF(AN484=1,AJ484,AM484)))</f>
        <v/>
      </c>
      <c r="AQ484" s="67" t="str">
        <f aca="false">IF(ISBLANK($C484),"",IF($AF484=Constants!$B$7,IF(ISNUMBER(AP484),RANK(AP484,$AP$8:$AP$507),Constants!$B$14),$AF484))</f>
        <v/>
      </c>
      <c r="AR484" s="67" t="str">
        <f aca="false">IF(ISBLANK($C484),"",IF($AF484=Constants!$B$7,IF(AO484=1,AJ484,AM484),""))</f>
        <v/>
      </c>
      <c r="AS484" s="67" t="str">
        <f aca="false">IF(ISBLANK($C484),"",IF($AF484=Constants!$B$7,RANK(AR484,$AR$8:$AR$507),$AF484))</f>
        <v/>
      </c>
      <c r="AT484" s="67" t="str">
        <f aca="false">IF(ISBLANK($C484),"",IF($AF484=Constants!$B$7,IF(ISNUMBER(AQ484),COUNTIFS($AQ$8:$AQ$507,"&lt;"&amp;$AQ484)+COUNTIFS($AQ$8:$AQ$507,$AQ484,$AS$8:$AS$507,"&lt;"&amp;$AS484)+1,Constants!$B$14),$AF484))</f>
        <v/>
      </c>
      <c r="AU484" s="67" t="str">
        <f aca="false">IF(ISBLANK($C484),"",IF($AF484=Constants!$B$7,IF(ISNUMBER(AQ484),AQ484-AT484,Constants!$B$14),$AF484))</f>
        <v/>
      </c>
      <c r="AV484" s="69"/>
      <c r="AW484" s="70" t="str">
        <f aca="false">IF(ISBLANK($C484),"",IF($AF484&lt;&gt;Constants!$B$7,"",AN484))</f>
        <v/>
      </c>
      <c r="AX484" s="85" t="str">
        <f aca="false">IF(ISBLANK($C484),"",IF($AF484&lt;&gt;Constants!$B$7,"",IF(AN484=1,AH484,AK484)))</f>
        <v/>
      </c>
      <c r="AY484" s="72" t="str">
        <f aca="false">IF(ISBLANK($C484),"",IF($AF484&lt;&gt;Constants!$B$7,"",IF(AN484=1,AI484,AL484)))</f>
        <v/>
      </c>
      <c r="AZ484" s="73" t="str">
        <f aca="false">IF(ISBLANK($C484),"",IF($AF484&lt;&gt;Constants!$B$7,$AF484,AP484))</f>
        <v/>
      </c>
      <c r="BA484" s="74" t="str">
        <f aca="false">IF(ISBLANK($C484),"",IF($AF484&lt;&gt;Constants!$B$7,$AF484,AG484))</f>
        <v/>
      </c>
      <c r="BB484" s="75" t="str">
        <f aca="false">IF(ISBLANK($C484),"",AU484)</f>
        <v/>
      </c>
      <c r="BC484" s="75" t="str">
        <f aca="false">IF(ISBLANK($C484),"",AT484)</f>
        <v/>
      </c>
      <c r="BD484" s="76" t="str">
        <f aca="false">IF(ISBLANK($C484),"",IFERROR(_xlfn.SWITCH(BC484,Constants!$B$4,COUNTA($C$8:$C$507)+2,Constants!$B$5,COUNTA($C$8:$C$507)+1,Constants!$B$6,COUNTA($C$8:$C$507)),BC484))</f>
        <v/>
      </c>
      <c r="BE484" s="5"/>
      <c r="BF484" s="77" t="n">
        <f aca="false">IF(OR(ISNUMBER(BC484),BC484=Constants!$B$4,BC484=Constants!$B$6,BC484=Constants!$B$5),1,0)</f>
        <v>0</v>
      </c>
      <c r="BG484" s="77" t="n">
        <v>477</v>
      </c>
      <c r="BH484" s="77" t="str">
        <f aca="false">IF(ISBLANK($C484),"",IF(ISNUMBER(BD484),BD484+ROW($B484)/1000,""))</f>
        <v/>
      </c>
      <c r="BI484" s="77" t="str">
        <f aca="false">IF(ISNUMBER(BH484),RANK(BH484,$BH$8:$BH$507,1),"")</f>
        <v/>
      </c>
      <c r="BJ484" s="77" t="str">
        <f aca="false">IF(ISBLANK($C484),"",$B484)</f>
        <v/>
      </c>
      <c r="BK484" s="77" t="str">
        <f aca="false">IF(ISBLANK($C484),"",$C484)</f>
        <v/>
      </c>
      <c r="BL484" s="77" t="str">
        <f aca="false">IF(ISBLANK($C484),"",$D484)</f>
        <v/>
      </c>
      <c r="BM484" s="78" t="str">
        <f aca="false">BA484</f>
        <v/>
      </c>
      <c r="BN484" s="79" t="str">
        <f aca="false">AZ484</f>
        <v/>
      </c>
      <c r="BO484" s="77" t="str">
        <f aca="false">IF(ISBLANK($C484),"",BC484)</f>
        <v/>
      </c>
      <c r="BP484" s="80" t="str">
        <f aca="false">IF($BG484&gt;$BF$7,"",VLOOKUP($BG484,$BI$8:$BO$507,7,FALSE()))</f>
        <v/>
      </c>
      <c r="BQ484" s="81" t="str">
        <f aca="false">IF($BG484&gt;$BF$7,"",VLOOKUP($BG484,$BI$8:$BO$507,2,FALSE()))</f>
        <v/>
      </c>
      <c r="BR484" s="81" t="str">
        <f aca="false">IF($BG484&gt;$BF$7,"",VLOOKUP($BG484,$BI$8:$BO$507,3,FALSE()))</f>
        <v/>
      </c>
      <c r="BS484" s="81" t="str">
        <f aca="false">IF($BG484&gt;$BF$7,"",VLOOKUP($BG484,$BI$8:$BO$507,4,FALSE()))</f>
        <v/>
      </c>
      <c r="BT484" s="81" t="str">
        <f aca="false">IF($BG484&gt;$BF$7,"",VLOOKUP($BG484,$BI$8:$BO$507,5,FALSE()))</f>
        <v/>
      </c>
      <c r="BU484" s="82" t="str">
        <f aca="false">IF($BG484&gt;$BF$7,"",VLOOKUP($BG484,$BI$8:$BO$507,6,FALSE()))</f>
        <v/>
      </c>
      <c r="BV484" s="54"/>
    </row>
    <row r="485" customFormat="false" ht="15.75" hidden="false" customHeight="false" outlineLevel="0" collapsed="false">
      <c r="A485" s="5"/>
      <c r="B485" s="128"/>
      <c r="C485" s="129"/>
      <c r="D485" s="114"/>
      <c r="E485" s="134"/>
      <c r="F485" s="139"/>
      <c r="G485" s="93"/>
      <c r="H485" s="140"/>
      <c r="I485" s="95"/>
      <c r="J485" s="95"/>
      <c r="K485" s="93"/>
      <c r="L485" s="141"/>
      <c r="M485" s="95"/>
      <c r="N485" s="95"/>
      <c r="O485" s="93"/>
      <c r="P485" s="134"/>
      <c r="Q485" s="98"/>
      <c r="R485" s="99" t="str">
        <f aca="false">IF(ISBLANK($C485),"",IF(E485=Constants!$B$2, TRUE(), IF(E485=Constants!$B$3, FALSE(), TRUE())))</f>
        <v/>
      </c>
      <c r="S485" s="99" t="str">
        <f aca="false">IF(ISBLANK($C485),"",IF(F485=Constants!$B$2, TRUE(), IF(F485=Constants!$B$3, FALSE(), TRUE())))</f>
        <v/>
      </c>
      <c r="T485" s="99" t="str">
        <f aca="false">IF(ISBLANK($C485),"",IF(G485=Constants!$B$16,Constants!$B$9,IF(G485=Constants!$B$17,Constants!$B$10,Constants!$B$8)))</f>
        <v/>
      </c>
      <c r="U485" s="99" t="str">
        <f aca="false">IF(ISBLANK($C485),"",IF(H485=Constants!$B$19,Constants!$B$19,Constants!$B$18))</f>
        <v/>
      </c>
      <c r="V485" s="99" t="str">
        <f aca="false">IF(ISBLANK($C485),"",IF(ISNUMBER(I485),IF(I485&gt;=0,I485,""),""))</f>
        <v/>
      </c>
      <c r="W485" s="99" t="str">
        <f aca="false">IF(ISBLANK($C485),"",IF(J485=Constants!$B$2, TRUE(), IF(J485=Constants!$B$3, FALSE(), TRUE())))</f>
        <v/>
      </c>
      <c r="X485" s="99" t="str">
        <f aca="false">IF(ISBLANK($C485),"",IF(K485=Constants!$B$2, TRUE(), IF(K485=Constants!$B$3, FALSE(), TRUE())))</f>
        <v/>
      </c>
      <c r="Y485" s="99" t="str">
        <f aca="false">IF(ISBLANK($C485),"",IF(L485=Constants!$B$19,Constants!$B$19,Constants!$B$18))</f>
        <v/>
      </c>
      <c r="Z485" s="99" t="str">
        <f aca="false">IF(ISBLANK($C485),"",IF(ISNUMBER(M485),IF(M485&gt;=0,M485,""),""))</f>
        <v/>
      </c>
      <c r="AA485" s="99" t="str">
        <f aca="false">IF(ISBLANK($C485),"",IF(N485=Constants!$B$2, TRUE(), IF(N485=Constants!$B$3, FALSE(), TRUE())))</f>
        <v/>
      </c>
      <c r="AB485" s="99" t="str">
        <f aca="false">IF(ISBLANK($C485),"",IF(O485=Constants!$B$2, TRUE(), IF(O485=Constants!$B$3, FALSE(), TRUE())))</f>
        <v/>
      </c>
      <c r="AC485" s="99" t="str">
        <f aca="false">IF(ISBLANK($C485),"",IF(P485=Constants!$B$2, TRUE(), IF(P485=Constants!$B$3, FALSE(), FALSE())))</f>
        <v/>
      </c>
      <c r="AD485" s="99" t="str">
        <f aca="false">IF(ISBLANK($C485),"",AND(V485&lt;&gt;"",IF(U485=Constants!$B$19,S485,R485)))</f>
        <v/>
      </c>
      <c r="AE485" s="99" t="str">
        <f aca="false">IF(ISBLANK($C485),"",AND(Z485&lt;&gt;"",IF(Y485=Constants!$B$19,S485,R485)))</f>
        <v/>
      </c>
      <c r="AF485" s="99" t="str">
        <f aca="false">IF(ISBLANK($C485),"",IF(AC485,Constants!$B$4,IF(COUNTA(E485:O485)=0,Constants!$B$5,IF(AND(NOT(AD485),NOT(AE485)),Constants!$B$6,Constants!$B$7))))</f>
        <v/>
      </c>
      <c r="AG485" s="99" t="str">
        <f aca="false">IF(ISBLANK($C485),"",IF($AF485&lt;&gt;Constants!$B$7,$AF485,Constants!$B$20))</f>
        <v/>
      </c>
      <c r="AH485" s="99" t="str">
        <f aca="false">IF($AF485=Constants!$B$7,IF(AD485,V485,Constants!$B$13),"")</f>
        <v/>
      </c>
      <c r="AI485" s="99" t="str">
        <f aca="false">IF($AF485=Constants!$B$7,IF(AD485,T485*IF(W485, 1, Constants!$B$11)*IF(X485, 1, Constants!$B$12),Constants!$B$13),"")</f>
        <v/>
      </c>
      <c r="AJ485" s="99" t="str">
        <f aca="false">IF($AF485=Constants!$B$7,AH485*AI485,"")</f>
        <v/>
      </c>
      <c r="AK485" s="99" t="str">
        <f aca="false">IF($AF485=Constants!$B$7,IF(AE485,Z485,Constants!$B$13),"")</f>
        <v/>
      </c>
      <c r="AL485" s="99" t="str">
        <f aca="false">IF($AF485=Constants!$B$7,IF(AE485,T485*IF(AA485, 1, Constants!$B$11)*IF(AB485, 1, Constants!$B$12),Constants!$B$13),"")</f>
        <v/>
      </c>
      <c r="AM485" s="99" t="str">
        <f aca="false">IF($AF485=Constants!$B$7,AK485*AL485,"")</f>
        <v/>
      </c>
      <c r="AN485" s="99" t="str">
        <f aca="false">IF($AF485=Constants!$B$7,IF(AM485&gt;AJ485,2,1),"")</f>
        <v/>
      </c>
      <c r="AO485" s="99" t="str">
        <f aca="false">IF($AF485=Constants!$B$7,IF(AN485=1,2,1),"")</f>
        <v/>
      </c>
      <c r="AP485" s="99" t="str">
        <f aca="false">IF(ISBLANK($C485),"",IF($AF485&lt;&gt;Constants!$B$7,$AF485,IF(AN485=1,AJ485,AM485)))</f>
        <v/>
      </c>
      <c r="AQ485" s="99" t="str">
        <f aca="false">IF(ISBLANK($C485),"",IF($AF485=Constants!$B$7,IF(ISNUMBER(AP485),RANK(AP485,$AP$8:$AP$507),Constants!$B$14),$AF485))</f>
        <v/>
      </c>
      <c r="AR485" s="99" t="str">
        <f aca="false">IF(ISBLANK($C485),"",IF($AF485=Constants!$B$7,IF(AO485=1,AJ485,AM485),""))</f>
        <v/>
      </c>
      <c r="AS485" s="99" t="str">
        <f aca="false">IF(ISBLANK($C485),"",IF($AF485=Constants!$B$7,RANK(AR485,$AR$8:$AR$507),$AF485))</f>
        <v/>
      </c>
      <c r="AT485" s="99" t="str">
        <f aca="false">IF(ISBLANK($C485),"",IF($AF485=Constants!$B$7,IF(ISNUMBER(AQ485),COUNTIFS($AQ$8:$AQ$507,"&lt;"&amp;$AQ485)+COUNTIFS($AQ$8:$AQ$507,$AQ485,$AS$8:$AS$507,"&lt;"&amp;$AS485)+1,Constants!$B$14),$AF485))</f>
        <v/>
      </c>
      <c r="AU485" s="99" t="str">
        <f aca="false">IF(ISBLANK($C485),"",IF($AF485=Constants!$B$7,IF(ISNUMBER(AQ485),AQ485-AT485,Constants!$B$14),$AF485))</f>
        <v/>
      </c>
      <c r="AV485" s="100"/>
      <c r="AW485" s="101" t="str">
        <f aca="false">IF(ISBLANK($C485),"",IF($AF485&lt;&gt;Constants!$B$7,"",AN485))</f>
        <v/>
      </c>
      <c r="AX485" s="102" t="str">
        <f aca="false">IF(ISBLANK($C485),"",IF($AF485&lt;&gt;Constants!$B$7,"",IF(AN485=1,AH485,AK485)))</f>
        <v/>
      </c>
      <c r="AY485" s="103" t="str">
        <f aca="false">IF(ISBLANK($C485),"",IF($AF485&lt;&gt;Constants!$B$7,"",IF(AN485=1,AI485,AL485)))</f>
        <v/>
      </c>
      <c r="AZ485" s="104" t="str">
        <f aca="false">IF(ISBLANK($C485),"",IF($AF485&lt;&gt;Constants!$B$7,$AF485,AP485))</f>
        <v/>
      </c>
      <c r="BA485" s="105" t="str">
        <f aca="false">IF(ISBLANK($C485),"",IF($AF485&lt;&gt;Constants!$B$7,$AF485,AG485))</f>
        <v/>
      </c>
      <c r="BB485" s="106" t="str">
        <f aca="false">IF(ISBLANK($C485),"",AU485)</f>
        <v/>
      </c>
      <c r="BC485" s="106" t="str">
        <f aca="false">IF(ISBLANK($C485),"",AT485)</f>
        <v/>
      </c>
      <c r="BD485" s="107" t="str">
        <f aca="false">IF(ISBLANK($C485),"",IFERROR(_xlfn.SWITCH(BC485,Constants!$B$4,COUNTA($C$8:$C$507)+2,Constants!$B$5,COUNTA($C$8:$C$507)+1,Constants!$B$6,COUNTA($C$8:$C$507)),BC485))</f>
        <v/>
      </c>
      <c r="BE485" s="5"/>
      <c r="BF485" s="108" t="n">
        <f aca="false">IF(OR(ISNUMBER(BC485),BC485=Constants!$B$4,BC485=Constants!$B$6,BC485=Constants!$B$5),1,0)</f>
        <v>0</v>
      </c>
      <c r="BG485" s="108" t="n">
        <v>478</v>
      </c>
      <c r="BH485" s="108" t="str">
        <f aca="false">IF(ISBLANK($C485),"",IF(ISNUMBER(BD485),BD485+ROW($B485)/1000,""))</f>
        <v/>
      </c>
      <c r="BI485" s="108" t="str">
        <f aca="false">IF(ISNUMBER(BH485),RANK(BH485,$BH$8:$BH$507,1),"")</f>
        <v/>
      </c>
      <c r="BJ485" s="108" t="str">
        <f aca="false">IF(ISBLANK($C485),"",$B485)</f>
        <v/>
      </c>
      <c r="BK485" s="108" t="str">
        <f aca="false">IF(ISBLANK($C485),"",$C485)</f>
        <v/>
      </c>
      <c r="BL485" s="108" t="str">
        <f aca="false">IF(ISBLANK($C485),"",$D485)</f>
        <v/>
      </c>
      <c r="BM485" s="109" t="str">
        <f aca="false">BA485</f>
        <v/>
      </c>
      <c r="BN485" s="110" t="str">
        <f aca="false">AZ485</f>
        <v/>
      </c>
      <c r="BO485" s="108" t="str">
        <f aca="false">IF(ISBLANK($C485),"",BC485)</f>
        <v/>
      </c>
      <c r="BP485" s="111" t="str">
        <f aca="false">IF($BG485&gt;$BF$7,"",VLOOKUP($BG485,$BI$8:$BO$507,7,FALSE()))</f>
        <v/>
      </c>
      <c r="BQ485" s="112" t="str">
        <f aca="false">IF($BG485&gt;$BF$7,"",VLOOKUP($BG485,$BI$8:$BO$507,2,FALSE()))</f>
        <v/>
      </c>
      <c r="BR485" s="112" t="str">
        <f aca="false">IF($BG485&gt;$BF$7,"",VLOOKUP($BG485,$BI$8:$BO$507,3,FALSE()))</f>
        <v/>
      </c>
      <c r="BS485" s="112" t="str">
        <f aca="false">IF($BG485&gt;$BF$7,"",VLOOKUP($BG485,$BI$8:$BO$507,4,FALSE()))</f>
        <v/>
      </c>
      <c r="BT485" s="112" t="str">
        <f aca="false">IF($BG485&gt;$BF$7,"",VLOOKUP($BG485,$BI$8:$BO$507,5,FALSE()))</f>
        <v/>
      </c>
      <c r="BU485" s="113" t="str">
        <f aca="false">IF($BG485&gt;$BF$7,"",VLOOKUP($BG485,$BI$8:$BO$507,6,FALSE()))</f>
        <v/>
      </c>
      <c r="BV485" s="54"/>
    </row>
    <row r="486" customFormat="false" ht="15.75" hidden="false" customHeight="false" outlineLevel="0" collapsed="false">
      <c r="A486" s="5"/>
      <c r="B486" s="128"/>
      <c r="C486" s="129"/>
      <c r="D486" s="114"/>
      <c r="E486" s="134"/>
      <c r="F486" s="139"/>
      <c r="G486" s="93"/>
      <c r="H486" s="140"/>
      <c r="I486" s="95"/>
      <c r="J486" s="95"/>
      <c r="K486" s="93"/>
      <c r="L486" s="141"/>
      <c r="M486" s="95"/>
      <c r="N486" s="95"/>
      <c r="O486" s="93"/>
      <c r="P486" s="134"/>
      <c r="Q486" s="98"/>
      <c r="R486" s="99" t="str">
        <f aca="false">IF(ISBLANK($C486),"",IF(E486=Constants!$B$2, TRUE(), IF(E486=Constants!$B$3, FALSE(), TRUE())))</f>
        <v/>
      </c>
      <c r="S486" s="99" t="str">
        <f aca="false">IF(ISBLANK($C486),"",IF(F486=Constants!$B$2, TRUE(), IF(F486=Constants!$B$3, FALSE(), TRUE())))</f>
        <v/>
      </c>
      <c r="T486" s="99" t="str">
        <f aca="false">IF(ISBLANK($C486),"",IF(G486=Constants!$B$16,Constants!$B$9,IF(G486=Constants!$B$17,Constants!$B$10,Constants!$B$8)))</f>
        <v/>
      </c>
      <c r="U486" s="99" t="str">
        <f aca="false">IF(ISBLANK($C486),"",IF(H486=Constants!$B$19,Constants!$B$19,Constants!$B$18))</f>
        <v/>
      </c>
      <c r="V486" s="99" t="str">
        <f aca="false">IF(ISBLANK($C486),"",IF(ISNUMBER(I486),IF(I486&gt;=0,I486,""),""))</f>
        <v/>
      </c>
      <c r="W486" s="99" t="str">
        <f aca="false">IF(ISBLANK($C486),"",IF(J486=Constants!$B$2, TRUE(), IF(J486=Constants!$B$3, FALSE(), TRUE())))</f>
        <v/>
      </c>
      <c r="X486" s="99" t="str">
        <f aca="false">IF(ISBLANK($C486),"",IF(K486=Constants!$B$2, TRUE(), IF(K486=Constants!$B$3, FALSE(), TRUE())))</f>
        <v/>
      </c>
      <c r="Y486" s="99" t="str">
        <f aca="false">IF(ISBLANK($C486),"",IF(L486=Constants!$B$19,Constants!$B$19,Constants!$B$18))</f>
        <v/>
      </c>
      <c r="Z486" s="99" t="str">
        <f aca="false">IF(ISBLANK($C486),"",IF(ISNUMBER(M486),IF(M486&gt;=0,M486,""),""))</f>
        <v/>
      </c>
      <c r="AA486" s="99" t="str">
        <f aca="false">IF(ISBLANK($C486),"",IF(N486=Constants!$B$2, TRUE(), IF(N486=Constants!$B$3, FALSE(), TRUE())))</f>
        <v/>
      </c>
      <c r="AB486" s="99" t="str">
        <f aca="false">IF(ISBLANK($C486),"",IF(O486=Constants!$B$2, TRUE(), IF(O486=Constants!$B$3, FALSE(), TRUE())))</f>
        <v/>
      </c>
      <c r="AC486" s="99" t="str">
        <f aca="false">IF(ISBLANK($C486),"",IF(P486=Constants!$B$2, TRUE(), IF(P486=Constants!$B$3, FALSE(), FALSE())))</f>
        <v/>
      </c>
      <c r="AD486" s="99" t="str">
        <f aca="false">IF(ISBLANK($C486),"",AND(V486&lt;&gt;"",IF(U486=Constants!$B$19,S486,R486)))</f>
        <v/>
      </c>
      <c r="AE486" s="99" t="str">
        <f aca="false">IF(ISBLANK($C486),"",AND(Z486&lt;&gt;"",IF(Y486=Constants!$B$19,S486,R486)))</f>
        <v/>
      </c>
      <c r="AF486" s="99" t="str">
        <f aca="false">IF(ISBLANK($C486),"",IF(AC486,Constants!$B$4,IF(COUNTA(E486:O486)=0,Constants!$B$5,IF(AND(NOT(AD486),NOT(AE486)),Constants!$B$6,Constants!$B$7))))</f>
        <v/>
      </c>
      <c r="AG486" s="99" t="str">
        <f aca="false">IF(ISBLANK($C486),"",IF($AF486&lt;&gt;Constants!$B$7,$AF486,Constants!$B$20))</f>
        <v/>
      </c>
      <c r="AH486" s="99" t="str">
        <f aca="false">IF($AF486=Constants!$B$7,IF(AD486,V486,Constants!$B$13),"")</f>
        <v/>
      </c>
      <c r="AI486" s="99" t="str">
        <f aca="false">IF($AF486=Constants!$B$7,IF(AD486,T486*IF(W486, 1, Constants!$B$11)*IF(X486, 1, Constants!$B$12),Constants!$B$13),"")</f>
        <v/>
      </c>
      <c r="AJ486" s="99" t="str">
        <f aca="false">IF($AF486=Constants!$B$7,AH486*AI486,"")</f>
        <v/>
      </c>
      <c r="AK486" s="99" t="str">
        <f aca="false">IF($AF486=Constants!$B$7,IF(AE486,Z486,Constants!$B$13),"")</f>
        <v/>
      </c>
      <c r="AL486" s="99" t="str">
        <f aca="false">IF($AF486=Constants!$B$7,IF(AE486,T486*IF(AA486, 1, Constants!$B$11)*IF(AB486, 1, Constants!$B$12),Constants!$B$13),"")</f>
        <v/>
      </c>
      <c r="AM486" s="99" t="str">
        <f aca="false">IF($AF486=Constants!$B$7,AK486*AL486,"")</f>
        <v/>
      </c>
      <c r="AN486" s="99" t="str">
        <f aca="false">IF($AF486=Constants!$B$7,IF(AM486&gt;AJ486,2,1),"")</f>
        <v/>
      </c>
      <c r="AO486" s="99" t="str">
        <f aca="false">IF($AF486=Constants!$B$7,IF(AN486=1,2,1),"")</f>
        <v/>
      </c>
      <c r="AP486" s="99" t="str">
        <f aca="false">IF(ISBLANK($C486),"",IF($AF486&lt;&gt;Constants!$B$7,$AF486,IF(AN486=1,AJ486,AM486)))</f>
        <v/>
      </c>
      <c r="AQ486" s="99" t="str">
        <f aca="false">IF(ISBLANK($C486),"",IF($AF486=Constants!$B$7,IF(ISNUMBER(AP486),RANK(AP486,$AP$8:$AP$507),Constants!$B$14),$AF486))</f>
        <v/>
      </c>
      <c r="AR486" s="99" t="str">
        <f aca="false">IF(ISBLANK($C486),"",IF($AF486=Constants!$B$7,IF(AO486=1,AJ486,AM486),""))</f>
        <v/>
      </c>
      <c r="AS486" s="99" t="str">
        <f aca="false">IF(ISBLANK($C486),"",IF($AF486=Constants!$B$7,RANK(AR486,$AR$8:$AR$507),$AF486))</f>
        <v/>
      </c>
      <c r="AT486" s="99" t="str">
        <f aca="false">IF(ISBLANK($C486),"",IF($AF486=Constants!$B$7,IF(ISNUMBER(AQ486),COUNTIFS($AQ$8:$AQ$507,"&lt;"&amp;$AQ486)+COUNTIFS($AQ$8:$AQ$507,$AQ486,$AS$8:$AS$507,"&lt;"&amp;$AS486)+1,Constants!$B$14),$AF486))</f>
        <v/>
      </c>
      <c r="AU486" s="99" t="str">
        <f aca="false">IF(ISBLANK($C486),"",IF($AF486=Constants!$B$7,IF(ISNUMBER(AQ486),AQ486-AT486,Constants!$B$14),$AF486))</f>
        <v/>
      </c>
      <c r="AV486" s="100"/>
      <c r="AW486" s="101" t="str">
        <f aca="false">IF(ISBLANK($C486),"",IF($AF486&lt;&gt;Constants!$B$7,"",AN486))</f>
        <v/>
      </c>
      <c r="AX486" s="102" t="str">
        <f aca="false">IF(ISBLANK($C486),"",IF($AF486&lt;&gt;Constants!$B$7,"",IF(AN486=1,AH486,AK486)))</f>
        <v/>
      </c>
      <c r="AY486" s="103" t="str">
        <f aca="false">IF(ISBLANK($C486),"",IF($AF486&lt;&gt;Constants!$B$7,"",IF(AN486=1,AI486,AL486)))</f>
        <v/>
      </c>
      <c r="AZ486" s="104" t="str">
        <f aca="false">IF(ISBLANK($C486),"",IF($AF486&lt;&gt;Constants!$B$7,$AF486,AP486))</f>
        <v/>
      </c>
      <c r="BA486" s="105" t="str">
        <f aca="false">IF(ISBLANK($C486),"",IF($AF486&lt;&gt;Constants!$B$7,$AF486,AG486))</f>
        <v/>
      </c>
      <c r="BB486" s="106" t="str">
        <f aca="false">IF(ISBLANK($C486),"",AU486)</f>
        <v/>
      </c>
      <c r="BC486" s="106" t="str">
        <f aca="false">IF(ISBLANK($C486),"",AT486)</f>
        <v/>
      </c>
      <c r="BD486" s="107" t="str">
        <f aca="false">IF(ISBLANK($C486),"",IFERROR(_xlfn.SWITCH(BC486,Constants!$B$4,COUNTA($C$8:$C$507)+2,Constants!$B$5,COUNTA($C$8:$C$507)+1,Constants!$B$6,COUNTA($C$8:$C$507)),BC486))</f>
        <v/>
      </c>
      <c r="BE486" s="5"/>
      <c r="BF486" s="108" t="n">
        <f aca="false">IF(OR(ISNUMBER(BC486),BC486=Constants!$B$4,BC486=Constants!$B$6,BC486=Constants!$B$5),1,0)</f>
        <v>0</v>
      </c>
      <c r="BG486" s="108" t="n">
        <v>479</v>
      </c>
      <c r="BH486" s="108" t="str">
        <f aca="false">IF(ISBLANK($C486),"",IF(ISNUMBER(BD486),BD486+ROW($B486)/1000,""))</f>
        <v/>
      </c>
      <c r="BI486" s="108" t="str">
        <f aca="false">IF(ISNUMBER(BH486),RANK(BH486,$BH$8:$BH$507,1),"")</f>
        <v/>
      </c>
      <c r="BJ486" s="108" t="str">
        <f aca="false">IF(ISBLANK($C486),"",$B486)</f>
        <v/>
      </c>
      <c r="BK486" s="108" t="str">
        <f aca="false">IF(ISBLANK($C486),"",$C486)</f>
        <v/>
      </c>
      <c r="BL486" s="108" t="str">
        <f aca="false">IF(ISBLANK($C486),"",$D486)</f>
        <v/>
      </c>
      <c r="BM486" s="109" t="str">
        <f aca="false">BA486</f>
        <v/>
      </c>
      <c r="BN486" s="110" t="str">
        <f aca="false">AZ486</f>
        <v/>
      </c>
      <c r="BO486" s="108" t="str">
        <f aca="false">IF(ISBLANK($C486),"",BC486)</f>
        <v/>
      </c>
      <c r="BP486" s="111" t="str">
        <f aca="false">IF($BG486&gt;$BF$7,"",VLOOKUP($BG486,$BI$8:$BO$507,7,FALSE()))</f>
        <v/>
      </c>
      <c r="BQ486" s="112" t="str">
        <f aca="false">IF($BG486&gt;$BF$7,"",VLOOKUP($BG486,$BI$8:$BO$507,2,FALSE()))</f>
        <v/>
      </c>
      <c r="BR486" s="112" t="str">
        <f aca="false">IF($BG486&gt;$BF$7,"",VLOOKUP($BG486,$BI$8:$BO$507,3,FALSE()))</f>
        <v/>
      </c>
      <c r="BS486" s="112" t="str">
        <f aca="false">IF($BG486&gt;$BF$7,"",VLOOKUP($BG486,$BI$8:$BO$507,4,FALSE()))</f>
        <v/>
      </c>
      <c r="BT486" s="112" t="str">
        <f aca="false">IF($BG486&gt;$BF$7,"",VLOOKUP($BG486,$BI$8:$BO$507,5,FALSE()))</f>
        <v/>
      </c>
      <c r="BU486" s="113" t="str">
        <f aca="false">IF($BG486&gt;$BF$7,"",VLOOKUP($BG486,$BI$8:$BO$507,6,FALSE()))</f>
        <v/>
      </c>
      <c r="BV486" s="54"/>
    </row>
    <row r="487" customFormat="false" ht="15.75" hidden="false" customHeight="false" outlineLevel="0" collapsed="false">
      <c r="A487" s="5"/>
      <c r="B487" s="128"/>
      <c r="C487" s="129"/>
      <c r="D487" s="114"/>
      <c r="E487" s="134"/>
      <c r="F487" s="139"/>
      <c r="G487" s="93"/>
      <c r="H487" s="140"/>
      <c r="I487" s="95"/>
      <c r="J487" s="95"/>
      <c r="K487" s="93"/>
      <c r="L487" s="141"/>
      <c r="M487" s="95"/>
      <c r="N487" s="95"/>
      <c r="O487" s="93"/>
      <c r="P487" s="134"/>
      <c r="Q487" s="98"/>
      <c r="R487" s="99" t="str">
        <f aca="false">IF(ISBLANK($C487),"",IF(E487=Constants!$B$2, TRUE(), IF(E487=Constants!$B$3, FALSE(), TRUE())))</f>
        <v/>
      </c>
      <c r="S487" s="99" t="str">
        <f aca="false">IF(ISBLANK($C487),"",IF(F487=Constants!$B$2, TRUE(), IF(F487=Constants!$B$3, FALSE(), TRUE())))</f>
        <v/>
      </c>
      <c r="T487" s="99" t="str">
        <f aca="false">IF(ISBLANK($C487),"",IF(G487=Constants!$B$16,Constants!$B$9,IF(G487=Constants!$B$17,Constants!$B$10,Constants!$B$8)))</f>
        <v/>
      </c>
      <c r="U487" s="99" t="str">
        <f aca="false">IF(ISBLANK($C487),"",IF(H487=Constants!$B$19,Constants!$B$19,Constants!$B$18))</f>
        <v/>
      </c>
      <c r="V487" s="99" t="str">
        <f aca="false">IF(ISBLANK($C487),"",IF(ISNUMBER(I487),IF(I487&gt;=0,I487,""),""))</f>
        <v/>
      </c>
      <c r="W487" s="99" t="str">
        <f aca="false">IF(ISBLANK($C487),"",IF(J487=Constants!$B$2, TRUE(), IF(J487=Constants!$B$3, FALSE(), TRUE())))</f>
        <v/>
      </c>
      <c r="X487" s="99" t="str">
        <f aca="false">IF(ISBLANK($C487),"",IF(K487=Constants!$B$2, TRUE(), IF(K487=Constants!$B$3, FALSE(), TRUE())))</f>
        <v/>
      </c>
      <c r="Y487" s="99" t="str">
        <f aca="false">IF(ISBLANK($C487),"",IF(L487=Constants!$B$19,Constants!$B$19,Constants!$B$18))</f>
        <v/>
      </c>
      <c r="Z487" s="99" t="str">
        <f aca="false">IF(ISBLANK($C487),"",IF(ISNUMBER(M487),IF(M487&gt;=0,M487,""),""))</f>
        <v/>
      </c>
      <c r="AA487" s="99" t="str">
        <f aca="false">IF(ISBLANK($C487),"",IF(N487=Constants!$B$2, TRUE(), IF(N487=Constants!$B$3, FALSE(), TRUE())))</f>
        <v/>
      </c>
      <c r="AB487" s="99" t="str">
        <f aca="false">IF(ISBLANK($C487),"",IF(O487=Constants!$B$2, TRUE(), IF(O487=Constants!$B$3, FALSE(), TRUE())))</f>
        <v/>
      </c>
      <c r="AC487" s="99" t="str">
        <f aca="false">IF(ISBLANK($C487),"",IF(P487=Constants!$B$2, TRUE(), IF(P487=Constants!$B$3, FALSE(), FALSE())))</f>
        <v/>
      </c>
      <c r="AD487" s="99" t="str">
        <f aca="false">IF(ISBLANK($C487),"",AND(V487&lt;&gt;"",IF(U487=Constants!$B$19,S487,R487)))</f>
        <v/>
      </c>
      <c r="AE487" s="99" t="str">
        <f aca="false">IF(ISBLANK($C487),"",AND(Z487&lt;&gt;"",IF(Y487=Constants!$B$19,S487,R487)))</f>
        <v/>
      </c>
      <c r="AF487" s="99" t="str">
        <f aca="false">IF(ISBLANK($C487),"",IF(AC487,Constants!$B$4,IF(COUNTA(E487:O487)=0,Constants!$B$5,IF(AND(NOT(AD487),NOT(AE487)),Constants!$B$6,Constants!$B$7))))</f>
        <v/>
      </c>
      <c r="AG487" s="99" t="str">
        <f aca="false">IF(ISBLANK($C487),"",IF($AF487&lt;&gt;Constants!$B$7,$AF487,Constants!$B$20))</f>
        <v/>
      </c>
      <c r="AH487" s="99" t="str">
        <f aca="false">IF($AF487=Constants!$B$7,IF(AD487,V487,Constants!$B$13),"")</f>
        <v/>
      </c>
      <c r="AI487" s="99" t="str">
        <f aca="false">IF($AF487=Constants!$B$7,IF(AD487,T487*IF(W487, 1, Constants!$B$11)*IF(X487, 1, Constants!$B$12),Constants!$B$13),"")</f>
        <v/>
      </c>
      <c r="AJ487" s="99" t="str">
        <f aca="false">IF($AF487=Constants!$B$7,AH487*AI487,"")</f>
        <v/>
      </c>
      <c r="AK487" s="99" t="str">
        <f aca="false">IF($AF487=Constants!$B$7,IF(AE487,Z487,Constants!$B$13),"")</f>
        <v/>
      </c>
      <c r="AL487" s="99" t="str">
        <f aca="false">IF($AF487=Constants!$B$7,IF(AE487,T487*IF(AA487, 1, Constants!$B$11)*IF(AB487, 1, Constants!$B$12),Constants!$B$13),"")</f>
        <v/>
      </c>
      <c r="AM487" s="99" t="str">
        <f aca="false">IF($AF487=Constants!$B$7,AK487*AL487,"")</f>
        <v/>
      </c>
      <c r="AN487" s="99" t="str">
        <f aca="false">IF($AF487=Constants!$B$7,IF(AM487&gt;AJ487,2,1),"")</f>
        <v/>
      </c>
      <c r="AO487" s="99" t="str">
        <f aca="false">IF($AF487=Constants!$B$7,IF(AN487=1,2,1),"")</f>
        <v/>
      </c>
      <c r="AP487" s="99" t="str">
        <f aca="false">IF(ISBLANK($C487),"",IF($AF487&lt;&gt;Constants!$B$7,$AF487,IF(AN487=1,AJ487,AM487)))</f>
        <v/>
      </c>
      <c r="AQ487" s="99" t="str">
        <f aca="false">IF(ISBLANK($C487),"",IF($AF487=Constants!$B$7,IF(ISNUMBER(AP487),RANK(AP487,$AP$8:$AP$507),Constants!$B$14),$AF487))</f>
        <v/>
      </c>
      <c r="AR487" s="99" t="str">
        <f aca="false">IF(ISBLANK($C487),"",IF($AF487=Constants!$B$7,IF(AO487=1,AJ487,AM487),""))</f>
        <v/>
      </c>
      <c r="AS487" s="99" t="str">
        <f aca="false">IF(ISBLANK($C487),"",IF($AF487=Constants!$B$7,RANK(AR487,$AR$8:$AR$507),$AF487))</f>
        <v/>
      </c>
      <c r="AT487" s="99" t="str">
        <f aca="false">IF(ISBLANK($C487),"",IF($AF487=Constants!$B$7,IF(ISNUMBER(AQ487),COUNTIFS($AQ$8:$AQ$507,"&lt;"&amp;$AQ487)+COUNTIFS($AQ$8:$AQ$507,$AQ487,$AS$8:$AS$507,"&lt;"&amp;$AS487)+1,Constants!$B$14),$AF487))</f>
        <v/>
      </c>
      <c r="AU487" s="99" t="str">
        <f aca="false">IF(ISBLANK($C487),"",IF($AF487=Constants!$B$7,IF(ISNUMBER(AQ487),AQ487-AT487,Constants!$B$14),$AF487))</f>
        <v/>
      </c>
      <c r="AV487" s="100"/>
      <c r="AW487" s="101" t="str">
        <f aca="false">IF(ISBLANK($C487),"",IF($AF487&lt;&gt;Constants!$B$7,"",AN487))</f>
        <v/>
      </c>
      <c r="AX487" s="102" t="str">
        <f aca="false">IF(ISBLANK($C487),"",IF($AF487&lt;&gt;Constants!$B$7,"",IF(AN487=1,AH487,AK487)))</f>
        <v/>
      </c>
      <c r="AY487" s="103" t="str">
        <f aca="false">IF(ISBLANK($C487),"",IF($AF487&lt;&gt;Constants!$B$7,"",IF(AN487=1,AI487,AL487)))</f>
        <v/>
      </c>
      <c r="AZ487" s="104" t="str">
        <f aca="false">IF(ISBLANK($C487),"",IF($AF487&lt;&gt;Constants!$B$7,$AF487,AP487))</f>
        <v/>
      </c>
      <c r="BA487" s="105" t="str">
        <f aca="false">IF(ISBLANK($C487),"",IF($AF487&lt;&gt;Constants!$B$7,$AF487,AG487))</f>
        <v/>
      </c>
      <c r="BB487" s="106" t="str">
        <f aca="false">IF(ISBLANK($C487),"",AU487)</f>
        <v/>
      </c>
      <c r="BC487" s="106" t="str">
        <f aca="false">IF(ISBLANK($C487),"",AT487)</f>
        <v/>
      </c>
      <c r="BD487" s="107" t="str">
        <f aca="false">IF(ISBLANK($C487),"",IFERROR(_xlfn.SWITCH(BC487,Constants!$B$4,COUNTA($C$8:$C$507)+2,Constants!$B$5,COUNTA($C$8:$C$507)+1,Constants!$B$6,COUNTA($C$8:$C$507)),BC487))</f>
        <v/>
      </c>
      <c r="BE487" s="5"/>
      <c r="BF487" s="108" t="n">
        <f aca="false">IF(OR(ISNUMBER(BC487),BC487=Constants!$B$4,BC487=Constants!$B$6,BC487=Constants!$B$5),1,0)</f>
        <v>0</v>
      </c>
      <c r="BG487" s="108" t="n">
        <v>480</v>
      </c>
      <c r="BH487" s="108" t="str">
        <f aca="false">IF(ISBLANK($C487),"",IF(ISNUMBER(BD487),BD487+ROW($B487)/1000,""))</f>
        <v/>
      </c>
      <c r="BI487" s="108" t="str">
        <f aca="false">IF(ISNUMBER(BH487),RANK(BH487,$BH$8:$BH$507,1),"")</f>
        <v/>
      </c>
      <c r="BJ487" s="108" t="str">
        <f aca="false">IF(ISBLANK($C487),"",$B487)</f>
        <v/>
      </c>
      <c r="BK487" s="108" t="str">
        <f aca="false">IF(ISBLANK($C487),"",$C487)</f>
        <v/>
      </c>
      <c r="BL487" s="108" t="str">
        <f aca="false">IF(ISBLANK($C487),"",$D487)</f>
        <v/>
      </c>
      <c r="BM487" s="109" t="str">
        <f aca="false">BA487</f>
        <v/>
      </c>
      <c r="BN487" s="110" t="str">
        <f aca="false">AZ487</f>
        <v/>
      </c>
      <c r="BO487" s="108" t="str">
        <f aca="false">IF(ISBLANK($C487),"",BC487)</f>
        <v/>
      </c>
      <c r="BP487" s="111" t="str">
        <f aca="false">IF($BG487&gt;$BF$7,"",VLOOKUP($BG487,$BI$8:$BO$507,7,FALSE()))</f>
        <v/>
      </c>
      <c r="BQ487" s="112" t="str">
        <f aca="false">IF($BG487&gt;$BF$7,"",VLOOKUP($BG487,$BI$8:$BO$507,2,FALSE()))</f>
        <v/>
      </c>
      <c r="BR487" s="112" t="str">
        <f aca="false">IF($BG487&gt;$BF$7,"",VLOOKUP($BG487,$BI$8:$BO$507,3,FALSE()))</f>
        <v/>
      </c>
      <c r="BS487" s="112" t="str">
        <f aca="false">IF($BG487&gt;$BF$7,"",VLOOKUP($BG487,$BI$8:$BO$507,4,FALSE()))</f>
        <v/>
      </c>
      <c r="BT487" s="112" t="str">
        <f aca="false">IF($BG487&gt;$BF$7,"",VLOOKUP($BG487,$BI$8:$BO$507,5,FALSE()))</f>
        <v/>
      </c>
      <c r="BU487" s="113" t="str">
        <f aca="false">IF($BG487&gt;$BF$7,"",VLOOKUP($BG487,$BI$8:$BO$507,6,FALSE()))</f>
        <v/>
      </c>
      <c r="BV487" s="54"/>
    </row>
    <row r="488" customFormat="false" ht="15.75" hidden="false" customHeight="false" outlineLevel="0" collapsed="false">
      <c r="A488" s="5"/>
      <c r="B488" s="135"/>
      <c r="C488" s="56"/>
      <c r="D488" s="57"/>
      <c r="E488" s="84"/>
      <c r="F488" s="136"/>
      <c r="G488" s="60"/>
      <c r="H488" s="137"/>
      <c r="I488" s="62"/>
      <c r="J488" s="62"/>
      <c r="K488" s="60"/>
      <c r="L488" s="138"/>
      <c r="M488" s="62"/>
      <c r="N488" s="62"/>
      <c r="O488" s="60"/>
      <c r="P488" s="84"/>
      <c r="Q488" s="65"/>
      <c r="R488" s="67" t="str">
        <f aca="false">IF(ISBLANK($C488),"",IF(E488=Constants!$B$2, TRUE(), IF(E488=Constants!$B$3, FALSE(), TRUE())))</f>
        <v/>
      </c>
      <c r="S488" s="67" t="str">
        <f aca="false">IF(ISBLANK($C488),"",IF(F488=Constants!$B$2, TRUE(), IF(F488=Constants!$B$3, FALSE(), TRUE())))</f>
        <v/>
      </c>
      <c r="T488" s="67" t="str">
        <f aca="false">IF(ISBLANK($C488),"",IF(G488=Constants!$B$16,Constants!$B$9,IF(G488=Constants!$B$17,Constants!$B$10,Constants!$B$8)))</f>
        <v/>
      </c>
      <c r="U488" s="67" t="str">
        <f aca="false">IF(ISBLANK($C488),"",IF(H488=Constants!$B$19,Constants!$B$19,Constants!$B$18))</f>
        <v/>
      </c>
      <c r="V488" s="67" t="str">
        <f aca="false">IF(ISBLANK($C488),"",IF(ISNUMBER(I488),IF(I488&gt;=0,I488,""),""))</f>
        <v/>
      </c>
      <c r="W488" s="67" t="str">
        <f aca="false">IF(ISBLANK($C488),"",IF(J488=Constants!$B$2, TRUE(), IF(J488=Constants!$B$3, FALSE(), TRUE())))</f>
        <v/>
      </c>
      <c r="X488" s="67" t="str">
        <f aca="false">IF(ISBLANK($C488),"",IF(K488=Constants!$B$2, TRUE(), IF(K488=Constants!$B$3, FALSE(), TRUE())))</f>
        <v/>
      </c>
      <c r="Y488" s="67" t="str">
        <f aca="false">IF(ISBLANK($C488),"",IF(L488=Constants!$B$19,Constants!$B$19,Constants!$B$18))</f>
        <v/>
      </c>
      <c r="Z488" s="67" t="str">
        <f aca="false">IF(ISBLANK($C488),"",IF(ISNUMBER(M488),IF(M488&gt;=0,M488,""),""))</f>
        <v/>
      </c>
      <c r="AA488" s="67" t="str">
        <f aca="false">IF(ISBLANK($C488),"",IF(N488=Constants!$B$2, TRUE(), IF(N488=Constants!$B$3, FALSE(), TRUE())))</f>
        <v/>
      </c>
      <c r="AB488" s="67" t="str">
        <f aca="false">IF(ISBLANK($C488),"",IF(O488=Constants!$B$2, TRUE(), IF(O488=Constants!$B$3, FALSE(), TRUE())))</f>
        <v/>
      </c>
      <c r="AC488" s="67" t="str">
        <f aca="false">IF(ISBLANK($C488),"",IF(P488=Constants!$B$2, TRUE(), IF(P488=Constants!$B$3, FALSE(), FALSE())))</f>
        <v/>
      </c>
      <c r="AD488" s="67" t="str">
        <f aca="false">IF(ISBLANK($C488),"",AND(V488&lt;&gt;"",IF(U488=Constants!$B$19,S488,R488)))</f>
        <v/>
      </c>
      <c r="AE488" s="67" t="str">
        <f aca="false">IF(ISBLANK($C488),"",AND(Z488&lt;&gt;"",IF(Y488=Constants!$B$19,S488,R488)))</f>
        <v/>
      </c>
      <c r="AF488" s="67" t="str">
        <f aca="false">IF(ISBLANK($C488),"",IF(AC488,Constants!$B$4,IF(COUNTA(E488:O488)=0,Constants!$B$5,IF(AND(NOT(AD488),NOT(AE488)),Constants!$B$6,Constants!$B$7))))</f>
        <v/>
      </c>
      <c r="AG488" s="67" t="str">
        <f aca="false">IF(ISBLANK($C488),"",IF($AF488&lt;&gt;Constants!$B$7,$AF488,Constants!$B$20))</f>
        <v/>
      </c>
      <c r="AH488" s="67" t="str">
        <f aca="false">IF($AF488=Constants!$B$7,IF(AD488,V488,Constants!$B$13),"")</f>
        <v/>
      </c>
      <c r="AI488" s="67" t="str">
        <f aca="false">IF($AF488=Constants!$B$7,IF(AD488,T488*IF(W488, 1, Constants!$B$11)*IF(X488, 1, Constants!$B$12),Constants!$B$13),"")</f>
        <v/>
      </c>
      <c r="AJ488" s="67" t="str">
        <f aca="false">IF($AF488=Constants!$B$7,AH488*AI488,"")</f>
        <v/>
      </c>
      <c r="AK488" s="67" t="str">
        <f aca="false">IF($AF488=Constants!$B$7,IF(AE488,Z488,Constants!$B$13),"")</f>
        <v/>
      </c>
      <c r="AL488" s="67" t="str">
        <f aca="false">IF($AF488=Constants!$B$7,IF(AE488,T488*IF(AA488, 1, Constants!$B$11)*IF(AB488, 1, Constants!$B$12),Constants!$B$13),"")</f>
        <v/>
      </c>
      <c r="AM488" s="67" t="str">
        <f aca="false">IF($AF488=Constants!$B$7,AK488*AL488,"")</f>
        <v/>
      </c>
      <c r="AN488" s="67" t="str">
        <f aca="false">IF($AF488=Constants!$B$7,IF(AM488&gt;AJ488,2,1),"")</f>
        <v/>
      </c>
      <c r="AO488" s="67" t="str">
        <f aca="false">IF($AF488=Constants!$B$7,IF(AN488=1,2,1),"")</f>
        <v/>
      </c>
      <c r="AP488" s="67" t="str">
        <f aca="false">IF(ISBLANK($C488),"",IF($AF488&lt;&gt;Constants!$B$7,$AF488,IF(AN488=1,AJ488,AM488)))</f>
        <v/>
      </c>
      <c r="AQ488" s="67" t="str">
        <f aca="false">IF(ISBLANK($C488),"",IF($AF488=Constants!$B$7,IF(ISNUMBER(AP488),RANK(AP488,$AP$8:$AP$507),Constants!$B$14),$AF488))</f>
        <v/>
      </c>
      <c r="AR488" s="67" t="str">
        <f aca="false">IF(ISBLANK($C488),"",IF($AF488=Constants!$B$7,IF(AO488=1,AJ488,AM488),""))</f>
        <v/>
      </c>
      <c r="AS488" s="67" t="str">
        <f aca="false">IF(ISBLANK($C488),"",IF($AF488=Constants!$B$7,RANK(AR488,$AR$8:$AR$507),$AF488))</f>
        <v/>
      </c>
      <c r="AT488" s="67" t="str">
        <f aca="false">IF(ISBLANK($C488),"",IF($AF488=Constants!$B$7,IF(ISNUMBER(AQ488),COUNTIFS($AQ$8:$AQ$507,"&lt;"&amp;$AQ488)+COUNTIFS($AQ$8:$AQ$507,$AQ488,$AS$8:$AS$507,"&lt;"&amp;$AS488)+1,Constants!$B$14),$AF488))</f>
        <v/>
      </c>
      <c r="AU488" s="67" t="str">
        <f aca="false">IF(ISBLANK($C488),"",IF($AF488=Constants!$B$7,IF(ISNUMBER(AQ488),AQ488-AT488,Constants!$B$14),$AF488))</f>
        <v/>
      </c>
      <c r="AV488" s="69"/>
      <c r="AW488" s="70" t="str">
        <f aca="false">IF(ISBLANK($C488),"",IF($AF488&lt;&gt;Constants!$B$7,"",AN488))</f>
        <v/>
      </c>
      <c r="AX488" s="85" t="str">
        <f aca="false">IF(ISBLANK($C488),"",IF($AF488&lt;&gt;Constants!$B$7,"",IF(AN488=1,AH488,AK488)))</f>
        <v/>
      </c>
      <c r="AY488" s="72" t="str">
        <f aca="false">IF(ISBLANK($C488),"",IF($AF488&lt;&gt;Constants!$B$7,"",IF(AN488=1,AI488,AL488)))</f>
        <v/>
      </c>
      <c r="AZ488" s="73" t="str">
        <f aca="false">IF(ISBLANK($C488),"",IF($AF488&lt;&gt;Constants!$B$7,$AF488,AP488))</f>
        <v/>
      </c>
      <c r="BA488" s="74" t="str">
        <f aca="false">IF(ISBLANK($C488),"",IF($AF488&lt;&gt;Constants!$B$7,$AF488,AG488))</f>
        <v/>
      </c>
      <c r="BB488" s="75" t="str">
        <f aca="false">IF(ISBLANK($C488),"",AU488)</f>
        <v/>
      </c>
      <c r="BC488" s="75" t="str">
        <f aca="false">IF(ISBLANK($C488),"",AT488)</f>
        <v/>
      </c>
      <c r="BD488" s="76" t="str">
        <f aca="false">IF(ISBLANK($C488),"",IFERROR(_xlfn.SWITCH(BC488,Constants!$B$4,COUNTA($C$8:$C$507)+2,Constants!$B$5,COUNTA($C$8:$C$507)+1,Constants!$B$6,COUNTA($C$8:$C$507)),BC488))</f>
        <v/>
      </c>
      <c r="BE488" s="5"/>
      <c r="BF488" s="77" t="n">
        <f aca="false">IF(OR(ISNUMBER(BC488),BC488=Constants!$B$4,BC488=Constants!$B$6,BC488=Constants!$B$5),1,0)</f>
        <v>0</v>
      </c>
      <c r="BG488" s="77" t="n">
        <v>481</v>
      </c>
      <c r="BH488" s="77" t="str">
        <f aca="false">IF(ISBLANK($C488),"",IF(ISNUMBER(BD488),BD488+ROW($B488)/1000,""))</f>
        <v/>
      </c>
      <c r="BI488" s="77" t="str">
        <f aca="false">IF(ISNUMBER(BH488),RANK(BH488,$BH$8:$BH$507,1),"")</f>
        <v/>
      </c>
      <c r="BJ488" s="77" t="str">
        <f aca="false">IF(ISBLANK($C488),"",$B488)</f>
        <v/>
      </c>
      <c r="BK488" s="77" t="str">
        <f aca="false">IF(ISBLANK($C488),"",$C488)</f>
        <v/>
      </c>
      <c r="BL488" s="77" t="str">
        <f aca="false">IF(ISBLANK($C488),"",$D488)</f>
        <v/>
      </c>
      <c r="BM488" s="78" t="str">
        <f aca="false">BA488</f>
        <v/>
      </c>
      <c r="BN488" s="79" t="str">
        <f aca="false">AZ488</f>
        <v/>
      </c>
      <c r="BO488" s="77" t="str">
        <f aca="false">IF(ISBLANK($C488),"",BC488)</f>
        <v/>
      </c>
      <c r="BP488" s="80" t="str">
        <f aca="false">IF($BG488&gt;$BF$7,"",VLOOKUP($BG488,$BI$8:$BO$507,7,FALSE()))</f>
        <v/>
      </c>
      <c r="BQ488" s="81" t="str">
        <f aca="false">IF($BG488&gt;$BF$7,"",VLOOKUP($BG488,$BI$8:$BO$507,2,FALSE()))</f>
        <v/>
      </c>
      <c r="BR488" s="81" t="str">
        <f aca="false">IF($BG488&gt;$BF$7,"",VLOOKUP($BG488,$BI$8:$BO$507,3,FALSE()))</f>
        <v/>
      </c>
      <c r="BS488" s="81" t="str">
        <f aca="false">IF($BG488&gt;$BF$7,"",VLOOKUP($BG488,$BI$8:$BO$507,4,FALSE()))</f>
        <v/>
      </c>
      <c r="BT488" s="81" t="str">
        <f aca="false">IF($BG488&gt;$BF$7,"",VLOOKUP($BG488,$BI$8:$BO$507,5,FALSE()))</f>
        <v/>
      </c>
      <c r="BU488" s="82" t="str">
        <f aca="false">IF($BG488&gt;$BF$7,"",VLOOKUP($BG488,$BI$8:$BO$507,6,FALSE()))</f>
        <v/>
      </c>
      <c r="BV488" s="54"/>
    </row>
    <row r="489" customFormat="false" ht="15.75" hidden="false" customHeight="false" outlineLevel="0" collapsed="false">
      <c r="A489" s="5"/>
      <c r="B489" s="135"/>
      <c r="C489" s="56"/>
      <c r="D489" s="57"/>
      <c r="E489" s="84"/>
      <c r="F489" s="136"/>
      <c r="G489" s="60"/>
      <c r="H489" s="137"/>
      <c r="I489" s="62"/>
      <c r="J489" s="62"/>
      <c r="K489" s="60"/>
      <c r="L489" s="138"/>
      <c r="M489" s="62"/>
      <c r="N489" s="62"/>
      <c r="O489" s="60"/>
      <c r="P489" s="84"/>
      <c r="Q489" s="65"/>
      <c r="R489" s="67" t="str">
        <f aca="false">IF(ISBLANK($C489),"",IF(E489=Constants!$B$2, TRUE(), IF(E489=Constants!$B$3, FALSE(), TRUE())))</f>
        <v/>
      </c>
      <c r="S489" s="67" t="str">
        <f aca="false">IF(ISBLANK($C489),"",IF(F489=Constants!$B$2, TRUE(), IF(F489=Constants!$B$3, FALSE(), TRUE())))</f>
        <v/>
      </c>
      <c r="T489" s="67" t="str">
        <f aca="false">IF(ISBLANK($C489),"",IF(G489=Constants!$B$16,Constants!$B$9,IF(G489=Constants!$B$17,Constants!$B$10,Constants!$B$8)))</f>
        <v/>
      </c>
      <c r="U489" s="67" t="str">
        <f aca="false">IF(ISBLANK($C489),"",IF(H489=Constants!$B$19,Constants!$B$19,Constants!$B$18))</f>
        <v/>
      </c>
      <c r="V489" s="67" t="str">
        <f aca="false">IF(ISBLANK($C489),"",IF(ISNUMBER(I489),IF(I489&gt;=0,I489,""),""))</f>
        <v/>
      </c>
      <c r="W489" s="67" t="str">
        <f aca="false">IF(ISBLANK($C489),"",IF(J489=Constants!$B$2, TRUE(), IF(J489=Constants!$B$3, FALSE(), TRUE())))</f>
        <v/>
      </c>
      <c r="X489" s="67" t="str">
        <f aca="false">IF(ISBLANK($C489),"",IF(K489=Constants!$B$2, TRUE(), IF(K489=Constants!$B$3, FALSE(), TRUE())))</f>
        <v/>
      </c>
      <c r="Y489" s="67" t="str">
        <f aca="false">IF(ISBLANK($C489),"",IF(L489=Constants!$B$19,Constants!$B$19,Constants!$B$18))</f>
        <v/>
      </c>
      <c r="Z489" s="67" t="str">
        <f aca="false">IF(ISBLANK($C489),"",IF(ISNUMBER(M489),IF(M489&gt;=0,M489,""),""))</f>
        <v/>
      </c>
      <c r="AA489" s="67" t="str">
        <f aca="false">IF(ISBLANK($C489),"",IF(N489=Constants!$B$2, TRUE(), IF(N489=Constants!$B$3, FALSE(), TRUE())))</f>
        <v/>
      </c>
      <c r="AB489" s="67" t="str">
        <f aca="false">IF(ISBLANK($C489),"",IF(O489=Constants!$B$2, TRUE(), IF(O489=Constants!$B$3, FALSE(), TRUE())))</f>
        <v/>
      </c>
      <c r="AC489" s="67" t="str">
        <f aca="false">IF(ISBLANK($C489),"",IF(P489=Constants!$B$2, TRUE(), IF(P489=Constants!$B$3, FALSE(), FALSE())))</f>
        <v/>
      </c>
      <c r="AD489" s="67" t="str">
        <f aca="false">IF(ISBLANK($C489),"",AND(V489&lt;&gt;"",IF(U489=Constants!$B$19,S489,R489)))</f>
        <v/>
      </c>
      <c r="AE489" s="67" t="str">
        <f aca="false">IF(ISBLANK($C489),"",AND(Z489&lt;&gt;"",IF(Y489=Constants!$B$19,S489,R489)))</f>
        <v/>
      </c>
      <c r="AF489" s="67" t="str">
        <f aca="false">IF(ISBLANK($C489),"",IF(AC489,Constants!$B$4,IF(COUNTA(E489:O489)=0,Constants!$B$5,IF(AND(NOT(AD489),NOT(AE489)),Constants!$B$6,Constants!$B$7))))</f>
        <v/>
      </c>
      <c r="AG489" s="67" t="str">
        <f aca="false">IF(ISBLANK($C489),"",IF($AF489&lt;&gt;Constants!$B$7,$AF489,Constants!$B$20))</f>
        <v/>
      </c>
      <c r="AH489" s="67" t="str">
        <f aca="false">IF($AF489=Constants!$B$7,IF(AD489,V489,Constants!$B$13),"")</f>
        <v/>
      </c>
      <c r="AI489" s="67" t="str">
        <f aca="false">IF($AF489=Constants!$B$7,IF(AD489,T489*IF(W489, 1, Constants!$B$11)*IF(X489, 1, Constants!$B$12),Constants!$B$13),"")</f>
        <v/>
      </c>
      <c r="AJ489" s="67" t="str">
        <f aca="false">IF($AF489=Constants!$B$7,AH489*AI489,"")</f>
        <v/>
      </c>
      <c r="AK489" s="67" t="str">
        <f aca="false">IF($AF489=Constants!$B$7,IF(AE489,Z489,Constants!$B$13),"")</f>
        <v/>
      </c>
      <c r="AL489" s="67" t="str">
        <f aca="false">IF($AF489=Constants!$B$7,IF(AE489,T489*IF(AA489, 1, Constants!$B$11)*IF(AB489, 1, Constants!$B$12),Constants!$B$13),"")</f>
        <v/>
      </c>
      <c r="AM489" s="67" t="str">
        <f aca="false">IF($AF489=Constants!$B$7,AK489*AL489,"")</f>
        <v/>
      </c>
      <c r="AN489" s="67" t="str">
        <f aca="false">IF($AF489=Constants!$B$7,IF(AM489&gt;AJ489,2,1),"")</f>
        <v/>
      </c>
      <c r="AO489" s="67" t="str">
        <f aca="false">IF($AF489=Constants!$B$7,IF(AN489=1,2,1),"")</f>
        <v/>
      </c>
      <c r="AP489" s="67" t="str">
        <f aca="false">IF(ISBLANK($C489),"",IF($AF489&lt;&gt;Constants!$B$7,$AF489,IF(AN489=1,AJ489,AM489)))</f>
        <v/>
      </c>
      <c r="AQ489" s="67" t="str">
        <f aca="false">IF(ISBLANK($C489),"",IF($AF489=Constants!$B$7,IF(ISNUMBER(AP489),RANK(AP489,$AP$8:$AP$507),Constants!$B$14),$AF489))</f>
        <v/>
      </c>
      <c r="AR489" s="67" t="str">
        <f aca="false">IF(ISBLANK($C489),"",IF($AF489=Constants!$B$7,IF(AO489=1,AJ489,AM489),""))</f>
        <v/>
      </c>
      <c r="AS489" s="67" t="str">
        <f aca="false">IF(ISBLANK($C489),"",IF($AF489=Constants!$B$7,RANK(AR489,$AR$8:$AR$507),$AF489))</f>
        <v/>
      </c>
      <c r="AT489" s="67" t="str">
        <f aca="false">IF(ISBLANK($C489),"",IF($AF489=Constants!$B$7,IF(ISNUMBER(AQ489),COUNTIFS($AQ$8:$AQ$507,"&lt;"&amp;$AQ489)+COUNTIFS($AQ$8:$AQ$507,$AQ489,$AS$8:$AS$507,"&lt;"&amp;$AS489)+1,Constants!$B$14),$AF489))</f>
        <v/>
      </c>
      <c r="AU489" s="67" t="str">
        <f aca="false">IF(ISBLANK($C489),"",IF($AF489=Constants!$B$7,IF(ISNUMBER(AQ489),AQ489-AT489,Constants!$B$14),$AF489))</f>
        <v/>
      </c>
      <c r="AV489" s="69"/>
      <c r="AW489" s="70" t="str">
        <f aca="false">IF(ISBLANK($C489),"",IF($AF489&lt;&gt;Constants!$B$7,"",AN489))</f>
        <v/>
      </c>
      <c r="AX489" s="85" t="str">
        <f aca="false">IF(ISBLANK($C489),"",IF($AF489&lt;&gt;Constants!$B$7,"",IF(AN489=1,AH489,AK489)))</f>
        <v/>
      </c>
      <c r="AY489" s="72" t="str">
        <f aca="false">IF(ISBLANK($C489),"",IF($AF489&lt;&gt;Constants!$B$7,"",IF(AN489=1,AI489,AL489)))</f>
        <v/>
      </c>
      <c r="AZ489" s="73" t="str">
        <f aca="false">IF(ISBLANK($C489),"",IF($AF489&lt;&gt;Constants!$B$7,$AF489,AP489))</f>
        <v/>
      </c>
      <c r="BA489" s="74" t="str">
        <f aca="false">IF(ISBLANK($C489),"",IF($AF489&lt;&gt;Constants!$B$7,$AF489,AG489))</f>
        <v/>
      </c>
      <c r="BB489" s="75" t="str">
        <f aca="false">IF(ISBLANK($C489),"",AU489)</f>
        <v/>
      </c>
      <c r="BC489" s="75" t="str">
        <f aca="false">IF(ISBLANK($C489),"",AT489)</f>
        <v/>
      </c>
      <c r="BD489" s="76" t="str">
        <f aca="false">IF(ISBLANK($C489),"",IFERROR(_xlfn.SWITCH(BC489,Constants!$B$4,COUNTA($C$8:$C$507)+2,Constants!$B$5,COUNTA($C$8:$C$507)+1,Constants!$B$6,COUNTA($C$8:$C$507)),BC489))</f>
        <v/>
      </c>
      <c r="BE489" s="5"/>
      <c r="BF489" s="77" t="n">
        <f aca="false">IF(OR(ISNUMBER(BC489),BC489=Constants!$B$4,BC489=Constants!$B$6,BC489=Constants!$B$5),1,0)</f>
        <v>0</v>
      </c>
      <c r="BG489" s="77" t="n">
        <v>482</v>
      </c>
      <c r="BH489" s="77" t="str">
        <f aca="false">IF(ISBLANK($C489),"",IF(ISNUMBER(BD489),BD489+ROW($B489)/1000,""))</f>
        <v/>
      </c>
      <c r="BI489" s="77" t="str">
        <f aca="false">IF(ISNUMBER(BH489),RANK(BH489,$BH$8:$BH$507,1),"")</f>
        <v/>
      </c>
      <c r="BJ489" s="77" t="str">
        <f aca="false">IF(ISBLANK($C489),"",$B489)</f>
        <v/>
      </c>
      <c r="BK489" s="77" t="str">
        <f aca="false">IF(ISBLANK($C489),"",$C489)</f>
        <v/>
      </c>
      <c r="BL489" s="77" t="str">
        <f aca="false">IF(ISBLANK($C489),"",$D489)</f>
        <v/>
      </c>
      <c r="BM489" s="78" t="str">
        <f aca="false">BA489</f>
        <v/>
      </c>
      <c r="BN489" s="79" t="str">
        <f aca="false">AZ489</f>
        <v/>
      </c>
      <c r="BO489" s="77" t="str">
        <f aca="false">IF(ISBLANK($C489),"",BC489)</f>
        <v/>
      </c>
      <c r="BP489" s="80" t="str">
        <f aca="false">IF($BG489&gt;$BF$7,"",VLOOKUP($BG489,$BI$8:$BO$507,7,FALSE()))</f>
        <v/>
      </c>
      <c r="BQ489" s="81" t="str">
        <f aca="false">IF($BG489&gt;$BF$7,"",VLOOKUP($BG489,$BI$8:$BO$507,2,FALSE()))</f>
        <v/>
      </c>
      <c r="BR489" s="81" t="str">
        <f aca="false">IF($BG489&gt;$BF$7,"",VLOOKUP($BG489,$BI$8:$BO$507,3,FALSE()))</f>
        <v/>
      </c>
      <c r="BS489" s="81" t="str">
        <f aca="false">IF($BG489&gt;$BF$7,"",VLOOKUP($BG489,$BI$8:$BO$507,4,FALSE()))</f>
        <v/>
      </c>
      <c r="BT489" s="81" t="str">
        <f aca="false">IF($BG489&gt;$BF$7,"",VLOOKUP($BG489,$BI$8:$BO$507,5,FALSE()))</f>
        <v/>
      </c>
      <c r="BU489" s="82" t="str">
        <f aca="false">IF($BG489&gt;$BF$7,"",VLOOKUP($BG489,$BI$8:$BO$507,6,FALSE()))</f>
        <v/>
      </c>
      <c r="BV489" s="54"/>
    </row>
    <row r="490" customFormat="false" ht="15.75" hidden="false" customHeight="false" outlineLevel="0" collapsed="false">
      <c r="A490" s="5"/>
      <c r="B490" s="135"/>
      <c r="C490" s="56"/>
      <c r="D490" s="57"/>
      <c r="E490" s="84"/>
      <c r="F490" s="136"/>
      <c r="G490" s="60"/>
      <c r="H490" s="137"/>
      <c r="I490" s="62"/>
      <c r="J490" s="62"/>
      <c r="K490" s="60"/>
      <c r="L490" s="138"/>
      <c r="M490" s="62"/>
      <c r="N490" s="62"/>
      <c r="O490" s="60"/>
      <c r="P490" s="84"/>
      <c r="Q490" s="65"/>
      <c r="R490" s="67" t="str">
        <f aca="false">IF(ISBLANK($C490),"",IF(E490=Constants!$B$2, TRUE(), IF(E490=Constants!$B$3, FALSE(), TRUE())))</f>
        <v/>
      </c>
      <c r="S490" s="67" t="str">
        <f aca="false">IF(ISBLANK($C490),"",IF(F490=Constants!$B$2, TRUE(), IF(F490=Constants!$B$3, FALSE(), TRUE())))</f>
        <v/>
      </c>
      <c r="T490" s="67" t="str">
        <f aca="false">IF(ISBLANK($C490),"",IF(G490=Constants!$B$16,Constants!$B$9,IF(G490=Constants!$B$17,Constants!$B$10,Constants!$B$8)))</f>
        <v/>
      </c>
      <c r="U490" s="67" t="str">
        <f aca="false">IF(ISBLANK($C490),"",IF(H490=Constants!$B$19,Constants!$B$19,Constants!$B$18))</f>
        <v/>
      </c>
      <c r="V490" s="67" t="str">
        <f aca="false">IF(ISBLANK($C490),"",IF(ISNUMBER(I490),IF(I490&gt;=0,I490,""),""))</f>
        <v/>
      </c>
      <c r="W490" s="67" t="str">
        <f aca="false">IF(ISBLANK($C490),"",IF(J490=Constants!$B$2, TRUE(), IF(J490=Constants!$B$3, FALSE(), TRUE())))</f>
        <v/>
      </c>
      <c r="X490" s="67" t="str">
        <f aca="false">IF(ISBLANK($C490),"",IF(K490=Constants!$B$2, TRUE(), IF(K490=Constants!$B$3, FALSE(), TRUE())))</f>
        <v/>
      </c>
      <c r="Y490" s="67" t="str">
        <f aca="false">IF(ISBLANK($C490),"",IF(L490=Constants!$B$19,Constants!$B$19,Constants!$B$18))</f>
        <v/>
      </c>
      <c r="Z490" s="67" t="str">
        <f aca="false">IF(ISBLANK($C490),"",IF(ISNUMBER(M490),IF(M490&gt;=0,M490,""),""))</f>
        <v/>
      </c>
      <c r="AA490" s="67" t="str">
        <f aca="false">IF(ISBLANK($C490),"",IF(N490=Constants!$B$2, TRUE(), IF(N490=Constants!$B$3, FALSE(), TRUE())))</f>
        <v/>
      </c>
      <c r="AB490" s="67" t="str">
        <f aca="false">IF(ISBLANK($C490),"",IF(O490=Constants!$B$2, TRUE(), IF(O490=Constants!$B$3, FALSE(), TRUE())))</f>
        <v/>
      </c>
      <c r="AC490" s="67" t="str">
        <f aca="false">IF(ISBLANK($C490),"",IF(P490=Constants!$B$2, TRUE(), IF(P490=Constants!$B$3, FALSE(), FALSE())))</f>
        <v/>
      </c>
      <c r="AD490" s="67" t="str">
        <f aca="false">IF(ISBLANK($C490),"",AND(V490&lt;&gt;"",IF(U490=Constants!$B$19,S490,R490)))</f>
        <v/>
      </c>
      <c r="AE490" s="67" t="str">
        <f aca="false">IF(ISBLANK($C490),"",AND(Z490&lt;&gt;"",IF(Y490=Constants!$B$19,S490,R490)))</f>
        <v/>
      </c>
      <c r="AF490" s="67" t="str">
        <f aca="false">IF(ISBLANK($C490),"",IF(AC490,Constants!$B$4,IF(COUNTA(E490:O490)=0,Constants!$B$5,IF(AND(NOT(AD490),NOT(AE490)),Constants!$B$6,Constants!$B$7))))</f>
        <v/>
      </c>
      <c r="AG490" s="67" t="str">
        <f aca="false">IF(ISBLANK($C490),"",IF($AF490&lt;&gt;Constants!$B$7,$AF490,Constants!$B$20))</f>
        <v/>
      </c>
      <c r="AH490" s="67" t="str">
        <f aca="false">IF($AF490=Constants!$B$7,IF(AD490,V490,Constants!$B$13),"")</f>
        <v/>
      </c>
      <c r="AI490" s="67" t="str">
        <f aca="false">IF($AF490=Constants!$B$7,IF(AD490,T490*IF(W490, 1, Constants!$B$11)*IF(X490, 1, Constants!$B$12),Constants!$B$13),"")</f>
        <v/>
      </c>
      <c r="AJ490" s="67" t="str">
        <f aca="false">IF($AF490=Constants!$B$7,AH490*AI490,"")</f>
        <v/>
      </c>
      <c r="AK490" s="67" t="str">
        <f aca="false">IF($AF490=Constants!$B$7,IF(AE490,Z490,Constants!$B$13),"")</f>
        <v/>
      </c>
      <c r="AL490" s="67" t="str">
        <f aca="false">IF($AF490=Constants!$B$7,IF(AE490,T490*IF(AA490, 1, Constants!$B$11)*IF(AB490, 1, Constants!$B$12),Constants!$B$13),"")</f>
        <v/>
      </c>
      <c r="AM490" s="67" t="str">
        <f aca="false">IF($AF490=Constants!$B$7,AK490*AL490,"")</f>
        <v/>
      </c>
      <c r="AN490" s="67" t="str">
        <f aca="false">IF($AF490=Constants!$B$7,IF(AM490&gt;AJ490,2,1),"")</f>
        <v/>
      </c>
      <c r="AO490" s="67" t="str">
        <f aca="false">IF($AF490=Constants!$B$7,IF(AN490=1,2,1),"")</f>
        <v/>
      </c>
      <c r="AP490" s="67" t="str">
        <f aca="false">IF(ISBLANK($C490),"",IF($AF490&lt;&gt;Constants!$B$7,$AF490,IF(AN490=1,AJ490,AM490)))</f>
        <v/>
      </c>
      <c r="AQ490" s="67" t="str">
        <f aca="false">IF(ISBLANK($C490),"",IF($AF490=Constants!$B$7,IF(ISNUMBER(AP490),RANK(AP490,$AP$8:$AP$507),Constants!$B$14),$AF490))</f>
        <v/>
      </c>
      <c r="AR490" s="67" t="str">
        <f aca="false">IF(ISBLANK($C490),"",IF($AF490=Constants!$B$7,IF(AO490=1,AJ490,AM490),""))</f>
        <v/>
      </c>
      <c r="AS490" s="67" t="str">
        <f aca="false">IF(ISBLANK($C490),"",IF($AF490=Constants!$B$7,RANK(AR490,$AR$8:$AR$507),$AF490))</f>
        <v/>
      </c>
      <c r="AT490" s="67" t="str">
        <f aca="false">IF(ISBLANK($C490),"",IF($AF490=Constants!$B$7,IF(ISNUMBER(AQ490),COUNTIFS($AQ$8:$AQ$507,"&lt;"&amp;$AQ490)+COUNTIFS($AQ$8:$AQ$507,$AQ490,$AS$8:$AS$507,"&lt;"&amp;$AS490)+1,Constants!$B$14),$AF490))</f>
        <v/>
      </c>
      <c r="AU490" s="67" t="str">
        <f aca="false">IF(ISBLANK($C490),"",IF($AF490=Constants!$B$7,IF(ISNUMBER(AQ490),AQ490-AT490,Constants!$B$14),$AF490))</f>
        <v/>
      </c>
      <c r="AV490" s="69"/>
      <c r="AW490" s="70" t="str">
        <f aca="false">IF(ISBLANK($C490),"",IF($AF490&lt;&gt;Constants!$B$7,"",AN490))</f>
        <v/>
      </c>
      <c r="AX490" s="85" t="str">
        <f aca="false">IF(ISBLANK($C490),"",IF($AF490&lt;&gt;Constants!$B$7,"",IF(AN490=1,AH490,AK490)))</f>
        <v/>
      </c>
      <c r="AY490" s="72" t="str">
        <f aca="false">IF(ISBLANK($C490),"",IF($AF490&lt;&gt;Constants!$B$7,"",IF(AN490=1,AI490,AL490)))</f>
        <v/>
      </c>
      <c r="AZ490" s="73" t="str">
        <f aca="false">IF(ISBLANK($C490),"",IF($AF490&lt;&gt;Constants!$B$7,$AF490,AP490))</f>
        <v/>
      </c>
      <c r="BA490" s="74" t="str">
        <f aca="false">IF(ISBLANK($C490),"",IF($AF490&lt;&gt;Constants!$B$7,$AF490,AG490))</f>
        <v/>
      </c>
      <c r="BB490" s="75" t="str">
        <f aca="false">IF(ISBLANK($C490),"",AU490)</f>
        <v/>
      </c>
      <c r="BC490" s="75" t="str">
        <f aca="false">IF(ISBLANK($C490),"",AT490)</f>
        <v/>
      </c>
      <c r="BD490" s="76" t="str">
        <f aca="false">IF(ISBLANK($C490),"",IFERROR(_xlfn.SWITCH(BC490,Constants!$B$4,COUNTA($C$8:$C$507)+2,Constants!$B$5,COUNTA($C$8:$C$507)+1,Constants!$B$6,COUNTA($C$8:$C$507)),BC490))</f>
        <v/>
      </c>
      <c r="BE490" s="5"/>
      <c r="BF490" s="77" t="n">
        <f aca="false">IF(OR(ISNUMBER(BC490),BC490=Constants!$B$4,BC490=Constants!$B$6,BC490=Constants!$B$5),1,0)</f>
        <v>0</v>
      </c>
      <c r="BG490" s="77" t="n">
        <v>483</v>
      </c>
      <c r="BH490" s="77" t="str">
        <f aca="false">IF(ISBLANK($C490),"",IF(ISNUMBER(BD490),BD490+ROW($B490)/1000,""))</f>
        <v/>
      </c>
      <c r="BI490" s="77" t="str">
        <f aca="false">IF(ISNUMBER(BH490),RANK(BH490,$BH$8:$BH$507,1),"")</f>
        <v/>
      </c>
      <c r="BJ490" s="77" t="str">
        <f aca="false">IF(ISBLANK($C490),"",$B490)</f>
        <v/>
      </c>
      <c r="BK490" s="77" t="str">
        <f aca="false">IF(ISBLANK($C490),"",$C490)</f>
        <v/>
      </c>
      <c r="BL490" s="77" t="str">
        <f aca="false">IF(ISBLANK($C490),"",$D490)</f>
        <v/>
      </c>
      <c r="BM490" s="78" t="str">
        <f aca="false">BA490</f>
        <v/>
      </c>
      <c r="BN490" s="79" t="str">
        <f aca="false">AZ490</f>
        <v/>
      </c>
      <c r="BO490" s="77" t="str">
        <f aca="false">IF(ISBLANK($C490),"",BC490)</f>
        <v/>
      </c>
      <c r="BP490" s="80" t="str">
        <f aca="false">IF($BG490&gt;$BF$7,"",VLOOKUP($BG490,$BI$8:$BO$507,7,FALSE()))</f>
        <v/>
      </c>
      <c r="BQ490" s="81" t="str">
        <f aca="false">IF($BG490&gt;$BF$7,"",VLOOKUP($BG490,$BI$8:$BO$507,2,FALSE()))</f>
        <v/>
      </c>
      <c r="BR490" s="81" t="str">
        <f aca="false">IF($BG490&gt;$BF$7,"",VLOOKUP($BG490,$BI$8:$BO$507,3,FALSE()))</f>
        <v/>
      </c>
      <c r="BS490" s="81" t="str">
        <f aca="false">IF($BG490&gt;$BF$7,"",VLOOKUP($BG490,$BI$8:$BO$507,4,FALSE()))</f>
        <v/>
      </c>
      <c r="BT490" s="81" t="str">
        <f aca="false">IF($BG490&gt;$BF$7,"",VLOOKUP($BG490,$BI$8:$BO$507,5,FALSE()))</f>
        <v/>
      </c>
      <c r="BU490" s="82" t="str">
        <f aca="false">IF($BG490&gt;$BF$7,"",VLOOKUP($BG490,$BI$8:$BO$507,6,FALSE()))</f>
        <v/>
      </c>
      <c r="BV490" s="54"/>
    </row>
    <row r="491" customFormat="false" ht="15.75" hidden="false" customHeight="false" outlineLevel="0" collapsed="false">
      <c r="A491" s="5"/>
      <c r="B491" s="128"/>
      <c r="C491" s="129"/>
      <c r="D491" s="114"/>
      <c r="E491" s="134"/>
      <c r="F491" s="139"/>
      <c r="G491" s="93"/>
      <c r="H491" s="140"/>
      <c r="I491" s="95"/>
      <c r="J491" s="95"/>
      <c r="K491" s="93"/>
      <c r="L491" s="141"/>
      <c r="M491" s="95"/>
      <c r="N491" s="95"/>
      <c r="O491" s="93"/>
      <c r="P491" s="134"/>
      <c r="Q491" s="98"/>
      <c r="R491" s="99" t="str">
        <f aca="false">IF(ISBLANK($C491),"",IF(E491=Constants!$B$2, TRUE(), IF(E491=Constants!$B$3, FALSE(), TRUE())))</f>
        <v/>
      </c>
      <c r="S491" s="99" t="str">
        <f aca="false">IF(ISBLANK($C491),"",IF(F491=Constants!$B$2, TRUE(), IF(F491=Constants!$B$3, FALSE(), TRUE())))</f>
        <v/>
      </c>
      <c r="T491" s="99" t="str">
        <f aca="false">IF(ISBLANK($C491),"",IF(G491=Constants!$B$16,Constants!$B$9,IF(G491=Constants!$B$17,Constants!$B$10,Constants!$B$8)))</f>
        <v/>
      </c>
      <c r="U491" s="99" t="str">
        <f aca="false">IF(ISBLANK($C491),"",IF(H491=Constants!$B$19,Constants!$B$19,Constants!$B$18))</f>
        <v/>
      </c>
      <c r="V491" s="99" t="str">
        <f aca="false">IF(ISBLANK($C491),"",IF(ISNUMBER(I491),IF(I491&gt;=0,I491,""),""))</f>
        <v/>
      </c>
      <c r="W491" s="99" t="str">
        <f aca="false">IF(ISBLANK($C491),"",IF(J491=Constants!$B$2, TRUE(), IF(J491=Constants!$B$3, FALSE(), TRUE())))</f>
        <v/>
      </c>
      <c r="X491" s="99" t="str">
        <f aca="false">IF(ISBLANK($C491),"",IF(K491=Constants!$B$2, TRUE(), IF(K491=Constants!$B$3, FALSE(), TRUE())))</f>
        <v/>
      </c>
      <c r="Y491" s="99" t="str">
        <f aca="false">IF(ISBLANK($C491),"",IF(L491=Constants!$B$19,Constants!$B$19,Constants!$B$18))</f>
        <v/>
      </c>
      <c r="Z491" s="99" t="str">
        <f aca="false">IF(ISBLANK($C491),"",IF(ISNUMBER(M491),IF(M491&gt;=0,M491,""),""))</f>
        <v/>
      </c>
      <c r="AA491" s="99" t="str">
        <f aca="false">IF(ISBLANK($C491),"",IF(N491=Constants!$B$2, TRUE(), IF(N491=Constants!$B$3, FALSE(), TRUE())))</f>
        <v/>
      </c>
      <c r="AB491" s="99" t="str">
        <f aca="false">IF(ISBLANK($C491),"",IF(O491=Constants!$B$2, TRUE(), IF(O491=Constants!$B$3, FALSE(), TRUE())))</f>
        <v/>
      </c>
      <c r="AC491" s="99" t="str">
        <f aca="false">IF(ISBLANK($C491),"",IF(P491=Constants!$B$2, TRUE(), IF(P491=Constants!$B$3, FALSE(), FALSE())))</f>
        <v/>
      </c>
      <c r="AD491" s="99" t="str">
        <f aca="false">IF(ISBLANK($C491),"",AND(V491&lt;&gt;"",IF(U491=Constants!$B$19,S491,R491)))</f>
        <v/>
      </c>
      <c r="AE491" s="99" t="str">
        <f aca="false">IF(ISBLANK($C491),"",AND(Z491&lt;&gt;"",IF(Y491=Constants!$B$19,S491,R491)))</f>
        <v/>
      </c>
      <c r="AF491" s="99" t="str">
        <f aca="false">IF(ISBLANK($C491),"",IF(AC491,Constants!$B$4,IF(COUNTA(E491:O491)=0,Constants!$B$5,IF(AND(NOT(AD491),NOT(AE491)),Constants!$B$6,Constants!$B$7))))</f>
        <v/>
      </c>
      <c r="AG491" s="99" t="str">
        <f aca="false">IF(ISBLANK($C491),"",IF($AF491&lt;&gt;Constants!$B$7,$AF491,Constants!$B$20))</f>
        <v/>
      </c>
      <c r="AH491" s="99" t="str">
        <f aca="false">IF($AF491=Constants!$B$7,IF(AD491,V491,Constants!$B$13),"")</f>
        <v/>
      </c>
      <c r="AI491" s="99" t="str">
        <f aca="false">IF($AF491=Constants!$B$7,IF(AD491,T491*IF(W491, 1, Constants!$B$11)*IF(X491, 1, Constants!$B$12),Constants!$B$13),"")</f>
        <v/>
      </c>
      <c r="AJ491" s="99" t="str">
        <f aca="false">IF($AF491=Constants!$B$7,AH491*AI491,"")</f>
        <v/>
      </c>
      <c r="AK491" s="99" t="str">
        <f aca="false">IF($AF491=Constants!$B$7,IF(AE491,Z491,Constants!$B$13),"")</f>
        <v/>
      </c>
      <c r="AL491" s="99" t="str">
        <f aca="false">IF($AF491=Constants!$B$7,IF(AE491,T491*IF(AA491, 1, Constants!$B$11)*IF(AB491, 1, Constants!$B$12),Constants!$B$13),"")</f>
        <v/>
      </c>
      <c r="AM491" s="99" t="str">
        <f aca="false">IF($AF491=Constants!$B$7,AK491*AL491,"")</f>
        <v/>
      </c>
      <c r="AN491" s="99" t="str">
        <f aca="false">IF($AF491=Constants!$B$7,IF(AM491&gt;AJ491,2,1),"")</f>
        <v/>
      </c>
      <c r="AO491" s="99" t="str">
        <f aca="false">IF($AF491=Constants!$B$7,IF(AN491=1,2,1),"")</f>
        <v/>
      </c>
      <c r="AP491" s="99" t="str">
        <f aca="false">IF(ISBLANK($C491),"",IF($AF491&lt;&gt;Constants!$B$7,$AF491,IF(AN491=1,AJ491,AM491)))</f>
        <v/>
      </c>
      <c r="AQ491" s="99" t="str">
        <f aca="false">IF(ISBLANK($C491),"",IF($AF491=Constants!$B$7,IF(ISNUMBER(AP491),RANK(AP491,$AP$8:$AP$507),Constants!$B$14),$AF491))</f>
        <v/>
      </c>
      <c r="AR491" s="99" t="str">
        <f aca="false">IF(ISBLANK($C491),"",IF($AF491=Constants!$B$7,IF(AO491=1,AJ491,AM491),""))</f>
        <v/>
      </c>
      <c r="AS491" s="99" t="str">
        <f aca="false">IF(ISBLANK($C491),"",IF($AF491=Constants!$B$7,RANK(AR491,$AR$8:$AR$507),$AF491))</f>
        <v/>
      </c>
      <c r="AT491" s="99" t="str">
        <f aca="false">IF(ISBLANK($C491),"",IF($AF491=Constants!$B$7,IF(ISNUMBER(AQ491),COUNTIFS($AQ$8:$AQ$507,"&lt;"&amp;$AQ491)+COUNTIFS($AQ$8:$AQ$507,$AQ491,$AS$8:$AS$507,"&lt;"&amp;$AS491)+1,Constants!$B$14),$AF491))</f>
        <v/>
      </c>
      <c r="AU491" s="99" t="str">
        <f aca="false">IF(ISBLANK($C491),"",IF($AF491=Constants!$B$7,IF(ISNUMBER(AQ491),AQ491-AT491,Constants!$B$14),$AF491))</f>
        <v/>
      </c>
      <c r="AV491" s="100"/>
      <c r="AW491" s="101" t="str">
        <f aca="false">IF(ISBLANK($C491),"",IF($AF491&lt;&gt;Constants!$B$7,"",AN491))</f>
        <v/>
      </c>
      <c r="AX491" s="102" t="str">
        <f aca="false">IF(ISBLANK($C491),"",IF($AF491&lt;&gt;Constants!$B$7,"",IF(AN491=1,AH491,AK491)))</f>
        <v/>
      </c>
      <c r="AY491" s="103" t="str">
        <f aca="false">IF(ISBLANK($C491),"",IF($AF491&lt;&gt;Constants!$B$7,"",IF(AN491=1,AI491,AL491)))</f>
        <v/>
      </c>
      <c r="AZ491" s="104" t="str">
        <f aca="false">IF(ISBLANK($C491),"",IF($AF491&lt;&gt;Constants!$B$7,$AF491,AP491))</f>
        <v/>
      </c>
      <c r="BA491" s="105" t="str">
        <f aca="false">IF(ISBLANK($C491),"",IF($AF491&lt;&gt;Constants!$B$7,$AF491,AG491))</f>
        <v/>
      </c>
      <c r="BB491" s="106" t="str">
        <f aca="false">IF(ISBLANK($C491),"",AU491)</f>
        <v/>
      </c>
      <c r="BC491" s="106" t="str">
        <f aca="false">IF(ISBLANK($C491),"",AT491)</f>
        <v/>
      </c>
      <c r="BD491" s="107" t="str">
        <f aca="false">IF(ISBLANK($C491),"",IFERROR(_xlfn.SWITCH(BC491,Constants!$B$4,COUNTA($C$8:$C$507)+2,Constants!$B$5,COUNTA($C$8:$C$507)+1,Constants!$B$6,COUNTA($C$8:$C$507)),BC491))</f>
        <v/>
      </c>
      <c r="BE491" s="5"/>
      <c r="BF491" s="108" t="n">
        <f aca="false">IF(OR(ISNUMBER(BC491),BC491=Constants!$B$4,BC491=Constants!$B$6,BC491=Constants!$B$5),1,0)</f>
        <v>0</v>
      </c>
      <c r="BG491" s="108" t="n">
        <v>484</v>
      </c>
      <c r="BH491" s="108" t="str">
        <f aca="false">IF(ISBLANK($C491),"",IF(ISNUMBER(BD491),BD491+ROW($B491)/1000,""))</f>
        <v/>
      </c>
      <c r="BI491" s="108" t="str">
        <f aca="false">IF(ISNUMBER(BH491),RANK(BH491,$BH$8:$BH$507,1),"")</f>
        <v/>
      </c>
      <c r="BJ491" s="108" t="str">
        <f aca="false">IF(ISBLANK($C491),"",$B491)</f>
        <v/>
      </c>
      <c r="BK491" s="108" t="str">
        <f aca="false">IF(ISBLANK($C491),"",$C491)</f>
        <v/>
      </c>
      <c r="BL491" s="108" t="str">
        <f aca="false">IF(ISBLANK($C491),"",$D491)</f>
        <v/>
      </c>
      <c r="BM491" s="109" t="str">
        <f aca="false">BA491</f>
        <v/>
      </c>
      <c r="BN491" s="110" t="str">
        <f aca="false">AZ491</f>
        <v/>
      </c>
      <c r="BO491" s="108" t="str">
        <f aca="false">IF(ISBLANK($C491),"",BC491)</f>
        <v/>
      </c>
      <c r="BP491" s="111" t="str">
        <f aca="false">IF($BG491&gt;$BF$7,"",VLOOKUP($BG491,$BI$8:$BO$507,7,FALSE()))</f>
        <v/>
      </c>
      <c r="BQ491" s="112" t="str">
        <f aca="false">IF($BG491&gt;$BF$7,"",VLOOKUP($BG491,$BI$8:$BO$507,2,FALSE()))</f>
        <v/>
      </c>
      <c r="BR491" s="112" t="str">
        <f aca="false">IF($BG491&gt;$BF$7,"",VLOOKUP($BG491,$BI$8:$BO$507,3,FALSE()))</f>
        <v/>
      </c>
      <c r="BS491" s="112" t="str">
        <f aca="false">IF($BG491&gt;$BF$7,"",VLOOKUP($BG491,$BI$8:$BO$507,4,FALSE()))</f>
        <v/>
      </c>
      <c r="BT491" s="112" t="str">
        <f aca="false">IF($BG491&gt;$BF$7,"",VLOOKUP($BG491,$BI$8:$BO$507,5,FALSE()))</f>
        <v/>
      </c>
      <c r="BU491" s="113" t="str">
        <f aca="false">IF($BG491&gt;$BF$7,"",VLOOKUP($BG491,$BI$8:$BO$507,6,FALSE()))</f>
        <v/>
      </c>
      <c r="BV491" s="54"/>
    </row>
    <row r="492" customFormat="false" ht="15.75" hidden="false" customHeight="false" outlineLevel="0" collapsed="false">
      <c r="A492" s="5"/>
      <c r="B492" s="128"/>
      <c r="C492" s="129"/>
      <c r="D492" s="114"/>
      <c r="E492" s="134"/>
      <c r="F492" s="139"/>
      <c r="G492" s="93"/>
      <c r="H492" s="140"/>
      <c r="I492" s="95"/>
      <c r="J492" s="95"/>
      <c r="K492" s="93"/>
      <c r="L492" s="141"/>
      <c r="M492" s="95"/>
      <c r="N492" s="95"/>
      <c r="O492" s="93"/>
      <c r="P492" s="134"/>
      <c r="Q492" s="98"/>
      <c r="R492" s="99" t="str">
        <f aca="false">IF(ISBLANK($C492),"",IF(E492=Constants!$B$2, TRUE(), IF(E492=Constants!$B$3, FALSE(), TRUE())))</f>
        <v/>
      </c>
      <c r="S492" s="99" t="str">
        <f aca="false">IF(ISBLANK($C492),"",IF(F492=Constants!$B$2, TRUE(), IF(F492=Constants!$B$3, FALSE(), TRUE())))</f>
        <v/>
      </c>
      <c r="T492" s="99" t="str">
        <f aca="false">IF(ISBLANK($C492),"",IF(G492=Constants!$B$16,Constants!$B$9,IF(G492=Constants!$B$17,Constants!$B$10,Constants!$B$8)))</f>
        <v/>
      </c>
      <c r="U492" s="99" t="str">
        <f aca="false">IF(ISBLANK($C492),"",IF(H492=Constants!$B$19,Constants!$B$19,Constants!$B$18))</f>
        <v/>
      </c>
      <c r="V492" s="99" t="str">
        <f aca="false">IF(ISBLANK($C492),"",IF(ISNUMBER(I492),IF(I492&gt;=0,I492,""),""))</f>
        <v/>
      </c>
      <c r="W492" s="99" t="str">
        <f aca="false">IF(ISBLANK($C492),"",IF(J492=Constants!$B$2, TRUE(), IF(J492=Constants!$B$3, FALSE(), TRUE())))</f>
        <v/>
      </c>
      <c r="X492" s="99" t="str">
        <f aca="false">IF(ISBLANK($C492),"",IF(K492=Constants!$B$2, TRUE(), IF(K492=Constants!$B$3, FALSE(), TRUE())))</f>
        <v/>
      </c>
      <c r="Y492" s="99" t="str">
        <f aca="false">IF(ISBLANK($C492),"",IF(L492=Constants!$B$19,Constants!$B$19,Constants!$B$18))</f>
        <v/>
      </c>
      <c r="Z492" s="99" t="str">
        <f aca="false">IF(ISBLANK($C492),"",IF(ISNUMBER(M492),IF(M492&gt;=0,M492,""),""))</f>
        <v/>
      </c>
      <c r="AA492" s="99" t="str">
        <f aca="false">IF(ISBLANK($C492),"",IF(N492=Constants!$B$2, TRUE(), IF(N492=Constants!$B$3, FALSE(), TRUE())))</f>
        <v/>
      </c>
      <c r="AB492" s="99" t="str">
        <f aca="false">IF(ISBLANK($C492),"",IF(O492=Constants!$B$2, TRUE(), IF(O492=Constants!$B$3, FALSE(), TRUE())))</f>
        <v/>
      </c>
      <c r="AC492" s="99" t="str">
        <f aca="false">IF(ISBLANK($C492),"",IF(P492=Constants!$B$2, TRUE(), IF(P492=Constants!$B$3, FALSE(), FALSE())))</f>
        <v/>
      </c>
      <c r="AD492" s="99" t="str">
        <f aca="false">IF(ISBLANK($C492),"",AND(V492&lt;&gt;"",IF(U492=Constants!$B$19,S492,R492)))</f>
        <v/>
      </c>
      <c r="AE492" s="99" t="str">
        <f aca="false">IF(ISBLANK($C492),"",AND(Z492&lt;&gt;"",IF(Y492=Constants!$B$19,S492,R492)))</f>
        <v/>
      </c>
      <c r="AF492" s="99" t="str">
        <f aca="false">IF(ISBLANK($C492),"",IF(AC492,Constants!$B$4,IF(COUNTA(E492:O492)=0,Constants!$B$5,IF(AND(NOT(AD492),NOT(AE492)),Constants!$B$6,Constants!$B$7))))</f>
        <v/>
      </c>
      <c r="AG492" s="99" t="str">
        <f aca="false">IF(ISBLANK($C492),"",IF($AF492&lt;&gt;Constants!$B$7,$AF492,Constants!$B$20))</f>
        <v/>
      </c>
      <c r="AH492" s="99" t="str">
        <f aca="false">IF($AF492=Constants!$B$7,IF(AD492,V492,Constants!$B$13),"")</f>
        <v/>
      </c>
      <c r="AI492" s="99" t="str">
        <f aca="false">IF($AF492=Constants!$B$7,IF(AD492,T492*IF(W492, 1, Constants!$B$11)*IF(X492, 1, Constants!$B$12),Constants!$B$13),"")</f>
        <v/>
      </c>
      <c r="AJ492" s="99" t="str">
        <f aca="false">IF($AF492=Constants!$B$7,AH492*AI492,"")</f>
        <v/>
      </c>
      <c r="AK492" s="99" t="str">
        <f aca="false">IF($AF492=Constants!$B$7,IF(AE492,Z492,Constants!$B$13),"")</f>
        <v/>
      </c>
      <c r="AL492" s="99" t="str">
        <f aca="false">IF($AF492=Constants!$B$7,IF(AE492,T492*IF(AA492, 1, Constants!$B$11)*IF(AB492, 1, Constants!$B$12),Constants!$B$13),"")</f>
        <v/>
      </c>
      <c r="AM492" s="99" t="str">
        <f aca="false">IF($AF492=Constants!$B$7,AK492*AL492,"")</f>
        <v/>
      </c>
      <c r="AN492" s="99" t="str">
        <f aca="false">IF($AF492=Constants!$B$7,IF(AM492&gt;AJ492,2,1),"")</f>
        <v/>
      </c>
      <c r="AO492" s="99" t="str">
        <f aca="false">IF($AF492=Constants!$B$7,IF(AN492=1,2,1),"")</f>
        <v/>
      </c>
      <c r="AP492" s="99" t="str">
        <f aca="false">IF(ISBLANK($C492),"",IF($AF492&lt;&gt;Constants!$B$7,$AF492,IF(AN492=1,AJ492,AM492)))</f>
        <v/>
      </c>
      <c r="AQ492" s="99" t="str">
        <f aca="false">IF(ISBLANK($C492),"",IF($AF492=Constants!$B$7,IF(ISNUMBER(AP492),RANK(AP492,$AP$8:$AP$507),Constants!$B$14),$AF492))</f>
        <v/>
      </c>
      <c r="AR492" s="99" t="str">
        <f aca="false">IF(ISBLANK($C492),"",IF($AF492=Constants!$B$7,IF(AO492=1,AJ492,AM492),""))</f>
        <v/>
      </c>
      <c r="AS492" s="99" t="str">
        <f aca="false">IF(ISBLANK($C492),"",IF($AF492=Constants!$B$7,RANK(AR492,$AR$8:$AR$507),$AF492))</f>
        <v/>
      </c>
      <c r="AT492" s="99" t="str">
        <f aca="false">IF(ISBLANK($C492),"",IF($AF492=Constants!$B$7,IF(ISNUMBER(AQ492),COUNTIFS($AQ$8:$AQ$507,"&lt;"&amp;$AQ492)+COUNTIFS($AQ$8:$AQ$507,$AQ492,$AS$8:$AS$507,"&lt;"&amp;$AS492)+1,Constants!$B$14),$AF492))</f>
        <v/>
      </c>
      <c r="AU492" s="99" t="str">
        <f aca="false">IF(ISBLANK($C492),"",IF($AF492=Constants!$B$7,IF(ISNUMBER(AQ492),AQ492-AT492,Constants!$B$14),$AF492))</f>
        <v/>
      </c>
      <c r="AV492" s="100"/>
      <c r="AW492" s="101" t="str">
        <f aca="false">IF(ISBLANK($C492),"",IF($AF492&lt;&gt;Constants!$B$7,"",AN492))</f>
        <v/>
      </c>
      <c r="AX492" s="102" t="str">
        <f aca="false">IF(ISBLANK($C492),"",IF($AF492&lt;&gt;Constants!$B$7,"",IF(AN492=1,AH492,AK492)))</f>
        <v/>
      </c>
      <c r="AY492" s="103" t="str">
        <f aca="false">IF(ISBLANK($C492),"",IF($AF492&lt;&gt;Constants!$B$7,"",IF(AN492=1,AI492,AL492)))</f>
        <v/>
      </c>
      <c r="AZ492" s="104" t="str">
        <f aca="false">IF(ISBLANK($C492),"",IF($AF492&lt;&gt;Constants!$B$7,$AF492,AP492))</f>
        <v/>
      </c>
      <c r="BA492" s="105" t="str">
        <f aca="false">IF(ISBLANK($C492),"",IF($AF492&lt;&gt;Constants!$B$7,$AF492,AG492))</f>
        <v/>
      </c>
      <c r="BB492" s="106" t="str">
        <f aca="false">IF(ISBLANK($C492),"",AU492)</f>
        <v/>
      </c>
      <c r="BC492" s="106" t="str">
        <f aca="false">IF(ISBLANK($C492),"",AT492)</f>
        <v/>
      </c>
      <c r="BD492" s="107" t="str">
        <f aca="false">IF(ISBLANK($C492),"",IFERROR(_xlfn.SWITCH(BC492,Constants!$B$4,COUNTA($C$8:$C$507)+2,Constants!$B$5,COUNTA($C$8:$C$507)+1,Constants!$B$6,COUNTA($C$8:$C$507)),BC492))</f>
        <v/>
      </c>
      <c r="BE492" s="5"/>
      <c r="BF492" s="108" t="n">
        <f aca="false">IF(OR(ISNUMBER(BC492),BC492=Constants!$B$4,BC492=Constants!$B$6,BC492=Constants!$B$5),1,0)</f>
        <v>0</v>
      </c>
      <c r="BG492" s="108" t="n">
        <v>485</v>
      </c>
      <c r="BH492" s="108" t="str">
        <f aca="false">IF(ISBLANK($C492),"",IF(ISNUMBER(BD492),BD492+ROW($B492)/1000,""))</f>
        <v/>
      </c>
      <c r="BI492" s="108" t="str">
        <f aca="false">IF(ISNUMBER(BH492),RANK(BH492,$BH$8:$BH$507,1),"")</f>
        <v/>
      </c>
      <c r="BJ492" s="108" t="str">
        <f aca="false">IF(ISBLANK($C492),"",$B492)</f>
        <v/>
      </c>
      <c r="BK492" s="108" t="str">
        <f aca="false">IF(ISBLANK($C492),"",$C492)</f>
        <v/>
      </c>
      <c r="BL492" s="108" t="str">
        <f aca="false">IF(ISBLANK($C492),"",$D492)</f>
        <v/>
      </c>
      <c r="BM492" s="109" t="str">
        <f aca="false">BA492</f>
        <v/>
      </c>
      <c r="BN492" s="110" t="str">
        <f aca="false">AZ492</f>
        <v/>
      </c>
      <c r="BO492" s="108" t="str">
        <f aca="false">IF(ISBLANK($C492),"",BC492)</f>
        <v/>
      </c>
      <c r="BP492" s="111" t="str">
        <f aca="false">IF($BG492&gt;$BF$7,"",VLOOKUP($BG492,$BI$8:$BO$507,7,FALSE()))</f>
        <v/>
      </c>
      <c r="BQ492" s="112" t="str">
        <f aca="false">IF($BG492&gt;$BF$7,"",VLOOKUP($BG492,$BI$8:$BO$507,2,FALSE()))</f>
        <v/>
      </c>
      <c r="BR492" s="112" t="str">
        <f aca="false">IF($BG492&gt;$BF$7,"",VLOOKUP($BG492,$BI$8:$BO$507,3,FALSE()))</f>
        <v/>
      </c>
      <c r="BS492" s="112" t="str">
        <f aca="false">IF($BG492&gt;$BF$7,"",VLOOKUP($BG492,$BI$8:$BO$507,4,FALSE()))</f>
        <v/>
      </c>
      <c r="BT492" s="112" t="str">
        <f aca="false">IF($BG492&gt;$BF$7,"",VLOOKUP($BG492,$BI$8:$BO$507,5,FALSE()))</f>
        <v/>
      </c>
      <c r="BU492" s="113" t="str">
        <f aca="false">IF($BG492&gt;$BF$7,"",VLOOKUP($BG492,$BI$8:$BO$507,6,FALSE()))</f>
        <v/>
      </c>
      <c r="BV492" s="54"/>
    </row>
    <row r="493" customFormat="false" ht="15.75" hidden="false" customHeight="false" outlineLevel="0" collapsed="false">
      <c r="A493" s="5"/>
      <c r="B493" s="128"/>
      <c r="C493" s="129"/>
      <c r="D493" s="114"/>
      <c r="E493" s="134"/>
      <c r="F493" s="139"/>
      <c r="G493" s="93"/>
      <c r="H493" s="140"/>
      <c r="I493" s="95"/>
      <c r="J493" s="95"/>
      <c r="K493" s="93"/>
      <c r="L493" s="141"/>
      <c r="M493" s="95"/>
      <c r="N493" s="95"/>
      <c r="O493" s="93"/>
      <c r="P493" s="134"/>
      <c r="Q493" s="98"/>
      <c r="R493" s="99" t="str">
        <f aca="false">IF(ISBLANK($C493),"",IF(E493=Constants!$B$2, TRUE(), IF(E493=Constants!$B$3, FALSE(), TRUE())))</f>
        <v/>
      </c>
      <c r="S493" s="99" t="str">
        <f aca="false">IF(ISBLANK($C493),"",IF(F493=Constants!$B$2, TRUE(), IF(F493=Constants!$B$3, FALSE(), TRUE())))</f>
        <v/>
      </c>
      <c r="T493" s="99" t="str">
        <f aca="false">IF(ISBLANK($C493),"",IF(G493=Constants!$B$16,Constants!$B$9,IF(G493=Constants!$B$17,Constants!$B$10,Constants!$B$8)))</f>
        <v/>
      </c>
      <c r="U493" s="99" t="str">
        <f aca="false">IF(ISBLANK($C493),"",IF(H493=Constants!$B$19,Constants!$B$19,Constants!$B$18))</f>
        <v/>
      </c>
      <c r="V493" s="99" t="str">
        <f aca="false">IF(ISBLANK($C493),"",IF(ISNUMBER(I493),IF(I493&gt;=0,I493,""),""))</f>
        <v/>
      </c>
      <c r="W493" s="99" t="str">
        <f aca="false">IF(ISBLANK($C493),"",IF(J493=Constants!$B$2, TRUE(), IF(J493=Constants!$B$3, FALSE(), TRUE())))</f>
        <v/>
      </c>
      <c r="X493" s="99" t="str">
        <f aca="false">IF(ISBLANK($C493),"",IF(K493=Constants!$B$2, TRUE(), IF(K493=Constants!$B$3, FALSE(), TRUE())))</f>
        <v/>
      </c>
      <c r="Y493" s="99" t="str">
        <f aca="false">IF(ISBLANK($C493),"",IF(L493=Constants!$B$19,Constants!$B$19,Constants!$B$18))</f>
        <v/>
      </c>
      <c r="Z493" s="99" t="str">
        <f aca="false">IF(ISBLANK($C493),"",IF(ISNUMBER(M493),IF(M493&gt;=0,M493,""),""))</f>
        <v/>
      </c>
      <c r="AA493" s="99" t="str">
        <f aca="false">IF(ISBLANK($C493),"",IF(N493=Constants!$B$2, TRUE(), IF(N493=Constants!$B$3, FALSE(), TRUE())))</f>
        <v/>
      </c>
      <c r="AB493" s="99" t="str">
        <f aca="false">IF(ISBLANK($C493),"",IF(O493=Constants!$B$2, TRUE(), IF(O493=Constants!$B$3, FALSE(), TRUE())))</f>
        <v/>
      </c>
      <c r="AC493" s="99" t="str">
        <f aca="false">IF(ISBLANK($C493),"",IF(P493=Constants!$B$2, TRUE(), IF(P493=Constants!$B$3, FALSE(), FALSE())))</f>
        <v/>
      </c>
      <c r="AD493" s="99" t="str">
        <f aca="false">IF(ISBLANK($C493),"",AND(V493&lt;&gt;"",IF(U493=Constants!$B$19,S493,R493)))</f>
        <v/>
      </c>
      <c r="AE493" s="99" t="str">
        <f aca="false">IF(ISBLANK($C493),"",AND(Z493&lt;&gt;"",IF(Y493=Constants!$B$19,S493,R493)))</f>
        <v/>
      </c>
      <c r="AF493" s="99" t="str">
        <f aca="false">IF(ISBLANK($C493),"",IF(AC493,Constants!$B$4,IF(COUNTA(E493:O493)=0,Constants!$B$5,IF(AND(NOT(AD493),NOT(AE493)),Constants!$B$6,Constants!$B$7))))</f>
        <v/>
      </c>
      <c r="AG493" s="99" t="str">
        <f aca="false">IF(ISBLANK($C493),"",IF($AF493&lt;&gt;Constants!$B$7,$AF493,Constants!$B$20))</f>
        <v/>
      </c>
      <c r="AH493" s="99" t="str">
        <f aca="false">IF($AF493=Constants!$B$7,IF(AD493,V493,Constants!$B$13),"")</f>
        <v/>
      </c>
      <c r="AI493" s="99" t="str">
        <f aca="false">IF($AF493=Constants!$B$7,IF(AD493,T493*IF(W493, 1, Constants!$B$11)*IF(X493, 1, Constants!$B$12),Constants!$B$13),"")</f>
        <v/>
      </c>
      <c r="AJ493" s="99" t="str">
        <f aca="false">IF($AF493=Constants!$B$7,AH493*AI493,"")</f>
        <v/>
      </c>
      <c r="AK493" s="99" t="str">
        <f aca="false">IF($AF493=Constants!$B$7,IF(AE493,Z493,Constants!$B$13),"")</f>
        <v/>
      </c>
      <c r="AL493" s="99" t="str">
        <f aca="false">IF($AF493=Constants!$B$7,IF(AE493,T493*IF(AA493, 1, Constants!$B$11)*IF(AB493, 1, Constants!$B$12),Constants!$B$13),"")</f>
        <v/>
      </c>
      <c r="AM493" s="99" t="str">
        <f aca="false">IF($AF493=Constants!$B$7,AK493*AL493,"")</f>
        <v/>
      </c>
      <c r="AN493" s="99" t="str">
        <f aca="false">IF($AF493=Constants!$B$7,IF(AM493&gt;AJ493,2,1),"")</f>
        <v/>
      </c>
      <c r="AO493" s="99" t="str">
        <f aca="false">IF($AF493=Constants!$B$7,IF(AN493=1,2,1),"")</f>
        <v/>
      </c>
      <c r="AP493" s="99" t="str">
        <f aca="false">IF(ISBLANK($C493),"",IF($AF493&lt;&gt;Constants!$B$7,$AF493,IF(AN493=1,AJ493,AM493)))</f>
        <v/>
      </c>
      <c r="AQ493" s="99" t="str">
        <f aca="false">IF(ISBLANK($C493),"",IF($AF493=Constants!$B$7,IF(ISNUMBER(AP493),RANK(AP493,$AP$8:$AP$507),Constants!$B$14),$AF493))</f>
        <v/>
      </c>
      <c r="AR493" s="99" t="str">
        <f aca="false">IF(ISBLANK($C493),"",IF($AF493=Constants!$B$7,IF(AO493=1,AJ493,AM493),""))</f>
        <v/>
      </c>
      <c r="AS493" s="99" t="str">
        <f aca="false">IF(ISBLANK($C493),"",IF($AF493=Constants!$B$7,RANK(AR493,$AR$8:$AR$507),$AF493))</f>
        <v/>
      </c>
      <c r="AT493" s="99" t="str">
        <f aca="false">IF(ISBLANK($C493),"",IF($AF493=Constants!$B$7,IF(ISNUMBER(AQ493),COUNTIFS($AQ$8:$AQ$507,"&lt;"&amp;$AQ493)+COUNTIFS($AQ$8:$AQ$507,$AQ493,$AS$8:$AS$507,"&lt;"&amp;$AS493)+1,Constants!$B$14),$AF493))</f>
        <v/>
      </c>
      <c r="AU493" s="99" t="str">
        <f aca="false">IF(ISBLANK($C493),"",IF($AF493=Constants!$B$7,IF(ISNUMBER(AQ493),AQ493-AT493,Constants!$B$14),$AF493))</f>
        <v/>
      </c>
      <c r="AV493" s="100"/>
      <c r="AW493" s="101" t="str">
        <f aca="false">IF(ISBLANK($C493),"",IF($AF493&lt;&gt;Constants!$B$7,"",AN493))</f>
        <v/>
      </c>
      <c r="AX493" s="102" t="str">
        <f aca="false">IF(ISBLANK($C493),"",IF($AF493&lt;&gt;Constants!$B$7,"",IF(AN493=1,AH493,AK493)))</f>
        <v/>
      </c>
      <c r="AY493" s="103" t="str">
        <f aca="false">IF(ISBLANK($C493),"",IF($AF493&lt;&gt;Constants!$B$7,"",IF(AN493=1,AI493,AL493)))</f>
        <v/>
      </c>
      <c r="AZ493" s="104" t="str">
        <f aca="false">IF(ISBLANK($C493),"",IF($AF493&lt;&gt;Constants!$B$7,$AF493,AP493))</f>
        <v/>
      </c>
      <c r="BA493" s="105" t="str">
        <f aca="false">IF(ISBLANK($C493),"",IF($AF493&lt;&gt;Constants!$B$7,$AF493,AG493))</f>
        <v/>
      </c>
      <c r="BB493" s="106" t="str">
        <f aca="false">IF(ISBLANK($C493),"",AU493)</f>
        <v/>
      </c>
      <c r="BC493" s="106" t="str">
        <f aca="false">IF(ISBLANK($C493),"",AT493)</f>
        <v/>
      </c>
      <c r="BD493" s="107" t="str">
        <f aca="false">IF(ISBLANK($C493),"",IFERROR(_xlfn.SWITCH(BC493,Constants!$B$4,COUNTA($C$8:$C$507)+2,Constants!$B$5,COUNTA($C$8:$C$507)+1,Constants!$B$6,COUNTA($C$8:$C$507)),BC493))</f>
        <v/>
      </c>
      <c r="BE493" s="5"/>
      <c r="BF493" s="108" t="n">
        <f aca="false">IF(OR(ISNUMBER(BC493),BC493=Constants!$B$4,BC493=Constants!$B$6,BC493=Constants!$B$5),1,0)</f>
        <v>0</v>
      </c>
      <c r="BG493" s="108" t="n">
        <v>486</v>
      </c>
      <c r="BH493" s="108" t="str">
        <f aca="false">IF(ISBLANK($C493),"",IF(ISNUMBER(BD493),BD493+ROW($B493)/1000,""))</f>
        <v/>
      </c>
      <c r="BI493" s="108" t="str">
        <f aca="false">IF(ISNUMBER(BH493),RANK(BH493,$BH$8:$BH$507,1),"")</f>
        <v/>
      </c>
      <c r="BJ493" s="108" t="str">
        <f aca="false">IF(ISBLANK($C493),"",$B493)</f>
        <v/>
      </c>
      <c r="BK493" s="108" t="str">
        <f aca="false">IF(ISBLANK($C493),"",$C493)</f>
        <v/>
      </c>
      <c r="BL493" s="108" t="str">
        <f aca="false">IF(ISBLANK($C493),"",$D493)</f>
        <v/>
      </c>
      <c r="BM493" s="109" t="str">
        <f aca="false">BA493</f>
        <v/>
      </c>
      <c r="BN493" s="110" t="str">
        <f aca="false">AZ493</f>
        <v/>
      </c>
      <c r="BO493" s="108" t="str">
        <f aca="false">IF(ISBLANK($C493),"",BC493)</f>
        <v/>
      </c>
      <c r="BP493" s="111" t="str">
        <f aca="false">IF($BG493&gt;$BF$7,"",VLOOKUP($BG493,$BI$8:$BO$507,7,FALSE()))</f>
        <v/>
      </c>
      <c r="BQ493" s="112" t="str">
        <f aca="false">IF($BG493&gt;$BF$7,"",VLOOKUP($BG493,$BI$8:$BO$507,2,FALSE()))</f>
        <v/>
      </c>
      <c r="BR493" s="112" t="str">
        <f aca="false">IF($BG493&gt;$BF$7,"",VLOOKUP($BG493,$BI$8:$BO$507,3,FALSE()))</f>
        <v/>
      </c>
      <c r="BS493" s="112" t="str">
        <f aca="false">IF($BG493&gt;$BF$7,"",VLOOKUP($BG493,$BI$8:$BO$507,4,FALSE()))</f>
        <v/>
      </c>
      <c r="BT493" s="112" t="str">
        <f aca="false">IF($BG493&gt;$BF$7,"",VLOOKUP($BG493,$BI$8:$BO$507,5,FALSE()))</f>
        <v/>
      </c>
      <c r="BU493" s="113" t="str">
        <f aca="false">IF($BG493&gt;$BF$7,"",VLOOKUP($BG493,$BI$8:$BO$507,6,FALSE()))</f>
        <v/>
      </c>
      <c r="BV493" s="54"/>
    </row>
    <row r="494" customFormat="false" ht="15.75" hidden="false" customHeight="false" outlineLevel="0" collapsed="false">
      <c r="A494" s="5"/>
      <c r="B494" s="135"/>
      <c r="C494" s="56"/>
      <c r="D494" s="57"/>
      <c r="E494" s="84"/>
      <c r="F494" s="136"/>
      <c r="G494" s="60"/>
      <c r="H494" s="137"/>
      <c r="I494" s="62"/>
      <c r="J494" s="62"/>
      <c r="K494" s="60"/>
      <c r="L494" s="138"/>
      <c r="M494" s="62"/>
      <c r="N494" s="62"/>
      <c r="O494" s="60"/>
      <c r="P494" s="84"/>
      <c r="Q494" s="65"/>
      <c r="R494" s="67" t="str">
        <f aca="false">IF(ISBLANK($C494),"",IF(E494=Constants!$B$2, TRUE(), IF(E494=Constants!$B$3, FALSE(), TRUE())))</f>
        <v/>
      </c>
      <c r="S494" s="67" t="str">
        <f aca="false">IF(ISBLANK($C494),"",IF(F494=Constants!$B$2, TRUE(), IF(F494=Constants!$B$3, FALSE(), TRUE())))</f>
        <v/>
      </c>
      <c r="T494" s="67" t="str">
        <f aca="false">IF(ISBLANK($C494),"",IF(G494=Constants!$B$16,Constants!$B$9,IF(G494=Constants!$B$17,Constants!$B$10,Constants!$B$8)))</f>
        <v/>
      </c>
      <c r="U494" s="67" t="str">
        <f aca="false">IF(ISBLANK($C494),"",IF(H494=Constants!$B$19,Constants!$B$19,Constants!$B$18))</f>
        <v/>
      </c>
      <c r="V494" s="67" t="str">
        <f aca="false">IF(ISBLANK($C494),"",IF(ISNUMBER(I494),IF(I494&gt;=0,I494,""),""))</f>
        <v/>
      </c>
      <c r="W494" s="67" t="str">
        <f aca="false">IF(ISBLANK($C494),"",IF(J494=Constants!$B$2, TRUE(), IF(J494=Constants!$B$3, FALSE(), TRUE())))</f>
        <v/>
      </c>
      <c r="X494" s="67" t="str">
        <f aca="false">IF(ISBLANK($C494),"",IF(K494=Constants!$B$2, TRUE(), IF(K494=Constants!$B$3, FALSE(), TRUE())))</f>
        <v/>
      </c>
      <c r="Y494" s="67" t="str">
        <f aca="false">IF(ISBLANK($C494),"",IF(L494=Constants!$B$19,Constants!$B$19,Constants!$B$18))</f>
        <v/>
      </c>
      <c r="Z494" s="67" t="str">
        <f aca="false">IF(ISBLANK($C494),"",IF(ISNUMBER(M494),IF(M494&gt;=0,M494,""),""))</f>
        <v/>
      </c>
      <c r="AA494" s="67" t="str">
        <f aca="false">IF(ISBLANK($C494),"",IF(N494=Constants!$B$2, TRUE(), IF(N494=Constants!$B$3, FALSE(), TRUE())))</f>
        <v/>
      </c>
      <c r="AB494" s="67" t="str">
        <f aca="false">IF(ISBLANK($C494),"",IF(O494=Constants!$B$2, TRUE(), IF(O494=Constants!$B$3, FALSE(), TRUE())))</f>
        <v/>
      </c>
      <c r="AC494" s="67" t="str">
        <f aca="false">IF(ISBLANK($C494),"",IF(P494=Constants!$B$2, TRUE(), IF(P494=Constants!$B$3, FALSE(), FALSE())))</f>
        <v/>
      </c>
      <c r="AD494" s="67" t="str">
        <f aca="false">IF(ISBLANK($C494),"",AND(V494&lt;&gt;"",IF(U494=Constants!$B$19,S494,R494)))</f>
        <v/>
      </c>
      <c r="AE494" s="67" t="str">
        <f aca="false">IF(ISBLANK($C494),"",AND(Z494&lt;&gt;"",IF(Y494=Constants!$B$19,S494,R494)))</f>
        <v/>
      </c>
      <c r="AF494" s="67" t="str">
        <f aca="false">IF(ISBLANK($C494),"",IF(AC494,Constants!$B$4,IF(COUNTA(E494:O494)=0,Constants!$B$5,IF(AND(NOT(AD494),NOT(AE494)),Constants!$B$6,Constants!$B$7))))</f>
        <v/>
      </c>
      <c r="AG494" s="67" t="str">
        <f aca="false">IF(ISBLANK($C494),"",IF($AF494&lt;&gt;Constants!$B$7,$AF494,Constants!$B$20))</f>
        <v/>
      </c>
      <c r="AH494" s="67" t="str">
        <f aca="false">IF($AF494=Constants!$B$7,IF(AD494,V494,Constants!$B$13),"")</f>
        <v/>
      </c>
      <c r="AI494" s="67" t="str">
        <f aca="false">IF($AF494=Constants!$B$7,IF(AD494,T494*IF(W494, 1, Constants!$B$11)*IF(X494, 1, Constants!$B$12),Constants!$B$13),"")</f>
        <v/>
      </c>
      <c r="AJ494" s="67" t="str">
        <f aca="false">IF($AF494=Constants!$B$7,AH494*AI494,"")</f>
        <v/>
      </c>
      <c r="AK494" s="67" t="str">
        <f aca="false">IF($AF494=Constants!$B$7,IF(AE494,Z494,Constants!$B$13),"")</f>
        <v/>
      </c>
      <c r="AL494" s="67" t="str">
        <f aca="false">IF($AF494=Constants!$B$7,IF(AE494,T494*IF(AA494, 1, Constants!$B$11)*IF(AB494, 1, Constants!$B$12),Constants!$B$13),"")</f>
        <v/>
      </c>
      <c r="AM494" s="67" t="str">
        <f aca="false">IF($AF494=Constants!$B$7,AK494*AL494,"")</f>
        <v/>
      </c>
      <c r="AN494" s="67" t="str">
        <f aca="false">IF($AF494=Constants!$B$7,IF(AM494&gt;AJ494,2,1),"")</f>
        <v/>
      </c>
      <c r="AO494" s="67" t="str">
        <f aca="false">IF($AF494=Constants!$B$7,IF(AN494=1,2,1),"")</f>
        <v/>
      </c>
      <c r="AP494" s="67" t="str">
        <f aca="false">IF(ISBLANK($C494),"",IF($AF494&lt;&gt;Constants!$B$7,$AF494,IF(AN494=1,AJ494,AM494)))</f>
        <v/>
      </c>
      <c r="AQ494" s="67" t="str">
        <f aca="false">IF(ISBLANK($C494),"",IF($AF494=Constants!$B$7,IF(ISNUMBER(AP494),RANK(AP494,$AP$8:$AP$507),Constants!$B$14),$AF494))</f>
        <v/>
      </c>
      <c r="AR494" s="67" t="str">
        <f aca="false">IF(ISBLANK($C494),"",IF($AF494=Constants!$B$7,IF(AO494=1,AJ494,AM494),""))</f>
        <v/>
      </c>
      <c r="AS494" s="67" t="str">
        <f aca="false">IF(ISBLANK($C494),"",IF($AF494=Constants!$B$7,RANK(AR494,$AR$8:$AR$507),$AF494))</f>
        <v/>
      </c>
      <c r="AT494" s="67" t="str">
        <f aca="false">IF(ISBLANK($C494),"",IF($AF494=Constants!$B$7,IF(ISNUMBER(AQ494),COUNTIFS($AQ$8:$AQ$507,"&lt;"&amp;$AQ494)+COUNTIFS($AQ$8:$AQ$507,$AQ494,$AS$8:$AS$507,"&lt;"&amp;$AS494)+1,Constants!$B$14),$AF494))</f>
        <v/>
      </c>
      <c r="AU494" s="67" t="str">
        <f aca="false">IF(ISBLANK($C494),"",IF($AF494=Constants!$B$7,IF(ISNUMBER(AQ494),AQ494-AT494,Constants!$B$14),$AF494))</f>
        <v/>
      </c>
      <c r="AV494" s="69"/>
      <c r="AW494" s="70" t="str">
        <f aca="false">IF(ISBLANK($C494),"",IF($AF494&lt;&gt;Constants!$B$7,"",AN494))</f>
        <v/>
      </c>
      <c r="AX494" s="85" t="str">
        <f aca="false">IF(ISBLANK($C494),"",IF($AF494&lt;&gt;Constants!$B$7,"",IF(AN494=1,AH494,AK494)))</f>
        <v/>
      </c>
      <c r="AY494" s="72" t="str">
        <f aca="false">IF(ISBLANK($C494),"",IF($AF494&lt;&gt;Constants!$B$7,"",IF(AN494=1,AI494,AL494)))</f>
        <v/>
      </c>
      <c r="AZ494" s="73" t="str">
        <f aca="false">IF(ISBLANK($C494),"",IF($AF494&lt;&gt;Constants!$B$7,$AF494,AP494))</f>
        <v/>
      </c>
      <c r="BA494" s="74" t="str">
        <f aca="false">IF(ISBLANK($C494),"",IF($AF494&lt;&gt;Constants!$B$7,$AF494,AG494))</f>
        <v/>
      </c>
      <c r="BB494" s="75" t="str">
        <f aca="false">IF(ISBLANK($C494),"",AU494)</f>
        <v/>
      </c>
      <c r="BC494" s="75" t="str">
        <f aca="false">IF(ISBLANK($C494),"",AT494)</f>
        <v/>
      </c>
      <c r="BD494" s="76" t="str">
        <f aca="false">IF(ISBLANK($C494),"",IFERROR(_xlfn.SWITCH(BC494,Constants!$B$4,COUNTA($C$8:$C$507)+2,Constants!$B$5,COUNTA($C$8:$C$507)+1,Constants!$B$6,COUNTA($C$8:$C$507)),BC494))</f>
        <v/>
      </c>
      <c r="BE494" s="5"/>
      <c r="BF494" s="77" t="n">
        <f aca="false">IF(OR(ISNUMBER(BC494),BC494=Constants!$B$4,BC494=Constants!$B$6,BC494=Constants!$B$5),1,0)</f>
        <v>0</v>
      </c>
      <c r="BG494" s="77" t="n">
        <v>487</v>
      </c>
      <c r="BH494" s="77" t="str">
        <f aca="false">IF(ISBLANK($C494),"",IF(ISNUMBER(BD494),BD494+ROW($B494)/1000,""))</f>
        <v/>
      </c>
      <c r="BI494" s="77" t="str">
        <f aca="false">IF(ISNUMBER(BH494),RANK(BH494,$BH$8:$BH$507,1),"")</f>
        <v/>
      </c>
      <c r="BJ494" s="77" t="str">
        <f aca="false">IF(ISBLANK($C494),"",$B494)</f>
        <v/>
      </c>
      <c r="BK494" s="77" t="str">
        <f aca="false">IF(ISBLANK($C494),"",$C494)</f>
        <v/>
      </c>
      <c r="BL494" s="77" t="str">
        <f aca="false">IF(ISBLANK($C494),"",$D494)</f>
        <v/>
      </c>
      <c r="BM494" s="78" t="str">
        <f aca="false">BA494</f>
        <v/>
      </c>
      <c r="BN494" s="79" t="str">
        <f aca="false">AZ494</f>
        <v/>
      </c>
      <c r="BO494" s="77" t="str">
        <f aca="false">IF(ISBLANK($C494),"",BC494)</f>
        <v/>
      </c>
      <c r="BP494" s="80" t="str">
        <f aca="false">IF($BG494&gt;$BF$7,"",VLOOKUP($BG494,$BI$8:$BO$507,7,FALSE()))</f>
        <v/>
      </c>
      <c r="BQ494" s="81" t="str">
        <f aca="false">IF($BG494&gt;$BF$7,"",VLOOKUP($BG494,$BI$8:$BO$507,2,FALSE()))</f>
        <v/>
      </c>
      <c r="BR494" s="81" t="str">
        <f aca="false">IF($BG494&gt;$BF$7,"",VLOOKUP($BG494,$BI$8:$BO$507,3,FALSE()))</f>
        <v/>
      </c>
      <c r="BS494" s="81" t="str">
        <f aca="false">IF($BG494&gt;$BF$7,"",VLOOKUP($BG494,$BI$8:$BO$507,4,FALSE()))</f>
        <v/>
      </c>
      <c r="BT494" s="81" t="str">
        <f aca="false">IF($BG494&gt;$BF$7,"",VLOOKUP($BG494,$BI$8:$BO$507,5,FALSE()))</f>
        <v/>
      </c>
      <c r="BU494" s="82" t="str">
        <f aca="false">IF($BG494&gt;$BF$7,"",VLOOKUP($BG494,$BI$8:$BO$507,6,FALSE()))</f>
        <v/>
      </c>
      <c r="BV494" s="54"/>
    </row>
    <row r="495" customFormat="false" ht="15.75" hidden="false" customHeight="false" outlineLevel="0" collapsed="false">
      <c r="A495" s="5"/>
      <c r="B495" s="135"/>
      <c r="C495" s="56"/>
      <c r="D495" s="57"/>
      <c r="E495" s="84"/>
      <c r="F495" s="136"/>
      <c r="G495" s="60"/>
      <c r="H495" s="137"/>
      <c r="I495" s="62"/>
      <c r="J495" s="62"/>
      <c r="K495" s="60"/>
      <c r="L495" s="138"/>
      <c r="M495" s="62"/>
      <c r="N495" s="62"/>
      <c r="O495" s="60"/>
      <c r="P495" s="84"/>
      <c r="Q495" s="65"/>
      <c r="R495" s="67" t="str">
        <f aca="false">IF(ISBLANK($C495),"",IF(E495=Constants!$B$2, TRUE(), IF(E495=Constants!$B$3, FALSE(), TRUE())))</f>
        <v/>
      </c>
      <c r="S495" s="67" t="str">
        <f aca="false">IF(ISBLANK($C495),"",IF(F495=Constants!$B$2, TRUE(), IF(F495=Constants!$B$3, FALSE(), TRUE())))</f>
        <v/>
      </c>
      <c r="T495" s="67" t="str">
        <f aca="false">IF(ISBLANK($C495),"",IF(G495=Constants!$B$16,Constants!$B$9,IF(G495=Constants!$B$17,Constants!$B$10,Constants!$B$8)))</f>
        <v/>
      </c>
      <c r="U495" s="67" t="str">
        <f aca="false">IF(ISBLANK($C495),"",IF(H495=Constants!$B$19,Constants!$B$19,Constants!$B$18))</f>
        <v/>
      </c>
      <c r="V495" s="67" t="str">
        <f aca="false">IF(ISBLANK($C495),"",IF(ISNUMBER(I495),IF(I495&gt;=0,I495,""),""))</f>
        <v/>
      </c>
      <c r="W495" s="67" t="str">
        <f aca="false">IF(ISBLANK($C495),"",IF(J495=Constants!$B$2, TRUE(), IF(J495=Constants!$B$3, FALSE(), TRUE())))</f>
        <v/>
      </c>
      <c r="X495" s="67" t="str">
        <f aca="false">IF(ISBLANK($C495),"",IF(K495=Constants!$B$2, TRUE(), IF(K495=Constants!$B$3, FALSE(), TRUE())))</f>
        <v/>
      </c>
      <c r="Y495" s="67" t="str">
        <f aca="false">IF(ISBLANK($C495),"",IF(L495=Constants!$B$19,Constants!$B$19,Constants!$B$18))</f>
        <v/>
      </c>
      <c r="Z495" s="67" t="str">
        <f aca="false">IF(ISBLANK($C495),"",IF(ISNUMBER(M495),IF(M495&gt;=0,M495,""),""))</f>
        <v/>
      </c>
      <c r="AA495" s="67" t="str">
        <f aca="false">IF(ISBLANK($C495),"",IF(N495=Constants!$B$2, TRUE(), IF(N495=Constants!$B$3, FALSE(), TRUE())))</f>
        <v/>
      </c>
      <c r="AB495" s="67" t="str">
        <f aca="false">IF(ISBLANK($C495),"",IF(O495=Constants!$B$2, TRUE(), IF(O495=Constants!$B$3, FALSE(), TRUE())))</f>
        <v/>
      </c>
      <c r="AC495" s="67" t="str">
        <f aca="false">IF(ISBLANK($C495),"",IF(P495=Constants!$B$2, TRUE(), IF(P495=Constants!$B$3, FALSE(), FALSE())))</f>
        <v/>
      </c>
      <c r="AD495" s="67" t="str">
        <f aca="false">IF(ISBLANK($C495),"",AND(V495&lt;&gt;"",IF(U495=Constants!$B$19,S495,R495)))</f>
        <v/>
      </c>
      <c r="AE495" s="67" t="str">
        <f aca="false">IF(ISBLANK($C495),"",AND(Z495&lt;&gt;"",IF(Y495=Constants!$B$19,S495,R495)))</f>
        <v/>
      </c>
      <c r="AF495" s="67" t="str">
        <f aca="false">IF(ISBLANK($C495),"",IF(AC495,Constants!$B$4,IF(COUNTA(E495:O495)=0,Constants!$B$5,IF(AND(NOT(AD495),NOT(AE495)),Constants!$B$6,Constants!$B$7))))</f>
        <v/>
      </c>
      <c r="AG495" s="67" t="str">
        <f aca="false">IF(ISBLANK($C495),"",IF($AF495&lt;&gt;Constants!$B$7,$AF495,Constants!$B$20))</f>
        <v/>
      </c>
      <c r="AH495" s="67" t="str">
        <f aca="false">IF($AF495=Constants!$B$7,IF(AD495,V495,Constants!$B$13),"")</f>
        <v/>
      </c>
      <c r="AI495" s="67" t="str">
        <f aca="false">IF($AF495=Constants!$B$7,IF(AD495,T495*IF(W495, 1, Constants!$B$11)*IF(X495, 1, Constants!$B$12),Constants!$B$13),"")</f>
        <v/>
      </c>
      <c r="AJ495" s="67" t="str">
        <f aca="false">IF($AF495=Constants!$B$7,AH495*AI495,"")</f>
        <v/>
      </c>
      <c r="AK495" s="67" t="str">
        <f aca="false">IF($AF495=Constants!$B$7,IF(AE495,Z495,Constants!$B$13),"")</f>
        <v/>
      </c>
      <c r="AL495" s="67" t="str">
        <f aca="false">IF($AF495=Constants!$B$7,IF(AE495,T495*IF(AA495, 1, Constants!$B$11)*IF(AB495, 1, Constants!$B$12),Constants!$B$13),"")</f>
        <v/>
      </c>
      <c r="AM495" s="67" t="str">
        <f aca="false">IF($AF495=Constants!$B$7,AK495*AL495,"")</f>
        <v/>
      </c>
      <c r="AN495" s="67" t="str">
        <f aca="false">IF($AF495=Constants!$B$7,IF(AM495&gt;AJ495,2,1),"")</f>
        <v/>
      </c>
      <c r="AO495" s="67" t="str">
        <f aca="false">IF($AF495=Constants!$B$7,IF(AN495=1,2,1),"")</f>
        <v/>
      </c>
      <c r="AP495" s="67" t="str">
        <f aca="false">IF(ISBLANK($C495),"",IF($AF495&lt;&gt;Constants!$B$7,$AF495,IF(AN495=1,AJ495,AM495)))</f>
        <v/>
      </c>
      <c r="AQ495" s="67" t="str">
        <f aca="false">IF(ISBLANK($C495),"",IF($AF495=Constants!$B$7,IF(ISNUMBER(AP495),RANK(AP495,$AP$8:$AP$507),Constants!$B$14),$AF495))</f>
        <v/>
      </c>
      <c r="AR495" s="67" t="str">
        <f aca="false">IF(ISBLANK($C495),"",IF($AF495=Constants!$B$7,IF(AO495=1,AJ495,AM495),""))</f>
        <v/>
      </c>
      <c r="AS495" s="67" t="str">
        <f aca="false">IF(ISBLANK($C495),"",IF($AF495=Constants!$B$7,RANK(AR495,$AR$8:$AR$507),$AF495))</f>
        <v/>
      </c>
      <c r="AT495" s="67" t="str">
        <f aca="false">IF(ISBLANK($C495),"",IF($AF495=Constants!$B$7,IF(ISNUMBER(AQ495),COUNTIFS($AQ$8:$AQ$507,"&lt;"&amp;$AQ495)+COUNTIFS($AQ$8:$AQ$507,$AQ495,$AS$8:$AS$507,"&lt;"&amp;$AS495)+1,Constants!$B$14),$AF495))</f>
        <v/>
      </c>
      <c r="AU495" s="67" t="str">
        <f aca="false">IF(ISBLANK($C495),"",IF($AF495=Constants!$B$7,IF(ISNUMBER(AQ495),AQ495-AT495,Constants!$B$14),$AF495))</f>
        <v/>
      </c>
      <c r="AV495" s="69"/>
      <c r="AW495" s="70" t="str">
        <f aca="false">IF(ISBLANK($C495),"",IF($AF495&lt;&gt;Constants!$B$7,"",AN495))</f>
        <v/>
      </c>
      <c r="AX495" s="85" t="str">
        <f aca="false">IF(ISBLANK($C495),"",IF($AF495&lt;&gt;Constants!$B$7,"",IF(AN495=1,AH495,AK495)))</f>
        <v/>
      </c>
      <c r="AY495" s="72" t="str">
        <f aca="false">IF(ISBLANK($C495),"",IF($AF495&lt;&gt;Constants!$B$7,"",IF(AN495=1,AI495,AL495)))</f>
        <v/>
      </c>
      <c r="AZ495" s="73" t="str">
        <f aca="false">IF(ISBLANK($C495),"",IF($AF495&lt;&gt;Constants!$B$7,$AF495,AP495))</f>
        <v/>
      </c>
      <c r="BA495" s="74" t="str">
        <f aca="false">IF(ISBLANK($C495),"",IF($AF495&lt;&gt;Constants!$B$7,$AF495,AG495))</f>
        <v/>
      </c>
      <c r="BB495" s="75" t="str">
        <f aca="false">IF(ISBLANK($C495),"",AU495)</f>
        <v/>
      </c>
      <c r="BC495" s="75" t="str">
        <f aca="false">IF(ISBLANK($C495),"",AT495)</f>
        <v/>
      </c>
      <c r="BD495" s="76" t="str">
        <f aca="false">IF(ISBLANK($C495),"",IFERROR(_xlfn.SWITCH(BC495,Constants!$B$4,COUNTA($C$8:$C$507)+2,Constants!$B$5,COUNTA($C$8:$C$507)+1,Constants!$B$6,COUNTA($C$8:$C$507)),BC495))</f>
        <v/>
      </c>
      <c r="BE495" s="5"/>
      <c r="BF495" s="77" t="n">
        <f aca="false">IF(OR(ISNUMBER(BC495),BC495=Constants!$B$4,BC495=Constants!$B$6,BC495=Constants!$B$5),1,0)</f>
        <v>0</v>
      </c>
      <c r="BG495" s="77" t="n">
        <v>488</v>
      </c>
      <c r="BH495" s="77" t="str">
        <f aca="false">IF(ISBLANK($C495),"",IF(ISNUMBER(BD495),BD495+ROW($B495)/1000,""))</f>
        <v/>
      </c>
      <c r="BI495" s="77" t="str">
        <f aca="false">IF(ISNUMBER(BH495),RANK(BH495,$BH$8:$BH$507,1),"")</f>
        <v/>
      </c>
      <c r="BJ495" s="77" t="str">
        <f aca="false">IF(ISBLANK($C495),"",$B495)</f>
        <v/>
      </c>
      <c r="BK495" s="77" t="str">
        <f aca="false">IF(ISBLANK($C495),"",$C495)</f>
        <v/>
      </c>
      <c r="BL495" s="77" t="str">
        <f aca="false">IF(ISBLANK($C495),"",$D495)</f>
        <v/>
      </c>
      <c r="BM495" s="78" t="str">
        <f aca="false">BA495</f>
        <v/>
      </c>
      <c r="BN495" s="79" t="str">
        <f aca="false">AZ495</f>
        <v/>
      </c>
      <c r="BO495" s="77" t="str">
        <f aca="false">IF(ISBLANK($C495),"",BC495)</f>
        <v/>
      </c>
      <c r="BP495" s="80" t="str">
        <f aca="false">IF($BG495&gt;$BF$7,"",VLOOKUP($BG495,$BI$8:$BO$507,7,FALSE()))</f>
        <v/>
      </c>
      <c r="BQ495" s="81" t="str">
        <f aca="false">IF($BG495&gt;$BF$7,"",VLOOKUP($BG495,$BI$8:$BO$507,2,FALSE()))</f>
        <v/>
      </c>
      <c r="BR495" s="81" t="str">
        <f aca="false">IF($BG495&gt;$BF$7,"",VLOOKUP($BG495,$BI$8:$BO$507,3,FALSE()))</f>
        <v/>
      </c>
      <c r="BS495" s="81" t="str">
        <f aca="false">IF($BG495&gt;$BF$7,"",VLOOKUP($BG495,$BI$8:$BO$507,4,FALSE()))</f>
        <v/>
      </c>
      <c r="BT495" s="81" t="str">
        <f aca="false">IF($BG495&gt;$BF$7,"",VLOOKUP($BG495,$BI$8:$BO$507,5,FALSE()))</f>
        <v/>
      </c>
      <c r="BU495" s="82" t="str">
        <f aca="false">IF($BG495&gt;$BF$7,"",VLOOKUP($BG495,$BI$8:$BO$507,6,FALSE()))</f>
        <v/>
      </c>
      <c r="BV495" s="54"/>
    </row>
    <row r="496" customFormat="false" ht="15.75" hidden="false" customHeight="false" outlineLevel="0" collapsed="false">
      <c r="A496" s="5"/>
      <c r="B496" s="135"/>
      <c r="C496" s="56"/>
      <c r="D496" s="57"/>
      <c r="E496" s="84"/>
      <c r="F496" s="136"/>
      <c r="G496" s="60"/>
      <c r="H496" s="137"/>
      <c r="I496" s="62"/>
      <c r="J496" s="62"/>
      <c r="K496" s="60"/>
      <c r="L496" s="138"/>
      <c r="M496" s="62"/>
      <c r="N496" s="62"/>
      <c r="O496" s="60"/>
      <c r="P496" s="84"/>
      <c r="Q496" s="65"/>
      <c r="R496" s="67" t="str">
        <f aca="false">IF(ISBLANK($C496),"",IF(E496=Constants!$B$2, TRUE(), IF(E496=Constants!$B$3, FALSE(), TRUE())))</f>
        <v/>
      </c>
      <c r="S496" s="67" t="str">
        <f aca="false">IF(ISBLANK($C496),"",IF(F496=Constants!$B$2, TRUE(), IF(F496=Constants!$B$3, FALSE(), TRUE())))</f>
        <v/>
      </c>
      <c r="T496" s="67" t="str">
        <f aca="false">IF(ISBLANK($C496),"",IF(G496=Constants!$B$16,Constants!$B$9,IF(G496=Constants!$B$17,Constants!$B$10,Constants!$B$8)))</f>
        <v/>
      </c>
      <c r="U496" s="67" t="str">
        <f aca="false">IF(ISBLANK($C496),"",IF(H496=Constants!$B$19,Constants!$B$19,Constants!$B$18))</f>
        <v/>
      </c>
      <c r="V496" s="67" t="str">
        <f aca="false">IF(ISBLANK($C496),"",IF(ISNUMBER(I496),IF(I496&gt;=0,I496,""),""))</f>
        <v/>
      </c>
      <c r="W496" s="67" t="str">
        <f aca="false">IF(ISBLANK($C496),"",IF(J496=Constants!$B$2, TRUE(), IF(J496=Constants!$B$3, FALSE(), TRUE())))</f>
        <v/>
      </c>
      <c r="X496" s="67" t="str">
        <f aca="false">IF(ISBLANK($C496),"",IF(K496=Constants!$B$2, TRUE(), IF(K496=Constants!$B$3, FALSE(), TRUE())))</f>
        <v/>
      </c>
      <c r="Y496" s="67" t="str">
        <f aca="false">IF(ISBLANK($C496),"",IF(L496=Constants!$B$19,Constants!$B$19,Constants!$B$18))</f>
        <v/>
      </c>
      <c r="Z496" s="67" t="str">
        <f aca="false">IF(ISBLANK($C496),"",IF(ISNUMBER(M496),IF(M496&gt;=0,M496,""),""))</f>
        <v/>
      </c>
      <c r="AA496" s="67" t="str">
        <f aca="false">IF(ISBLANK($C496),"",IF(N496=Constants!$B$2, TRUE(), IF(N496=Constants!$B$3, FALSE(), TRUE())))</f>
        <v/>
      </c>
      <c r="AB496" s="67" t="str">
        <f aca="false">IF(ISBLANK($C496),"",IF(O496=Constants!$B$2, TRUE(), IF(O496=Constants!$B$3, FALSE(), TRUE())))</f>
        <v/>
      </c>
      <c r="AC496" s="67" t="str">
        <f aca="false">IF(ISBLANK($C496),"",IF(P496=Constants!$B$2, TRUE(), IF(P496=Constants!$B$3, FALSE(), FALSE())))</f>
        <v/>
      </c>
      <c r="AD496" s="67" t="str">
        <f aca="false">IF(ISBLANK($C496),"",AND(V496&lt;&gt;"",IF(U496=Constants!$B$19,S496,R496)))</f>
        <v/>
      </c>
      <c r="AE496" s="67" t="str">
        <f aca="false">IF(ISBLANK($C496),"",AND(Z496&lt;&gt;"",IF(Y496=Constants!$B$19,S496,R496)))</f>
        <v/>
      </c>
      <c r="AF496" s="67" t="str">
        <f aca="false">IF(ISBLANK($C496),"",IF(AC496,Constants!$B$4,IF(COUNTA(E496:O496)=0,Constants!$B$5,IF(AND(NOT(AD496),NOT(AE496)),Constants!$B$6,Constants!$B$7))))</f>
        <v/>
      </c>
      <c r="AG496" s="67" t="str">
        <f aca="false">IF(ISBLANK($C496),"",IF($AF496&lt;&gt;Constants!$B$7,$AF496,Constants!$B$20))</f>
        <v/>
      </c>
      <c r="AH496" s="67" t="str">
        <f aca="false">IF($AF496=Constants!$B$7,IF(AD496,V496,Constants!$B$13),"")</f>
        <v/>
      </c>
      <c r="AI496" s="67" t="str">
        <f aca="false">IF($AF496=Constants!$B$7,IF(AD496,T496*IF(W496, 1, Constants!$B$11)*IF(X496, 1, Constants!$B$12),Constants!$B$13),"")</f>
        <v/>
      </c>
      <c r="AJ496" s="67" t="str">
        <f aca="false">IF($AF496=Constants!$B$7,AH496*AI496,"")</f>
        <v/>
      </c>
      <c r="AK496" s="67" t="str">
        <f aca="false">IF($AF496=Constants!$B$7,IF(AE496,Z496,Constants!$B$13),"")</f>
        <v/>
      </c>
      <c r="AL496" s="67" t="str">
        <f aca="false">IF($AF496=Constants!$B$7,IF(AE496,T496*IF(AA496, 1, Constants!$B$11)*IF(AB496, 1, Constants!$B$12),Constants!$B$13),"")</f>
        <v/>
      </c>
      <c r="AM496" s="67" t="str">
        <f aca="false">IF($AF496=Constants!$B$7,AK496*AL496,"")</f>
        <v/>
      </c>
      <c r="AN496" s="67" t="str">
        <f aca="false">IF($AF496=Constants!$B$7,IF(AM496&gt;AJ496,2,1),"")</f>
        <v/>
      </c>
      <c r="AO496" s="67" t="str">
        <f aca="false">IF($AF496=Constants!$B$7,IF(AN496=1,2,1),"")</f>
        <v/>
      </c>
      <c r="AP496" s="67" t="str">
        <f aca="false">IF(ISBLANK($C496),"",IF($AF496&lt;&gt;Constants!$B$7,$AF496,IF(AN496=1,AJ496,AM496)))</f>
        <v/>
      </c>
      <c r="AQ496" s="67" t="str">
        <f aca="false">IF(ISBLANK($C496),"",IF($AF496=Constants!$B$7,IF(ISNUMBER(AP496),RANK(AP496,$AP$8:$AP$507),Constants!$B$14),$AF496))</f>
        <v/>
      </c>
      <c r="AR496" s="67" t="str">
        <f aca="false">IF(ISBLANK($C496),"",IF($AF496=Constants!$B$7,IF(AO496=1,AJ496,AM496),""))</f>
        <v/>
      </c>
      <c r="AS496" s="67" t="str">
        <f aca="false">IF(ISBLANK($C496),"",IF($AF496=Constants!$B$7,RANK(AR496,$AR$8:$AR$507),$AF496))</f>
        <v/>
      </c>
      <c r="AT496" s="67" t="str">
        <f aca="false">IF(ISBLANK($C496),"",IF($AF496=Constants!$B$7,IF(ISNUMBER(AQ496),COUNTIFS($AQ$8:$AQ$507,"&lt;"&amp;$AQ496)+COUNTIFS($AQ$8:$AQ$507,$AQ496,$AS$8:$AS$507,"&lt;"&amp;$AS496)+1,Constants!$B$14),$AF496))</f>
        <v/>
      </c>
      <c r="AU496" s="67" t="str">
        <f aca="false">IF(ISBLANK($C496),"",IF($AF496=Constants!$B$7,IF(ISNUMBER(AQ496),AQ496-AT496,Constants!$B$14),$AF496))</f>
        <v/>
      </c>
      <c r="AV496" s="69"/>
      <c r="AW496" s="70" t="str">
        <f aca="false">IF(ISBLANK($C496),"",IF($AF496&lt;&gt;Constants!$B$7,"",AN496))</f>
        <v/>
      </c>
      <c r="AX496" s="85" t="str">
        <f aca="false">IF(ISBLANK($C496),"",IF($AF496&lt;&gt;Constants!$B$7,"",IF(AN496=1,AH496,AK496)))</f>
        <v/>
      </c>
      <c r="AY496" s="72" t="str">
        <f aca="false">IF(ISBLANK($C496),"",IF($AF496&lt;&gt;Constants!$B$7,"",IF(AN496=1,AI496,AL496)))</f>
        <v/>
      </c>
      <c r="AZ496" s="73" t="str">
        <f aca="false">IF(ISBLANK($C496),"",IF($AF496&lt;&gt;Constants!$B$7,$AF496,AP496))</f>
        <v/>
      </c>
      <c r="BA496" s="74" t="str">
        <f aca="false">IF(ISBLANK($C496),"",IF($AF496&lt;&gt;Constants!$B$7,$AF496,AG496))</f>
        <v/>
      </c>
      <c r="BB496" s="75" t="str">
        <f aca="false">IF(ISBLANK($C496),"",AU496)</f>
        <v/>
      </c>
      <c r="BC496" s="75" t="str">
        <f aca="false">IF(ISBLANK($C496),"",AT496)</f>
        <v/>
      </c>
      <c r="BD496" s="76" t="str">
        <f aca="false">IF(ISBLANK($C496),"",IFERROR(_xlfn.SWITCH(BC496,Constants!$B$4,COUNTA($C$8:$C$507)+2,Constants!$B$5,COUNTA($C$8:$C$507)+1,Constants!$B$6,COUNTA($C$8:$C$507)),BC496))</f>
        <v/>
      </c>
      <c r="BE496" s="5"/>
      <c r="BF496" s="77" t="n">
        <f aca="false">IF(OR(ISNUMBER(BC496),BC496=Constants!$B$4,BC496=Constants!$B$6,BC496=Constants!$B$5),1,0)</f>
        <v>0</v>
      </c>
      <c r="BG496" s="77" t="n">
        <v>489</v>
      </c>
      <c r="BH496" s="77" t="str">
        <f aca="false">IF(ISBLANK($C496),"",IF(ISNUMBER(BD496),BD496+ROW($B496)/1000,""))</f>
        <v/>
      </c>
      <c r="BI496" s="77" t="str">
        <f aca="false">IF(ISNUMBER(BH496),RANK(BH496,$BH$8:$BH$507,1),"")</f>
        <v/>
      </c>
      <c r="BJ496" s="77" t="str">
        <f aca="false">IF(ISBLANK($C496),"",$B496)</f>
        <v/>
      </c>
      <c r="BK496" s="77" t="str">
        <f aca="false">IF(ISBLANK($C496),"",$C496)</f>
        <v/>
      </c>
      <c r="BL496" s="77" t="str">
        <f aca="false">IF(ISBLANK($C496),"",$D496)</f>
        <v/>
      </c>
      <c r="BM496" s="78" t="str">
        <f aca="false">BA496</f>
        <v/>
      </c>
      <c r="BN496" s="79" t="str">
        <f aca="false">AZ496</f>
        <v/>
      </c>
      <c r="BO496" s="77" t="str">
        <f aca="false">IF(ISBLANK($C496),"",BC496)</f>
        <v/>
      </c>
      <c r="BP496" s="80" t="str">
        <f aca="false">IF($BG496&gt;$BF$7,"",VLOOKUP($BG496,$BI$8:$BO$507,7,FALSE()))</f>
        <v/>
      </c>
      <c r="BQ496" s="81" t="str">
        <f aca="false">IF($BG496&gt;$BF$7,"",VLOOKUP($BG496,$BI$8:$BO$507,2,FALSE()))</f>
        <v/>
      </c>
      <c r="BR496" s="81" t="str">
        <f aca="false">IF($BG496&gt;$BF$7,"",VLOOKUP($BG496,$BI$8:$BO$507,3,FALSE()))</f>
        <v/>
      </c>
      <c r="BS496" s="81" t="str">
        <f aca="false">IF($BG496&gt;$BF$7,"",VLOOKUP($BG496,$BI$8:$BO$507,4,FALSE()))</f>
        <v/>
      </c>
      <c r="BT496" s="81" t="str">
        <f aca="false">IF($BG496&gt;$BF$7,"",VLOOKUP($BG496,$BI$8:$BO$507,5,FALSE()))</f>
        <v/>
      </c>
      <c r="BU496" s="82" t="str">
        <f aca="false">IF($BG496&gt;$BF$7,"",VLOOKUP($BG496,$BI$8:$BO$507,6,FALSE()))</f>
        <v/>
      </c>
      <c r="BV496" s="54"/>
    </row>
    <row r="497" customFormat="false" ht="15.75" hidden="false" customHeight="false" outlineLevel="0" collapsed="false">
      <c r="A497" s="5"/>
      <c r="B497" s="128"/>
      <c r="C497" s="129"/>
      <c r="D497" s="114"/>
      <c r="E497" s="134"/>
      <c r="F497" s="139"/>
      <c r="G497" s="93"/>
      <c r="H497" s="140"/>
      <c r="I497" s="95"/>
      <c r="J497" s="95"/>
      <c r="K497" s="93"/>
      <c r="L497" s="141"/>
      <c r="M497" s="95"/>
      <c r="N497" s="95"/>
      <c r="O497" s="93"/>
      <c r="P497" s="134"/>
      <c r="Q497" s="98"/>
      <c r="R497" s="99" t="str">
        <f aca="false">IF(ISBLANK($C497),"",IF(E497=Constants!$B$2, TRUE(), IF(E497=Constants!$B$3, FALSE(), TRUE())))</f>
        <v/>
      </c>
      <c r="S497" s="99" t="str">
        <f aca="false">IF(ISBLANK($C497),"",IF(F497=Constants!$B$2, TRUE(), IF(F497=Constants!$B$3, FALSE(), TRUE())))</f>
        <v/>
      </c>
      <c r="T497" s="99" t="str">
        <f aca="false">IF(ISBLANK($C497),"",IF(G497=Constants!$B$16,Constants!$B$9,IF(G497=Constants!$B$17,Constants!$B$10,Constants!$B$8)))</f>
        <v/>
      </c>
      <c r="U497" s="99" t="str">
        <f aca="false">IF(ISBLANK($C497),"",IF(H497=Constants!$B$19,Constants!$B$19,Constants!$B$18))</f>
        <v/>
      </c>
      <c r="V497" s="99" t="str">
        <f aca="false">IF(ISBLANK($C497),"",IF(ISNUMBER(I497),IF(I497&gt;=0,I497,""),""))</f>
        <v/>
      </c>
      <c r="W497" s="99" t="str">
        <f aca="false">IF(ISBLANK($C497),"",IF(J497=Constants!$B$2, TRUE(), IF(J497=Constants!$B$3, FALSE(), TRUE())))</f>
        <v/>
      </c>
      <c r="X497" s="99" t="str">
        <f aca="false">IF(ISBLANK($C497),"",IF(K497=Constants!$B$2, TRUE(), IF(K497=Constants!$B$3, FALSE(), TRUE())))</f>
        <v/>
      </c>
      <c r="Y497" s="99" t="str">
        <f aca="false">IF(ISBLANK($C497),"",IF(L497=Constants!$B$19,Constants!$B$19,Constants!$B$18))</f>
        <v/>
      </c>
      <c r="Z497" s="99" t="str">
        <f aca="false">IF(ISBLANK($C497),"",IF(ISNUMBER(M497),IF(M497&gt;=0,M497,""),""))</f>
        <v/>
      </c>
      <c r="AA497" s="99" t="str">
        <f aca="false">IF(ISBLANK($C497),"",IF(N497=Constants!$B$2, TRUE(), IF(N497=Constants!$B$3, FALSE(), TRUE())))</f>
        <v/>
      </c>
      <c r="AB497" s="99" t="str">
        <f aca="false">IF(ISBLANK($C497),"",IF(O497=Constants!$B$2, TRUE(), IF(O497=Constants!$B$3, FALSE(), TRUE())))</f>
        <v/>
      </c>
      <c r="AC497" s="99" t="str">
        <f aca="false">IF(ISBLANK($C497),"",IF(P497=Constants!$B$2, TRUE(), IF(P497=Constants!$B$3, FALSE(), FALSE())))</f>
        <v/>
      </c>
      <c r="AD497" s="99" t="str">
        <f aca="false">IF(ISBLANK($C497),"",AND(V497&lt;&gt;"",IF(U497=Constants!$B$19,S497,R497)))</f>
        <v/>
      </c>
      <c r="AE497" s="99" t="str">
        <f aca="false">IF(ISBLANK($C497),"",AND(Z497&lt;&gt;"",IF(Y497=Constants!$B$19,S497,R497)))</f>
        <v/>
      </c>
      <c r="AF497" s="99" t="str">
        <f aca="false">IF(ISBLANK($C497),"",IF(AC497,Constants!$B$4,IF(COUNTA(E497:O497)=0,Constants!$B$5,IF(AND(NOT(AD497),NOT(AE497)),Constants!$B$6,Constants!$B$7))))</f>
        <v/>
      </c>
      <c r="AG497" s="99" t="str">
        <f aca="false">IF(ISBLANK($C497),"",IF($AF497&lt;&gt;Constants!$B$7,$AF497,Constants!$B$20))</f>
        <v/>
      </c>
      <c r="AH497" s="99" t="str">
        <f aca="false">IF($AF497=Constants!$B$7,IF(AD497,V497,Constants!$B$13),"")</f>
        <v/>
      </c>
      <c r="AI497" s="99" t="str">
        <f aca="false">IF($AF497=Constants!$B$7,IF(AD497,T497*IF(W497, 1, Constants!$B$11)*IF(X497, 1, Constants!$B$12),Constants!$B$13),"")</f>
        <v/>
      </c>
      <c r="AJ497" s="99" t="str">
        <f aca="false">IF($AF497=Constants!$B$7,AH497*AI497,"")</f>
        <v/>
      </c>
      <c r="AK497" s="99" t="str">
        <f aca="false">IF($AF497=Constants!$B$7,IF(AE497,Z497,Constants!$B$13),"")</f>
        <v/>
      </c>
      <c r="AL497" s="99" t="str">
        <f aca="false">IF($AF497=Constants!$B$7,IF(AE497,T497*IF(AA497, 1, Constants!$B$11)*IF(AB497, 1, Constants!$B$12),Constants!$B$13),"")</f>
        <v/>
      </c>
      <c r="AM497" s="99" t="str">
        <f aca="false">IF($AF497=Constants!$B$7,AK497*AL497,"")</f>
        <v/>
      </c>
      <c r="AN497" s="99" t="str">
        <f aca="false">IF($AF497=Constants!$B$7,IF(AM497&gt;AJ497,2,1),"")</f>
        <v/>
      </c>
      <c r="AO497" s="99" t="str">
        <f aca="false">IF($AF497=Constants!$B$7,IF(AN497=1,2,1),"")</f>
        <v/>
      </c>
      <c r="AP497" s="99" t="str">
        <f aca="false">IF(ISBLANK($C497),"",IF($AF497&lt;&gt;Constants!$B$7,$AF497,IF(AN497=1,AJ497,AM497)))</f>
        <v/>
      </c>
      <c r="AQ497" s="99" t="str">
        <f aca="false">IF(ISBLANK($C497),"",IF($AF497=Constants!$B$7,IF(ISNUMBER(AP497),RANK(AP497,$AP$8:$AP$507),Constants!$B$14),$AF497))</f>
        <v/>
      </c>
      <c r="AR497" s="99" t="str">
        <f aca="false">IF(ISBLANK($C497),"",IF($AF497=Constants!$B$7,IF(AO497=1,AJ497,AM497),""))</f>
        <v/>
      </c>
      <c r="AS497" s="99" t="str">
        <f aca="false">IF(ISBLANK($C497),"",IF($AF497=Constants!$B$7,RANK(AR497,$AR$8:$AR$507),$AF497))</f>
        <v/>
      </c>
      <c r="AT497" s="99" t="str">
        <f aca="false">IF(ISBLANK($C497),"",IF($AF497=Constants!$B$7,IF(ISNUMBER(AQ497),COUNTIFS($AQ$8:$AQ$507,"&lt;"&amp;$AQ497)+COUNTIFS($AQ$8:$AQ$507,$AQ497,$AS$8:$AS$507,"&lt;"&amp;$AS497)+1,Constants!$B$14),$AF497))</f>
        <v/>
      </c>
      <c r="AU497" s="99" t="str">
        <f aca="false">IF(ISBLANK($C497),"",IF($AF497=Constants!$B$7,IF(ISNUMBER(AQ497),AQ497-AT497,Constants!$B$14),$AF497))</f>
        <v/>
      </c>
      <c r="AV497" s="100"/>
      <c r="AW497" s="101" t="str">
        <f aca="false">IF(ISBLANK($C497),"",IF($AF497&lt;&gt;Constants!$B$7,"",AN497))</f>
        <v/>
      </c>
      <c r="AX497" s="102" t="str">
        <f aca="false">IF(ISBLANK($C497),"",IF($AF497&lt;&gt;Constants!$B$7,"",IF(AN497=1,AH497,AK497)))</f>
        <v/>
      </c>
      <c r="AY497" s="103" t="str">
        <f aca="false">IF(ISBLANK($C497),"",IF($AF497&lt;&gt;Constants!$B$7,"",IF(AN497=1,AI497,AL497)))</f>
        <v/>
      </c>
      <c r="AZ497" s="104" t="str">
        <f aca="false">IF(ISBLANK($C497),"",IF($AF497&lt;&gt;Constants!$B$7,$AF497,AP497))</f>
        <v/>
      </c>
      <c r="BA497" s="105" t="str">
        <f aca="false">IF(ISBLANK($C497),"",IF($AF497&lt;&gt;Constants!$B$7,$AF497,AG497))</f>
        <v/>
      </c>
      <c r="BB497" s="106" t="str">
        <f aca="false">IF(ISBLANK($C497),"",AU497)</f>
        <v/>
      </c>
      <c r="BC497" s="106" t="str">
        <f aca="false">IF(ISBLANK($C497),"",AT497)</f>
        <v/>
      </c>
      <c r="BD497" s="107" t="str">
        <f aca="false">IF(ISBLANK($C497),"",IFERROR(_xlfn.SWITCH(BC497,Constants!$B$4,COUNTA($C$8:$C$507)+2,Constants!$B$5,COUNTA($C$8:$C$507)+1,Constants!$B$6,COUNTA($C$8:$C$507)),BC497))</f>
        <v/>
      </c>
      <c r="BE497" s="5"/>
      <c r="BF497" s="108" t="n">
        <f aca="false">IF(OR(ISNUMBER(BC497),BC497=Constants!$B$4,BC497=Constants!$B$6,BC497=Constants!$B$5),1,0)</f>
        <v>0</v>
      </c>
      <c r="BG497" s="108" t="n">
        <v>490</v>
      </c>
      <c r="BH497" s="108" t="str">
        <f aca="false">IF(ISBLANK($C497),"",IF(ISNUMBER(BD497),BD497+ROW($B497)/1000,""))</f>
        <v/>
      </c>
      <c r="BI497" s="108" t="str">
        <f aca="false">IF(ISNUMBER(BH497),RANK(BH497,$BH$8:$BH$507,1),"")</f>
        <v/>
      </c>
      <c r="BJ497" s="108" t="str">
        <f aca="false">IF(ISBLANK($C497),"",$B497)</f>
        <v/>
      </c>
      <c r="BK497" s="108" t="str">
        <f aca="false">IF(ISBLANK($C497),"",$C497)</f>
        <v/>
      </c>
      <c r="BL497" s="108" t="str">
        <f aca="false">IF(ISBLANK($C497),"",$D497)</f>
        <v/>
      </c>
      <c r="BM497" s="109" t="str">
        <f aca="false">BA497</f>
        <v/>
      </c>
      <c r="BN497" s="110" t="str">
        <f aca="false">AZ497</f>
        <v/>
      </c>
      <c r="BO497" s="108" t="str">
        <f aca="false">IF(ISBLANK($C497),"",BC497)</f>
        <v/>
      </c>
      <c r="BP497" s="111" t="str">
        <f aca="false">IF($BG497&gt;$BF$7,"",VLOOKUP($BG497,$BI$8:$BO$507,7,FALSE()))</f>
        <v/>
      </c>
      <c r="BQ497" s="112" t="str">
        <f aca="false">IF($BG497&gt;$BF$7,"",VLOOKUP($BG497,$BI$8:$BO$507,2,FALSE()))</f>
        <v/>
      </c>
      <c r="BR497" s="112" t="str">
        <f aca="false">IF($BG497&gt;$BF$7,"",VLOOKUP($BG497,$BI$8:$BO$507,3,FALSE()))</f>
        <v/>
      </c>
      <c r="BS497" s="112" t="str">
        <f aca="false">IF($BG497&gt;$BF$7,"",VLOOKUP($BG497,$BI$8:$BO$507,4,FALSE()))</f>
        <v/>
      </c>
      <c r="BT497" s="112" t="str">
        <f aca="false">IF($BG497&gt;$BF$7,"",VLOOKUP($BG497,$BI$8:$BO$507,5,FALSE()))</f>
        <v/>
      </c>
      <c r="BU497" s="113" t="str">
        <f aca="false">IF($BG497&gt;$BF$7,"",VLOOKUP($BG497,$BI$8:$BO$507,6,FALSE()))</f>
        <v/>
      </c>
      <c r="BV497" s="54"/>
    </row>
    <row r="498" customFormat="false" ht="15.75" hidden="false" customHeight="false" outlineLevel="0" collapsed="false">
      <c r="A498" s="5"/>
      <c r="B498" s="128"/>
      <c r="C498" s="129"/>
      <c r="D498" s="114"/>
      <c r="E498" s="134"/>
      <c r="F498" s="139"/>
      <c r="G498" s="93"/>
      <c r="H498" s="140"/>
      <c r="I498" s="95"/>
      <c r="J498" s="95"/>
      <c r="K498" s="93"/>
      <c r="L498" s="141"/>
      <c r="M498" s="95"/>
      <c r="N498" s="95"/>
      <c r="O498" s="93"/>
      <c r="P498" s="134"/>
      <c r="Q498" s="98"/>
      <c r="R498" s="99" t="str">
        <f aca="false">IF(ISBLANK($C498),"",IF(E498=Constants!$B$2, TRUE(), IF(E498=Constants!$B$3, FALSE(), TRUE())))</f>
        <v/>
      </c>
      <c r="S498" s="99" t="str">
        <f aca="false">IF(ISBLANK($C498),"",IF(F498=Constants!$B$2, TRUE(), IF(F498=Constants!$B$3, FALSE(), TRUE())))</f>
        <v/>
      </c>
      <c r="T498" s="99" t="str">
        <f aca="false">IF(ISBLANK($C498),"",IF(G498=Constants!$B$16,Constants!$B$9,IF(G498=Constants!$B$17,Constants!$B$10,Constants!$B$8)))</f>
        <v/>
      </c>
      <c r="U498" s="99" t="str">
        <f aca="false">IF(ISBLANK($C498),"",IF(H498=Constants!$B$19,Constants!$B$19,Constants!$B$18))</f>
        <v/>
      </c>
      <c r="V498" s="99" t="str">
        <f aca="false">IF(ISBLANK($C498),"",IF(ISNUMBER(I498),IF(I498&gt;=0,I498,""),""))</f>
        <v/>
      </c>
      <c r="W498" s="99" t="str">
        <f aca="false">IF(ISBLANK($C498),"",IF(J498=Constants!$B$2, TRUE(), IF(J498=Constants!$B$3, FALSE(), TRUE())))</f>
        <v/>
      </c>
      <c r="X498" s="99" t="str">
        <f aca="false">IF(ISBLANK($C498),"",IF(K498=Constants!$B$2, TRUE(), IF(K498=Constants!$B$3, FALSE(), TRUE())))</f>
        <v/>
      </c>
      <c r="Y498" s="99" t="str">
        <f aca="false">IF(ISBLANK($C498),"",IF(L498=Constants!$B$19,Constants!$B$19,Constants!$B$18))</f>
        <v/>
      </c>
      <c r="Z498" s="99" t="str">
        <f aca="false">IF(ISBLANK($C498),"",IF(ISNUMBER(M498),IF(M498&gt;=0,M498,""),""))</f>
        <v/>
      </c>
      <c r="AA498" s="99" t="str">
        <f aca="false">IF(ISBLANK($C498),"",IF(N498=Constants!$B$2, TRUE(), IF(N498=Constants!$B$3, FALSE(), TRUE())))</f>
        <v/>
      </c>
      <c r="AB498" s="99" t="str">
        <f aca="false">IF(ISBLANK($C498),"",IF(O498=Constants!$B$2, TRUE(), IF(O498=Constants!$B$3, FALSE(), TRUE())))</f>
        <v/>
      </c>
      <c r="AC498" s="99" t="str">
        <f aca="false">IF(ISBLANK($C498),"",IF(P498=Constants!$B$2, TRUE(), IF(P498=Constants!$B$3, FALSE(), FALSE())))</f>
        <v/>
      </c>
      <c r="AD498" s="99" t="str">
        <f aca="false">IF(ISBLANK($C498),"",AND(V498&lt;&gt;"",IF(U498=Constants!$B$19,S498,R498)))</f>
        <v/>
      </c>
      <c r="AE498" s="99" t="str">
        <f aca="false">IF(ISBLANK($C498),"",AND(Z498&lt;&gt;"",IF(Y498=Constants!$B$19,S498,R498)))</f>
        <v/>
      </c>
      <c r="AF498" s="99" t="str">
        <f aca="false">IF(ISBLANK($C498),"",IF(AC498,Constants!$B$4,IF(COUNTA(E498:O498)=0,Constants!$B$5,IF(AND(NOT(AD498),NOT(AE498)),Constants!$B$6,Constants!$B$7))))</f>
        <v/>
      </c>
      <c r="AG498" s="99" t="str">
        <f aca="false">IF(ISBLANK($C498),"",IF($AF498&lt;&gt;Constants!$B$7,$AF498,Constants!$B$20))</f>
        <v/>
      </c>
      <c r="AH498" s="99" t="str">
        <f aca="false">IF($AF498=Constants!$B$7,IF(AD498,V498,Constants!$B$13),"")</f>
        <v/>
      </c>
      <c r="AI498" s="99" t="str">
        <f aca="false">IF($AF498=Constants!$B$7,IF(AD498,T498*IF(W498, 1, Constants!$B$11)*IF(X498, 1, Constants!$B$12),Constants!$B$13),"")</f>
        <v/>
      </c>
      <c r="AJ498" s="99" t="str">
        <f aca="false">IF($AF498=Constants!$B$7,AH498*AI498,"")</f>
        <v/>
      </c>
      <c r="AK498" s="99" t="str">
        <f aca="false">IF($AF498=Constants!$B$7,IF(AE498,Z498,Constants!$B$13),"")</f>
        <v/>
      </c>
      <c r="AL498" s="99" t="str">
        <f aca="false">IF($AF498=Constants!$B$7,IF(AE498,T498*IF(AA498, 1, Constants!$B$11)*IF(AB498, 1, Constants!$B$12),Constants!$B$13),"")</f>
        <v/>
      </c>
      <c r="AM498" s="99" t="str">
        <f aca="false">IF($AF498=Constants!$B$7,AK498*AL498,"")</f>
        <v/>
      </c>
      <c r="AN498" s="99" t="str">
        <f aca="false">IF($AF498=Constants!$B$7,IF(AM498&gt;AJ498,2,1),"")</f>
        <v/>
      </c>
      <c r="AO498" s="99" t="str">
        <f aca="false">IF($AF498=Constants!$B$7,IF(AN498=1,2,1),"")</f>
        <v/>
      </c>
      <c r="AP498" s="99" t="str">
        <f aca="false">IF(ISBLANK($C498),"",IF($AF498&lt;&gt;Constants!$B$7,$AF498,IF(AN498=1,AJ498,AM498)))</f>
        <v/>
      </c>
      <c r="AQ498" s="99" t="str">
        <f aca="false">IF(ISBLANK($C498),"",IF($AF498=Constants!$B$7,IF(ISNUMBER(AP498),RANK(AP498,$AP$8:$AP$507),Constants!$B$14),$AF498))</f>
        <v/>
      </c>
      <c r="AR498" s="99" t="str">
        <f aca="false">IF(ISBLANK($C498),"",IF($AF498=Constants!$B$7,IF(AO498=1,AJ498,AM498),""))</f>
        <v/>
      </c>
      <c r="AS498" s="99" t="str">
        <f aca="false">IF(ISBLANK($C498),"",IF($AF498=Constants!$B$7,RANK(AR498,$AR$8:$AR$507),$AF498))</f>
        <v/>
      </c>
      <c r="AT498" s="99" t="str">
        <f aca="false">IF(ISBLANK($C498),"",IF($AF498=Constants!$B$7,IF(ISNUMBER(AQ498),COUNTIFS($AQ$8:$AQ$507,"&lt;"&amp;$AQ498)+COUNTIFS($AQ$8:$AQ$507,$AQ498,$AS$8:$AS$507,"&lt;"&amp;$AS498)+1,Constants!$B$14),$AF498))</f>
        <v/>
      </c>
      <c r="AU498" s="99" t="str">
        <f aca="false">IF(ISBLANK($C498),"",IF($AF498=Constants!$B$7,IF(ISNUMBER(AQ498),AQ498-AT498,Constants!$B$14),$AF498))</f>
        <v/>
      </c>
      <c r="AV498" s="100"/>
      <c r="AW498" s="101" t="str">
        <f aca="false">IF(ISBLANK($C498),"",IF($AF498&lt;&gt;Constants!$B$7,"",AN498))</f>
        <v/>
      </c>
      <c r="AX498" s="102" t="str">
        <f aca="false">IF(ISBLANK($C498),"",IF($AF498&lt;&gt;Constants!$B$7,"",IF(AN498=1,AH498,AK498)))</f>
        <v/>
      </c>
      <c r="AY498" s="103" t="str">
        <f aca="false">IF(ISBLANK($C498),"",IF($AF498&lt;&gt;Constants!$B$7,"",IF(AN498=1,AI498,AL498)))</f>
        <v/>
      </c>
      <c r="AZ498" s="104" t="str">
        <f aca="false">IF(ISBLANK($C498),"",IF($AF498&lt;&gt;Constants!$B$7,$AF498,AP498))</f>
        <v/>
      </c>
      <c r="BA498" s="105" t="str">
        <f aca="false">IF(ISBLANK($C498),"",IF($AF498&lt;&gt;Constants!$B$7,$AF498,AG498))</f>
        <v/>
      </c>
      <c r="BB498" s="106" t="str">
        <f aca="false">IF(ISBLANK($C498),"",AU498)</f>
        <v/>
      </c>
      <c r="BC498" s="106" t="str">
        <f aca="false">IF(ISBLANK($C498),"",AT498)</f>
        <v/>
      </c>
      <c r="BD498" s="107" t="str">
        <f aca="false">IF(ISBLANK($C498),"",IFERROR(_xlfn.SWITCH(BC498,Constants!$B$4,COUNTA($C$8:$C$507)+2,Constants!$B$5,COUNTA($C$8:$C$507)+1,Constants!$B$6,COUNTA($C$8:$C$507)),BC498))</f>
        <v/>
      </c>
      <c r="BE498" s="5"/>
      <c r="BF498" s="108" t="n">
        <f aca="false">IF(OR(ISNUMBER(BC498),BC498=Constants!$B$4,BC498=Constants!$B$6,BC498=Constants!$B$5),1,0)</f>
        <v>0</v>
      </c>
      <c r="BG498" s="108" t="n">
        <v>491</v>
      </c>
      <c r="BH498" s="108" t="str">
        <f aca="false">IF(ISBLANK($C498),"",IF(ISNUMBER(BD498),BD498+ROW($B498)/1000,""))</f>
        <v/>
      </c>
      <c r="BI498" s="108" t="str">
        <f aca="false">IF(ISNUMBER(BH498),RANK(BH498,$BH$8:$BH$507,1),"")</f>
        <v/>
      </c>
      <c r="BJ498" s="108" t="str">
        <f aca="false">IF(ISBLANK($C498),"",$B498)</f>
        <v/>
      </c>
      <c r="BK498" s="108" t="str">
        <f aca="false">IF(ISBLANK($C498),"",$C498)</f>
        <v/>
      </c>
      <c r="BL498" s="108" t="str">
        <f aca="false">IF(ISBLANK($C498),"",$D498)</f>
        <v/>
      </c>
      <c r="BM498" s="109" t="str">
        <f aca="false">BA498</f>
        <v/>
      </c>
      <c r="BN498" s="110" t="str">
        <f aca="false">AZ498</f>
        <v/>
      </c>
      <c r="BO498" s="108" t="str">
        <f aca="false">IF(ISBLANK($C498),"",BC498)</f>
        <v/>
      </c>
      <c r="BP498" s="111" t="str">
        <f aca="false">IF($BG498&gt;$BF$7,"",VLOOKUP($BG498,$BI$8:$BO$507,7,FALSE()))</f>
        <v/>
      </c>
      <c r="BQ498" s="112" t="str">
        <f aca="false">IF($BG498&gt;$BF$7,"",VLOOKUP($BG498,$BI$8:$BO$507,2,FALSE()))</f>
        <v/>
      </c>
      <c r="BR498" s="112" t="str">
        <f aca="false">IF($BG498&gt;$BF$7,"",VLOOKUP($BG498,$BI$8:$BO$507,3,FALSE()))</f>
        <v/>
      </c>
      <c r="BS498" s="112" t="str">
        <f aca="false">IF($BG498&gt;$BF$7,"",VLOOKUP($BG498,$BI$8:$BO$507,4,FALSE()))</f>
        <v/>
      </c>
      <c r="BT498" s="112" t="str">
        <f aca="false">IF($BG498&gt;$BF$7,"",VLOOKUP($BG498,$BI$8:$BO$507,5,FALSE()))</f>
        <v/>
      </c>
      <c r="BU498" s="113" t="str">
        <f aca="false">IF($BG498&gt;$BF$7,"",VLOOKUP($BG498,$BI$8:$BO$507,6,FALSE()))</f>
        <v/>
      </c>
      <c r="BV498" s="54"/>
    </row>
    <row r="499" customFormat="false" ht="15.75" hidden="false" customHeight="false" outlineLevel="0" collapsed="false">
      <c r="A499" s="5"/>
      <c r="B499" s="128"/>
      <c r="C499" s="129"/>
      <c r="D499" s="114"/>
      <c r="E499" s="134"/>
      <c r="F499" s="139"/>
      <c r="G499" s="93"/>
      <c r="H499" s="140"/>
      <c r="I499" s="95"/>
      <c r="J499" s="95"/>
      <c r="K499" s="93"/>
      <c r="L499" s="141"/>
      <c r="M499" s="95"/>
      <c r="N499" s="95"/>
      <c r="O499" s="93"/>
      <c r="P499" s="134"/>
      <c r="Q499" s="98"/>
      <c r="R499" s="99" t="str">
        <f aca="false">IF(ISBLANK($C499),"",IF(E499=Constants!$B$2, TRUE(), IF(E499=Constants!$B$3, FALSE(), TRUE())))</f>
        <v/>
      </c>
      <c r="S499" s="99" t="str">
        <f aca="false">IF(ISBLANK($C499),"",IF(F499=Constants!$B$2, TRUE(), IF(F499=Constants!$B$3, FALSE(), TRUE())))</f>
        <v/>
      </c>
      <c r="T499" s="99" t="str">
        <f aca="false">IF(ISBLANK($C499),"",IF(G499=Constants!$B$16,Constants!$B$9,IF(G499=Constants!$B$17,Constants!$B$10,Constants!$B$8)))</f>
        <v/>
      </c>
      <c r="U499" s="99" t="str">
        <f aca="false">IF(ISBLANK($C499),"",IF(H499=Constants!$B$19,Constants!$B$19,Constants!$B$18))</f>
        <v/>
      </c>
      <c r="V499" s="99" t="str">
        <f aca="false">IF(ISBLANK($C499),"",IF(ISNUMBER(I499),IF(I499&gt;=0,I499,""),""))</f>
        <v/>
      </c>
      <c r="W499" s="99" t="str">
        <f aca="false">IF(ISBLANK($C499),"",IF(J499=Constants!$B$2, TRUE(), IF(J499=Constants!$B$3, FALSE(), TRUE())))</f>
        <v/>
      </c>
      <c r="X499" s="99" t="str">
        <f aca="false">IF(ISBLANK($C499),"",IF(K499=Constants!$B$2, TRUE(), IF(K499=Constants!$B$3, FALSE(), TRUE())))</f>
        <v/>
      </c>
      <c r="Y499" s="99" t="str">
        <f aca="false">IF(ISBLANK($C499),"",IF(L499=Constants!$B$19,Constants!$B$19,Constants!$B$18))</f>
        <v/>
      </c>
      <c r="Z499" s="99" t="str">
        <f aca="false">IF(ISBLANK($C499),"",IF(ISNUMBER(M499),IF(M499&gt;=0,M499,""),""))</f>
        <v/>
      </c>
      <c r="AA499" s="99" t="str">
        <f aca="false">IF(ISBLANK($C499),"",IF(N499=Constants!$B$2, TRUE(), IF(N499=Constants!$B$3, FALSE(), TRUE())))</f>
        <v/>
      </c>
      <c r="AB499" s="99" t="str">
        <f aca="false">IF(ISBLANK($C499),"",IF(O499=Constants!$B$2, TRUE(), IF(O499=Constants!$B$3, FALSE(), TRUE())))</f>
        <v/>
      </c>
      <c r="AC499" s="99" t="str">
        <f aca="false">IF(ISBLANK($C499),"",IF(P499=Constants!$B$2, TRUE(), IF(P499=Constants!$B$3, FALSE(), FALSE())))</f>
        <v/>
      </c>
      <c r="AD499" s="99" t="str">
        <f aca="false">IF(ISBLANK($C499),"",AND(V499&lt;&gt;"",IF(U499=Constants!$B$19,S499,R499)))</f>
        <v/>
      </c>
      <c r="AE499" s="99" t="str">
        <f aca="false">IF(ISBLANK($C499),"",AND(Z499&lt;&gt;"",IF(Y499=Constants!$B$19,S499,R499)))</f>
        <v/>
      </c>
      <c r="AF499" s="99" t="str">
        <f aca="false">IF(ISBLANK($C499),"",IF(AC499,Constants!$B$4,IF(COUNTA(E499:O499)=0,Constants!$B$5,IF(AND(NOT(AD499),NOT(AE499)),Constants!$B$6,Constants!$B$7))))</f>
        <v/>
      </c>
      <c r="AG499" s="99" t="str">
        <f aca="false">IF(ISBLANK($C499),"",IF($AF499&lt;&gt;Constants!$B$7,$AF499,Constants!$B$20))</f>
        <v/>
      </c>
      <c r="AH499" s="99" t="str">
        <f aca="false">IF($AF499=Constants!$B$7,IF(AD499,V499,Constants!$B$13),"")</f>
        <v/>
      </c>
      <c r="AI499" s="99" t="str">
        <f aca="false">IF($AF499=Constants!$B$7,IF(AD499,T499*IF(W499, 1, Constants!$B$11)*IF(X499, 1, Constants!$B$12),Constants!$B$13),"")</f>
        <v/>
      </c>
      <c r="AJ499" s="99" t="str">
        <f aca="false">IF($AF499=Constants!$B$7,AH499*AI499,"")</f>
        <v/>
      </c>
      <c r="AK499" s="99" t="str">
        <f aca="false">IF($AF499=Constants!$B$7,IF(AE499,Z499,Constants!$B$13),"")</f>
        <v/>
      </c>
      <c r="AL499" s="99" t="str">
        <f aca="false">IF($AF499=Constants!$B$7,IF(AE499,T499*IF(AA499, 1, Constants!$B$11)*IF(AB499, 1, Constants!$B$12),Constants!$B$13),"")</f>
        <v/>
      </c>
      <c r="AM499" s="99" t="str">
        <f aca="false">IF($AF499=Constants!$B$7,AK499*AL499,"")</f>
        <v/>
      </c>
      <c r="AN499" s="99" t="str">
        <f aca="false">IF($AF499=Constants!$B$7,IF(AM499&gt;AJ499,2,1),"")</f>
        <v/>
      </c>
      <c r="AO499" s="99" t="str">
        <f aca="false">IF($AF499=Constants!$B$7,IF(AN499=1,2,1),"")</f>
        <v/>
      </c>
      <c r="AP499" s="99" t="str">
        <f aca="false">IF(ISBLANK($C499),"",IF($AF499&lt;&gt;Constants!$B$7,$AF499,IF(AN499=1,AJ499,AM499)))</f>
        <v/>
      </c>
      <c r="AQ499" s="99" t="str">
        <f aca="false">IF(ISBLANK($C499),"",IF($AF499=Constants!$B$7,IF(ISNUMBER(AP499),RANK(AP499,$AP$8:$AP$507),Constants!$B$14),$AF499))</f>
        <v/>
      </c>
      <c r="AR499" s="99" t="str">
        <f aca="false">IF(ISBLANK($C499),"",IF($AF499=Constants!$B$7,IF(AO499=1,AJ499,AM499),""))</f>
        <v/>
      </c>
      <c r="AS499" s="99" t="str">
        <f aca="false">IF(ISBLANK($C499),"",IF($AF499=Constants!$B$7,RANK(AR499,$AR$8:$AR$507),$AF499))</f>
        <v/>
      </c>
      <c r="AT499" s="99" t="str">
        <f aca="false">IF(ISBLANK($C499),"",IF($AF499=Constants!$B$7,IF(ISNUMBER(AQ499),COUNTIFS($AQ$8:$AQ$507,"&lt;"&amp;$AQ499)+COUNTIFS($AQ$8:$AQ$507,$AQ499,$AS$8:$AS$507,"&lt;"&amp;$AS499)+1,Constants!$B$14),$AF499))</f>
        <v/>
      </c>
      <c r="AU499" s="99" t="str">
        <f aca="false">IF(ISBLANK($C499),"",IF($AF499=Constants!$B$7,IF(ISNUMBER(AQ499),AQ499-AT499,Constants!$B$14),$AF499))</f>
        <v/>
      </c>
      <c r="AV499" s="100"/>
      <c r="AW499" s="101" t="str">
        <f aca="false">IF(ISBLANK($C499),"",IF($AF499&lt;&gt;Constants!$B$7,"",AN499))</f>
        <v/>
      </c>
      <c r="AX499" s="102" t="str">
        <f aca="false">IF(ISBLANK($C499),"",IF($AF499&lt;&gt;Constants!$B$7,"",IF(AN499=1,AH499,AK499)))</f>
        <v/>
      </c>
      <c r="AY499" s="103" t="str">
        <f aca="false">IF(ISBLANK($C499),"",IF($AF499&lt;&gt;Constants!$B$7,"",IF(AN499=1,AI499,AL499)))</f>
        <v/>
      </c>
      <c r="AZ499" s="104" t="str">
        <f aca="false">IF(ISBLANK($C499),"",IF($AF499&lt;&gt;Constants!$B$7,$AF499,AP499))</f>
        <v/>
      </c>
      <c r="BA499" s="105" t="str">
        <f aca="false">IF(ISBLANK($C499),"",IF($AF499&lt;&gt;Constants!$B$7,$AF499,AG499))</f>
        <v/>
      </c>
      <c r="BB499" s="106" t="str">
        <f aca="false">IF(ISBLANK($C499),"",AU499)</f>
        <v/>
      </c>
      <c r="BC499" s="106" t="str">
        <f aca="false">IF(ISBLANK($C499),"",AT499)</f>
        <v/>
      </c>
      <c r="BD499" s="107" t="str">
        <f aca="false">IF(ISBLANK($C499),"",IFERROR(_xlfn.SWITCH(BC499,Constants!$B$4,COUNTA($C$8:$C$507)+2,Constants!$B$5,COUNTA($C$8:$C$507)+1,Constants!$B$6,COUNTA($C$8:$C$507)),BC499))</f>
        <v/>
      </c>
      <c r="BE499" s="5"/>
      <c r="BF499" s="108" t="n">
        <f aca="false">IF(OR(ISNUMBER(BC499),BC499=Constants!$B$4,BC499=Constants!$B$6,BC499=Constants!$B$5),1,0)</f>
        <v>0</v>
      </c>
      <c r="BG499" s="108" t="n">
        <v>492</v>
      </c>
      <c r="BH499" s="108" t="str">
        <f aca="false">IF(ISBLANK($C499),"",IF(ISNUMBER(BD499),BD499+ROW($B499)/1000,""))</f>
        <v/>
      </c>
      <c r="BI499" s="108" t="str">
        <f aca="false">IF(ISNUMBER(BH499),RANK(BH499,$BH$8:$BH$507,1),"")</f>
        <v/>
      </c>
      <c r="BJ499" s="108" t="str">
        <f aca="false">IF(ISBLANK($C499),"",$B499)</f>
        <v/>
      </c>
      <c r="BK499" s="108" t="str">
        <f aca="false">IF(ISBLANK($C499),"",$C499)</f>
        <v/>
      </c>
      <c r="BL499" s="108" t="str">
        <f aca="false">IF(ISBLANK($C499),"",$D499)</f>
        <v/>
      </c>
      <c r="BM499" s="109" t="str">
        <f aca="false">BA499</f>
        <v/>
      </c>
      <c r="BN499" s="110" t="str">
        <f aca="false">AZ499</f>
        <v/>
      </c>
      <c r="BO499" s="108" t="str">
        <f aca="false">IF(ISBLANK($C499),"",BC499)</f>
        <v/>
      </c>
      <c r="BP499" s="111" t="str">
        <f aca="false">IF($BG499&gt;$BF$7,"",VLOOKUP($BG499,$BI$8:$BO$507,7,FALSE()))</f>
        <v/>
      </c>
      <c r="BQ499" s="112" t="str">
        <f aca="false">IF($BG499&gt;$BF$7,"",VLOOKUP($BG499,$BI$8:$BO$507,2,FALSE()))</f>
        <v/>
      </c>
      <c r="BR499" s="112" t="str">
        <f aca="false">IF($BG499&gt;$BF$7,"",VLOOKUP($BG499,$BI$8:$BO$507,3,FALSE()))</f>
        <v/>
      </c>
      <c r="BS499" s="112" t="str">
        <f aca="false">IF($BG499&gt;$BF$7,"",VLOOKUP($BG499,$BI$8:$BO$507,4,FALSE()))</f>
        <v/>
      </c>
      <c r="BT499" s="112" t="str">
        <f aca="false">IF($BG499&gt;$BF$7,"",VLOOKUP($BG499,$BI$8:$BO$507,5,FALSE()))</f>
        <v/>
      </c>
      <c r="BU499" s="113" t="str">
        <f aca="false">IF($BG499&gt;$BF$7,"",VLOOKUP($BG499,$BI$8:$BO$507,6,FALSE()))</f>
        <v/>
      </c>
      <c r="BV499" s="54"/>
    </row>
    <row r="500" customFormat="false" ht="15.75" hidden="false" customHeight="false" outlineLevel="0" collapsed="false">
      <c r="A500" s="5"/>
      <c r="B500" s="135"/>
      <c r="C500" s="56"/>
      <c r="D500" s="57"/>
      <c r="E500" s="84"/>
      <c r="F500" s="136"/>
      <c r="G500" s="60"/>
      <c r="H500" s="137"/>
      <c r="I500" s="62"/>
      <c r="J500" s="62"/>
      <c r="K500" s="60"/>
      <c r="L500" s="138"/>
      <c r="M500" s="62"/>
      <c r="N500" s="62"/>
      <c r="O500" s="60"/>
      <c r="P500" s="84"/>
      <c r="Q500" s="65"/>
      <c r="R500" s="67" t="str">
        <f aca="false">IF(ISBLANK($C500),"",IF(E500=Constants!$B$2, TRUE(), IF(E500=Constants!$B$3, FALSE(), TRUE())))</f>
        <v/>
      </c>
      <c r="S500" s="67" t="str">
        <f aca="false">IF(ISBLANK($C500),"",IF(F500=Constants!$B$2, TRUE(), IF(F500=Constants!$B$3, FALSE(), TRUE())))</f>
        <v/>
      </c>
      <c r="T500" s="67" t="str">
        <f aca="false">IF(ISBLANK($C500),"",IF(G500=Constants!$B$16,Constants!$B$9,IF(G500=Constants!$B$17,Constants!$B$10,Constants!$B$8)))</f>
        <v/>
      </c>
      <c r="U500" s="67" t="str">
        <f aca="false">IF(ISBLANK($C500),"",IF(H500=Constants!$B$19,Constants!$B$19,Constants!$B$18))</f>
        <v/>
      </c>
      <c r="V500" s="67" t="str">
        <f aca="false">IF(ISBLANK($C500),"",IF(ISNUMBER(I500),IF(I500&gt;=0,I500,""),""))</f>
        <v/>
      </c>
      <c r="W500" s="67" t="str">
        <f aca="false">IF(ISBLANK($C500),"",IF(J500=Constants!$B$2, TRUE(), IF(J500=Constants!$B$3, FALSE(), TRUE())))</f>
        <v/>
      </c>
      <c r="X500" s="67" t="str">
        <f aca="false">IF(ISBLANK($C500),"",IF(K500=Constants!$B$2, TRUE(), IF(K500=Constants!$B$3, FALSE(), TRUE())))</f>
        <v/>
      </c>
      <c r="Y500" s="67" t="str">
        <f aca="false">IF(ISBLANK($C500),"",IF(L500=Constants!$B$19,Constants!$B$19,Constants!$B$18))</f>
        <v/>
      </c>
      <c r="Z500" s="67" t="str">
        <f aca="false">IF(ISBLANK($C500),"",IF(ISNUMBER(M500),IF(M500&gt;=0,M500,""),""))</f>
        <v/>
      </c>
      <c r="AA500" s="67" t="str">
        <f aca="false">IF(ISBLANK($C500),"",IF(N500=Constants!$B$2, TRUE(), IF(N500=Constants!$B$3, FALSE(), TRUE())))</f>
        <v/>
      </c>
      <c r="AB500" s="67" t="str">
        <f aca="false">IF(ISBLANK($C500),"",IF(O500=Constants!$B$2, TRUE(), IF(O500=Constants!$B$3, FALSE(), TRUE())))</f>
        <v/>
      </c>
      <c r="AC500" s="67" t="str">
        <f aca="false">IF(ISBLANK($C500),"",IF(P500=Constants!$B$2, TRUE(), IF(P500=Constants!$B$3, FALSE(), FALSE())))</f>
        <v/>
      </c>
      <c r="AD500" s="67" t="str">
        <f aca="false">IF(ISBLANK($C500),"",AND(V500&lt;&gt;"",IF(U500=Constants!$B$19,S500,R500)))</f>
        <v/>
      </c>
      <c r="AE500" s="67" t="str">
        <f aca="false">IF(ISBLANK($C500),"",AND(Z500&lt;&gt;"",IF(Y500=Constants!$B$19,S500,R500)))</f>
        <v/>
      </c>
      <c r="AF500" s="67" t="str">
        <f aca="false">IF(ISBLANK($C500),"",IF(AC500,Constants!$B$4,IF(COUNTA(E500:O500)=0,Constants!$B$5,IF(AND(NOT(AD500),NOT(AE500)),Constants!$B$6,Constants!$B$7))))</f>
        <v/>
      </c>
      <c r="AG500" s="67" t="str">
        <f aca="false">IF(ISBLANK($C500),"",IF($AF500&lt;&gt;Constants!$B$7,$AF500,Constants!$B$20))</f>
        <v/>
      </c>
      <c r="AH500" s="67" t="str">
        <f aca="false">IF($AF500=Constants!$B$7,IF(AD500,V500,Constants!$B$13),"")</f>
        <v/>
      </c>
      <c r="AI500" s="67" t="str">
        <f aca="false">IF($AF500=Constants!$B$7,IF(AD500,T500*IF(W500, 1, Constants!$B$11)*IF(X500, 1, Constants!$B$12),Constants!$B$13),"")</f>
        <v/>
      </c>
      <c r="AJ500" s="67" t="str">
        <f aca="false">IF($AF500=Constants!$B$7,AH500*AI500,"")</f>
        <v/>
      </c>
      <c r="AK500" s="67" t="str">
        <f aca="false">IF($AF500=Constants!$B$7,IF(AE500,Z500,Constants!$B$13),"")</f>
        <v/>
      </c>
      <c r="AL500" s="67" t="str">
        <f aca="false">IF($AF500=Constants!$B$7,IF(AE500,T500*IF(AA500, 1, Constants!$B$11)*IF(AB500, 1, Constants!$B$12),Constants!$B$13),"")</f>
        <v/>
      </c>
      <c r="AM500" s="67" t="str">
        <f aca="false">IF($AF500=Constants!$B$7,AK500*AL500,"")</f>
        <v/>
      </c>
      <c r="AN500" s="67" t="str">
        <f aca="false">IF($AF500=Constants!$B$7,IF(AM500&gt;AJ500,2,1),"")</f>
        <v/>
      </c>
      <c r="AO500" s="67" t="str">
        <f aca="false">IF($AF500=Constants!$B$7,IF(AN500=1,2,1),"")</f>
        <v/>
      </c>
      <c r="AP500" s="67" t="str">
        <f aca="false">IF(ISBLANK($C500),"",IF($AF500&lt;&gt;Constants!$B$7,$AF500,IF(AN500=1,AJ500,AM500)))</f>
        <v/>
      </c>
      <c r="AQ500" s="67" t="str">
        <f aca="false">IF(ISBLANK($C500),"",IF($AF500=Constants!$B$7,IF(ISNUMBER(AP500),RANK(AP500,$AP$8:$AP$507),Constants!$B$14),$AF500))</f>
        <v/>
      </c>
      <c r="AR500" s="67" t="str">
        <f aca="false">IF(ISBLANK($C500),"",IF($AF500=Constants!$B$7,IF(AO500=1,AJ500,AM500),""))</f>
        <v/>
      </c>
      <c r="AS500" s="67" t="str">
        <f aca="false">IF(ISBLANK($C500),"",IF($AF500=Constants!$B$7,RANK(AR500,$AR$8:$AR$507),$AF500))</f>
        <v/>
      </c>
      <c r="AT500" s="67" t="str">
        <f aca="false">IF(ISBLANK($C500),"",IF($AF500=Constants!$B$7,IF(ISNUMBER(AQ500),COUNTIFS($AQ$8:$AQ$507,"&lt;"&amp;$AQ500)+COUNTIFS($AQ$8:$AQ$507,$AQ500,$AS$8:$AS$507,"&lt;"&amp;$AS500)+1,Constants!$B$14),$AF500))</f>
        <v/>
      </c>
      <c r="AU500" s="67" t="str">
        <f aca="false">IF(ISBLANK($C500),"",IF($AF500=Constants!$B$7,IF(ISNUMBER(AQ500),AQ500-AT500,Constants!$B$14),$AF500))</f>
        <v/>
      </c>
      <c r="AV500" s="69"/>
      <c r="AW500" s="70" t="str">
        <f aca="false">IF(ISBLANK($C500),"",IF($AF500&lt;&gt;Constants!$B$7,"",AN500))</f>
        <v/>
      </c>
      <c r="AX500" s="85" t="str">
        <f aca="false">IF(ISBLANK($C500),"",IF($AF500&lt;&gt;Constants!$B$7,"",IF(AN500=1,AH500,AK500)))</f>
        <v/>
      </c>
      <c r="AY500" s="72" t="str">
        <f aca="false">IF(ISBLANK($C500),"",IF($AF500&lt;&gt;Constants!$B$7,"",IF(AN500=1,AI500,AL500)))</f>
        <v/>
      </c>
      <c r="AZ500" s="73" t="str">
        <f aca="false">IF(ISBLANK($C500),"",IF($AF500&lt;&gt;Constants!$B$7,$AF500,AP500))</f>
        <v/>
      </c>
      <c r="BA500" s="74" t="str">
        <f aca="false">IF(ISBLANK($C500),"",IF($AF500&lt;&gt;Constants!$B$7,$AF500,AG500))</f>
        <v/>
      </c>
      <c r="BB500" s="75" t="str">
        <f aca="false">IF(ISBLANK($C500),"",AU500)</f>
        <v/>
      </c>
      <c r="BC500" s="75" t="str">
        <f aca="false">IF(ISBLANK($C500),"",AT500)</f>
        <v/>
      </c>
      <c r="BD500" s="76" t="str">
        <f aca="false">IF(ISBLANK($C500),"",IFERROR(_xlfn.SWITCH(BC500,Constants!$B$4,COUNTA($C$8:$C$507)+2,Constants!$B$5,COUNTA($C$8:$C$507)+1,Constants!$B$6,COUNTA($C$8:$C$507)),BC500))</f>
        <v/>
      </c>
      <c r="BE500" s="5"/>
      <c r="BF500" s="77" t="n">
        <f aca="false">IF(OR(ISNUMBER(BC500),BC500=Constants!$B$4,BC500=Constants!$B$6,BC500=Constants!$B$5),1,0)</f>
        <v>0</v>
      </c>
      <c r="BG500" s="77" t="n">
        <v>493</v>
      </c>
      <c r="BH500" s="77" t="str">
        <f aca="false">IF(ISBLANK($C500),"",IF(ISNUMBER(BD500),BD500+ROW($B500)/1000,""))</f>
        <v/>
      </c>
      <c r="BI500" s="77" t="str">
        <f aca="false">IF(ISNUMBER(BH500),RANK(BH500,$BH$8:$BH$507,1),"")</f>
        <v/>
      </c>
      <c r="BJ500" s="77" t="str">
        <f aca="false">IF(ISBLANK($C500),"",$B500)</f>
        <v/>
      </c>
      <c r="BK500" s="77" t="str">
        <f aca="false">IF(ISBLANK($C500),"",$C500)</f>
        <v/>
      </c>
      <c r="BL500" s="77" t="str">
        <f aca="false">IF(ISBLANK($C500),"",$D500)</f>
        <v/>
      </c>
      <c r="BM500" s="78" t="str">
        <f aca="false">BA500</f>
        <v/>
      </c>
      <c r="BN500" s="79" t="str">
        <f aca="false">AZ500</f>
        <v/>
      </c>
      <c r="BO500" s="77" t="str">
        <f aca="false">IF(ISBLANK($C500),"",BC500)</f>
        <v/>
      </c>
      <c r="BP500" s="80" t="str">
        <f aca="false">IF($BG500&gt;$BF$7,"",VLOOKUP($BG500,$BI$8:$BO$507,7,FALSE()))</f>
        <v/>
      </c>
      <c r="BQ500" s="81" t="str">
        <f aca="false">IF($BG500&gt;$BF$7,"",VLOOKUP($BG500,$BI$8:$BO$507,2,FALSE()))</f>
        <v/>
      </c>
      <c r="BR500" s="81" t="str">
        <f aca="false">IF($BG500&gt;$BF$7,"",VLOOKUP($BG500,$BI$8:$BO$507,3,FALSE()))</f>
        <v/>
      </c>
      <c r="BS500" s="81" t="str">
        <f aca="false">IF($BG500&gt;$BF$7,"",VLOOKUP($BG500,$BI$8:$BO$507,4,FALSE()))</f>
        <v/>
      </c>
      <c r="BT500" s="81" t="str">
        <f aca="false">IF($BG500&gt;$BF$7,"",VLOOKUP($BG500,$BI$8:$BO$507,5,FALSE()))</f>
        <v/>
      </c>
      <c r="BU500" s="82" t="str">
        <f aca="false">IF($BG500&gt;$BF$7,"",VLOOKUP($BG500,$BI$8:$BO$507,6,FALSE()))</f>
        <v/>
      </c>
      <c r="BV500" s="54"/>
    </row>
    <row r="501" customFormat="false" ht="15.75" hidden="false" customHeight="false" outlineLevel="0" collapsed="false">
      <c r="A501" s="5"/>
      <c r="B501" s="135"/>
      <c r="C501" s="56"/>
      <c r="D501" s="57"/>
      <c r="E501" s="84"/>
      <c r="F501" s="136"/>
      <c r="G501" s="60"/>
      <c r="H501" s="137"/>
      <c r="I501" s="62"/>
      <c r="J501" s="62"/>
      <c r="K501" s="60"/>
      <c r="L501" s="138"/>
      <c r="M501" s="62"/>
      <c r="N501" s="62"/>
      <c r="O501" s="60"/>
      <c r="P501" s="84"/>
      <c r="Q501" s="65"/>
      <c r="R501" s="67" t="str">
        <f aca="false">IF(ISBLANK($C501),"",IF(E501=Constants!$B$2, TRUE(), IF(E501=Constants!$B$3, FALSE(), TRUE())))</f>
        <v/>
      </c>
      <c r="S501" s="67" t="str">
        <f aca="false">IF(ISBLANK($C501),"",IF(F501=Constants!$B$2, TRUE(), IF(F501=Constants!$B$3, FALSE(), TRUE())))</f>
        <v/>
      </c>
      <c r="T501" s="67" t="str">
        <f aca="false">IF(ISBLANK($C501),"",IF(G501=Constants!$B$16,Constants!$B$9,IF(G501=Constants!$B$17,Constants!$B$10,Constants!$B$8)))</f>
        <v/>
      </c>
      <c r="U501" s="67" t="str">
        <f aca="false">IF(ISBLANK($C501),"",IF(H501=Constants!$B$19,Constants!$B$19,Constants!$B$18))</f>
        <v/>
      </c>
      <c r="V501" s="67" t="str">
        <f aca="false">IF(ISBLANK($C501),"",IF(ISNUMBER(I501),IF(I501&gt;=0,I501,""),""))</f>
        <v/>
      </c>
      <c r="W501" s="67" t="str">
        <f aca="false">IF(ISBLANK($C501),"",IF(J501=Constants!$B$2, TRUE(), IF(J501=Constants!$B$3, FALSE(), TRUE())))</f>
        <v/>
      </c>
      <c r="X501" s="67" t="str">
        <f aca="false">IF(ISBLANK($C501),"",IF(K501=Constants!$B$2, TRUE(), IF(K501=Constants!$B$3, FALSE(), TRUE())))</f>
        <v/>
      </c>
      <c r="Y501" s="67" t="str">
        <f aca="false">IF(ISBLANK($C501),"",IF(L501=Constants!$B$19,Constants!$B$19,Constants!$B$18))</f>
        <v/>
      </c>
      <c r="Z501" s="67" t="str">
        <f aca="false">IF(ISBLANK($C501),"",IF(ISNUMBER(M501),IF(M501&gt;=0,M501,""),""))</f>
        <v/>
      </c>
      <c r="AA501" s="67" t="str">
        <f aca="false">IF(ISBLANK($C501),"",IF(N501=Constants!$B$2, TRUE(), IF(N501=Constants!$B$3, FALSE(), TRUE())))</f>
        <v/>
      </c>
      <c r="AB501" s="67" t="str">
        <f aca="false">IF(ISBLANK($C501),"",IF(O501=Constants!$B$2, TRUE(), IF(O501=Constants!$B$3, FALSE(), TRUE())))</f>
        <v/>
      </c>
      <c r="AC501" s="67" t="str">
        <f aca="false">IF(ISBLANK($C501),"",IF(P501=Constants!$B$2, TRUE(), IF(P501=Constants!$B$3, FALSE(), FALSE())))</f>
        <v/>
      </c>
      <c r="AD501" s="67" t="str">
        <f aca="false">IF(ISBLANK($C501),"",AND(V501&lt;&gt;"",IF(U501=Constants!$B$19,S501,R501)))</f>
        <v/>
      </c>
      <c r="AE501" s="67" t="str">
        <f aca="false">IF(ISBLANK($C501),"",AND(Z501&lt;&gt;"",IF(Y501=Constants!$B$19,S501,R501)))</f>
        <v/>
      </c>
      <c r="AF501" s="67" t="str">
        <f aca="false">IF(ISBLANK($C501),"",IF(AC501,Constants!$B$4,IF(COUNTA(E501:O501)=0,Constants!$B$5,IF(AND(NOT(AD501),NOT(AE501)),Constants!$B$6,Constants!$B$7))))</f>
        <v/>
      </c>
      <c r="AG501" s="67" t="str">
        <f aca="false">IF(ISBLANK($C501),"",IF($AF501&lt;&gt;Constants!$B$7,$AF501,Constants!$B$20))</f>
        <v/>
      </c>
      <c r="AH501" s="67" t="str">
        <f aca="false">IF($AF501=Constants!$B$7,IF(AD501,V501,Constants!$B$13),"")</f>
        <v/>
      </c>
      <c r="AI501" s="67" t="str">
        <f aca="false">IF($AF501=Constants!$B$7,IF(AD501,T501*IF(W501, 1, Constants!$B$11)*IF(X501, 1, Constants!$B$12),Constants!$B$13),"")</f>
        <v/>
      </c>
      <c r="AJ501" s="67" t="str">
        <f aca="false">IF($AF501=Constants!$B$7,AH501*AI501,"")</f>
        <v/>
      </c>
      <c r="AK501" s="67" t="str">
        <f aca="false">IF($AF501=Constants!$B$7,IF(AE501,Z501,Constants!$B$13),"")</f>
        <v/>
      </c>
      <c r="AL501" s="67" t="str">
        <f aca="false">IF($AF501=Constants!$B$7,IF(AE501,T501*IF(AA501, 1, Constants!$B$11)*IF(AB501, 1, Constants!$B$12),Constants!$B$13),"")</f>
        <v/>
      </c>
      <c r="AM501" s="67" t="str">
        <f aca="false">IF($AF501=Constants!$B$7,AK501*AL501,"")</f>
        <v/>
      </c>
      <c r="AN501" s="67" t="str">
        <f aca="false">IF($AF501=Constants!$B$7,IF(AM501&gt;AJ501,2,1),"")</f>
        <v/>
      </c>
      <c r="AO501" s="67" t="str">
        <f aca="false">IF($AF501=Constants!$B$7,IF(AN501=1,2,1),"")</f>
        <v/>
      </c>
      <c r="AP501" s="67" t="str">
        <f aca="false">IF(ISBLANK($C501),"",IF($AF501&lt;&gt;Constants!$B$7,$AF501,IF(AN501=1,AJ501,AM501)))</f>
        <v/>
      </c>
      <c r="AQ501" s="67" t="str">
        <f aca="false">IF(ISBLANK($C501),"",IF($AF501=Constants!$B$7,IF(ISNUMBER(AP501),RANK(AP501,$AP$8:$AP$507),Constants!$B$14),$AF501))</f>
        <v/>
      </c>
      <c r="AR501" s="67" t="str">
        <f aca="false">IF(ISBLANK($C501),"",IF($AF501=Constants!$B$7,IF(AO501=1,AJ501,AM501),""))</f>
        <v/>
      </c>
      <c r="AS501" s="67" t="str">
        <f aca="false">IF(ISBLANK($C501),"",IF($AF501=Constants!$B$7,RANK(AR501,$AR$8:$AR$507),$AF501))</f>
        <v/>
      </c>
      <c r="AT501" s="67" t="str">
        <f aca="false">IF(ISBLANK($C501),"",IF($AF501=Constants!$B$7,IF(ISNUMBER(AQ501),COUNTIFS($AQ$8:$AQ$507,"&lt;"&amp;$AQ501)+COUNTIFS($AQ$8:$AQ$507,$AQ501,$AS$8:$AS$507,"&lt;"&amp;$AS501)+1,Constants!$B$14),$AF501))</f>
        <v/>
      </c>
      <c r="AU501" s="67" t="str">
        <f aca="false">IF(ISBLANK($C501),"",IF($AF501=Constants!$B$7,IF(ISNUMBER(AQ501),AQ501-AT501,Constants!$B$14),$AF501))</f>
        <v/>
      </c>
      <c r="AV501" s="69"/>
      <c r="AW501" s="70" t="str">
        <f aca="false">IF(ISBLANK($C501),"",IF($AF501&lt;&gt;Constants!$B$7,"",AN501))</f>
        <v/>
      </c>
      <c r="AX501" s="85" t="str">
        <f aca="false">IF(ISBLANK($C501),"",IF($AF501&lt;&gt;Constants!$B$7,"",IF(AN501=1,AH501,AK501)))</f>
        <v/>
      </c>
      <c r="AY501" s="72" t="str">
        <f aca="false">IF(ISBLANK($C501),"",IF($AF501&lt;&gt;Constants!$B$7,"",IF(AN501=1,AI501,AL501)))</f>
        <v/>
      </c>
      <c r="AZ501" s="73" t="str">
        <f aca="false">IF(ISBLANK($C501),"",IF($AF501&lt;&gt;Constants!$B$7,$AF501,AP501))</f>
        <v/>
      </c>
      <c r="BA501" s="74" t="str">
        <f aca="false">IF(ISBLANK($C501),"",IF($AF501&lt;&gt;Constants!$B$7,$AF501,AG501))</f>
        <v/>
      </c>
      <c r="BB501" s="75" t="str">
        <f aca="false">IF(ISBLANK($C501),"",AU501)</f>
        <v/>
      </c>
      <c r="BC501" s="75" t="str">
        <f aca="false">IF(ISBLANK($C501),"",AT501)</f>
        <v/>
      </c>
      <c r="BD501" s="76" t="str">
        <f aca="false">IF(ISBLANK($C501),"",IFERROR(_xlfn.SWITCH(BC501,Constants!$B$4,COUNTA($C$8:$C$507)+2,Constants!$B$5,COUNTA($C$8:$C$507)+1,Constants!$B$6,COUNTA($C$8:$C$507)),BC501))</f>
        <v/>
      </c>
      <c r="BE501" s="5"/>
      <c r="BF501" s="77" t="n">
        <f aca="false">IF(OR(ISNUMBER(BC501),BC501=Constants!$B$4,BC501=Constants!$B$6,BC501=Constants!$B$5),1,0)</f>
        <v>0</v>
      </c>
      <c r="BG501" s="77" t="n">
        <v>494</v>
      </c>
      <c r="BH501" s="77" t="str">
        <f aca="false">IF(ISBLANK($C501),"",IF(ISNUMBER(BD501),BD501+ROW($B501)/1000,""))</f>
        <v/>
      </c>
      <c r="BI501" s="77" t="str">
        <f aca="false">IF(ISNUMBER(BH501),RANK(BH501,$BH$8:$BH$507,1),"")</f>
        <v/>
      </c>
      <c r="BJ501" s="77" t="str">
        <f aca="false">IF(ISBLANK($C501),"",$B501)</f>
        <v/>
      </c>
      <c r="BK501" s="77" t="str">
        <f aca="false">IF(ISBLANK($C501),"",$C501)</f>
        <v/>
      </c>
      <c r="BL501" s="77" t="str">
        <f aca="false">IF(ISBLANK($C501),"",$D501)</f>
        <v/>
      </c>
      <c r="BM501" s="78" t="str">
        <f aca="false">BA501</f>
        <v/>
      </c>
      <c r="BN501" s="79" t="str">
        <f aca="false">AZ501</f>
        <v/>
      </c>
      <c r="BO501" s="77" t="str">
        <f aca="false">IF(ISBLANK($C501),"",BC501)</f>
        <v/>
      </c>
      <c r="BP501" s="80" t="str">
        <f aca="false">IF($BG501&gt;$BF$7,"",VLOOKUP($BG501,$BI$8:$BO$507,7,FALSE()))</f>
        <v/>
      </c>
      <c r="BQ501" s="81" t="str">
        <f aca="false">IF($BG501&gt;$BF$7,"",VLOOKUP($BG501,$BI$8:$BO$507,2,FALSE()))</f>
        <v/>
      </c>
      <c r="BR501" s="81" t="str">
        <f aca="false">IF($BG501&gt;$BF$7,"",VLOOKUP($BG501,$BI$8:$BO$507,3,FALSE()))</f>
        <v/>
      </c>
      <c r="BS501" s="81" t="str">
        <f aca="false">IF($BG501&gt;$BF$7,"",VLOOKUP($BG501,$BI$8:$BO$507,4,FALSE()))</f>
        <v/>
      </c>
      <c r="BT501" s="81" t="str">
        <f aca="false">IF($BG501&gt;$BF$7,"",VLOOKUP($BG501,$BI$8:$BO$507,5,FALSE()))</f>
        <v/>
      </c>
      <c r="BU501" s="82" t="str">
        <f aca="false">IF($BG501&gt;$BF$7,"",VLOOKUP($BG501,$BI$8:$BO$507,6,FALSE()))</f>
        <v/>
      </c>
      <c r="BV501" s="54"/>
    </row>
    <row r="502" customFormat="false" ht="15.75" hidden="false" customHeight="false" outlineLevel="0" collapsed="false">
      <c r="A502" s="5"/>
      <c r="B502" s="135"/>
      <c r="C502" s="56"/>
      <c r="D502" s="57"/>
      <c r="E502" s="84"/>
      <c r="F502" s="136"/>
      <c r="G502" s="60"/>
      <c r="H502" s="137"/>
      <c r="I502" s="62"/>
      <c r="J502" s="62"/>
      <c r="K502" s="60"/>
      <c r="L502" s="138"/>
      <c r="M502" s="62"/>
      <c r="N502" s="62"/>
      <c r="O502" s="60"/>
      <c r="P502" s="84"/>
      <c r="Q502" s="65"/>
      <c r="R502" s="67" t="str">
        <f aca="false">IF(ISBLANK($C502),"",IF(E502=Constants!$B$2, TRUE(), IF(E502=Constants!$B$3, FALSE(), TRUE())))</f>
        <v/>
      </c>
      <c r="S502" s="67" t="str">
        <f aca="false">IF(ISBLANK($C502),"",IF(F502=Constants!$B$2, TRUE(), IF(F502=Constants!$B$3, FALSE(), TRUE())))</f>
        <v/>
      </c>
      <c r="T502" s="67" t="str">
        <f aca="false">IF(ISBLANK($C502),"",IF(G502=Constants!$B$16,Constants!$B$9,IF(G502=Constants!$B$17,Constants!$B$10,Constants!$B$8)))</f>
        <v/>
      </c>
      <c r="U502" s="67" t="str">
        <f aca="false">IF(ISBLANK($C502),"",IF(H502=Constants!$B$19,Constants!$B$19,Constants!$B$18))</f>
        <v/>
      </c>
      <c r="V502" s="67" t="str">
        <f aca="false">IF(ISBLANK($C502),"",IF(ISNUMBER(I502),IF(I502&gt;=0,I502,""),""))</f>
        <v/>
      </c>
      <c r="W502" s="67" t="str">
        <f aca="false">IF(ISBLANK($C502),"",IF(J502=Constants!$B$2, TRUE(), IF(J502=Constants!$B$3, FALSE(), TRUE())))</f>
        <v/>
      </c>
      <c r="X502" s="67" t="str">
        <f aca="false">IF(ISBLANK($C502),"",IF(K502=Constants!$B$2, TRUE(), IF(K502=Constants!$B$3, FALSE(), TRUE())))</f>
        <v/>
      </c>
      <c r="Y502" s="67" t="str">
        <f aca="false">IF(ISBLANK($C502),"",IF(L502=Constants!$B$19,Constants!$B$19,Constants!$B$18))</f>
        <v/>
      </c>
      <c r="Z502" s="67" t="str">
        <f aca="false">IF(ISBLANK($C502),"",IF(ISNUMBER(M502),IF(M502&gt;=0,M502,""),""))</f>
        <v/>
      </c>
      <c r="AA502" s="67" t="str">
        <f aca="false">IF(ISBLANK($C502),"",IF(N502=Constants!$B$2, TRUE(), IF(N502=Constants!$B$3, FALSE(), TRUE())))</f>
        <v/>
      </c>
      <c r="AB502" s="67" t="str">
        <f aca="false">IF(ISBLANK($C502),"",IF(O502=Constants!$B$2, TRUE(), IF(O502=Constants!$B$3, FALSE(), TRUE())))</f>
        <v/>
      </c>
      <c r="AC502" s="67" t="str">
        <f aca="false">IF(ISBLANK($C502),"",IF(P502=Constants!$B$2, TRUE(), IF(P502=Constants!$B$3, FALSE(), FALSE())))</f>
        <v/>
      </c>
      <c r="AD502" s="67" t="str">
        <f aca="false">IF(ISBLANK($C502),"",AND(V502&lt;&gt;"",IF(U502=Constants!$B$19,S502,R502)))</f>
        <v/>
      </c>
      <c r="AE502" s="67" t="str">
        <f aca="false">IF(ISBLANK($C502),"",AND(Z502&lt;&gt;"",IF(Y502=Constants!$B$19,S502,R502)))</f>
        <v/>
      </c>
      <c r="AF502" s="67" t="str">
        <f aca="false">IF(ISBLANK($C502),"",IF(AC502,Constants!$B$4,IF(COUNTA(E502:O502)=0,Constants!$B$5,IF(AND(NOT(AD502),NOT(AE502)),Constants!$B$6,Constants!$B$7))))</f>
        <v/>
      </c>
      <c r="AG502" s="67" t="str">
        <f aca="false">IF(ISBLANK($C502),"",IF($AF502&lt;&gt;Constants!$B$7,$AF502,Constants!$B$20))</f>
        <v/>
      </c>
      <c r="AH502" s="67" t="str">
        <f aca="false">IF($AF502=Constants!$B$7,IF(AD502,V502,Constants!$B$13),"")</f>
        <v/>
      </c>
      <c r="AI502" s="67" t="str">
        <f aca="false">IF($AF502=Constants!$B$7,IF(AD502,T502*IF(W502, 1, Constants!$B$11)*IF(X502, 1, Constants!$B$12),Constants!$B$13),"")</f>
        <v/>
      </c>
      <c r="AJ502" s="67" t="str">
        <f aca="false">IF($AF502=Constants!$B$7,AH502*AI502,"")</f>
        <v/>
      </c>
      <c r="AK502" s="67" t="str">
        <f aca="false">IF($AF502=Constants!$B$7,IF(AE502,Z502,Constants!$B$13),"")</f>
        <v/>
      </c>
      <c r="AL502" s="67" t="str">
        <f aca="false">IF($AF502=Constants!$B$7,IF(AE502,T502*IF(AA502, 1, Constants!$B$11)*IF(AB502, 1, Constants!$B$12),Constants!$B$13),"")</f>
        <v/>
      </c>
      <c r="AM502" s="67" t="str">
        <f aca="false">IF($AF502=Constants!$B$7,AK502*AL502,"")</f>
        <v/>
      </c>
      <c r="AN502" s="67" t="str">
        <f aca="false">IF($AF502=Constants!$B$7,IF(AM502&gt;AJ502,2,1),"")</f>
        <v/>
      </c>
      <c r="AO502" s="67" t="str">
        <f aca="false">IF($AF502=Constants!$B$7,IF(AN502=1,2,1),"")</f>
        <v/>
      </c>
      <c r="AP502" s="67" t="str">
        <f aca="false">IF(ISBLANK($C502),"",IF($AF502&lt;&gt;Constants!$B$7,$AF502,IF(AN502=1,AJ502,AM502)))</f>
        <v/>
      </c>
      <c r="AQ502" s="67" t="str">
        <f aca="false">IF(ISBLANK($C502),"",IF($AF502=Constants!$B$7,IF(ISNUMBER(AP502),RANK(AP502,$AP$8:$AP$507),Constants!$B$14),$AF502))</f>
        <v/>
      </c>
      <c r="AR502" s="67" t="str">
        <f aca="false">IF(ISBLANK($C502),"",IF($AF502=Constants!$B$7,IF(AO502=1,AJ502,AM502),""))</f>
        <v/>
      </c>
      <c r="AS502" s="67" t="str">
        <f aca="false">IF(ISBLANK($C502),"",IF($AF502=Constants!$B$7,RANK(AR502,$AR$8:$AR$507),$AF502))</f>
        <v/>
      </c>
      <c r="AT502" s="67" t="str">
        <f aca="false">IF(ISBLANK($C502),"",IF($AF502=Constants!$B$7,IF(ISNUMBER(AQ502),COUNTIFS($AQ$8:$AQ$507,"&lt;"&amp;$AQ502)+COUNTIFS($AQ$8:$AQ$507,$AQ502,$AS$8:$AS$507,"&lt;"&amp;$AS502)+1,Constants!$B$14),$AF502))</f>
        <v/>
      </c>
      <c r="AU502" s="67" t="str">
        <f aca="false">IF(ISBLANK($C502),"",IF($AF502=Constants!$B$7,IF(ISNUMBER(AQ502),AQ502-AT502,Constants!$B$14),$AF502))</f>
        <v/>
      </c>
      <c r="AV502" s="69"/>
      <c r="AW502" s="70" t="str">
        <f aca="false">IF(ISBLANK($C502),"",IF($AF502&lt;&gt;Constants!$B$7,"",AN502))</f>
        <v/>
      </c>
      <c r="AX502" s="85" t="str">
        <f aca="false">IF(ISBLANK($C502),"",IF($AF502&lt;&gt;Constants!$B$7,"",IF(AN502=1,AH502,AK502)))</f>
        <v/>
      </c>
      <c r="AY502" s="72" t="str">
        <f aca="false">IF(ISBLANK($C502),"",IF($AF502&lt;&gt;Constants!$B$7,"",IF(AN502=1,AI502,AL502)))</f>
        <v/>
      </c>
      <c r="AZ502" s="73" t="str">
        <f aca="false">IF(ISBLANK($C502),"",IF($AF502&lt;&gt;Constants!$B$7,$AF502,AP502))</f>
        <v/>
      </c>
      <c r="BA502" s="74" t="str">
        <f aca="false">IF(ISBLANK($C502),"",IF($AF502&lt;&gt;Constants!$B$7,$AF502,AG502))</f>
        <v/>
      </c>
      <c r="BB502" s="75" t="str">
        <f aca="false">IF(ISBLANK($C502),"",AU502)</f>
        <v/>
      </c>
      <c r="BC502" s="75" t="str">
        <f aca="false">IF(ISBLANK($C502),"",AT502)</f>
        <v/>
      </c>
      <c r="BD502" s="76" t="str">
        <f aca="false">IF(ISBLANK($C502),"",IFERROR(_xlfn.SWITCH(BC502,Constants!$B$4,COUNTA($C$8:$C$507)+2,Constants!$B$5,COUNTA($C$8:$C$507)+1,Constants!$B$6,COUNTA($C$8:$C$507)),BC502))</f>
        <v/>
      </c>
      <c r="BE502" s="5"/>
      <c r="BF502" s="77" t="n">
        <f aca="false">IF(OR(ISNUMBER(BC502),BC502=Constants!$B$4,BC502=Constants!$B$6,BC502=Constants!$B$5),1,0)</f>
        <v>0</v>
      </c>
      <c r="BG502" s="77" t="n">
        <v>495</v>
      </c>
      <c r="BH502" s="77" t="str">
        <f aca="false">IF(ISBLANK($C502),"",IF(ISNUMBER(BD502),BD502+ROW($B502)/1000,""))</f>
        <v/>
      </c>
      <c r="BI502" s="77" t="str">
        <f aca="false">IF(ISNUMBER(BH502),RANK(BH502,$BH$8:$BH$507,1),"")</f>
        <v/>
      </c>
      <c r="BJ502" s="77" t="str">
        <f aca="false">IF(ISBLANK($C502),"",$B502)</f>
        <v/>
      </c>
      <c r="BK502" s="77" t="str">
        <f aca="false">IF(ISBLANK($C502),"",$C502)</f>
        <v/>
      </c>
      <c r="BL502" s="77" t="str">
        <f aca="false">IF(ISBLANK($C502),"",$D502)</f>
        <v/>
      </c>
      <c r="BM502" s="78" t="str">
        <f aca="false">BA502</f>
        <v/>
      </c>
      <c r="BN502" s="79" t="str">
        <f aca="false">AZ502</f>
        <v/>
      </c>
      <c r="BO502" s="77" t="str">
        <f aca="false">IF(ISBLANK($C502),"",BC502)</f>
        <v/>
      </c>
      <c r="BP502" s="80" t="str">
        <f aca="false">IF($BG502&gt;$BF$7,"",VLOOKUP($BG502,$BI$8:$BO$507,7,FALSE()))</f>
        <v/>
      </c>
      <c r="BQ502" s="81" t="str">
        <f aca="false">IF($BG502&gt;$BF$7,"",VLOOKUP($BG502,$BI$8:$BO$507,2,FALSE()))</f>
        <v/>
      </c>
      <c r="BR502" s="81" t="str">
        <f aca="false">IF($BG502&gt;$BF$7,"",VLOOKUP($BG502,$BI$8:$BO$507,3,FALSE()))</f>
        <v/>
      </c>
      <c r="BS502" s="81" t="str">
        <f aca="false">IF($BG502&gt;$BF$7,"",VLOOKUP($BG502,$BI$8:$BO$507,4,FALSE()))</f>
        <v/>
      </c>
      <c r="BT502" s="81" t="str">
        <f aca="false">IF($BG502&gt;$BF$7,"",VLOOKUP($BG502,$BI$8:$BO$507,5,FALSE()))</f>
        <v/>
      </c>
      <c r="BU502" s="82" t="str">
        <f aca="false">IF($BG502&gt;$BF$7,"",VLOOKUP($BG502,$BI$8:$BO$507,6,FALSE()))</f>
        <v/>
      </c>
      <c r="BV502" s="54"/>
    </row>
    <row r="503" customFormat="false" ht="15.75" hidden="false" customHeight="false" outlineLevel="0" collapsed="false">
      <c r="A503" s="5"/>
      <c r="B503" s="128"/>
      <c r="C503" s="129"/>
      <c r="D503" s="114"/>
      <c r="E503" s="134"/>
      <c r="F503" s="139"/>
      <c r="G503" s="93"/>
      <c r="H503" s="140"/>
      <c r="I503" s="95"/>
      <c r="J503" s="95"/>
      <c r="K503" s="93"/>
      <c r="L503" s="141"/>
      <c r="M503" s="95"/>
      <c r="N503" s="95"/>
      <c r="O503" s="93"/>
      <c r="P503" s="134"/>
      <c r="Q503" s="98"/>
      <c r="R503" s="99" t="str">
        <f aca="false">IF(ISBLANK($C503),"",IF(E503=Constants!$B$2, TRUE(), IF(E503=Constants!$B$3, FALSE(), TRUE())))</f>
        <v/>
      </c>
      <c r="S503" s="99" t="str">
        <f aca="false">IF(ISBLANK($C503),"",IF(F503=Constants!$B$2, TRUE(), IF(F503=Constants!$B$3, FALSE(), TRUE())))</f>
        <v/>
      </c>
      <c r="T503" s="99" t="str">
        <f aca="false">IF(ISBLANK($C503),"",IF(G503=Constants!$B$16,Constants!$B$9,IF(G503=Constants!$B$17,Constants!$B$10,Constants!$B$8)))</f>
        <v/>
      </c>
      <c r="U503" s="99" t="str">
        <f aca="false">IF(ISBLANK($C503),"",IF(H503=Constants!$B$19,Constants!$B$19,Constants!$B$18))</f>
        <v/>
      </c>
      <c r="V503" s="99" t="str">
        <f aca="false">IF(ISBLANK($C503),"",IF(ISNUMBER(I503),IF(I503&gt;=0,I503,""),""))</f>
        <v/>
      </c>
      <c r="W503" s="99" t="str">
        <f aca="false">IF(ISBLANK($C503),"",IF(J503=Constants!$B$2, TRUE(), IF(J503=Constants!$B$3, FALSE(), TRUE())))</f>
        <v/>
      </c>
      <c r="X503" s="99" t="str">
        <f aca="false">IF(ISBLANK($C503),"",IF(K503=Constants!$B$2, TRUE(), IF(K503=Constants!$B$3, FALSE(), TRUE())))</f>
        <v/>
      </c>
      <c r="Y503" s="99" t="str">
        <f aca="false">IF(ISBLANK($C503),"",IF(L503=Constants!$B$19,Constants!$B$19,Constants!$B$18))</f>
        <v/>
      </c>
      <c r="Z503" s="99" t="str">
        <f aca="false">IF(ISBLANK($C503),"",IF(ISNUMBER(M503),IF(M503&gt;=0,M503,""),""))</f>
        <v/>
      </c>
      <c r="AA503" s="99" t="str">
        <f aca="false">IF(ISBLANK($C503),"",IF(N503=Constants!$B$2, TRUE(), IF(N503=Constants!$B$3, FALSE(), TRUE())))</f>
        <v/>
      </c>
      <c r="AB503" s="99" t="str">
        <f aca="false">IF(ISBLANK($C503),"",IF(O503=Constants!$B$2, TRUE(), IF(O503=Constants!$B$3, FALSE(), TRUE())))</f>
        <v/>
      </c>
      <c r="AC503" s="99" t="str">
        <f aca="false">IF(ISBLANK($C503),"",IF(P503=Constants!$B$2, TRUE(), IF(P503=Constants!$B$3, FALSE(), FALSE())))</f>
        <v/>
      </c>
      <c r="AD503" s="99" t="str">
        <f aca="false">IF(ISBLANK($C503),"",AND(V503&lt;&gt;"",IF(U503=Constants!$B$19,S503,R503)))</f>
        <v/>
      </c>
      <c r="AE503" s="99" t="str">
        <f aca="false">IF(ISBLANK($C503),"",AND(Z503&lt;&gt;"",IF(Y503=Constants!$B$19,S503,R503)))</f>
        <v/>
      </c>
      <c r="AF503" s="99" t="str">
        <f aca="false">IF(ISBLANK($C503),"",IF(AC503,Constants!$B$4,IF(COUNTA(E503:O503)=0,Constants!$B$5,IF(AND(NOT(AD503),NOT(AE503)),Constants!$B$6,Constants!$B$7))))</f>
        <v/>
      </c>
      <c r="AG503" s="99" t="str">
        <f aca="false">IF(ISBLANK($C503),"",IF($AF503&lt;&gt;Constants!$B$7,$AF503,Constants!$B$20))</f>
        <v/>
      </c>
      <c r="AH503" s="99" t="str">
        <f aca="false">IF($AF503=Constants!$B$7,IF(AD503,V503,Constants!$B$13),"")</f>
        <v/>
      </c>
      <c r="AI503" s="99" t="str">
        <f aca="false">IF($AF503=Constants!$B$7,IF(AD503,T503*IF(W503, 1, Constants!$B$11)*IF(X503, 1, Constants!$B$12),Constants!$B$13),"")</f>
        <v/>
      </c>
      <c r="AJ503" s="99" t="str">
        <f aca="false">IF($AF503=Constants!$B$7,AH503*AI503,"")</f>
        <v/>
      </c>
      <c r="AK503" s="99" t="str">
        <f aca="false">IF($AF503=Constants!$B$7,IF(AE503,Z503,Constants!$B$13),"")</f>
        <v/>
      </c>
      <c r="AL503" s="99" t="str">
        <f aca="false">IF($AF503=Constants!$B$7,IF(AE503,T503*IF(AA503, 1, Constants!$B$11)*IF(AB503, 1, Constants!$B$12),Constants!$B$13),"")</f>
        <v/>
      </c>
      <c r="AM503" s="99" t="str">
        <f aca="false">IF($AF503=Constants!$B$7,AK503*AL503,"")</f>
        <v/>
      </c>
      <c r="AN503" s="99" t="str">
        <f aca="false">IF($AF503=Constants!$B$7,IF(AM503&gt;AJ503,2,1),"")</f>
        <v/>
      </c>
      <c r="AO503" s="99" t="str">
        <f aca="false">IF($AF503=Constants!$B$7,IF(AN503=1,2,1),"")</f>
        <v/>
      </c>
      <c r="AP503" s="99" t="str">
        <f aca="false">IF(ISBLANK($C503),"",IF($AF503&lt;&gt;Constants!$B$7,$AF503,IF(AN503=1,AJ503,AM503)))</f>
        <v/>
      </c>
      <c r="AQ503" s="99" t="str">
        <f aca="false">IF(ISBLANK($C503),"",IF($AF503=Constants!$B$7,IF(ISNUMBER(AP503),RANK(AP503,$AP$8:$AP$507),Constants!$B$14),$AF503))</f>
        <v/>
      </c>
      <c r="AR503" s="99" t="str">
        <f aca="false">IF(ISBLANK($C503),"",IF($AF503=Constants!$B$7,IF(AO503=1,AJ503,AM503),""))</f>
        <v/>
      </c>
      <c r="AS503" s="99" t="str">
        <f aca="false">IF(ISBLANK($C503),"",IF($AF503=Constants!$B$7,RANK(AR503,$AR$8:$AR$507),$AF503))</f>
        <v/>
      </c>
      <c r="AT503" s="99" t="str">
        <f aca="false">IF(ISBLANK($C503),"",IF($AF503=Constants!$B$7,IF(ISNUMBER(AQ503),COUNTIFS($AQ$8:$AQ$507,"&lt;"&amp;$AQ503)+COUNTIFS($AQ$8:$AQ$507,$AQ503,$AS$8:$AS$507,"&lt;"&amp;$AS503)+1,Constants!$B$14),$AF503))</f>
        <v/>
      </c>
      <c r="AU503" s="99" t="str">
        <f aca="false">IF(ISBLANK($C503),"",IF($AF503=Constants!$B$7,IF(ISNUMBER(AQ503),AQ503-AT503,Constants!$B$14),$AF503))</f>
        <v/>
      </c>
      <c r="AV503" s="100"/>
      <c r="AW503" s="101" t="str">
        <f aca="false">IF(ISBLANK($C503),"",IF($AF503&lt;&gt;Constants!$B$7,"",AN503))</f>
        <v/>
      </c>
      <c r="AX503" s="102" t="str">
        <f aca="false">IF(ISBLANK($C503),"",IF($AF503&lt;&gt;Constants!$B$7,"",IF(AN503=1,AH503,AK503)))</f>
        <v/>
      </c>
      <c r="AY503" s="103" t="str">
        <f aca="false">IF(ISBLANK($C503),"",IF($AF503&lt;&gt;Constants!$B$7,"",IF(AN503=1,AI503,AL503)))</f>
        <v/>
      </c>
      <c r="AZ503" s="104" t="str">
        <f aca="false">IF(ISBLANK($C503),"",IF($AF503&lt;&gt;Constants!$B$7,$AF503,AP503))</f>
        <v/>
      </c>
      <c r="BA503" s="105" t="str">
        <f aca="false">IF(ISBLANK($C503),"",IF($AF503&lt;&gt;Constants!$B$7,$AF503,AG503))</f>
        <v/>
      </c>
      <c r="BB503" s="106" t="str">
        <f aca="false">IF(ISBLANK($C503),"",AU503)</f>
        <v/>
      </c>
      <c r="BC503" s="106" t="str">
        <f aca="false">IF(ISBLANK($C503),"",AT503)</f>
        <v/>
      </c>
      <c r="BD503" s="107" t="str">
        <f aca="false">IF(ISBLANK($C503),"",IFERROR(_xlfn.SWITCH(BC503,Constants!$B$4,COUNTA($C$8:$C$507)+2,Constants!$B$5,COUNTA($C$8:$C$507)+1,Constants!$B$6,COUNTA($C$8:$C$507)),BC503))</f>
        <v/>
      </c>
      <c r="BE503" s="5"/>
      <c r="BF503" s="108" t="n">
        <f aca="false">IF(OR(ISNUMBER(BC503),BC503=Constants!$B$4,BC503=Constants!$B$6,BC503=Constants!$B$5),1,0)</f>
        <v>0</v>
      </c>
      <c r="BG503" s="108" t="n">
        <v>496</v>
      </c>
      <c r="BH503" s="108" t="str">
        <f aca="false">IF(ISBLANK($C503),"",IF(ISNUMBER(BD503),BD503+ROW($B503)/1000,""))</f>
        <v/>
      </c>
      <c r="BI503" s="108" t="str">
        <f aca="false">IF(ISNUMBER(BH503),RANK(BH503,$BH$8:$BH$507,1),"")</f>
        <v/>
      </c>
      <c r="BJ503" s="108" t="str">
        <f aca="false">IF(ISBLANK($C503),"",$B503)</f>
        <v/>
      </c>
      <c r="BK503" s="108" t="str">
        <f aca="false">IF(ISBLANK($C503),"",$C503)</f>
        <v/>
      </c>
      <c r="BL503" s="108" t="str">
        <f aca="false">IF(ISBLANK($C503),"",$D503)</f>
        <v/>
      </c>
      <c r="BM503" s="109" t="str">
        <f aca="false">BA503</f>
        <v/>
      </c>
      <c r="BN503" s="110" t="str">
        <f aca="false">AZ503</f>
        <v/>
      </c>
      <c r="BO503" s="108" t="str">
        <f aca="false">IF(ISBLANK($C503),"",BC503)</f>
        <v/>
      </c>
      <c r="BP503" s="111" t="str">
        <f aca="false">IF($BG503&gt;$BF$7,"",VLOOKUP($BG503,$BI$8:$BO$507,7,FALSE()))</f>
        <v/>
      </c>
      <c r="BQ503" s="112" t="str">
        <f aca="false">IF($BG503&gt;$BF$7,"",VLOOKUP($BG503,$BI$8:$BO$507,2,FALSE()))</f>
        <v/>
      </c>
      <c r="BR503" s="112" t="str">
        <f aca="false">IF($BG503&gt;$BF$7,"",VLOOKUP($BG503,$BI$8:$BO$507,3,FALSE()))</f>
        <v/>
      </c>
      <c r="BS503" s="112" t="str">
        <f aca="false">IF($BG503&gt;$BF$7,"",VLOOKUP($BG503,$BI$8:$BO$507,4,FALSE()))</f>
        <v/>
      </c>
      <c r="BT503" s="112" t="str">
        <f aca="false">IF($BG503&gt;$BF$7,"",VLOOKUP($BG503,$BI$8:$BO$507,5,FALSE()))</f>
        <v/>
      </c>
      <c r="BU503" s="113" t="str">
        <f aca="false">IF($BG503&gt;$BF$7,"",VLOOKUP($BG503,$BI$8:$BO$507,6,FALSE()))</f>
        <v/>
      </c>
      <c r="BV503" s="54"/>
    </row>
    <row r="504" customFormat="false" ht="15.75" hidden="false" customHeight="false" outlineLevel="0" collapsed="false">
      <c r="A504" s="5"/>
      <c r="B504" s="128"/>
      <c r="C504" s="129"/>
      <c r="D504" s="114"/>
      <c r="E504" s="134"/>
      <c r="F504" s="139"/>
      <c r="G504" s="93"/>
      <c r="H504" s="140"/>
      <c r="I504" s="95"/>
      <c r="J504" s="95"/>
      <c r="K504" s="93"/>
      <c r="L504" s="141"/>
      <c r="M504" s="95"/>
      <c r="N504" s="95"/>
      <c r="O504" s="93"/>
      <c r="P504" s="134"/>
      <c r="Q504" s="98"/>
      <c r="R504" s="99" t="str">
        <f aca="false">IF(ISBLANK($C504),"",IF(E504=Constants!$B$2, TRUE(), IF(E504=Constants!$B$3, FALSE(), TRUE())))</f>
        <v/>
      </c>
      <c r="S504" s="99" t="str">
        <f aca="false">IF(ISBLANK($C504),"",IF(F504=Constants!$B$2, TRUE(), IF(F504=Constants!$B$3, FALSE(), TRUE())))</f>
        <v/>
      </c>
      <c r="T504" s="99" t="str">
        <f aca="false">IF(ISBLANK($C504),"",IF(G504=Constants!$B$16,Constants!$B$9,IF(G504=Constants!$B$17,Constants!$B$10,Constants!$B$8)))</f>
        <v/>
      </c>
      <c r="U504" s="99" t="str">
        <f aca="false">IF(ISBLANK($C504),"",IF(H504=Constants!$B$19,Constants!$B$19,Constants!$B$18))</f>
        <v/>
      </c>
      <c r="V504" s="99" t="str">
        <f aca="false">IF(ISBLANK($C504),"",IF(ISNUMBER(I504),IF(I504&gt;=0,I504,""),""))</f>
        <v/>
      </c>
      <c r="W504" s="99" t="str">
        <f aca="false">IF(ISBLANK($C504),"",IF(J504=Constants!$B$2, TRUE(), IF(J504=Constants!$B$3, FALSE(), TRUE())))</f>
        <v/>
      </c>
      <c r="X504" s="99" t="str">
        <f aca="false">IF(ISBLANK($C504),"",IF(K504=Constants!$B$2, TRUE(), IF(K504=Constants!$B$3, FALSE(), TRUE())))</f>
        <v/>
      </c>
      <c r="Y504" s="99" t="str">
        <f aca="false">IF(ISBLANK($C504),"",IF(L504=Constants!$B$19,Constants!$B$19,Constants!$B$18))</f>
        <v/>
      </c>
      <c r="Z504" s="99" t="str">
        <f aca="false">IF(ISBLANK($C504),"",IF(ISNUMBER(M504),IF(M504&gt;=0,M504,""),""))</f>
        <v/>
      </c>
      <c r="AA504" s="99" t="str">
        <f aca="false">IF(ISBLANK($C504),"",IF(N504=Constants!$B$2, TRUE(), IF(N504=Constants!$B$3, FALSE(), TRUE())))</f>
        <v/>
      </c>
      <c r="AB504" s="99" t="str">
        <f aca="false">IF(ISBLANK($C504),"",IF(O504=Constants!$B$2, TRUE(), IF(O504=Constants!$B$3, FALSE(), TRUE())))</f>
        <v/>
      </c>
      <c r="AC504" s="99" t="str">
        <f aca="false">IF(ISBLANK($C504),"",IF(P504=Constants!$B$2, TRUE(), IF(P504=Constants!$B$3, FALSE(), FALSE())))</f>
        <v/>
      </c>
      <c r="AD504" s="99" t="str">
        <f aca="false">IF(ISBLANK($C504),"",AND(V504&lt;&gt;"",IF(U504=Constants!$B$19,S504,R504)))</f>
        <v/>
      </c>
      <c r="AE504" s="99" t="str">
        <f aca="false">IF(ISBLANK($C504),"",AND(Z504&lt;&gt;"",IF(Y504=Constants!$B$19,S504,R504)))</f>
        <v/>
      </c>
      <c r="AF504" s="99" t="str">
        <f aca="false">IF(ISBLANK($C504),"",IF(AC504,Constants!$B$4,IF(COUNTA(E504:O504)=0,Constants!$B$5,IF(AND(NOT(AD504),NOT(AE504)),Constants!$B$6,Constants!$B$7))))</f>
        <v/>
      </c>
      <c r="AG504" s="99" t="str">
        <f aca="false">IF(ISBLANK($C504),"",IF($AF504&lt;&gt;Constants!$B$7,$AF504,Constants!$B$20))</f>
        <v/>
      </c>
      <c r="AH504" s="99" t="str">
        <f aca="false">IF($AF504=Constants!$B$7,IF(AD504,V504,Constants!$B$13),"")</f>
        <v/>
      </c>
      <c r="AI504" s="99" t="str">
        <f aca="false">IF($AF504=Constants!$B$7,IF(AD504,T504*IF(W504, 1, Constants!$B$11)*IF(X504, 1, Constants!$B$12),Constants!$B$13),"")</f>
        <v/>
      </c>
      <c r="AJ504" s="99" t="str">
        <f aca="false">IF($AF504=Constants!$B$7,AH504*AI504,"")</f>
        <v/>
      </c>
      <c r="AK504" s="99" t="str">
        <f aca="false">IF($AF504=Constants!$B$7,IF(AE504,Z504,Constants!$B$13),"")</f>
        <v/>
      </c>
      <c r="AL504" s="99" t="str">
        <f aca="false">IF($AF504=Constants!$B$7,IF(AE504,T504*IF(AA504, 1, Constants!$B$11)*IF(AB504, 1, Constants!$B$12),Constants!$B$13),"")</f>
        <v/>
      </c>
      <c r="AM504" s="99" t="str">
        <f aca="false">IF($AF504=Constants!$B$7,AK504*AL504,"")</f>
        <v/>
      </c>
      <c r="AN504" s="99" t="str">
        <f aca="false">IF($AF504=Constants!$B$7,IF(AM504&gt;AJ504,2,1),"")</f>
        <v/>
      </c>
      <c r="AO504" s="99" t="str">
        <f aca="false">IF($AF504=Constants!$B$7,IF(AN504=1,2,1),"")</f>
        <v/>
      </c>
      <c r="AP504" s="99" t="str">
        <f aca="false">IF(ISBLANK($C504),"",IF($AF504&lt;&gt;Constants!$B$7,$AF504,IF(AN504=1,AJ504,AM504)))</f>
        <v/>
      </c>
      <c r="AQ504" s="99" t="str">
        <f aca="false">IF(ISBLANK($C504),"",IF($AF504=Constants!$B$7,IF(ISNUMBER(AP504),RANK(AP504,$AP$8:$AP$507),Constants!$B$14),$AF504))</f>
        <v/>
      </c>
      <c r="AR504" s="99" t="str">
        <f aca="false">IF(ISBLANK($C504),"",IF($AF504=Constants!$B$7,IF(AO504=1,AJ504,AM504),""))</f>
        <v/>
      </c>
      <c r="AS504" s="99" t="str">
        <f aca="false">IF(ISBLANK($C504),"",IF($AF504=Constants!$B$7,RANK(AR504,$AR$8:$AR$507),$AF504))</f>
        <v/>
      </c>
      <c r="AT504" s="99" t="str">
        <f aca="false">IF(ISBLANK($C504),"",IF($AF504=Constants!$B$7,IF(ISNUMBER(AQ504),COUNTIFS($AQ$8:$AQ$507,"&lt;"&amp;$AQ504)+COUNTIFS($AQ$8:$AQ$507,$AQ504,$AS$8:$AS$507,"&lt;"&amp;$AS504)+1,Constants!$B$14),$AF504))</f>
        <v/>
      </c>
      <c r="AU504" s="99" t="str">
        <f aca="false">IF(ISBLANK($C504),"",IF($AF504=Constants!$B$7,IF(ISNUMBER(AQ504),AQ504-AT504,Constants!$B$14),$AF504))</f>
        <v/>
      </c>
      <c r="AV504" s="100"/>
      <c r="AW504" s="101" t="str">
        <f aca="false">IF(ISBLANK($C504),"",IF($AF504&lt;&gt;Constants!$B$7,"",AN504))</f>
        <v/>
      </c>
      <c r="AX504" s="102" t="str">
        <f aca="false">IF(ISBLANK($C504),"",IF($AF504&lt;&gt;Constants!$B$7,"",IF(AN504=1,AH504,AK504)))</f>
        <v/>
      </c>
      <c r="AY504" s="103" t="str">
        <f aca="false">IF(ISBLANK($C504),"",IF($AF504&lt;&gt;Constants!$B$7,"",IF(AN504=1,AI504,AL504)))</f>
        <v/>
      </c>
      <c r="AZ504" s="104" t="str">
        <f aca="false">IF(ISBLANK($C504),"",IF($AF504&lt;&gt;Constants!$B$7,$AF504,AP504))</f>
        <v/>
      </c>
      <c r="BA504" s="105" t="str">
        <f aca="false">IF(ISBLANK($C504),"",IF($AF504&lt;&gt;Constants!$B$7,$AF504,AG504))</f>
        <v/>
      </c>
      <c r="BB504" s="106" t="str">
        <f aca="false">IF(ISBLANK($C504),"",AU504)</f>
        <v/>
      </c>
      <c r="BC504" s="106" t="str">
        <f aca="false">IF(ISBLANK($C504),"",AT504)</f>
        <v/>
      </c>
      <c r="BD504" s="107" t="str">
        <f aca="false">IF(ISBLANK($C504),"",IFERROR(_xlfn.SWITCH(BC504,Constants!$B$4,COUNTA($C$8:$C$507)+2,Constants!$B$5,COUNTA($C$8:$C$507)+1,Constants!$B$6,COUNTA($C$8:$C$507)),BC504))</f>
        <v/>
      </c>
      <c r="BE504" s="5"/>
      <c r="BF504" s="108" t="n">
        <f aca="false">IF(OR(ISNUMBER(BC504),BC504=Constants!$B$4,BC504=Constants!$B$6,BC504=Constants!$B$5),1,0)</f>
        <v>0</v>
      </c>
      <c r="BG504" s="108" t="n">
        <v>497</v>
      </c>
      <c r="BH504" s="108" t="str">
        <f aca="false">IF(ISBLANK($C504),"",IF(ISNUMBER(BD504),BD504+ROW($B504)/1000,""))</f>
        <v/>
      </c>
      <c r="BI504" s="108" t="str">
        <f aca="false">IF(ISNUMBER(BH504),RANK(BH504,$BH$8:$BH$507,1),"")</f>
        <v/>
      </c>
      <c r="BJ504" s="108" t="str">
        <f aca="false">IF(ISBLANK($C504),"",$B504)</f>
        <v/>
      </c>
      <c r="BK504" s="108" t="str">
        <f aca="false">IF(ISBLANK($C504),"",$C504)</f>
        <v/>
      </c>
      <c r="BL504" s="108" t="str">
        <f aca="false">IF(ISBLANK($C504),"",$D504)</f>
        <v/>
      </c>
      <c r="BM504" s="109" t="str">
        <f aca="false">BA504</f>
        <v/>
      </c>
      <c r="BN504" s="110" t="str">
        <f aca="false">AZ504</f>
        <v/>
      </c>
      <c r="BO504" s="108" t="str">
        <f aca="false">IF(ISBLANK($C504),"",BC504)</f>
        <v/>
      </c>
      <c r="BP504" s="111" t="str">
        <f aca="false">IF($BG504&gt;$BF$7,"",VLOOKUP($BG504,$BI$8:$BO$507,7,FALSE()))</f>
        <v/>
      </c>
      <c r="BQ504" s="112" t="str">
        <f aca="false">IF($BG504&gt;$BF$7,"",VLOOKUP($BG504,$BI$8:$BO$507,2,FALSE()))</f>
        <v/>
      </c>
      <c r="BR504" s="112" t="str">
        <f aca="false">IF($BG504&gt;$BF$7,"",VLOOKUP($BG504,$BI$8:$BO$507,3,FALSE()))</f>
        <v/>
      </c>
      <c r="BS504" s="112" t="str">
        <f aca="false">IF($BG504&gt;$BF$7,"",VLOOKUP($BG504,$BI$8:$BO$507,4,FALSE()))</f>
        <v/>
      </c>
      <c r="BT504" s="112" t="str">
        <f aca="false">IF($BG504&gt;$BF$7,"",VLOOKUP($BG504,$BI$8:$BO$507,5,FALSE()))</f>
        <v/>
      </c>
      <c r="BU504" s="113" t="str">
        <f aca="false">IF($BG504&gt;$BF$7,"",VLOOKUP($BG504,$BI$8:$BO$507,6,FALSE()))</f>
        <v/>
      </c>
      <c r="BV504" s="54"/>
    </row>
    <row r="505" customFormat="false" ht="15.75" hidden="false" customHeight="false" outlineLevel="0" collapsed="false">
      <c r="A505" s="5"/>
      <c r="B505" s="128"/>
      <c r="C505" s="129"/>
      <c r="D505" s="114"/>
      <c r="E505" s="134"/>
      <c r="F505" s="139"/>
      <c r="G505" s="93"/>
      <c r="H505" s="140"/>
      <c r="I505" s="95"/>
      <c r="J505" s="95"/>
      <c r="K505" s="93"/>
      <c r="L505" s="141"/>
      <c r="M505" s="95"/>
      <c r="N505" s="95"/>
      <c r="O505" s="93"/>
      <c r="P505" s="134"/>
      <c r="Q505" s="98"/>
      <c r="R505" s="99" t="str">
        <f aca="false">IF(ISBLANK($C505),"",IF(E505=Constants!$B$2, TRUE(), IF(E505=Constants!$B$3, FALSE(), TRUE())))</f>
        <v/>
      </c>
      <c r="S505" s="99" t="str">
        <f aca="false">IF(ISBLANK($C505),"",IF(F505=Constants!$B$2, TRUE(), IF(F505=Constants!$B$3, FALSE(), TRUE())))</f>
        <v/>
      </c>
      <c r="T505" s="99" t="str">
        <f aca="false">IF(ISBLANK($C505),"",IF(G505=Constants!$B$16,Constants!$B$9,IF(G505=Constants!$B$17,Constants!$B$10,Constants!$B$8)))</f>
        <v/>
      </c>
      <c r="U505" s="99" t="str">
        <f aca="false">IF(ISBLANK($C505),"",IF(H505=Constants!$B$19,Constants!$B$19,Constants!$B$18))</f>
        <v/>
      </c>
      <c r="V505" s="99" t="str">
        <f aca="false">IF(ISBLANK($C505),"",IF(ISNUMBER(I505),IF(I505&gt;=0,I505,""),""))</f>
        <v/>
      </c>
      <c r="W505" s="99" t="str">
        <f aca="false">IF(ISBLANK($C505),"",IF(J505=Constants!$B$2, TRUE(), IF(J505=Constants!$B$3, FALSE(), TRUE())))</f>
        <v/>
      </c>
      <c r="X505" s="99" t="str">
        <f aca="false">IF(ISBLANK($C505),"",IF(K505=Constants!$B$2, TRUE(), IF(K505=Constants!$B$3, FALSE(), TRUE())))</f>
        <v/>
      </c>
      <c r="Y505" s="99" t="str">
        <f aca="false">IF(ISBLANK($C505),"",IF(L505=Constants!$B$19,Constants!$B$19,Constants!$B$18))</f>
        <v/>
      </c>
      <c r="Z505" s="99" t="str">
        <f aca="false">IF(ISBLANK($C505),"",IF(ISNUMBER(M505),IF(M505&gt;=0,M505,""),""))</f>
        <v/>
      </c>
      <c r="AA505" s="99" t="str">
        <f aca="false">IF(ISBLANK($C505),"",IF(N505=Constants!$B$2, TRUE(), IF(N505=Constants!$B$3, FALSE(), TRUE())))</f>
        <v/>
      </c>
      <c r="AB505" s="99" t="str">
        <f aca="false">IF(ISBLANK($C505),"",IF(O505=Constants!$B$2, TRUE(), IF(O505=Constants!$B$3, FALSE(), TRUE())))</f>
        <v/>
      </c>
      <c r="AC505" s="99" t="str">
        <f aca="false">IF(ISBLANK($C505),"",IF(P505=Constants!$B$2, TRUE(), IF(P505=Constants!$B$3, FALSE(), FALSE())))</f>
        <v/>
      </c>
      <c r="AD505" s="99" t="str">
        <f aca="false">IF(ISBLANK($C505),"",AND(V505&lt;&gt;"",IF(U505=Constants!$B$19,S505,R505)))</f>
        <v/>
      </c>
      <c r="AE505" s="99" t="str">
        <f aca="false">IF(ISBLANK($C505),"",AND(Z505&lt;&gt;"",IF(Y505=Constants!$B$19,S505,R505)))</f>
        <v/>
      </c>
      <c r="AF505" s="99" t="str">
        <f aca="false">IF(ISBLANK($C505),"",IF(AC505,Constants!$B$4,IF(COUNTA(E505:O505)=0,Constants!$B$5,IF(AND(NOT(AD505),NOT(AE505)),Constants!$B$6,Constants!$B$7))))</f>
        <v/>
      </c>
      <c r="AG505" s="99" t="str">
        <f aca="false">IF(ISBLANK($C505),"",IF($AF505&lt;&gt;Constants!$B$7,$AF505,Constants!$B$20))</f>
        <v/>
      </c>
      <c r="AH505" s="99" t="str">
        <f aca="false">IF($AF505=Constants!$B$7,IF(AD505,V505,Constants!$B$13),"")</f>
        <v/>
      </c>
      <c r="AI505" s="99" t="str">
        <f aca="false">IF($AF505=Constants!$B$7,IF(AD505,T505*IF(W505, 1, Constants!$B$11)*IF(X505, 1, Constants!$B$12),Constants!$B$13),"")</f>
        <v/>
      </c>
      <c r="AJ505" s="99" t="str">
        <f aca="false">IF($AF505=Constants!$B$7,AH505*AI505,"")</f>
        <v/>
      </c>
      <c r="AK505" s="99" t="str">
        <f aca="false">IF($AF505=Constants!$B$7,IF(AE505,Z505,Constants!$B$13),"")</f>
        <v/>
      </c>
      <c r="AL505" s="99" t="str">
        <f aca="false">IF($AF505=Constants!$B$7,IF(AE505,T505*IF(AA505, 1, Constants!$B$11)*IF(AB505, 1, Constants!$B$12),Constants!$B$13),"")</f>
        <v/>
      </c>
      <c r="AM505" s="99" t="str">
        <f aca="false">IF($AF505=Constants!$B$7,AK505*AL505,"")</f>
        <v/>
      </c>
      <c r="AN505" s="99" t="str">
        <f aca="false">IF($AF505=Constants!$B$7,IF(AM505&gt;AJ505,2,1),"")</f>
        <v/>
      </c>
      <c r="AO505" s="99" t="str">
        <f aca="false">IF($AF505=Constants!$B$7,IF(AN505=1,2,1),"")</f>
        <v/>
      </c>
      <c r="AP505" s="99" t="str">
        <f aca="false">IF(ISBLANK($C505),"",IF($AF505&lt;&gt;Constants!$B$7,$AF505,IF(AN505=1,AJ505,AM505)))</f>
        <v/>
      </c>
      <c r="AQ505" s="99" t="str">
        <f aca="false">IF(ISBLANK($C505),"",IF($AF505=Constants!$B$7,IF(ISNUMBER(AP505),RANK(AP505,$AP$8:$AP$507),Constants!$B$14),$AF505))</f>
        <v/>
      </c>
      <c r="AR505" s="99" t="str">
        <f aca="false">IF(ISBLANK($C505),"",IF($AF505=Constants!$B$7,IF(AO505=1,AJ505,AM505),""))</f>
        <v/>
      </c>
      <c r="AS505" s="99" t="str">
        <f aca="false">IF(ISBLANK($C505),"",IF($AF505=Constants!$B$7,RANK(AR505,$AR$8:$AR$507),$AF505))</f>
        <v/>
      </c>
      <c r="AT505" s="99" t="str">
        <f aca="false">IF(ISBLANK($C505),"",IF($AF505=Constants!$B$7,IF(ISNUMBER(AQ505),COUNTIFS($AQ$8:$AQ$507,"&lt;"&amp;$AQ505)+COUNTIFS($AQ$8:$AQ$507,$AQ505,$AS$8:$AS$507,"&lt;"&amp;$AS505)+1,Constants!$B$14),$AF505))</f>
        <v/>
      </c>
      <c r="AU505" s="99" t="str">
        <f aca="false">IF(ISBLANK($C505),"",IF($AF505=Constants!$B$7,IF(ISNUMBER(AQ505),AQ505-AT505,Constants!$B$14),$AF505))</f>
        <v/>
      </c>
      <c r="AV505" s="100"/>
      <c r="AW505" s="101" t="str">
        <f aca="false">IF(ISBLANK($C505),"",IF($AF505&lt;&gt;Constants!$B$7,"",AN505))</f>
        <v/>
      </c>
      <c r="AX505" s="102" t="str">
        <f aca="false">IF(ISBLANK($C505),"",IF($AF505&lt;&gt;Constants!$B$7,"",IF(AN505=1,AH505,AK505)))</f>
        <v/>
      </c>
      <c r="AY505" s="103" t="str">
        <f aca="false">IF(ISBLANK($C505),"",IF($AF505&lt;&gt;Constants!$B$7,"",IF(AN505=1,AI505,AL505)))</f>
        <v/>
      </c>
      <c r="AZ505" s="104" t="str">
        <f aca="false">IF(ISBLANK($C505),"",IF($AF505&lt;&gt;Constants!$B$7,$AF505,AP505))</f>
        <v/>
      </c>
      <c r="BA505" s="105" t="str">
        <f aca="false">IF(ISBLANK($C505),"",IF($AF505&lt;&gt;Constants!$B$7,$AF505,AG505))</f>
        <v/>
      </c>
      <c r="BB505" s="106" t="str">
        <f aca="false">IF(ISBLANK($C505),"",AU505)</f>
        <v/>
      </c>
      <c r="BC505" s="106" t="str">
        <f aca="false">IF(ISBLANK($C505),"",AT505)</f>
        <v/>
      </c>
      <c r="BD505" s="107" t="str">
        <f aca="false">IF(ISBLANK($C505),"",IFERROR(_xlfn.SWITCH(BC505,Constants!$B$4,COUNTA($C$8:$C$507)+2,Constants!$B$5,COUNTA($C$8:$C$507)+1,Constants!$B$6,COUNTA($C$8:$C$507)),BC505))</f>
        <v/>
      </c>
      <c r="BE505" s="5"/>
      <c r="BF505" s="108" t="n">
        <f aca="false">IF(OR(ISNUMBER(BC505),BC505=Constants!$B$4,BC505=Constants!$B$6,BC505=Constants!$B$5),1,0)</f>
        <v>0</v>
      </c>
      <c r="BG505" s="108" t="n">
        <v>498</v>
      </c>
      <c r="BH505" s="108" t="str">
        <f aca="false">IF(ISBLANK($C505),"",IF(ISNUMBER(BD505),BD505+ROW($B505)/1000,""))</f>
        <v/>
      </c>
      <c r="BI505" s="108" t="str">
        <f aca="false">IF(ISNUMBER(BH505),RANK(BH505,$BH$8:$BH$507,1),"")</f>
        <v/>
      </c>
      <c r="BJ505" s="108" t="str">
        <f aca="false">IF(ISBLANK($C505),"",$B505)</f>
        <v/>
      </c>
      <c r="BK505" s="108" t="str">
        <f aca="false">IF(ISBLANK($C505),"",$C505)</f>
        <v/>
      </c>
      <c r="BL505" s="108" t="str">
        <f aca="false">IF(ISBLANK($C505),"",$D505)</f>
        <v/>
      </c>
      <c r="BM505" s="109" t="str">
        <f aca="false">BA505</f>
        <v/>
      </c>
      <c r="BN505" s="110" t="str">
        <f aca="false">AZ505</f>
        <v/>
      </c>
      <c r="BO505" s="108" t="str">
        <f aca="false">IF(ISBLANK($C505),"",BC505)</f>
        <v/>
      </c>
      <c r="BP505" s="111" t="str">
        <f aca="false">IF($BG505&gt;$BF$7,"",VLOOKUP($BG505,$BI$8:$BO$507,7,FALSE()))</f>
        <v/>
      </c>
      <c r="BQ505" s="112" t="str">
        <f aca="false">IF($BG505&gt;$BF$7,"",VLOOKUP($BG505,$BI$8:$BO$507,2,FALSE()))</f>
        <v/>
      </c>
      <c r="BR505" s="112" t="str">
        <f aca="false">IF($BG505&gt;$BF$7,"",VLOOKUP($BG505,$BI$8:$BO$507,3,FALSE()))</f>
        <v/>
      </c>
      <c r="BS505" s="112" t="str">
        <f aca="false">IF($BG505&gt;$BF$7,"",VLOOKUP($BG505,$BI$8:$BO$507,4,FALSE()))</f>
        <v/>
      </c>
      <c r="BT505" s="112" t="str">
        <f aca="false">IF($BG505&gt;$BF$7,"",VLOOKUP($BG505,$BI$8:$BO$507,5,FALSE()))</f>
        <v/>
      </c>
      <c r="BU505" s="113" t="str">
        <f aca="false">IF($BG505&gt;$BF$7,"",VLOOKUP($BG505,$BI$8:$BO$507,6,FALSE()))</f>
        <v/>
      </c>
      <c r="BV505" s="54"/>
    </row>
    <row r="506" customFormat="false" ht="15.75" hidden="false" customHeight="false" outlineLevel="0" collapsed="false">
      <c r="A506" s="5"/>
      <c r="B506" s="135"/>
      <c r="C506" s="56"/>
      <c r="D506" s="57"/>
      <c r="E506" s="84"/>
      <c r="F506" s="136"/>
      <c r="G506" s="60"/>
      <c r="H506" s="137"/>
      <c r="I506" s="62"/>
      <c r="J506" s="62"/>
      <c r="K506" s="60"/>
      <c r="L506" s="138"/>
      <c r="M506" s="62"/>
      <c r="N506" s="62"/>
      <c r="O506" s="60"/>
      <c r="P506" s="84"/>
      <c r="Q506" s="65"/>
      <c r="R506" s="67" t="str">
        <f aca="false">IF(ISBLANK($C506),"",IF(E506=Constants!$B$2, TRUE(), IF(E506=Constants!$B$3, FALSE(), TRUE())))</f>
        <v/>
      </c>
      <c r="S506" s="67" t="str">
        <f aca="false">IF(ISBLANK($C506),"",IF(F506=Constants!$B$2, TRUE(), IF(F506=Constants!$B$3, FALSE(), TRUE())))</f>
        <v/>
      </c>
      <c r="T506" s="67" t="str">
        <f aca="false">IF(ISBLANK($C506),"",IF(G506=Constants!$B$16,Constants!$B$9,IF(G506=Constants!$B$17,Constants!$B$10,Constants!$B$8)))</f>
        <v/>
      </c>
      <c r="U506" s="67" t="str">
        <f aca="false">IF(ISBLANK($C506),"",IF(H506=Constants!$B$19,Constants!$B$19,Constants!$B$18))</f>
        <v/>
      </c>
      <c r="V506" s="67" t="str">
        <f aca="false">IF(ISBLANK($C506),"",IF(ISNUMBER(I506),IF(I506&gt;=0,I506,""),""))</f>
        <v/>
      </c>
      <c r="W506" s="67" t="str">
        <f aca="false">IF(ISBLANK($C506),"",IF(J506=Constants!$B$2, TRUE(), IF(J506=Constants!$B$3, FALSE(), TRUE())))</f>
        <v/>
      </c>
      <c r="X506" s="67" t="str">
        <f aca="false">IF(ISBLANK($C506),"",IF(K506=Constants!$B$2, TRUE(), IF(K506=Constants!$B$3, FALSE(), TRUE())))</f>
        <v/>
      </c>
      <c r="Y506" s="67" t="str">
        <f aca="false">IF(ISBLANK($C506),"",IF(L506=Constants!$B$19,Constants!$B$19,Constants!$B$18))</f>
        <v/>
      </c>
      <c r="Z506" s="67" t="str">
        <f aca="false">IF(ISBLANK($C506),"",IF(ISNUMBER(M506),IF(M506&gt;=0,M506,""),""))</f>
        <v/>
      </c>
      <c r="AA506" s="67" t="str">
        <f aca="false">IF(ISBLANK($C506),"",IF(N506=Constants!$B$2, TRUE(), IF(N506=Constants!$B$3, FALSE(), TRUE())))</f>
        <v/>
      </c>
      <c r="AB506" s="67" t="str">
        <f aca="false">IF(ISBLANK($C506),"",IF(O506=Constants!$B$2, TRUE(), IF(O506=Constants!$B$3, FALSE(), TRUE())))</f>
        <v/>
      </c>
      <c r="AC506" s="67" t="str">
        <f aca="false">IF(ISBLANK($C506),"",IF(P506=Constants!$B$2, TRUE(), IF(P506=Constants!$B$3, FALSE(), FALSE())))</f>
        <v/>
      </c>
      <c r="AD506" s="67" t="str">
        <f aca="false">IF(ISBLANK($C506),"",AND(V506&lt;&gt;"",IF(U506=Constants!$B$19,S506,R506)))</f>
        <v/>
      </c>
      <c r="AE506" s="67" t="str">
        <f aca="false">IF(ISBLANK($C506),"",AND(Z506&lt;&gt;"",IF(Y506=Constants!$B$19,S506,R506)))</f>
        <v/>
      </c>
      <c r="AF506" s="67" t="str">
        <f aca="false">IF(ISBLANK($C506),"",IF(AC506,Constants!$B$4,IF(COUNTA(E506:O506)=0,Constants!$B$5,IF(AND(NOT(AD506),NOT(AE506)),Constants!$B$6,Constants!$B$7))))</f>
        <v/>
      </c>
      <c r="AG506" s="67" t="str">
        <f aca="false">IF(ISBLANK($C506),"",IF($AF506&lt;&gt;Constants!$B$7,$AF506,Constants!$B$20))</f>
        <v/>
      </c>
      <c r="AH506" s="67" t="str">
        <f aca="false">IF($AF506=Constants!$B$7,IF(AD506,V506,Constants!$B$13),"")</f>
        <v/>
      </c>
      <c r="AI506" s="67" t="str">
        <f aca="false">IF($AF506=Constants!$B$7,IF(AD506,T506*IF(W506, 1, Constants!$B$11)*IF(X506, 1, Constants!$B$12),Constants!$B$13),"")</f>
        <v/>
      </c>
      <c r="AJ506" s="67" t="str">
        <f aca="false">IF($AF506=Constants!$B$7,AH506*AI506,"")</f>
        <v/>
      </c>
      <c r="AK506" s="67" t="str">
        <f aca="false">IF($AF506=Constants!$B$7,IF(AE506,Z506,Constants!$B$13),"")</f>
        <v/>
      </c>
      <c r="AL506" s="67" t="str">
        <f aca="false">IF($AF506=Constants!$B$7,IF(AE506,T506*IF(AA506, 1, Constants!$B$11)*IF(AB506, 1, Constants!$B$12),Constants!$B$13),"")</f>
        <v/>
      </c>
      <c r="AM506" s="67" t="str">
        <f aca="false">IF($AF506=Constants!$B$7,AK506*AL506,"")</f>
        <v/>
      </c>
      <c r="AN506" s="67" t="str">
        <f aca="false">IF($AF506=Constants!$B$7,IF(AM506&gt;AJ506,2,1),"")</f>
        <v/>
      </c>
      <c r="AO506" s="67" t="str">
        <f aca="false">IF($AF506=Constants!$B$7,IF(AN506=1,2,1),"")</f>
        <v/>
      </c>
      <c r="AP506" s="67" t="str">
        <f aca="false">IF(ISBLANK($C506),"",IF($AF506&lt;&gt;Constants!$B$7,$AF506,IF(AN506=1,AJ506,AM506)))</f>
        <v/>
      </c>
      <c r="AQ506" s="67" t="str">
        <f aca="false">IF(ISBLANK($C506),"",IF($AF506=Constants!$B$7,IF(ISNUMBER(AP506),RANK(AP506,$AP$8:$AP$507),Constants!$B$14),$AF506))</f>
        <v/>
      </c>
      <c r="AR506" s="67" t="str">
        <f aca="false">IF(ISBLANK($C506),"",IF($AF506=Constants!$B$7,IF(AO506=1,AJ506,AM506),""))</f>
        <v/>
      </c>
      <c r="AS506" s="67" t="str">
        <f aca="false">IF(ISBLANK($C506),"",IF($AF506=Constants!$B$7,RANK(AR506,$AR$8:$AR$507),$AF506))</f>
        <v/>
      </c>
      <c r="AT506" s="67" t="str">
        <f aca="false">IF(ISBLANK($C506),"",IF($AF506=Constants!$B$7,IF(ISNUMBER(AQ506),COUNTIFS($AQ$8:$AQ$507,"&lt;"&amp;$AQ506)+COUNTIFS($AQ$8:$AQ$507,$AQ506,$AS$8:$AS$507,"&lt;"&amp;$AS506)+1,Constants!$B$14),$AF506))</f>
        <v/>
      </c>
      <c r="AU506" s="67" t="str">
        <f aca="false">IF(ISBLANK($C506),"",IF($AF506=Constants!$B$7,IF(ISNUMBER(AQ506),AQ506-AT506,Constants!$B$14),$AF506))</f>
        <v/>
      </c>
      <c r="AV506" s="69"/>
      <c r="AW506" s="70" t="str">
        <f aca="false">IF(ISBLANK($C506),"",IF($AF506&lt;&gt;Constants!$B$7,"",AN506))</f>
        <v/>
      </c>
      <c r="AX506" s="85" t="str">
        <f aca="false">IF(ISBLANK($C506),"",IF($AF506&lt;&gt;Constants!$B$7,"",IF(AN506=1,AH506,AK506)))</f>
        <v/>
      </c>
      <c r="AY506" s="72" t="str">
        <f aca="false">IF(ISBLANK($C506),"",IF($AF506&lt;&gt;Constants!$B$7,"",IF(AN506=1,AI506,AL506)))</f>
        <v/>
      </c>
      <c r="AZ506" s="73" t="str">
        <f aca="false">IF(ISBLANK($C506),"",IF($AF506&lt;&gt;Constants!$B$7,$AF506,AP506))</f>
        <v/>
      </c>
      <c r="BA506" s="74" t="str">
        <f aca="false">IF(ISBLANK($C506),"",IF($AF506&lt;&gt;Constants!$B$7,$AF506,AG506))</f>
        <v/>
      </c>
      <c r="BB506" s="75" t="str">
        <f aca="false">IF(ISBLANK($C506),"",AU506)</f>
        <v/>
      </c>
      <c r="BC506" s="75" t="str">
        <f aca="false">IF(ISBLANK($C506),"",AT506)</f>
        <v/>
      </c>
      <c r="BD506" s="76" t="str">
        <f aca="false">IF(ISBLANK($C506),"",IFERROR(_xlfn.SWITCH(BC506,Constants!$B$4,COUNTA($C$8:$C$507)+2,Constants!$B$5,COUNTA($C$8:$C$507)+1,Constants!$B$6,COUNTA($C$8:$C$507)),BC506))</f>
        <v/>
      </c>
      <c r="BE506" s="5"/>
      <c r="BF506" s="77" t="n">
        <f aca="false">IF(OR(ISNUMBER(BC506),BC506=Constants!$B$4,BC506=Constants!$B$6,BC506=Constants!$B$5),1,0)</f>
        <v>0</v>
      </c>
      <c r="BG506" s="77" t="n">
        <v>499</v>
      </c>
      <c r="BH506" s="77" t="str">
        <f aca="false">IF(ISBLANK($C506),"",IF(ISNUMBER(BD506),BD506+ROW($B506)/1000,""))</f>
        <v/>
      </c>
      <c r="BI506" s="77" t="str">
        <f aca="false">IF(ISNUMBER(BH506),RANK(BH506,$BH$8:$BH$507,1),"")</f>
        <v/>
      </c>
      <c r="BJ506" s="77" t="str">
        <f aca="false">IF(ISBLANK($C506),"",$B506)</f>
        <v/>
      </c>
      <c r="BK506" s="77" t="str">
        <f aca="false">IF(ISBLANK($C506),"",$C506)</f>
        <v/>
      </c>
      <c r="BL506" s="77" t="str">
        <f aca="false">IF(ISBLANK($C506),"",$D506)</f>
        <v/>
      </c>
      <c r="BM506" s="78" t="str">
        <f aca="false">BA506</f>
        <v/>
      </c>
      <c r="BN506" s="79" t="str">
        <f aca="false">AZ506</f>
        <v/>
      </c>
      <c r="BO506" s="77" t="str">
        <f aca="false">IF(ISBLANK($C506),"",BC506)</f>
        <v/>
      </c>
      <c r="BP506" s="80" t="str">
        <f aca="false">IF($BG506&gt;$BF$7,"",VLOOKUP($BG506,$BI$8:$BO$507,7,FALSE()))</f>
        <v/>
      </c>
      <c r="BQ506" s="81" t="str">
        <f aca="false">IF($BG506&gt;$BF$7,"",VLOOKUP($BG506,$BI$8:$BO$507,2,FALSE()))</f>
        <v/>
      </c>
      <c r="BR506" s="81" t="str">
        <f aca="false">IF($BG506&gt;$BF$7,"",VLOOKUP($BG506,$BI$8:$BO$507,3,FALSE()))</f>
        <v/>
      </c>
      <c r="BS506" s="81" t="str">
        <f aca="false">IF($BG506&gt;$BF$7,"",VLOOKUP($BG506,$BI$8:$BO$507,4,FALSE()))</f>
        <v/>
      </c>
      <c r="BT506" s="81" t="str">
        <f aca="false">IF($BG506&gt;$BF$7,"",VLOOKUP($BG506,$BI$8:$BO$507,5,FALSE()))</f>
        <v/>
      </c>
      <c r="BU506" s="82" t="str">
        <f aca="false">IF($BG506&gt;$BF$7,"",VLOOKUP($BG506,$BI$8:$BO$507,6,FALSE()))</f>
        <v/>
      </c>
      <c r="BV506" s="54"/>
    </row>
    <row r="507" customFormat="false" ht="15.75" hidden="false" customHeight="false" outlineLevel="0" collapsed="false">
      <c r="A507" s="5"/>
      <c r="B507" s="135"/>
      <c r="C507" s="56"/>
      <c r="D507" s="57"/>
      <c r="E507" s="84"/>
      <c r="F507" s="136"/>
      <c r="G507" s="60"/>
      <c r="H507" s="137"/>
      <c r="I507" s="62"/>
      <c r="J507" s="62"/>
      <c r="K507" s="60"/>
      <c r="L507" s="138"/>
      <c r="M507" s="62"/>
      <c r="N507" s="62"/>
      <c r="O507" s="60"/>
      <c r="P507" s="84"/>
      <c r="Q507" s="65"/>
      <c r="R507" s="67" t="str">
        <f aca="false">IF(ISBLANK($C507),"",IF(E507=Constants!$B$2, TRUE(), IF(E507=Constants!$B$3, FALSE(), TRUE())))</f>
        <v/>
      </c>
      <c r="S507" s="67" t="str">
        <f aca="false">IF(ISBLANK($C507),"",IF(F507=Constants!$B$2, TRUE(), IF(F507=Constants!$B$3, FALSE(), TRUE())))</f>
        <v/>
      </c>
      <c r="T507" s="67" t="str">
        <f aca="false">IF(ISBLANK($C507),"",IF(G507=Constants!$B$16,Constants!$B$9,IF(G507=Constants!$B$17,Constants!$B$10,Constants!$B$8)))</f>
        <v/>
      </c>
      <c r="U507" s="67" t="str">
        <f aca="false">IF(ISBLANK($C507),"",IF(H507=Constants!$B$19,Constants!$B$19,Constants!$B$18))</f>
        <v/>
      </c>
      <c r="V507" s="67" t="str">
        <f aca="false">IF(ISBLANK($C507),"",IF(ISNUMBER(I507),IF(I507&gt;=0,I507,""),""))</f>
        <v/>
      </c>
      <c r="W507" s="67" t="str">
        <f aca="false">IF(ISBLANK($C507),"",IF(J507=Constants!$B$2, TRUE(), IF(J507=Constants!$B$3, FALSE(), TRUE())))</f>
        <v/>
      </c>
      <c r="X507" s="67" t="str">
        <f aca="false">IF(ISBLANK($C507),"",IF(K507=Constants!$B$2, TRUE(), IF(K507=Constants!$B$3, FALSE(), TRUE())))</f>
        <v/>
      </c>
      <c r="Y507" s="67" t="str">
        <f aca="false">IF(ISBLANK($C507),"",IF(L507=Constants!$B$19,Constants!$B$19,Constants!$B$18))</f>
        <v/>
      </c>
      <c r="Z507" s="67" t="str">
        <f aca="false">IF(ISBLANK($C507),"",IF(ISNUMBER(M507),IF(M507&gt;=0,M507,""),""))</f>
        <v/>
      </c>
      <c r="AA507" s="67" t="str">
        <f aca="false">IF(ISBLANK($C507),"",IF(N507=Constants!$B$2, TRUE(), IF(N507=Constants!$B$3, FALSE(), TRUE())))</f>
        <v/>
      </c>
      <c r="AB507" s="67" t="str">
        <f aca="false">IF(ISBLANK($C507),"",IF(O507=Constants!$B$2, TRUE(), IF(O507=Constants!$B$3, FALSE(), TRUE())))</f>
        <v/>
      </c>
      <c r="AC507" s="67" t="str">
        <f aca="false">IF(ISBLANK($C507),"",IF(P507=Constants!$B$2, TRUE(), IF(P507=Constants!$B$3, FALSE(), FALSE())))</f>
        <v/>
      </c>
      <c r="AD507" s="67" t="str">
        <f aca="false">IF(ISBLANK($C507),"",AND(V507&lt;&gt;"",IF(U507=Constants!$B$19,S507,R507)))</f>
        <v/>
      </c>
      <c r="AE507" s="67" t="str">
        <f aca="false">IF(ISBLANK($C507),"",AND(Z507&lt;&gt;"",IF(Y507=Constants!$B$19,S507,R507)))</f>
        <v/>
      </c>
      <c r="AF507" s="67" t="str">
        <f aca="false">IF(ISBLANK($C507),"",IF(AC507,Constants!$B$4,IF(COUNTA(E507:O507)=0,Constants!$B$5,IF(AND(NOT(AD507),NOT(AE507)),Constants!$B$6,Constants!$B$7))))</f>
        <v/>
      </c>
      <c r="AG507" s="67" t="str">
        <f aca="false">IF(ISBLANK($C507),"",IF($AF507&lt;&gt;Constants!$B$7,$AF507,Constants!$B$20))</f>
        <v/>
      </c>
      <c r="AH507" s="67" t="str">
        <f aca="false">IF($AF507=Constants!$B$7,IF(AD507,V507,Constants!$B$13),"")</f>
        <v/>
      </c>
      <c r="AI507" s="67" t="str">
        <f aca="false">IF($AF507=Constants!$B$7,IF(AD507,T507*IF(W507, 1, Constants!$B$11)*IF(X507, 1, Constants!$B$12),Constants!$B$13),"")</f>
        <v/>
      </c>
      <c r="AJ507" s="67" t="str">
        <f aca="false">IF($AF507=Constants!$B$7,AH507*AI507,"")</f>
        <v/>
      </c>
      <c r="AK507" s="67" t="str">
        <f aca="false">IF($AF507=Constants!$B$7,IF(AE507,Z507,Constants!$B$13),"")</f>
        <v/>
      </c>
      <c r="AL507" s="67" t="str">
        <f aca="false">IF($AF507=Constants!$B$7,IF(AE507,T507*IF(AA507, 1, Constants!$B$11)*IF(AB507, 1, Constants!$B$12),Constants!$B$13),"")</f>
        <v/>
      </c>
      <c r="AM507" s="67" t="str">
        <f aca="false">IF($AF507=Constants!$B$7,AK507*AL507,"")</f>
        <v/>
      </c>
      <c r="AN507" s="67" t="str">
        <f aca="false">IF($AF507=Constants!$B$7,IF(AM507&gt;AJ507,2,1),"")</f>
        <v/>
      </c>
      <c r="AO507" s="67" t="str">
        <f aca="false">IF($AF507=Constants!$B$7,IF(AN507=1,2,1),"")</f>
        <v/>
      </c>
      <c r="AP507" s="67" t="str">
        <f aca="false">IF(ISBLANK($C507),"",IF($AF507&lt;&gt;Constants!$B$7,$AF507,IF(AN507=1,AJ507,AM507)))</f>
        <v/>
      </c>
      <c r="AQ507" s="67" t="str">
        <f aca="false">IF(ISBLANK($C507),"",IF($AF507=Constants!$B$7,IF(ISNUMBER(AP507),RANK(AP507,$AP$8:$AP$507),Constants!$B$14),$AF507))</f>
        <v/>
      </c>
      <c r="AR507" s="67" t="str">
        <f aca="false">IF(ISBLANK($C507),"",IF($AF507=Constants!$B$7,IF(AO507=1,AJ507,AM507),""))</f>
        <v/>
      </c>
      <c r="AS507" s="67" t="str">
        <f aca="false">IF(ISBLANK($C507),"",IF($AF507=Constants!$B$7,RANK(AR507,$AR$8:$AR$507),$AF507))</f>
        <v/>
      </c>
      <c r="AT507" s="67" t="str">
        <f aca="false">IF(ISBLANK($C507),"",IF($AF507=Constants!$B$7,IF(ISNUMBER(AQ507),COUNTIFS($AQ$8:$AQ$507,"&lt;"&amp;$AQ507)+COUNTIFS($AQ$8:$AQ$507,$AQ507,$AS$8:$AS$507,"&lt;"&amp;$AS507)+1,Constants!$B$14),$AF507))</f>
        <v/>
      </c>
      <c r="AU507" s="67" t="str">
        <f aca="false">IF(ISBLANK($C507),"",IF($AF507=Constants!$B$7,IF(ISNUMBER(AQ507),AQ507-AT507,Constants!$B$14),$AF507))</f>
        <v/>
      </c>
      <c r="AV507" s="69"/>
      <c r="AW507" s="70" t="str">
        <f aca="false">IF(ISBLANK($C507),"",IF($AF507&lt;&gt;Constants!$B$7,"",AN507))</f>
        <v/>
      </c>
      <c r="AX507" s="85" t="str">
        <f aca="false">IF(ISBLANK($C507),"",IF($AF507&lt;&gt;Constants!$B$7,"",IF(AN507=1,AH507,AK507)))</f>
        <v/>
      </c>
      <c r="AY507" s="72" t="str">
        <f aca="false">IF(ISBLANK($C507),"",IF($AF507&lt;&gt;Constants!$B$7,"",IF(AN507=1,AI507,AL507)))</f>
        <v/>
      </c>
      <c r="AZ507" s="73" t="str">
        <f aca="false">IF(ISBLANK($C507),"",IF($AF507&lt;&gt;Constants!$B$7,$AF507,AP507))</f>
        <v/>
      </c>
      <c r="BA507" s="74" t="str">
        <f aca="false">IF(ISBLANK($C507),"",IF($AF507&lt;&gt;Constants!$B$7,$AF507,AG507))</f>
        <v/>
      </c>
      <c r="BB507" s="75" t="str">
        <f aca="false">IF(ISBLANK($C507),"",AU507)</f>
        <v/>
      </c>
      <c r="BC507" s="75" t="str">
        <f aca="false">IF(ISBLANK($C507),"",AT507)</f>
        <v/>
      </c>
      <c r="BD507" s="76" t="str">
        <f aca="false">IF(ISBLANK($C507),"",IFERROR(_xlfn.SWITCH(BC507,Constants!$B$4,COUNTA($C$8:$C$507)+2,Constants!$B$5,COUNTA($C$8:$C$507)+1,Constants!$B$6,COUNTA($C$8:$C$507)),BC507))</f>
        <v/>
      </c>
      <c r="BE507" s="5"/>
      <c r="BF507" s="77" t="n">
        <f aca="false">IF(OR(ISNUMBER(BC507),BC507=Constants!$B$4,BC507=Constants!$B$6,BC507=Constants!$B$5),1,0)</f>
        <v>0</v>
      </c>
      <c r="BG507" s="77" t="n">
        <v>500</v>
      </c>
      <c r="BH507" s="77" t="str">
        <f aca="false">IF(ISBLANK($C507),"",IF(ISNUMBER(BD507),BD507+ROW($B507)/1000,""))</f>
        <v/>
      </c>
      <c r="BI507" s="77" t="str">
        <f aca="false">IF(ISNUMBER(BH507),RANK(BH507,$BH$8:$BH$507,1),"")</f>
        <v/>
      </c>
      <c r="BJ507" s="77" t="str">
        <f aca="false">IF(ISBLANK($C507),"",$B507)</f>
        <v/>
      </c>
      <c r="BK507" s="77" t="str">
        <f aca="false">IF(ISBLANK($C507),"",$C507)</f>
        <v/>
      </c>
      <c r="BL507" s="77" t="str">
        <f aca="false">IF(ISBLANK($C507),"",$D507)</f>
        <v/>
      </c>
      <c r="BM507" s="78" t="str">
        <f aca="false">BA507</f>
        <v/>
      </c>
      <c r="BN507" s="79" t="str">
        <f aca="false">AZ507</f>
        <v/>
      </c>
      <c r="BO507" s="77" t="str">
        <f aca="false">IF(ISBLANK($C507),"",BC507)</f>
        <v/>
      </c>
      <c r="BP507" s="80" t="str">
        <f aca="false">IF($BG507&gt;$BF$7,"",VLOOKUP($BG507,$BI$8:$BO$507,7,FALSE()))</f>
        <v/>
      </c>
      <c r="BQ507" s="81" t="str">
        <f aca="false">IF($BG507&gt;$BF$7,"",VLOOKUP($BG507,$BI$8:$BO$507,2,FALSE()))</f>
        <v/>
      </c>
      <c r="BR507" s="81" t="str">
        <f aca="false">IF($BG507&gt;$BF$7,"",VLOOKUP($BG507,$BI$8:$BO$507,3,FALSE()))</f>
        <v/>
      </c>
      <c r="BS507" s="81" t="str">
        <f aca="false">IF($BG507&gt;$BF$7,"",VLOOKUP($BG507,$BI$8:$BO$507,4,FALSE()))</f>
        <v/>
      </c>
      <c r="BT507" s="81" t="str">
        <f aca="false">IF($BG507&gt;$BF$7,"",VLOOKUP($BG507,$BI$8:$BO$507,5,FALSE()))</f>
        <v/>
      </c>
      <c r="BU507" s="82" t="str">
        <f aca="false">IF($BG507&gt;$BF$7,"",VLOOKUP($BG507,$BI$8:$BO$507,6,FALSE()))</f>
        <v/>
      </c>
      <c r="BV507" s="54"/>
    </row>
  </sheetData>
  <mergeCells count="61">
    <mergeCell ref="B2:D3"/>
    <mergeCell ref="E2:G2"/>
    <mergeCell ref="H2:O2"/>
    <mergeCell ref="Q2:Q6"/>
    <mergeCell ref="AV2:AV6"/>
    <mergeCell ref="AW2:AY2"/>
    <mergeCell ref="AZ2:BD2"/>
    <mergeCell ref="BH2:BH7"/>
    <mergeCell ref="BI2:BI7"/>
    <mergeCell ref="BJ2:BJ7"/>
    <mergeCell ref="BK2:BK7"/>
    <mergeCell ref="BL2:BL7"/>
    <mergeCell ref="BM2:BM7"/>
    <mergeCell ref="BN2:BN7"/>
    <mergeCell ref="BO2:BO7"/>
    <mergeCell ref="BP2:BU2"/>
    <mergeCell ref="G3:G7"/>
    <mergeCell ref="H3:K3"/>
    <mergeCell ref="L3:O3"/>
    <mergeCell ref="P3:P7"/>
    <mergeCell ref="R3:R7"/>
    <mergeCell ref="S3:S7"/>
    <mergeCell ref="T3:T7"/>
    <mergeCell ref="U3:U7"/>
    <mergeCell ref="V3:V7"/>
    <mergeCell ref="W3:W7"/>
    <mergeCell ref="X3:X7"/>
    <mergeCell ref="Y3:Y7"/>
    <mergeCell ref="Z3:Z7"/>
    <mergeCell ref="AA3:AA7"/>
    <mergeCell ref="AB3:AB7"/>
    <mergeCell ref="AC3:AC7"/>
    <mergeCell ref="AW3:AW7"/>
    <mergeCell ref="AX3:AX7"/>
    <mergeCell ref="AY3:AY7"/>
    <mergeCell ref="AZ3:AZ7"/>
    <mergeCell ref="BA3:BA7"/>
    <mergeCell ref="BB3:BB7"/>
    <mergeCell ref="BC3:BC7"/>
    <mergeCell ref="BD3:BD7"/>
    <mergeCell ref="BP3:BP7"/>
    <mergeCell ref="BQ3:BQ7"/>
    <mergeCell ref="BR3:BR7"/>
    <mergeCell ref="BS3:BS7"/>
    <mergeCell ref="BT3:BT7"/>
    <mergeCell ref="BU3:BU7"/>
    <mergeCell ref="B4:D4"/>
    <mergeCell ref="E4:E7"/>
    <mergeCell ref="F4:F7"/>
    <mergeCell ref="H4:H7"/>
    <mergeCell ref="I4:I7"/>
    <mergeCell ref="J4:J7"/>
    <mergeCell ref="K4:K7"/>
    <mergeCell ref="L4:L7"/>
    <mergeCell ref="M4:M7"/>
    <mergeCell ref="N4:N7"/>
    <mergeCell ref="O4:O7"/>
    <mergeCell ref="B5:D5"/>
    <mergeCell ref="B6:D6"/>
    <mergeCell ref="AH6:AJ6"/>
    <mergeCell ref="AK6:AM6"/>
  </mergeCells>
  <conditionalFormatting sqref="E238:F507 J8:K507 N8:O507 E8:F236">
    <cfRule type="cellIs" priority="3" operator="equal" aboveAverage="0" equalAverage="0" bottom="0" percent="0" rank="0" text="" dxfId="1">
      <formula>Constants!$B$3</formula>
    </cfRule>
  </conditionalFormatting>
  <conditionalFormatting sqref="B4:D4">
    <cfRule type="containsText" priority="4" operator="containsText" aboveAverage="0" equalAverage="0" bottom="0" percent="0" rank="0" text="download" dxfId="2">
      <formula>NOT(ISERROR(SEARCH("download",B4)))</formula>
    </cfRule>
  </conditionalFormatting>
  <conditionalFormatting sqref="P8:P507">
    <cfRule type="cellIs" priority="5" operator="equal" aboveAverage="0" equalAverage="0" bottom="0" percent="0" rank="0" text="" dxfId="1">
      <formula>Constants!$B$2</formula>
    </cfRule>
  </conditionalFormatting>
  <conditionalFormatting sqref="G238:G507 G8:G236">
    <cfRule type="cellIs" priority="6" operator="equal" aboveAverage="0" equalAverage="0" bottom="0" percent="0" rank="0" text="" dxfId="1">
      <formula>Constants!$B$16</formula>
    </cfRule>
    <cfRule type="cellIs" priority="7" operator="equal" aboveAverage="0" equalAverage="0" bottom="0" percent="0" rank="0" text="" dxfId="1">
      <formula>Constants!$B$17</formula>
    </cfRule>
  </conditionalFormatting>
  <conditionalFormatting sqref="H238:H507 H8:H236">
    <cfRule type="expression" priority="8" aboveAverage="0" equalAverage="0" bottom="0" percent="0" rank="0" text="" dxfId="3">
      <formula>AND(COUNTA($H8:$K8)&gt;0,IF($H8=Constants!$B$19,$F8=Constants!$B$3,$E8=Constants!$B$3))</formula>
    </cfRule>
  </conditionalFormatting>
  <conditionalFormatting sqref="L8:L507">
    <cfRule type="expression" priority="9" aboveAverage="0" equalAverage="0" bottom="0" percent="0" rank="0" text="" dxfId="3">
      <formula>AND(COUNTA($L8:$O8)&gt;0,IF($L8=Constants!$B$19,$F8=Constants!$B$3,$E8=Constants!$B$3))</formula>
    </cfRule>
  </conditionalFormatting>
  <conditionalFormatting sqref="E237:F237">
    <cfRule type="cellIs" priority="10" operator="equal" aboveAverage="0" equalAverage="0" bottom="0" percent="0" rank="0" text="" dxfId="1">
      <formula>Constants!$B$3</formula>
    </cfRule>
  </conditionalFormatting>
  <conditionalFormatting sqref="G237">
    <cfRule type="cellIs" priority="11" operator="equal" aboveAverage="0" equalAverage="0" bottom="0" percent="0" rank="0" text="" dxfId="1">
      <formula>Constants!$B$16</formula>
    </cfRule>
    <cfRule type="cellIs" priority="12" operator="equal" aboveAverage="0" equalAverage="0" bottom="0" percent="0" rank="0" text="" dxfId="1">
      <formula>Constants!$B$17</formula>
    </cfRule>
  </conditionalFormatting>
  <conditionalFormatting sqref="H237">
    <cfRule type="expression" priority="13" aboveAverage="0" equalAverage="0" bottom="0" percent="0" rank="0" text="" dxfId="3">
      <formula>AND(COUNTA($H237:$K237)&gt;0,IF($H237=Constants!$B$19,$F237=Constants!$B$3,$E237=Constants!$B$3))</formula>
    </cfRule>
  </conditionalFormatting>
  <dataValidations count="4">
    <dataValidation allowBlank="true" errorStyle="stop" operator="between" prompt="True (T)/False (F)" showDropDown="false" showErrorMessage="true" showInputMessage="true" sqref="E8:F507 J8:K507 N8:P507" type="list">
      <formula1>"T,F"</formula1>
      <formula2>0</formula2>
    </dataValidation>
    <dataValidation allowBlank="true" errorStyle="stop" operator="between" prompt="Rocket A or B (blank = A)" showDropDown="false" showErrorMessage="true" showInputMessage="true" sqref="H8:H507 L8:L507" type="list">
      <formula1>Constants!$B$18:$B$19</formula1>
      <formula2>0</formula2>
    </dataValidation>
    <dataValidation allowBlank="true" errorStyle="stop" operator="greaterThanOrEqual" prompt="Seconds" showDropDown="false" showErrorMessage="true" showInputMessage="true" sqref="I8:I507 M8:M507" type="decimal">
      <formula1>0</formula1>
      <formula2>0</formula2>
    </dataValidation>
    <dataValidation allowBlank="true" errorStyle="stop" operator="between" prompt="Complete / Incomplete / Not present (blank = Not present)" showDropDown="false" showErrorMessage="true" showInputMessage="true" sqref="G8:G507" type="list">
      <formula1>Constants!$B$15:$B$17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6.45"/>
  </cols>
  <sheetData>
    <row r="1" customFormat="false" ht="15.75" hidden="false" customHeight="false" outlineLevel="0" collapsed="false">
      <c r="A1" s="142" t="s">
        <v>55</v>
      </c>
      <c r="B1" s="142" t="s">
        <v>56</v>
      </c>
    </row>
    <row r="2" customFormat="false" ht="15.75" hidden="false" customHeight="false" outlineLevel="0" collapsed="false">
      <c r="A2" s="142" t="b">
        <f aca="false">TRUE()</f>
        <v>1</v>
      </c>
      <c r="B2" s="142" t="s">
        <v>57</v>
      </c>
    </row>
    <row r="3" customFormat="false" ht="15.75" hidden="false" customHeight="false" outlineLevel="0" collapsed="false">
      <c r="A3" s="142" t="b">
        <f aca="false">FALSE()</f>
        <v>0</v>
      </c>
      <c r="B3" s="142" t="s">
        <v>58</v>
      </c>
    </row>
    <row r="4" customFormat="false" ht="15.75" hidden="false" customHeight="false" outlineLevel="0" collapsed="false">
      <c r="A4" s="142" t="s">
        <v>59</v>
      </c>
      <c r="B4" s="142" t="s">
        <v>60</v>
      </c>
    </row>
    <row r="5" customFormat="false" ht="15.75" hidden="false" customHeight="false" outlineLevel="0" collapsed="false">
      <c r="A5" s="142" t="s">
        <v>61</v>
      </c>
      <c r="B5" s="142" t="s">
        <v>62</v>
      </c>
    </row>
    <row r="6" customFormat="false" ht="15.75" hidden="false" customHeight="false" outlineLevel="0" collapsed="false">
      <c r="A6" s="142" t="s">
        <v>63</v>
      </c>
      <c r="B6" s="142" t="s">
        <v>64</v>
      </c>
    </row>
    <row r="7" customFormat="false" ht="15.75" hidden="false" customHeight="false" outlineLevel="0" collapsed="false">
      <c r="A7" s="142" t="s">
        <v>65</v>
      </c>
      <c r="B7" s="142" t="s">
        <v>66</v>
      </c>
    </row>
    <row r="8" customFormat="false" ht="15.75" hidden="false" customHeight="false" outlineLevel="0" collapsed="false">
      <c r="A8" s="142" t="s">
        <v>67</v>
      </c>
      <c r="B8" s="142" t="n">
        <v>1</v>
      </c>
    </row>
    <row r="9" customFormat="false" ht="15.75" hidden="false" customHeight="false" outlineLevel="0" collapsed="false">
      <c r="A9" s="142" t="s">
        <v>68</v>
      </c>
      <c r="B9" s="142" t="n">
        <v>0.85</v>
      </c>
    </row>
    <row r="10" customFormat="false" ht="15.75" hidden="false" customHeight="false" outlineLevel="0" collapsed="false">
      <c r="A10" s="142" t="s">
        <v>69</v>
      </c>
      <c r="B10" s="142" t="n">
        <v>0.7</v>
      </c>
    </row>
    <row r="11" customFormat="false" ht="15.75" hidden="false" customHeight="false" outlineLevel="0" collapsed="false">
      <c r="A11" s="142" t="s">
        <v>70</v>
      </c>
      <c r="B11" s="142" t="n">
        <v>0.9</v>
      </c>
    </row>
    <row r="12" customFormat="false" ht="15.75" hidden="false" customHeight="false" outlineLevel="0" collapsed="false">
      <c r="A12" s="142" t="s">
        <v>71</v>
      </c>
      <c r="B12" s="142" t="n">
        <v>0.25</v>
      </c>
    </row>
    <row r="13" customFormat="false" ht="15.75" hidden="false" customHeight="false" outlineLevel="0" collapsed="false">
      <c r="A13" s="142" t="s">
        <v>72</v>
      </c>
      <c r="B13" s="142" t="n">
        <v>0</v>
      </c>
    </row>
    <row r="14" customFormat="false" ht="15.75" hidden="false" customHeight="false" outlineLevel="0" collapsed="false">
      <c r="A14" s="142" t="s">
        <v>73</v>
      </c>
      <c r="B14" s="142" t="s">
        <v>74</v>
      </c>
    </row>
    <row r="15" customFormat="false" ht="15.75" hidden="false" customHeight="false" outlineLevel="0" collapsed="false">
      <c r="A15" s="142" t="s">
        <v>75</v>
      </c>
      <c r="B15" s="142" t="s">
        <v>76</v>
      </c>
    </row>
    <row r="16" customFormat="false" ht="15.75" hidden="false" customHeight="false" outlineLevel="0" collapsed="false">
      <c r="A16" s="142" t="s">
        <v>77</v>
      </c>
      <c r="B16" s="142" t="s">
        <v>78</v>
      </c>
    </row>
    <row r="17" customFormat="false" ht="15.75" hidden="false" customHeight="false" outlineLevel="0" collapsed="false">
      <c r="A17" s="142" t="s">
        <v>79</v>
      </c>
      <c r="B17" s="142" t="s">
        <v>80</v>
      </c>
    </row>
    <row r="18" customFormat="false" ht="15.75" hidden="false" customHeight="false" outlineLevel="0" collapsed="false">
      <c r="A18" s="142" t="s">
        <v>12</v>
      </c>
      <c r="B18" s="142" t="s">
        <v>81</v>
      </c>
    </row>
    <row r="19" customFormat="false" ht="15.75" hidden="false" customHeight="false" outlineLevel="0" collapsed="false">
      <c r="A19" s="142" t="s">
        <v>13</v>
      </c>
      <c r="B19" s="142" t="s">
        <v>82</v>
      </c>
    </row>
    <row r="20" customFormat="false" ht="15.75" hidden="false" customHeight="true" outlineLevel="0" collapsed="false">
      <c r="A20" s="142" t="s">
        <v>83</v>
      </c>
      <c r="B20" s="142" t="n">
        <v>1</v>
      </c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43" t="s">
        <v>26</v>
      </c>
      <c r="B1" s="143" t="s">
        <v>27</v>
      </c>
      <c r="C1" s="143" t="s">
        <v>28</v>
      </c>
      <c r="D1" s="143" t="s">
        <v>42</v>
      </c>
      <c r="E1" s="143" t="s">
        <v>21</v>
      </c>
      <c r="F1" s="143" t="s">
        <v>23</v>
      </c>
      <c r="G1" s="143" t="s">
        <v>22</v>
      </c>
      <c r="H1" s="143" t="s">
        <v>25</v>
      </c>
      <c r="I1" s="143" t="s">
        <v>24</v>
      </c>
    </row>
    <row r="2" customFormat="false" ht="15.75" hidden="false" customHeight="false" outlineLevel="0" collapsed="false">
      <c r="A2" s="144" t="n">
        <f aca="false">ExportRaw!$F2</f>
        <v>0</v>
      </c>
      <c r="B2" s="144" t="n">
        <f aca="false">ExportRaw!$C2</f>
        <v>0</v>
      </c>
      <c r="C2" s="144" t="n">
        <f aca="false">ExportRaw!$G2</f>
        <v>0</v>
      </c>
      <c r="D2" s="144" t="str">
        <f aca="false">ExportRaw!$E2</f>
        <v/>
      </c>
      <c r="E2" s="145" t="str">
        <f aca="false">ExportRaw!$D2</f>
        <v/>
      </c>
      <c r="F2" s="144" t="str">
        <f aca="false">ExportRaw!$H2</f>
        <v/>
      </c>
      <c r="G2" s="146" t="str">
        <f aca="false">ExportRaw!$I2</f>
        <v/>
      </c>
      <c r="H2" s="144" t="str">
        <f aca="false">ExportRaw!$A2</f>
        <v/>
      </c>
      <c r="I2" s="144" t="str">
        <f aca="false">ExportRaw!$B2</f>
        <v/>
      </c>
    </row>
    <row r="3" customFormat="false" ht="15.75" hidden="false" customHeight="false" outlineLevel="0" collapsed="false">
      <c r="A3" s="144" t="n">
        <f aca="false">ExportRaw!$F3</f>
        <v>0</v>
      </c>
      <c r="B3" s="144" t="n">
        <f aca="false">ExportRaw!$C3</f>
        <v>0</v>
      </c>
      <c r="C3" s="144" t="n">
        <f aca="false">ExportRaw!$G3</f>
        <v>0</v>
      </c>
      <c r="D3" s="144" t="str">
        <f aca="false">ExportRaw!$E3</f>
        <v/>
      </c>
      <c r="E3" s="145" t="str">
        <f aca="false">ExportRaw!$D3</f>
        <v/>
      </c>
      <c r="F3" s="144" t="str">
        <f aca="false">ExportRaw!$H3</f>
        <v/>
      </c>
      <c r="G3" s="146" t="str">
        <f aca="false">ExportRaw!$I3</f>
        <v/>
      </c>
      <c r="H3" s="144" t="str">
        <f aca="false">ExportRaw!$A3</f>
        <v/>
      </c>
      <c r="I3" s="144" t="str">
        <f aca="false">ExportRaw!$B3</f>
        <v/>
      </c>
    </row>
    <row r="4" customFormat="false" ht="15.75" hidden="false" customHeight="false" outlineLevel="0" collapsed="false">
      <c r="A4" s="144" t="n">
        <f aca="false">ExportRaw!$F4</f>
        <v>0</v>
      </c>
      <c r="B4" s="144" t="n">
        <f aca="false">ExportRaw!$C4</f>
        <v>0</v>
      </c>
      <c r="C4" s="144" t="n">
        <f aca="false">ExportRaw!$G4</f>
        <v>0</v>
      </c>
      <c r="D4" s="144" t="str">
        <f aca="false">ExportRaw!$E4</f>
        <v/>
      </c>
      <c r="E4" s="145" t="str">
        <f aca="false">ExportRaw!$D4</f>
        <v/>
      </c>
      <c r="F4" s="144" t="str">
        <f aca="false">ExportRaw!$H4</f>
        <v/>
      </c>
      <c r="G4" s="146" t="str">
        <f aca="false">ExportRaw!$I4</f>
        <v/>
      </c>
      <c r="H4" s="144" t="str">
        <f aca="false">ExportRaw!$A4</f>
        <v/>
      </c>
      <c r="I4" s="144" t="str">
        <f aca="false">ExportRaw!$B4</f>
        <v/>
      </c>
    </row>
    <row r="5" customFormat="false" ht="15.75" hidden="false" customHeight="false" outlineLevel="0" collapsed="false">
      <c r="A5" s="144" t="n">
        <f aca="false">ExportRaw!$F5</f>
        <v>0</v>
      </c>
      <c r="B5" s="144" t="n">
        <f aca="false">ExportRaw!$C5</f>
        <v>0</v>
      </c>
      <c r="C5" s="144" t="n">
        <f aca="false">ExportRaw!$G5</f>
        <v>0</v>
      </c>
      <c r="D5" s="144" t="str">
        <f aca="false">ExportRaw!$E5</f>
        <v/>
      </c>
      <c r="E5" s="145" t="str">
        <f aca="false">ExportRaw!$D5</f>
        <v/>
      </c>
      <c r="F5" s="144" t="str">
        <f aca="false">ExportRaw!$H5</f>
        <v/>
      </c>
      <c r="G5" s="146" t="str">
        <f aca="false">ExportRaw!$I5</f>
        <v/>
      </c>
      <c r="H5" s="144" t="str">
        <f aca="false">ExportRaw!$A5</f>
        <v/>
      </c>
      <c r="I5" s="144" t="str">
        <f aca="false">ExportRaw!$B5</f>
        <v/>
      </c>
    </row>
    <row r="6" customFormat="false" ht="15.75" hidden="false" customHeight="false" outlineLevel="0" collapsed="false">
      <c r="A6" s="144" t="n">
        <f aca="false">ExportRaw!$F6</f>
        <v>0</v>
      </c>
      <c r="B6" s="144" t="n">
        <f aca="false">ExportRaw!$C6</f>
        <v>0</v>
      </c>
      <c r="C6" s="144" t="n">
        <f aca="false">ExportRaw!$G6</f>
        <v>0</v>
      </c>
      <c r="D6" s="144" t="str">
        <f aca="false">ExportRaw!$E6</f>
        <v/>
      </c>
      <c r="E6" s="145" t="str">
        <f aca="false">ExportRaw!$D6</f>
        <v/>
      </c>
      <c r="F6" s="144" t="str">
        <f aca="false">ExportRaw!$H6</f>
        <v/>
      </c>
      <c r="G6" s="146" t="str">
        <f aca="false">ExportRaw!$I6</f>
        <v/>
      </c>
      <c r="H6" s="144" t="str">
        <f aca="false">ExportRaw!$A6</f>
        <v/>
      </c>
      <c r="I6" s="144" t="str">
        <f aca="false">ExportRaw!$B6</f>
        <v/>
      </c>
    </row>
    <row r="7" customFormat="false" ht="15.75" hidden="false" customHeight="false" outlineLevel="0" collapsed="false">
      <c r="A7" s="144" t="n">
        <f aca="false">ExportRaw!$F7</f>
        <v>0</v>
      </c>
      <c r="B7" s="144" t="n">
        <f aca="false">ExportRaw!$C7</f>
        <v>0</v>
      </c>
      <c r="C7" s="144" t="n">
        <f aca="false">ExportRaw!$G7</f>
        <v>0</v>
      </c>
      <c r="D7" s="144" t="str">
        <f aca="false">ExportRaw!$E7</f>
        <v/>
      </c>
      <c r="E7" s="145" t="str">
        <f aca="false">ExportRaw!$D7</f>
        <v/>
      </c>
      <c r="F7" s="144" t="str">
        <f aca="false">ExportRaw!$H7</f>
        <v/>
      </c>
      <c r="G7" s="146" t="str">
        <f aca="false">ExportRaw!$I7</f>
        <v/>
      </c>
      <c r="H7" s="144" t="str">
        <f aca="false">ExportRaw!$A7</f>
        <v/>
      </c>
      <c r="I7" s="144" t="str">
        <f aca="false">ExportRaw!$B7</f>
        <v/>
      </c>
    </row>
    <row r="8" customFormat="false" ht="15.75" hidden="false" customHeight="false" outlineLevel="0" collapsed="false">
      <c r="A8" s="144" t="n">
        <f aca="false">ExportRaw!$F8</f>
        <v>0</v>
      </c>
      <c r="B8" s="144" t="n">
        <f aca="false">ExportRaw!$C8</f>
        <v>0</v>
      </c>
      <c r="C8" s="144" t="n">
        <f aca="false">ExportRaw!$G8</f>
        <v>0</v>
      </c>
      <c r="D8" s="144" t="str">
        <f aca="false">ExportRaw!$E8</f>
        <v/>
      </c>
      <c r="E8" s="145" t="str">
        <f aca="false">ExportRaw!$D8</f>
        <v/>
      </c>
      <c r="F8" s="144" t="str">
        <f aca="false">ExportRaw!$H8</f>
        <v/>
      </c>
      <c r="G8" s="146" t="str">
        <f aca="false">ExportRaw!$I8</f>
        <v/>
      </c>
      <c r="H8" s="144" t="str">
        <f aca="false">ExportRaw!$A8</f>
        <v/>
      </c>
      <c r="I8" s="144" t="str">
        <f aca="false">ExportRaw!$B8</f>
        <v/>
      </c>
    </row>
    <row r="9" customFormat="false" ht="15.75" hidden="false" customHeight="false" outlineLevel="0" collapsed="false">
      <c r="A9" s="144" t="n">
        <f aca="false">ExportRaw!$F9</f>
        <v>0</v>
      </c>
      <c r="B9" s="144" t="n">
        <f aca="false">ExportRaw!$C9</f>
        <v>0</v>
      </c>
      <c r="C9" s="144" t="n">
        <f aca="false">ExportRaw!$G9</f>
        <v>0</v>
      </c>
      <c r="D9" s="144" t="str">
        <f aca="false">ExportRaw!$E9</f>
        <v/>
      </c>
      <c r="E9" s="145" t="str">
        <f aca="false">ExportRaw!$D9</f>
        <v/>
      </c>
      <c r="F9" s="144" t="str">
        <f aca="false">ExportRaw!$H9</f>
        <v/>
      </c>
      <c r="G9" s="146" t="str">
        <f aca="false">ExportRaw!$I9</f>
        <v/>
      </c>
      <c r="H9" s="144" t="str">
        <f aca="false">ExportRaw!$A9</f>
        <v/>
      </c>
      <c r="I9" s="144" t="str">
        <f aca="false">ExportRaw!$B9</f>
        <v/>
      </c>
    </row>
    <row r="10" customFormat="false" ht="15.75" hidden="false" customHeight="false" outlineLevel="0" collapsed="false">
      <c r="A10" s="144" t="n">
        <f aca="false">ExportRaw!$F10</f>
        <v>0</v>
      </c>
      <c r="B10" s="144" t="n">
        <f aca="false">ExportRaw!$C10</f>
        <v>0</v>
      </c>
      <c r="C10" s="144" t="n">
        <f aca="false">ExportRaw!$G10</f>
        <v>0</v>
      </c>
      <c r="D10" s="144" t="str">
        <f aca="false">ExportRaw!$E10</f>
        <v/>
      </c>
      <c r="E10" s="145" t="str">
        <f aca="false">ExportRaw!$D10</f>
        <v/>
      </c>
      <c r="F10" s="144" t="str">
        <f aca="false">ExportRaw!$H10</f>
        <v/>
      </c>
      <c r="G10" s="146" t="str">
        <f aca="false">ExportRaw!$I10</f>
        <v/>
      </c>
      <c r="H10" s="144" t="str">
        <f aca="false">ExportRaw!$A10</f>
        <v/>
      </c>
      <c r="I10" s="144" t="str">
        <f aca="false">ExportRaw!$B10</f>
        <v/>
      </c>
    </row>
    <row r="11" customFormat="false" ht="15.75" hidden="false" customHeight="false" outlineLevel="0" collapsed="false">
      <c r="A11" s="144" t="n">
        <f aca="false">ExportRaw!$F11</f>
        <v>0</v>
      </c>
      <c r="B11" s="144" t="n">
        <f aca="false">ExportRaw!$C11</f>
        <v>0</v>
      </c>
      <c r="C11" s="144" t="n">
        <f aca="false">ExportRaw!$G11</f>
        <v>0</v>
      </c>
      <c r="D11" s="144" t="str">
        <f aca="false">ExportRaw!$E11</f>
        <v/>
      </c>
      <c r="E11" s="145" t="str">
        <f aca="false">ExportRaw!$D11</f>
        <v/>
      </c>
      <c r="F11" s="144" t="str">
        <f aca="false">ExportRaw!$H11</f>
        <v/>
      </c>
      <c r="G11" s="146" t="str">
        <f aca="false">ExportRaw!$I11</f>
        <v/>
      </c>
      <c r="H11" s="144" t="str">
        <f aca="false">ExportRaw!$A11</f>
        <v/>
      </c>
      <c r="I11" s="144" t="str">
        <f aca="false">ExportRaw!$B11</f>
        <v/>
      </c>
    </row>
    <row r="12" customFormat="false" ht="15.75" hidden="false" customHeight="false" outlineLevel="0" collapsed="false">
      <c r="A12" s="144" t="n">
        <f aca="false">ExportRaw!$F12</f>
        <v>0</v>
      </c>
      <c r="B12" s="144" t="n">
        <f aca="false">ExportRaw!$C12</f>
        <v>0</v>
      </c>
      <c r="C12" s="144" t="n">
        <f aca="false">ExportRaw!$G12</f>
        <v>0</v>
      </c>
      <c r="D12" s="144" t="str">
        <f aca="false">ExportRaw!$E12</f>
        <v/>
      </c>
      <c r="E12" s="145" t="str">
        <f aca="false">ExportRaw!$D12</f>
        <v/>
      </c>
      <c r="F12" s="144" t="str">
        <f aca="false">ExportRaw!$H12</f>
        <v/>
      </c>
      <c r="G12" s="146" t="str">
        <f aca="false">ExportRaw!$I12</f>
        <v/>
      </c>
      <c r="H12" s="144" t="str">
        <f aca="false">ExportRaw!$A12</f>
        <v/>
      </c>
      <c r="I12" s="144" t="str">
        <f aca="false">ExportRaw!$B12</f>
        <v/>
      </c>
    </row>
    <row r="13" customFormat="false" ht="15.75" hidden="false" customHeight="false" outlineLevel="0" collapsed="false">
      <c r="A13" s="144" t="n">
        <f aca="false">ExportRaw!$F13</f>
        <v>0</v>
      </c>
      <c r="B13" s="144" t="n">
        <f aca="false">ExportRaw!$C13</f>
        <v>0</v>
      </c>
      <c r="C13" s="144" t="n">
        <f aca="false">ExportRaw!$G13</f>
        <v>0</v>
      </c>
      <c r="D13" s="144" t="str">
        <f aca="false">ExportRaw!$E13</f>
        <v/>
      </c>
      <c r="E13" s="145" t="str">
        <f aca="false">ExportRaw!$D13</f>
        <v/>
      </c>
      <c r="F13" s="144" t="str">
        <f aca="false">ExportRaw!$H13</f>
        <v/>
      </c>
      <c r="G13" s="146" t="str">
        <f aca="false">ExportRaw!$I13</f>
        <v/>
      </c>
      <c r="H13" s="144" t="str">
        <f aca="false">ExportRaw!$A13</f>
        <v/>
      </c>
      <c r="I13" s="144" t="str">
        <f aca="false">ExportRaw!$B13</f>
        <v/>
      </c>
    </row>
    <row r="14" customFormat="false" ht="15.75" hidden="false" customHeight="false" outlineLevel="0" collapsed="false">
      <c r="A14" s="144" t="n">
        <f aca="false">ExportRaw!$F14</f>
        <v>0</v>
      </c>
      <c r="B14" s="144" t="n">
        <f aca="false">ExportRaw!$C14</f>
        <v>0</v>
      </c>
      <c r="C14" s="144" t="n">
        <f aca="false">ExportRaw!$G14</f>
        <v>0</v>
      </c>
      <c r="D14" s="144" t="str">
        <f aca="false">ExportRaw!$E14</f>
        <v/>
      </c>
      <c r="E14" s="145" t="str">
        <f aca="false">ExportRaw!$D14</f>
        <v/>
      </c>
      <c r="F14" s="144" t="str">
        <f aca="false">ExportRaw!$H14</f>
        <v/>
      </c>
      <c r="G14" s="146" t="str">
        <f aca="false">ExportRaw!$I14</f>
        <v/>
      </c>
      <c r="H14" s="144" t="str">
        <f aca="false">ExportRaw!$A14</f>
        <v/>
      </c>
      <c r="I14" s="144" t="str">
        <f aca="false">ExportRaw!$B14</f>
        <v/>
      </c>
    </row>
    <row r="15" customFormat="false" ht="15.75" hidden="false" customHeight="false" outlineLevel="0" collapsed="false">
      <c r="A15" s="144" t="n">
        <f aca="false">ExportRaw!$F15</f>
        <v>0</v>
      </c>
      <c r="B15" s="144" t="n">
        <f aca="false">ExportRaw!$C15</f>
        <v>0</v>
      </c>
      <c r="C15" s="144" t="n">
        <f aca="false">ExportRaw!$G15</f>
        <v>0</v>
      </c>
      <c r="D15" s="144" t="str">
        <f aca="false">ExportRaw!$E15</f>
        <v/>
      </c>
      <c r="E15" s="145" t="str">
        <f aca="false">ExportRaw!$D15</f>
        <v/>
      </c>
      <c r="F15" s="144" t="str">
        <f aca="false">ExportRaw!$H15</f>
        <v/>
      </c>
      <c r="G15" s="146" t="str">
        <f aca="false">ExportRaw!$I15</f>
        <v/>
      </c>
      <c r="H15" s="144" t="str">
        <f aca="false">ExportRaw!$A15</f>
        <v/>
      </c>
      <c r="I15" s="144" t="str">
        <f aca="false">ExportRaw!$B15</f>
        <v/>
      </c>
    </row>
    <row r="16" customFormat="false" ht="15.75" hidden="false" customHeight="false" outlineLevel="0" collapsed="false">
      <c r="A16" s="144" t="n">
        <f aca="false">ExportRaw!$F16</f>
        <v>0</v>
      </c>
      <c r="B16" s="144" t="n">
        <f aca="false">ExportRaw!$C16</f>
        <v>0</v>
      </c>
      <c r="C16" s="144" t="n">
        <f aca="false">ExportRaw!$G16</f>
        <v>0</v>
      </c>
      <c r="D16" s="144" t="str">
        <f aca="false">ExportRaw!$E16</f>
        <v/>
      </c>
      <c r="E16" s="145" t="str">
        <f aca="false">ExportRaw!$D16</f>
        <v/>
      </c>
      <c r="F16" s="144" t="str">
        <f aca="false">ExportRaw!$H16</f>
        <v/>
      </c>
      <c r="G16" s="146" t="str">
        <f aca="false">ExportRaw!$I16</f>
        <v/>
      </c>
      <c r="H16" s="144" t="str">
        <f aca="false">ExportRaw!$A16</f>
        <v/>
      </c>
      <c r="I16" s="144" t="str">
        <f aca="false">ExportRaw!$B16</f>
        <v/>
      </c>
    </row>
    <row r="17" customFormat="false" ht="15.75" hidden="false" customHeight="false" outlineLevel="0" collapsed="false">
      <c r="A17" s="144" t="n">
        <f aca="false">ExportRaw!$F17</f>
        <v>0</v>
      </c>
      <c r="B17" s="144" t="n">
        <f aca="false">ExportRaw!$C17</f>
        <v>0</v>
      </c>
      <c r="C17" s="144" t="n">
        <f aca="false">ExportRaw!$G17</f>
        <v>0</v>
      </c>
      <c r="D17" s="144" t="str">
        <f aca="false">ExportRaw!$E17</f>
        <v/>
      </c>
      <c r="E17" s="145" t="str">
        <f aca="false">ExportRaw!$D17</f>
        <v/>
      </c>
      <c r="F17" s="144" t="str">
        <f aca="false">ExportRaw!$H17</f>
        <v/>
      </c>
      <c r="G17" s="146" t="str">
        <f aca="false">ExportRaw!$I17</f>
        <v/>
      </c>
      <c r="H17" s="144" t="str">
        <f aca="false">ExportRaw!$A17</f>
        <v/>
      </c>
      <c r="I17" s="144" t="str">
        <f aca="false">ExportRaw!$B17</f>
        <v/>
      </c>
    </row>
    <row r="18" customFormat="false" ht="15.75" hidden="false" customHeight="false" outlineLevel="0" collapsed="false">
      <c r="A18" s="144" t="n">
        <f aca="false">ExportRaw!$F18</f>
        <v>0</v>
      </c>
      <c r="B18" s="144" t="n">
        <f aca="false">ExportRaw!$C18</f>
        <v>0</v>
      </c>
      <c r="C18" s="144" t="n">
        <f aca="false">ExportRaw!$G18</f>
        <v>0</v>
      </c>
      <c r="D18" s="144" t="str">
        <f aca="false">ExportRaw!$E18</f>
        <v/>
      </c>
      <c r="E18" s="145" t="str">
        <f aca="false">ExportRaw!$D18</f>
        <v/>
      </c>
      <c r="F18" s="144" t="str">
        <f aca="false">ExportRaw!$H18</f>
        <v/>
      </c>
      <c r="G18" s="146" t="str">
        <f aca="false">ExportRaw!$I18</f>
        <v/>
      </c>
      <c r="H18" s="144" t="str">
        <f aca="false">ExportRaw!$A18</f>
        <v/>
      </c>
      <c r="I18" s="144" t="str">
        <f aca="false">ExportRaw!$B18</f>
        <v/>
      </c>
    </row>
    <row r="19" customFormat="false" ht="15.75" hidden="false" customHeight="false" outlineLevel="0" collapsed="false">
      <c r="A19" s="144" t="n">
        <f aca="false">ExportRaw!$F19</f>
        <v>0</v>
      </c>
      <c r="B19" s="144" t="n">
        <f aca="false">ExportRaw!$C19</f>
        <v>0</v>
      </c>
      <c r="C19" s="144" t="n">
        <f aca="false">ExportRaw!$G19</f>
        <v>0</v>
      </c>
      <c r="D19" s="144" t="str">
        <f aca="false">ExportRaw!$E19</f>
        <v/>
      </c>
      <c r="E19" s="145" t="str">
        <f aca="false">ExportRaw!$D19</f>
        <v/>
      </c>
      <c r="F19" s="144" t="str">
        <f aca="false">ExportRaw!$H19</f>
        <v/>
      </c>
      <c r="G19" s="146" t="str">
        <f aca="false">ExportRaw!$I19</f>
        <v/>
      </c>
      <c r="H19" s="144" t="str">
        <f aca="false">ExportRaw!$A19</f>
        <v/>
      </c>
      <c r="I19" s="144" t="str">
        <f aca="false">ExportRaw!$B19</f>
        <v/>
      </c>
    </row>
    <row r="20" customFormat="false" ht="15.75" hidden="false" customHeight="false" outlineLevel="0" collapsed="false">
      <c r="A20" s="144" t="n">
        <f aca="false">ExportRaw!$F20</f>
        <v>0</v>
      </c>
      <c r="B20" s="144" t="n">
        <f aca="false">ExportRaw!$C20</f>
        <v>0</v>
      </c>
      <c r="C20" s="144" t="n">
        <f aca="false">ExportRaw!$G20</f>
        <v>0</v>
      </c>
      <c r="D20" s="144" t="str">
        <f aca="false">ExportRaw!$E20</f>
        <v/>
      </c>
      <c r="E20" s="145" t="str">
        <f aca="false">ExportRaw!$D20</f>
        <v/>
      </c>
      <c r="F20" s="144" t="str">
        <f aca="false">ExportRaw!$H20</f>
        <v/>
      </c>
      <c r="G20" s="146" t="str">
        <f aca="false">ExportRaw!$I20</f>
        <v/>
      </c>
      <c r="H20" s="144" t="str">
        <f aca="false">ExportRaw!$A20</f>
        <v/>
      </c>
      <c r="I20" s="144" t="str">
        <f aca="false">ExportRaw!$B20</f>
        <v/>
      </c>
    </row>
    <row r="21" customFormat="false" ht="15.75" hidden="false" customHeight="false" outlineLevel="0" collapsed="false">
      <c r="A21" s="144" t="n">
        <f aca="false">ExportRaw!$F21</f>
        <v>0</v>
      </c>
      <c r="B21" s="144" t="n">
        <f aca="false">ExportRaw!$C21</f>
        <v>0</v>
      </c>
      <c r="C21" s="144" t="n">
        <f aca="false">ExportRaw!$G21</f>
        <v>0</v>
      </c>
      <c r="D21" s="144" t="str">
        <f aca="false">ExportRaw!$E21</f>
        <v/>
      </c>
      <c r="E21" s="145" t="str">
        <f aca="false">ExportRaw!$D21</f>
        <v/>
      </c>
      <c r="F21" s="144" t="str">
        <f aca="false">ExportRaw!$H21</f>
        <v/>
      </c>
      <c r="G21" s="146" t="str">
        <f aca="false">ExportRaw!$I21</f>
        <v/>
      </c>
      <c r="H21" s="144" t="str">
        <f aca="false">ExportRaw!$A21</f>
        <v/>
      </c>
      <c r="I21" s="144" t="str">
        <f aca="false">ExportRaw!$B21</f>
        <v/>
      </c>
    </row>
    <row r="22" customFormat="false" ht="15.75" hidden="false" customHeight="false" outlineLevel="0" collapsed="false">
      <c r="A22" s="144" t="n">
        <f aca="false">ExportRaw!$F22</f>
        <v>0</v>
      </c>
      <c r="B22" s="144" t="n">
        <f aca="false">ExportRaw!$C22</f>
        <v>0</v>
      </c>
      <c r="C22" s="144" t="n">
        <f aca="false">ExportRaw!$G22</f>
        <v>0</v>
      </c>
      <c r="D22" s="144" t="str">
        <f aca="false">ExportRaw!$E22</f>
        <v/>
      </c>
      <c r="E22" s="145" t="str">
        <f aca="false">ExportRaw!$D22</f>
        <v/>
      </c>
      <c r="F22" s="144" t="str">
        <f aca="false">ExportRaw!$H22</f>
        <v/>
      </c>
      <c r="G22" s="146" t="str">
        <f aca="false">ExportRaw!$I22</f>
        <v/>
      </c>
      <c r="H22" s="144" t="str">
        <f aca="false">ExportRaw!$A22</f>
        <v/>
      </c>
      <c r="I22" s="144" t="str">
        <f aca="false">ExportRaw!$B22</f>
        <v/>
      </c>
    </row>
    <row r="23" customFormat="false" ht="15.75" hidden="false" customHeight="false" outlineLevel="0" collapsed="false">
      <c r="A23" s="144" t="n">
        <f aca="false">ExportRaw!$F23</f>
        <v>0</v>
      </c>
      <c r="B23" s="144" t="n">
        <f aca="false">ExportRaw!$C23</f>
        <v>0</v>
      </c>
      <c r="C23" s="144" t="n">
        <f aca="false">ExportRaw!$G23</f>
        <v>0</v>
      </c>
      <c r="D23" s="144" t="str">
        <f aca="false">ExportRaw!$E23</f>
        <v/>
      </c>
      <c r="E23" s="145" t="str">
        <f aca="false">ExportRaw!$D23</f>
        <v/>
      </c>
      <c r="F23" s="144" t="str">
        <f aca="false">ExportRaw!$H23</f>
        <v/>
      </c>
      <c r="G23" s="146" t="str">
        <f aca="false">ExportRaw!$I23</f>
        <v/>
      </c>
      <c r="H23" s="144" t="str">
        <f aca="false">ExportRaw!$A23</f>
        <v/>
      </c>
      <c r="I23" s="144" t="str">
        <f aca="false">ExportRaw!$B23</f>
        <v/>
      </c>
    </row>
    <row r="24" customFormat="false" ht="15.75" hidden="false" customHeight="false" outlineLevel="0" collapsed="false">
      <c r="A24" s="144" t="n">
        <f aca="false">ExportRaw!$F24</f>
        <v>0</v>
      </c>
      <c r="B24" s="144" t="n">
        <f aca="false">ExportRaw!$C24</f>
        <v>0</v>
      </c>
      <c r="C24" s="144" t="n">
        <f aca="false">ExportRaw!$G24</f>
        <v>0</v>
      </c>
      <c r="D24" s="144" t="str">
        <f aca="false">ExportRaw!$E24</f>
        <v/>
      </c>
      <c r="E24" s="145" t="str">
        <f aca="false">ExportRaw!$D24</f>
        <v/>
      </c>
      <c r="F24" s="144" t="str">
        <f aca="false">ExportRaw!$H24</f>
        <v/>
      </c>
      <c r="G24" s="146" t="str">
        <f aca="false">ExportRaw!$I24</f>
        <v/>
      </c>
      <c r="H24" s="144" t="str">
        <f aca="false">ExportRaw!$A24</f>
        <v/>
      </c>
      <c r="I24" s="144" t="str">
        <f aca="false">ExportRaw!$B24</f>
        <v/>
      </c>
    </row>
    <row r="25" customFormat="false" ht="15.75" hidden="false" customHeight="false" outlineLevel="0" collapsed="false">
      <c r="A25" s="144" t="n">
        <f aca="false">ExportRaw!$F25</f>
        <v>0</v>
      </c>
      <c r="B25" s="144" t="n">
        <f aca="false">ExportRaw!$C25</f>
        <v>0</v>
      </c>
      <c r="C25" s="144" t="n">
        <f aca="false">ExportRaw!$G25</f>
        <v>0</v>
      </c>
      <c r="D25" s="144" t="str">
        <f aca="false">ExportRaw!$E25</f>
        <v/>
      </c>
      <c r="E25" s="145" t="str">
        <f aca="false">ExportRaw!$D25</f>
        <v/>
      </c>
      <c r="F25" s="144" t="str">
        <f aca="false">ExportRaw!$H25</f>
        <v/>
      </c>
      <c r="G25" s="146" t="str">
        <f aca="false">ExportRaw!$I25</f>
        <v/>
      </c>
      <c r="H25" s="144" t="str">
        <f aca="false">ExportRaw!$A25</f>
        <v/>
      </c>
      <c r="I25" s="144" t="str">
        <f aca="false">ExportRaw!$B25</f>
        <v/>
      </c>
    </row>
    <row r="26" customFormat="false" ht="15.75" hidden="false" customHeight="false" outlineLevel="0" collapsed="false">
      <c r="A26" s="144" t="n">
        <f aca="false">ExportRaw!$F26</f>
        <v>0</v>
      </c>
      <c r="B26" s="144" t="n">
        <f aca="false">ExportRaw!$C26</f>
        <v>0</v>
      </c>
      <c r="C26" s="144" t="n">
        <f aca="false">ExportRaw!$G26</f>
        <v>0</v>
      </c>
      <c r="D26" s="144" t="str">
        <f aca="false">ExportRaw!$E26</f>
        <v/>
      </c>
      <c r="E26" s="145" t="str">
        <f aca="false">ExportRaw!$D26</f>
        <v/>
      </c>
      <c r="F26" s="144" t="str">
        <f aca="false">ExportRaw!$H26</f>
        <v/>
      </c>
      <c r="G26" s="146" t="str">
        <f aca="false">ExportRaw!$I26</f>
        <v/>
      </c>
      <c r="H26" s="144" t="str">
        <f aca="false">ExportRaw!$A26</f>
        <v/>
      </c>
      <c r="I26" s="144" t="str">
        <f aca="false">ExportRaw!$B26</f>
        <v/>
      </c>
    </row>
    <row r="27" customFormat="false" ht="15.75" hidden="false" customHeight="false" outlineLevel="0" collapsed="false">
      <c r="A27" s="144" t="n">
        <f aca="false">ExportRaw!$F27</f>
        <v>0</v>
      </c>
      <c r="B27" s="144" t="n">
        <f aca="false">ExportRaw!$C27</f>
        <v>0</v>
      </c>
      <c r="C27" s="144" t="n">
        <f aca="false">ExportRaw!$G27</f>
        <v>0</v>
      </c>
      <c r="D27" s="144" t="str">
        <f aca="false">ExportRaw!$E27</f>
        <v/>
      </c>
      <c r="E27" s="145" t="str">
        <f aca="false">ExportRaw!$D27</f>
        <v/>
      </c>
      <c r="F27" s="144" t="str">
        <f aca="false">ExportRaw!$H27</f>
        <v/>
      </c>
      <c r="G27" s="146" t="str">
        <f aca="false">ExportRaw!$I27</f>
        <v/>
      </c>
      <c r="H27" s="144" t="str">
        <f aca="false">ExportRaw!$A27</f>
        <v/>
      </c>
      <c r="I27" s="144" t="str">
        <f aca="false">ExportRaw!$B27</f>
        <v/>
      </c>
    </row>
    <row r="28" customFormat="false" ht="15.75" hidden="false" customHeight="false" outlineLevel="0" collapsed="false">
      <c r="A28" s="144" t="n">
        <f aca="false">ExportRaw!$F28</f>
        <v>0</v>
      </c>
      <c r="B28" s="144" t="n">
        <f aca="false">ExportRaw!$C28</f>
        <v>0</v>
      </c>
      <c r="C28" s="144" t="n">
        <f aca="false">ExportRaw!$G28</f>
        <v>0</v>
      </c>
      <c r="D28" s="144" t="str">
        <f aca="false">ExportRaw!$E28</f>
        <v/>
      </c>
      <c r="E28" s="145" t="str">
        <f aca="false">ExportRaw!$D28</f>
        <v/>
      </c>
      <c r="F28" s="144" t="str">
        <f aca="false">ExportRaw!$H28</f>
        <v/>
      </c>
      <c r="G28" s="146" t="str">
        <f aca="false">ExportRaw!$I28</f>
        <v/>
      </c>
      <c r="H28" s="144" t="str">
        <f aca="false">ExportRaw!$A28</f>
        <v/>
      </c>
      <c r="I28" s="144" t="str">
        <f aca="false">ExportRaw!$B28</f>
        <v/>
      </c>
    </row>
    <row r="29" customFormat="false" ht="15.75" hidden="false" customHeight="false" outlineLevel="0" collapsed="false">
      <c r="A29" s="144" t="n">
        <f aca="false">ExportRaw!$F29</f>
        <v>0</v>
      </c>
      <c r="B29" s="144" t="n">
        <f aca="false">ExportRaw!$C29</f>
        <v>0</v>
      </c>
      <c r="C29" s="144" t="n">
        <f aca="false">ExportRaw!$G29</f>
        <v>0</v>
      </c>
      <c r="D29" s="144" t="str">
        <f aca="false">ExportRaw!$E29</f>
        <v/>
      </c>
      <c r="E29" s="145" t="str">
        <f aca="false">ExportRaw!$D29</f>
        <v/>
      </c>
      <c r="F29" s="144" t="str">
        <f aca="false">ExportRaw!$H29</f>
        <v/>
      </c>
      <c r="G29" s="146" t="str">
        <f aca="false">ExportRaw!$I29</f>
        <v/>
      </c>
      <c r="H29" s="144" t="str">
        <f aca="false">ExportRaw!$A29</f>
        <v/>
      </c>
      <c r="I29" s="144" t="str">
        <f aca="false">ExportRaw!$B29</f>
        <v/>
      </c>
    </row>
    <row r="30" customFormat="false" ht="15.75" hidden="false" customHeight="false" outlineLevel="0" collapsed="false">
      <c r="A30" s="144" t="n">
        <f aca="false">ExportRaw!$F30</f>
        <v>0</v>
      </c>
      <c r="B30" s="144" t="n">
        <f aca="false">ExportRaw!$C30</f>
        <v>0</v>
      </c>
      <c r="C30" s="144" t="n">
        <f aca="false">ExportRaw!$G30</f>
        <v>0</v>
      </c>
      <c r="D30" s="144" t="str">
        <f aca="false">ExportRaw!$E30</f>
        <v/>
      </c>
      <c r="E30" s="145" t="str">
        <f aca="false">ExportRaw!$D30</f>
        <v/>
      </c>
      <c r="F30" s="144" t="str">
        <f aca="false">ExportRaw!$H30</f>
        <v/>
      </c>
      <c r="G30" s="146" t="str">
        <f aca="false">ExportRaw!$I30</f>
        <v/>
      </c>
      <c r="H30" s="144" t="str">
        <f aca="false">ExportRaw!$A30</f>
        <v/>
      </c>
      <c r="I30" s="144" t="str">
        <f aca="false">ExportRaw!$B30</f>
        <v/>
      </c>
    </row>
    <row r="31" customFormat="false" ht="15.75" hidden="false" customHeight="false" outlineLevel="0" collapsed="false">
      <c r="A31" s="144" t="n">
        <f aca="false">ExportRaw!$F31</f>
        <v>0</v>
      </c>
      <c r="B31" s="144" t="n">
        <f aca="false">ExportRaw!$C31</f>
        <v>0</v>
      </c>
      <c r="C31" s="144" t="n">
        <f aca="false">ExportRaw!$G31</f>
        <v>0</v>
      </c>
      <c r="D31" s="144" t="str">
        <f aca="false">ExportRaw!$E31</f>
        <v/>
      </c>
      <c r="E31" s="145" t="str">
        <f aca="false">ExportRaw!$D31</f>
        <v/>
      </c>
      <c r="F31" s="144" t="str">
        <f aca="false">ExportRaw!$H31</f>
        <v/>
      </c>
      <c r="G31" s="146" t="str">
        <f aca="false">ExportRaw!$I31</f>
        <v/>
      </c>
      <c r="H31" s="144" t="str">
        <f aca="false">ExportRaw!$A31</f>
        <v/>
      </c>
      <c r="I31" s="144" t="str">
        <f aca="false">ExportRaw!$B31</f>
        <v/>
      </c>
    </row>
    <row r="32" customFormat="false" ht="15.75" hidden="false" customHeight="false" outlineLevel="0" collapsed="false">
      <c r="A32" s="144" t="n">
        <f aca="false">ExportRaw!$F32</f>
        <v>0</v>
      </c>
      <c r="B32" s="144" t="n">
        <f aca="false">ExportRaw!$C32</f>
        <v>0</v>
      </c>
      <c r="C32" s="144" t="n">
        <f aca="false">ExportRaw!$G32</f>
        <v>0</v>
      </c>
      <c r="D32" s="144" t="str">
        <f aca="false">ExportRaw!$E32</f>
        <v/>
      </c>
      <c r="E32" s="145" t="str">
        <f aca="false">ExportRaw!$D32</f>
        <v/>
      </c>
      <c r="F32" s="144" t="str">
        <f aca="false">ExportRaw!$H32</f>
        <v/>
      </c>
      <c r="G32" s="146" t="str">
        <f aca="false">ExportRaw!$I32</f>
        <v/>
      </c>
      <c r="H32" s="144" t="str">
        <f aca="false">ExportRaw!$A32</f>
        <v/>
      </c>
      <c r="I32" s="144" t="str">
        <f aca="false">ExportRaw!$B32</f>
        <v/>
      </c>
    </row>
    <row r="33" customFormat="false" ht="15.75" hidden="false" customHeight="false" outlineLevel="0" collapsed="false">
      <c r="A33" s="144" t="n">
        <f aca="false">ExportRaw!$F33</f>
        <v>0</v>
      </c>
      <c r="B33" s="144" t="n">
        <f aca="false">ExportRaw!$C33</f>
        <v>0</v>
      </c>
      <c r="C33" s="144" t="n">
        <f aca="false">ExportRaw!$G33</f>
        <v>0</v>
      </c>
      <c r="D33" s="144" t="str">
        <f aca="false">ExportRaw!$E33</f>
        <v/>
      </c>
      <c r="E33" s="145" t="str">
        <f aca="false">ExportRaw!$D33</f>
        <v/>
      </c>
      <c r="F33" s="144" t="str">
        <f aca="false">ExportRaw!$H33</f>
        <v/>
      </c>
      <c r="G33" s="146" t="str">
        <f aca="false">ExportRaw!$I33</f>
        <v/>
      </c>
      <c r="H33" s="144" t="str">
        <f aca="false">ExportRaw!$A33</f>
        <v/>
      </c>
      <c r="I33" s="144" t="str">
        <f aca="false">ExportRaw!$B33</f>
        <v/>
      </c>
    </row>
    <row r="34" customFormat="false" ht="15.75" hidden="false" customHeight="false" outlineLevel="0" collapsed="false">
      <c r="A34" s="144" t="n">
        <f aca="false">ExportRaw!$F34</f>
        <v>0</v>
      </c>
      <c r="B34" s="144" t="n">
        <f aca="false">ExportRaw!$C34</f>
        <v>0</v>
      </c>
      <c r="C34" s="144" t="n">
        <f aca="false">ExportRaw!$G34</f>
        <v>0</v>
      </c>
      <c r="D34" s="144" t="str">
        <f aca="false">ExportRaw!$E34</f>
        <v/>
      </c>
      <c r="E34" s="145" t="str">
        <f aca="false">ExportRaw!$D34</f>
        <v/>
      </c>
      <c r="F34" s="144" t="str">
        <f aca="false">ExportRaw!$H34</f>
        <v/>
      </c>
      <c r="G34" s="146" t="str">
        <f aca="false">ExportRaw!$I34</f>
        <v/>
      </c>
      <c r="H34" s="144" t="str">
        <f aca="false">ExportRaw!$A34</f>
        <v/>
      </c>
      <c r="I34" s="144" t="str">
        <f aca="false">ExportRaw!$B34</f>
        <v/>
      </c>
    </row>
    <row r="35" customFormat="false" ht="15.75" hidden="false" customHeight="false" outlineLevel="0" collapsed="false">
      <c r="A35" s="144" t="n">
        <f aca="false">ExportRaw!$F35</f>
        <v>0</v>
      </c>
      <c r="B35" s="144" t="n">
        <f aca="false">ExportRaw!$C35</f>
        <v>0</v>
      </c>
      <c r="C35" s="144" t="n">
        <f aca="false">ExportRaw!$G35</f>
        <v>0</v>
      </c>
      <c r="D35" s="144" t="str">
        <f aca="false">ExportRaw!$E35</f>
        <v/>
      </c>
      <c r="E35" s="145" t="str">
        <f aca="false">ExportRaw!$D35</f>
        <v/>
      </c>
      <c r="F35" s="144" t="str">
        <f aca="false">ExportRaw!$H35</f>
        <v/>
      </c>
      <c r="G35" s="146" t="str">
        <f aca="false">ExportRaw!$I35</f>
        <v/>
      </c>
      <c r="H35" s="144" t="str">
        <f aca="false">ExportRaw!$A35</f>
        <v/>
      </c>
      <c r="I35" s="144" t="str">
        <f aca="false">ExportRaw!$B35</f>
        <v/>
      </c>
    </row>
    <row r="36" customFormat="false" ht="15.75" hidden="false" customHeight="false" outlineLevel="0" collapsed="false">
      <c r="A36" s="144" t="n">
        <f aca="false">ExportRaw!$F36</f>
        <v>0</v>
      </c>
      <c r="B36" s="144" t="n">
        <f aca="false">ExportRaw!$C36</f>
        <v>0</v>
      </c>
      <c r="C36" s="144" t="n">
        <f aca="false">ExportRaw!$G36</f>
        <v>0</v>
      </c>
      <c r="D36" s="144" t="str">
        <f aca="false">ExportRaw!$E36</f>
        <v/>
      </c>
      <c r="E36" s="145" t="str">
        <f aca="false">ExportRaw!$D36</f>
        <v/>
      </c>
      <c r="F36" s="144" t="str">
        <f aca="false">ExportRaw!$H36</f>
        <v/>
      </c>
      <c r="G36" s="146" t="str">
        <f aca="false">ExportRaw!$I36</f>
        <v/>
      </c>
      <c r="H36" s="144" t="str">
        <f aca="false">ExportRaw!$A36</f>
        <v/>
      </c>
      <c r="I36" s="144" t="str">
        <f aca="false">ExportRaw!$B36</f>
        <v/>
      </c>
    </row>
    <row r="37" customFormat="false" ht="15.75" hidden="false" customHeight="false" outlineLevel="0" collapsed="false">
      <c r="A37" s="144" t="n">
        <f aca="false">ExportRaw!$F37</f>
        <v>0</v>
      </c>
      <c r="B37" s="144" t="n">
        <f aca="false">ExportRaw!$C37</f>
        <v>0</v>
      </c>
      <c r="C37" s="144" t="n">
        <f aca="false">ExportRaw!$G37</f>
        <v>0</v>
      </c>
      <c r="D37" s="144" t="str">
        <f aca="false">ExportRaw!$E37</f>
        <v/>
      </c>
      <c r="E37" s="145" t="str">
        <f aca="false">ExportRaw!$D37</f>
        <v/>
      </c>
      <c r="F37" s="144" t="str">
        <f aca="false">ExportRaw!$H37</f>
        <v/>
      </c>
      <c r="G37" s="146" t="str">
        <f aca="false">ExportRaw!$I37</f>
        <v/>
      </c>
      <c r="H37" s="144" t="str">
        <f aca="false">ExportRaw!$A37</f>
        <v/>
      </c>
      <c r="I37" s="144" t="str">
        <f aca="false">ExportRaw!$B37</f>
        <v/>
      </c>
    </row>
    <row r="38" customFormat="false" ht="15.75" hidden="false" customHeight="false" outlineLevel="0" collapsed="false">
      <c r="A38" s="144" t="n">
        <f aca="false">ExportRaw!$F38</f>
        <v>0</v>
      </c>
      <c r="B38" s="144" t="n">
        <f aca="false">ExportRaw!$C38</f>
        <v>0</v>
      </c>
      <c r="C38" s="144" t="n">
        <f aca="false">ExportRaw!$G38</f>
        <v>0</v>
      </c>
      <c r="D38" s="144" t="str">
        <f aca="false">ExportRaw!$E38</f>
        <v/>
      </c>
      <c r="E38" s="145" t="str">
        <f aca="false">ExportRaw!$D38</f>
        <v/>
      </c>
      <c r="F38" s="144" t="str">
        <f aca="false">ExportRaw!$H38</f>
        <v/>
      </c>
      <c r="G38" s="146" t="str">
        <f aca="false">ExportRaw!$I38</f>
        <v/>
      </c>
      <c r="H38" s="144" t="str">
        <f aca="false">ExportRaw!$A38</f>
        <v/>
      </c>
      <c r="I38" s="144" t="str">
        <f aca="false">ExportRaw!$B38</f>
        <v/>
      </c>
    </row>
    <row r="39" customFormat="false" ht="15.75" hidden="false" customHeight="false" outlineLevel="0" collapsed="false">
      <c r="A39" s="144" t="n">
        <f aca="false">ExportRaw!$F39</f>
        <v>0</v>
      </c>
      <c r="B39" s="144" t="n">
        <f aca="false">ExportRaw!$C39</f>
        <v>0</v>
      </c>
      <c r="C39" s="144" t="n">
        <f aca="false">ExportRaw!$G39</f>
        <v>0</v>
      </c>
      <c r="D39" s="144" t="str">
        <f aca="false">ExportRaw!$E39</f>
        <v/>
      </c>
      <c r="E39" s="145" t="str">
        <f aca="false">ExportRaw!$D39</f>
        <v/>
      </c>
      <c r="F39" s="144" t="str">
        <f aca="false">ExportRaw!$H39</f>
        <v/>
      </c>
      <c r="G39" s="146" t="str">
        <f aca="false">ExportRaw!$I39</f>
        <v/>
      </c>
      <c r="H39" s="144" t="str">
        <f aca="false">ExportRaw!$A39</f>
        <v/>
      </c>
      <c r="I39" s="144" t="str">
        <f aca="false">ExportRaw!$B39</f>
        <v/>
      </c>
    </row>
    <row r="40" customFormat="false" ht="15.75" hidden="false" customHeight="false" outlineLevel="0" collapsed="false">
      <c r="A40" s="144" t="n">
        <f aca="false">ExportRaw!$F40</f>
        <v>0</v>
      </c>
      <c r="B40" s="144" t="n">
        <f aca="false">ExportRaw!$C40</f>
        <v>0</v>
      </c>
      <c r="C40" s="144" t="n">
        <f aca="false">ExportRaw!$G40</f>
        <v>0</v>
      </c>
      <c r="D40" s="144" t="str">
        <f aca="false">ExportRaw!$E40</f>
        <v/>
      </c>
      <c r="E40" s="145" t="str">
        <f aca="false">ExportRaw!$D40</f>
        <v/>
      </c>
      <c r="F40" s="144" t="str">
        <f aca="false">ExportRaw!$H40</f>
        <v/>
      </c>
      <c r="G40" s="146" t="str">
        <f aca="false">ExportRaw!$I40</f>
        <v/>
      </c>
      <c r="H40" s="144" t="str">
        <f aca="false">ExportRaw!$A40</f>
        <v/>
      </c>
      <c r="I40" s="144" t="str">
        <f aca="false">ExportRaw!$B40</f>
        <v/>
      </c>
    </row>
    <row r="41" customFormat="false" ht="15.75" hidden="false" customHeight="false" outlineLevel="0" collapsed="false">
      <c r="A41" s="144" t="n">
        <f aca="false">ExportRaw!$F41</f>
        <v>0</v>
      </c>
      <c r="B41" s="144" t="n">
        <f aca="false">ExportRaw!$C41</f>
        <v>0</v>
      </c>
      <c r="C41" s="144" t="n">
        <f aca="false">ExportRaw!$G41</f>
        <v>0</v>
      </c>
      <c r="D41" s="144" t="str">
        <f aca="false">ExportRaw!$E41</f>
        <v/>
      </c>
      <c r="E41" s="145" t="str">
        <f aca="false">ExportRaw!$D41</f>
        <v/>
      </c>
      <c r="F41" s="144" t="str">
        <f aca="false">ExportRaw!$H41</f>
        <v/>
      </c>
      <c r="G41" s="146" t="str">
        <f aca="false">ExportRaw!$I41</f>
        <v/>
      </c>
      <c r="H41" s="144" t="str">
        <f aca="false">ExportRaw!$A41</f>
        <v/>
      </c>
      <c r="I41" s="144" t="str">
        <f aca="false">ExportRaw!$B41</f>
        <v/>
      </c>
    </row>
    <row r="42" customFormat="false" ht="15.75" hidden="false" customHeight="false" outlineLevel="0" collapsed="false">
      <c r="A42" s="144" t="n">
        <f aca="false">ExportRaw!$F42</f>
        <v>0</v>
      </c>
      <c r="B42" s="144" t="n">
        <f aca="false">ExportRaw!$C42</f>
        <v>0</v>
      </c>
      <c r="C42" s="144" t="n">
        <f aca="false">ExportRaw!$G42</f>
        <v>0</v>
      </c>
      <c r="D42" s="144" t="str">
        <f aca="false">ExportRaw!$E42</f>
        <v/>
      </c>
      <c r="E42" s="145" t="str">
        <f aca="false">ExportRaw!$D42</f>
        <v/>
      </c>
      <c r="F42" s="144" t="str">
        <f aca="false">ExportRaw!$H42</f>
        <v/>
      </c>
      <c r="G42" s="146" t="str">
        <f aca="false">ExportRaw!$I42</f>
        <v/>
      </c>
      <c r="H42" s="144" t="str">
        <f aca="false">ExportRaw!$A42</f>
        <v/>
      </c>
      <c r="I42" s="144" t="str">
        <f aca="false">ExportRaw!$B42</f>
        <v/>
      </c>
    </row>
    <row r="43" customFormat="false" ht="15.75" hidden="false" customHeight="false" outlineLevel="0" collapsed="false">
      <c r="A43" s="144" t="n">
        <f aca="false">ExportRaw!$F43</f>
        <v>0</v>
      </c>
      <c r="B43" s="144" t="n">
        <f aca="false">ExportRaw!$C43</f>
        <v>0</v>
      </c>
      <c r="C43" s="144" t="n">
        <f aca="false">ExportRaw!$G43</f>
        <v>0</v>
      </c>
      <c r="D43" s="144" t="str">
        <f aca="false">ExportRaw!$E43</f>
        <v/>
      </c>
      <c r="E43" s="145" t="str">
        <f aca="false">ExportRaw!$D43</f>
        <v/>
      </c>
      <c r="F43" s="144" t="str">
        <f aca="false">ExportRaw!$H43</f>
        <v/>
      </c>
      <c r="G43" s="146" t="str">
        <f aca="false">ExportRaw!$I43</f>
        <v/>
      </c>
      <c r="H43" s="144" t="str">
        <f aca="false">ExportRaw!$A43</f>
        <v/>
      </c>
      <c r="I43" s="144" t="str">
        <f aca="false">ExportRaw!$B43</f>
        <v/>
      </c>
    </row>
    <row r="44" customFormat="false" ht="15.75" hidden="false" customHeight="false" outlineLevel="0" collapsed="false">
      <c r="A44" s="144" t="n">
        <f aca="false">ExportRaw!$F44</f>
        <v>0</v>
      </c>
      <c r="B44" s="144" t="n">
        <f aca="false">ExportRaw!$C44</f>
        <v>0</v>
      </c>
      <c r="C44" s="144" t="n">
        <f aca="false">ExportRaw!$G44</f>
        <v>0</v>
      </c>
      <c r="D44" s="144" t="str">
        <f aca="false">ExportRaw!$E44</f>
        <v/>
      </c>
      <c r="E44" s="145" t="str">
        <f aca="false">ExportRaw!$D44</f>
        <v/>
      </c>
      <c r="F44" s="144" t="str">
        <f aca="false">ExportRaw!$H44</f>
        <v/>
      </c>
      <c r="G44" s="146" t="str">
        <f aca="false">ExportRaw!$I44</f>
        <v/>
      </c>
      <c r="H44" s="144" t="str">
        <f aca="false">ExportRaw!$A44</f>
        <v/>
      </c>
      <c r="I44" s="144" t="str">
        <f aca="false">ExportRaw!$B44</f>
        <v/>
      </c>
    </row>
    <row r="45" customFormat="false" ht="15.75" hidden="false" customHeight="false" outlineLevel="0" collapsed="false">
      <c r="A45" s="144" t="n">
        <f aca="false">ExportRaw!$F45</f>
        <v>0</v>
      </c>
      <c r="B45" s="144" t="n">
        <f aca="false">ExportRaw!$C45</f>
        <v>0</v>
      </c>
      <c r="C45" s="144" t="n">
        <f aca="false">ExportRaw!$G45</f>
        <v>0</v>
      </c>
      <c r="D45" s="144" t="str">
        <f aca="false">ExportRaw!$E45</f>
        <v/>
      </c>
      <c r="E45" s="145" t="str">
        <f aca="false">ExportRaw!$D45</f>
        <v/>
      </c>
      <c r="F45" s="144" t="str">
        <f aca="false">ExportRaw!$H45</f>
        <v/>
      </c>
      <c r="G45" s="146" t="str">
        <f aca="false">ExportRaw!$I45</f>
        <v/>
      </c>
      <c r="H45" s="144" t="str">
        <f aca="false">ExportRaw!$A45</f>
        <v/>
      </c>
      <c r="I45" s="144" t="str">
        <f aca="false">ExportRaw!$B45</f>
        <v/>
      </c>
    </row>
    <row r="46" customFormat="false" ht="15.75" hidden="false" customHeight="false" outlineLevel="0" collapsed="false">
      <c r="A46" s="144" t="n">
        <f aca="false">ExportRaw!$F46</f>
        <v>0</v>
      </c>
      <c r="B46" s="144" t="n">
        <f aca="false">ExportRaw!$C46</f>
        <v>0</v>
      </c>
      <c r="C46" s="144" t="n">
        <f aca="false">ExportRaw!$G46</f>
        <v>0</v>
      </c>
      <c r="D46" s="144" t="str">
        <f aca="false">ExportRaw!$E46</f>
        <v/>
      </c>
      <c r="E46" s="145" t="str">
        <f aca="false">ExportRaw!$D46</f>
        <v/>
      </c>
      <c r="F46" s="144" t="str">
        <f aca="false">ExportRaw!$H46</f>
        <v/>
      </c>
      <c r="G46" s="146" t="str">
        <f aca="false">ExportRaw!$I46</f>
        <v/>
      </c>
      <c r="H46" s="144" t="str">
        <f aca="false">ExportRaw!$A46</f>
        <v/>
      </c>
      <c r="I46" s="144" t="str">
        <f aca="false">ExportRaw!$B46</f>
        <v/>
      </c>
    </row>
    <row r="47" customFormat="false" ht="15.75" hidden="false" customHeight="false" outlineLevel="0" collapsed="false">
      <c r="A47" s="144" t="n">
        <f aca="false">ExportRaw!$F47</f>
        <v>0</v>
      </c>
      <c r="B47" s="144" t="n">
        <f aca="false">ExportRaw!$C47</f>
        <v>0</v>
      </c>
      <c r="C47" s="144" t="n">
        <f aca="false">ExportRaw!$G47</f>
        <v>0</v>
      </c>
      <c r="D47" s="144" t="str">
        <f aca="false">ExportRaw!$E47</f>
        <v/>
      </c>
      <c r="E47" s="145" t="str">
        <f aca="false">ExportRaw!$D47</f>
        <v/>
      </c>
      <c r="F47" s="144" t="str">
        <f aca="false">ExportRaw!$H47</f>
        <v/>
      </c>
      <c r="G47" s="146" t="str">
        <f aca="false">ExportRaw!$I47</f>
        <v/>
      </c>
      <c r="H47" s="144" t="str">
        <f aca="false">ExportRaw!$A47</f>
        <v/>
      </c>
      <c r="I47" s="144" t="str">
        <f aca="false">ExportRaw!$B47</f>
        <v/>
      </c>
    </row>
    <row r="48" customFormat="false" ht="15.75" hidden="false" customHeight="false" outlineLevel="0" collapsed="false">
      <c r="A48" s="144" t="n">
        <f aca="false">ExportRaw!$F48</f>
        <v>0</v>
      </c>
      <c r="B48" s="144" t="n">
        <f aca="false">ExportRaw!$C48</f>
        <v>0</v>
      </c>
      <c r="C48" s="144" t="n">
        <f aca="false">ExportRaw!$G48</f>
        <v>0</v>
      </c>
      <c r="D48" s="144" t="str">
        <f aca="false">ExportRaw!$E48</f>
        <v/>
      </c>
      <c r="E48" s="145" t="str">
        <f aca="false">ExportRaw!$D48</f>
        <v/>
      </c>
      <c r="F48" s="144" t="str">
        <f aca="false">ExportRaw!$H48</f>
        <v/>
      </c>
      <c r="G48" s="146" t="str">
        <f aca="false">ExportRaw!$I48</f>
        <v/>
      </c>
      <c r="H48" s="144" t="str">
        <f aca="false">ExportRaw!$A48</f>
        <v/>
      </c>
      <c r="I48" s="144" t="str">
        <f aca="false">ExportRaw!$B48</f>
        <v/>
      </c>
    </row>
    <row r="49" customFormat="false" ht="15.75" hidden="false" customHeight="false" outlineLevel="0" collapsed="false">
      <c r="A49" s="144" t="n">
        <f aca="false">ExportRaw!$F49</f>
        <v>0</v>
      </c>
      <c r="B49" s="144" t="n">
        <f aca="false">ExportRaw!$C49</f>
        <v>0</v>
      </c>
      <c r="C49" s="144" t="n">
        <f aca="false">ExportRaw!$G49</f>
        <v>0</v>
      </c>
      <c r="D49" s="144" t="str">
        <f aca="false">ExportRaw!$E49</f>
        <v/>
      </c>
      <c r="E49" s="145" t="str">
        <f aca="false">ExportRaw!$D49</f>
        <v/>
      </c>
      <c r="F49" s="144" t="str">
        <f aca="false">ExportRaw!$H49</f>
        <v/>
      </c>
      <c r="G49" s="146" t="str">
        <f aca="false">ExportRaw!$I49</f>
        <v/>
      </c>
      <c r="H49" s="144" t="str">
        <f aca="false">ExportRaw!$A49</f>
        <v/>
      </c>
      <c r="I49" s="144" t="str">
        <f aca="false">ExportRaw!$B49</f>
        <v/>
      </c>
    </row>
    <row r="50" customFormat="false" ht="15.75" hidden="false" customHeight="false" outlineLevel="0" collapsed="false">
      <c r="A50" s="144" t="n">
        <f aca="false">ExportRaw!$F50</f>
        <v>0</v>
      </c>
      <c r="B50" s="144" t="n">
        <f aca="false">ExportRaw!$C50</f>
        <v>0</v>
      </c>
      <c r="C50" s="144" t="n">
        <f aca="false">ExportRaw!$G50</f>
        <v>0</v>
      </c>
      <c r="D50" s="144" t="str">
        <f aca="false">ExportRaw!$E50</f>
        <v/>
      </c>
      <c r="E50" s="145" t="str">
        <f aca="false">ExportRaw!$D50</f>
        <v/>
      </c>
      <c r="F50" s="144" t="str">
        <f aca="false">ExportRaw!$H50</f>
        <v/>
      </c>
      <c r="G50" s="146" t="str">
        <f aca="false">ExportRaw!$I50</f>
        <v/>
      </c>
      <c r="H50" s="144" t="str">
        <f aca="false">ExportRaw!$A50</f>
        <v/>
      </c>
      <c r="I50" s="144" t="str">
        <f aca="false">ExportRaw!$B50</f>
        <v/>
      </c>
    </row>
    <row r="51" customFormat="false" ht="15.75" hidden="false" customHeight="false" outlineLevel="0" collapsed="false">
      <c r="A51" s="144" t="n">
        <f aca="false">ExportRaw!$F51</f>
        <v>0</v>
      </c>
      <c r="B51" s="144" t="n">
        <f aca="false">ExportRaw!$C51</f>
        <v>0</v>
      </c>
      <c r="C51" s="144" t="n">
        <f aca="false">ExportRaw!$G51</f>
        <v>0</v>
      </c>
      <c r="D51" s="144" t="str">
        <f aca="false">ExportRaw!$E51</f>
        <v/>
      </c>
      <c r="E51" s="145" t="str">
        <f aca="false">ExportRaw!$D51</f>
        <v/>
      </c>
      <c r="F51" s="144" t="str">
        <f aca="false">ExportRaw!$H51</f>
        <v/>
      </c>
      <c r="G51" s="146" t="str">
        <f aca="false">ExportRaw!$I51</f>
        <v/>
      </c>
      <c r="H51" s="144" t="str">
        <f aca="false">ExportRaw!$A51</f>
        <v/>
      </c>
      <c r="I51" s="144" t="str">
        <f aca="false">ExportRaw!$B51</f>
        <v/>
      </c>
    </row>
    <row r="52" customFormat="false" ht="15.75" hidden="false" customHeight="false" outlineLevel="0" collapsed="false">
      <c r="A52" s="144" t="n">
        <f aca="false">ExportRaw!$F52</f>
        <v>0</v>
      </c>
      <c r="B52" s="144" t="n">
        <f aca="false">ExportRaw!$C52</f>
        <v>0</v>
      </c>
      <c r="C52" s="144" t="n">
        <f aca="false">ExportRaw!$G52</f>
        <v>0</v>
      </c>
      <c r="D52" s="144" t="str">
        <f aca="false">ExportRaw!$E52</f>
        <v/>
      </c>
      <c r="E52" s="145" t="str">
        <f aca="false">ExportRaw!$D52</f>
        <v/>
      </c>
      <c r="F52" s="144" t="str">
        <f aca="false">ExportRaw!$H52</f>
        <v/>
      </c>
      <c r="G52" s="146" t="str">
        <f aca="false">ExportRaw!$I52</f>
        <v/>
      </c>
      <c r="H52" s="144" t="str">
        <f aca="false">ExportRaw!$A52</f>
        <v/>
      </c>
      <c r="I52" s="144" t="str">
        <f aca="false">ExportRaw!$B52</f>
        <v/>
      </c>
    </row>
    <row r="53" customFormat="false" ht="15.75" hidden="false" customHeight="false" outlineLevel="0" collapsed="false">
      <c r="A53" s="144" t="n">
        <f aca="false">ExportRaw!$F53</f>
        <v>0</v>
      </c>
      <c r="B53" s="144" t="n">
        <f aca="false">ExportRaw!$C53</f>
        <v>0</v>
      </c>
      <c r="C53" s="144" t="n">
        <f aca="false">ExportRaw!$G53</f>
        <v>0</v>
      </c>
      <c r="D53" s="144" t="str">
        <f aca="false">ExportRaw!$E53</f>
        <v/>
      </c>
      <c r="E53" s="145" t="str">
        <f aca="false">ExportRaw!$D53</f>
        <v/>
      </c>
      <c r="F53" s="144" t="str">
        <f aca="false">ExportRaw!$H53</f>
        <v/>
      </c>
      <c r="G53" s="146" t="str">
        <f aca="false">ExportRaw!$I53</f>
        <v/>
      </c>
      <c r="H53" s="144" t="str">
        <f aca="false">ExportRaw!$A53</f>
        <v/>
      </c>
      <c r="I53" s="144" t="str">
        <f aca="false">ExportRaw!$B53</f>
        <v/>
      </c>
    </row>
    <row r="54" customFormat="false" ht="15.75" hidden="false" customHeight="false" outlineLevel="0" collapsed="false">
      <c r="A54" s="144" t="n">
        <f aca="false">ExportRaw!$F54</f>
        <v>0</v>
      </c>
      <c r="B54" s="144" t="n">
        <f aca="false">ExportRaw!$C54</f>
        <v>0</v>
      </c>
      <c r="C54" s="144" t="n">
        <f aca="false">ExportRaw!$G54</f>
        <v>0</v>
      </c>
      <c r="D54" s="144" t="str">
        <f aca="false">ExportRaw!$E54</f>
        <v/>
      </c>
      <c r="E54" s="145" t="str">
        <f aca="false">ExportRaw!$D54</f>
        <v/>
      </c>
      <c r="F54" s="144" t="str">
        <f aca="false">ExportRaw!$H54</f>
        <v/>
      </c>
      <c r="G54" s="146" t="str">
        <f aca="false">ExportRaw!$I54</f>
        <v/>
      </c>
      <c r="H54" s="144" t="str">
        <f aca="false">ExportRaw!$A54</f>
        <v/>
      </c>
      <c r="I54" s="144" t="str">
        <f aca="false">ExportRaw!$B54</f>
        <v/>
      </c>
    </row>
    <row r="55" customFormat="false" ht="15.75" hidden="false" customHeight="false" outlineLevel="0" collapsed="false">
      <c r="A55" s="144" t="n">
        <f aca="false">ExportRaw!$F55</f>
        <v>0</v>
      </c>
      <c r="B55" s="144" t="n">
        <f aca="false">ExportRaw!$C55</f>
        <v>0</v>
      </c>
      <c r="C55" s="144" t="n">
        <f aca="false">ExportRaw!$G55</f>
        <v>0</v>
      </c>
      <c r="D55" s="144" t="str">
        <f aca="false">ExportRaw!$E55</f>
        <v/>
      </c>
      <c r="E55" s="145" t="str">
        <f aca="false">ExportRaw!$D55</f>
        <v/>
      </c>
      <c r="F55" s="144" t="str">
        <f aca="false">ExportRaw!$H55</f>
        <v/>
      </c>
      <c r="G55" s="146" t="str">
        <f aca="false">ExportRaw!$I55</f>
        <v/>
      </c>
      <c r="H55" s="144" t="str">
        <f aca="false">ExportRaw!$A55</f>
        <v/>
      </c>
      <c r="I55" s="144" t="str">
        <f aca="false">ExportRaw!$B55</f>
        <v/>
      </c>
    </row>
    <row r="56" customFormat="false" ht="15.75" hidden="false" customHeight="false" outlineLevel="0" collapsed="false">
      <c r="A56" s="144" t="n">
        <f aca="false">ExportRaw!$F56</f>
        <v>0</v>
      </c>
      <c r="B56" s="144" t="n">
        <f aca="false">ExportRaw!$C56</f>
        <v>0</v>
      </c>
      <c r="C56" s="144" t="n">
        <f aca="false">ExportRaw!$G56</f>
        <v>0</v>
      </c>
      <c r="D56" s="144" t="str">
        <f aca="false">ExportRaw!$E56</f>
        <v/>
      </c>
      <c r="E56" s="145" t="str">
        <f aca="false">ExportRaw!$D56</f>
        <v/>
      </c>
      <c r="F56" s="144" t="str">
        <f aca="false">ExportRaw!$H56</f>
        <v/>
      </c>
      <c r="G56" s="146" t="str">
        <f aca="false">ExportRaw!$I56</f>
        <v/>
      </c>
      <c r="H56" s="144" t="str">
        <f aca="false">ExportRaw!$A56</f>
        <v/>
      </c>
      <c r="I56" s="144" t="str">
        <f aca="false">ExportRaw!$B56</f>
        <v/>
      </c>
    </row>
    <row r="57" customFormat="false" ht="15.75" hidden="false" customHeight="false" outlineLevel="0" collapsed="false">
      <c r="A57" s="144" t="n">
        <f aca="false">ExportRaw!$F57</f>
        <v>0</v>
      </c>
      <c r="B57" s="144" t="n">
        <f aca="false">ExportRaw!$C57</f>
        <v>0</v>
      </c>
      <c r="C57" s="144" t="n">
        <f aca="false">ExportRaw!$G57</f>
        <v>0</v>
      </c>
      <c r="D57" s="144" t="str">
        <f aca="false">ExportRaw!$E57</f>
        <v/>
      </c>
      <c r="E57" s="145" t="str">
        <f aca="false">ExportRaw!$D57</f>
        <v/>
      </c>
      <c r="F57" s="144" t="str">
        <f aca="false">ExportRaw!$H57</f>
        <v/>
      </c>
      <c r="G57" s="146" t="str">
        <f aca="false">ExportRaw!$I57</f>
        <v/>
      </c>
      <c r="H57" s="144" t="str">
        <f aca="false">ExportRaw!$A57</f>
        <v/>
      </c>
      <c r="I57" s="144" t="str">
        <f aca="false">ExportRaw!$B57</f>
        <v/>
      </c>
    </row>
    <row r="58" customFormat="false" ht="15.75" hidden="false" customHeight="false" outlineLevel="0" collapsed="false">
      <c r="A58" s="144" t="n">
        <f aca="false">ExportRaw!$F58</f>
        <v>0</v>
      </c>
      <c r="B58" s="144" t="n">
        <f aca="false">ExportRaw!$C58</f>
        <v>0</v>
      </c>
      <c r="C58" s="144" t="n">
        <f aca="false">ExportRaw!$G58</f>
        <v>0</v>
      </c>
      <c r="D58" s="144" t="str">
        <f aca="false">ExportRaw!$E58</f>
        <v/>
      </c>
      <c r="E58" s="145" t="str">
        <f aca="false">ExportRaw!$D58</f>
        <v/>
      </c>
      <c r="F58" s="144" t="str">
        <f aca="false">ExportRaw!$H58</f>
        <v/>
      </c>
      <c r="G58" s="146" t="str">
        <f aca="false">ExportRaw!$I58</f>
        <v/>
      </c>
      <c r="H58" s="144" t="str">
        <f aca="false">ExportRaw!$A58</f>
        <v/>
      </c>
      <c r="I58" s="144" t="str">
        <f aca="false">ExportRaw!$B58</f>
        <v/>
      </c>
    </row>
    <row r="59" customFormat="false" ht="15.75" hidden="false" customHeight="false" outlineLevel="0" collapsed="false">
      <c r="A59" s="144" t="n">
        <f aca="false">ExportRaw!$F59</f>
        <v>0</v>
      </c>
      <c r="B59" s="144" t="n">
        <f aca="false">ExportRaw!$C59</f>
        <v>0</v>
      </c>
      <c r="C59" s="144" t="n">
        <f aca="false">ExportRaw!$G59</f>
        <v>0</v>
      </c>
      <c r="D59" s="144" t="str">
        <f aca="false">ExportRaw!$E59</f>
        <v/>
      </c>
      <c r="E59" s="145" t="str">
        <f aca="false">ExportRaw!$D59</f>
        <v/>
      </c>
      <c r="F59" s="144" t="str">
        <f aca="false">ExportRaw!$H59</f>
        <v/>
      </c>
      <c r="G59" s="146" t="str">
        <f aca="false">ExportRaw!$I59</f>
        <v/>
      </c>
      <c r="H59" s="144" t="str">
        <f aca="false">ExportRaw!$A59</f>
        <v/>
      </c>
      <c r="I59" s="144" t="str">
        <f aca="false">ExportRaw!$B59</f>
        <v/>
      </c>
    </row>
    <row r="60" customFormat="false" ht="15.75" hidden="false" customHeight="false" outlineLevel="0" collapsed="false">
      <c r="A60" s="144" t="n">
        <f aca="false">ExportRaw!$F60</f>
        <v>0</v>
      </c>
      <c r="B60" s="144" t="n">
        <f aca="false">ExportRaw!$C60</f>
        <v>0</v>
      </c>
      <c r="C60" s="144" t="n">
        <f aca="false">ExportRaw!$G60</f>
        <v>0</v>
      </c>
      <c r="D60" s="144" t="str">
        <f aca="false">ExportRaw!$E60</f>
        <v/>
      </c>
      <c r="E60" s="145" t="str">
        <f aca="false">ExportRaw!$D60</f>
        <v/>
      </c>
      <c r="F60" s="144" t="str">
        <f aca="false">ExportRaw!$H60</f>
        <v/>
      </c>
      <c r="G60" s="146" t="str">
        <f aca="false">ExportRaw!$I60</f>
        <v/>
      </c>
      <c r="H60" s="144" t="str">
        <f aca="false">ExportRaw!$A60</f>
        <v/>
      </c>
      <c r="I60" s="144" t="str">
        <f aca="false">ExportRaw!$B60</f>
        <v/>
      </c>
    </row>
    <row r="61" customFormat="false" ht="15.75" hidden="false" customHeight="false" outlineLevel="0" collapsed="false">
      <c r="A61" s="144" t="n">
        <f aca="false">ExportRaw!$F61</f>
        <v>0</v>
      </c>
      <c r="B61" s="144" t="n">
        <f aca="false">ExportRaw!$C61</f>
        <v>0</v>
      </c>
      <c r="C61" s="144" t="n">
        <f aca="false">ExportRaw!$G61</f>
        <v>0</v>
      </c>
      <c r="D61" s="144" t="str">
        <f aca="false">ExportRaw!$E61</f>
        <v/>
      </c>
      <c r="E61" s="145" t="str">
        <f aca="false">ExportRaw!$D61</f>
        <v/>
      </c>
      <c r="F61" s="144" t="str">
        <f aca="false">ExportRaw!$H61</f>
        <v/>
      </c>
      <c r="G61" s="146" t="str">
        <f aca="false">ExportRaw!$I61</f>
        <v/>
      </c>
      <c r="H61" s="144" t="str">
        <f aca="false">ExportRaw!$A61</f>
        <v/>
      </c>
      <c r="I61" s="144" t="str">
        <f aca="false">ExportRaw!$B61</f>
        <v/>
      </c>
    </row>
    <row r="62" customFormat="false" ht="15.75" hidden="false" customHeight="false" outlineLevel="0" collapsed="false">
      <c r="A62" s="144" t="n">
        <f aca="false">ExportRaw!$F62</f>
        <v>0</v>
      </c>
      <c r="B62" s="144" t="n">
        <f aca="false">ExportRaw!$C62</f>
        <v>0</v>
      </c>
      <c r="C62" s="144" t="n">
        <f aca="false">ExportRaw!$G62</f>
        <v>0</v>
      </c>
      <c r="D62" s="144" t="str">
        <f aca="false">ExportRaw!$E62</f>
        <v/>
      </c>
      <c r="E62" s="145" t="str">
        <f aca="false">ExportRaw!$D62</f>
        <v/>
      </c>
      <c r="F62" s="144" t="str">
        <f aca="false">ExportRaw!$H62</f>
        <v/>
      </c>
      <c r="G62" s="146" t="str">
        <f aca="false">ExportRaw!$I62</f>
        <v/>
      </c>
      <c r="H62" s="144" t="str">
        <f aca="false">ExportRaw!$A62</f>
        <v/>
      </c>
      <c r="I62" s="144" t="str">
        <f aca="false">ExportRaw!$B62</f>
        <v/>
      </c>
    </row>
    <row r="63" customFormat="false" ht="15.75" hidden="false" customHeight="false" outlineLevel="0" collapsed="false">
      <c r="A63" s="144" t="n">
        <f aca="false">ExportRaw!$F63</f>
        <v>0</v>
      </c>
      <c r="B63" s="144" t="n">
        <f aca="false">ExportRaw!$C63</f>
        <v>0</v>
      </c>
      <c r="C63" s="144" t="n">
        <f aca="false">ExportRaw!$G63</f>
        <v>0</v>
      </c>
      <c r="D63" s="144" t="str">
        <f aca="false">ExportRaw!$E63</f>
        <v/>
      </c>
      <c r="E63" s="145" t="str">
        <f aca="false">ExportRaw!$D63</f>
        <v/>
      </c>
      <c r="F63" s="144" t="str">
        <f aca="false">ExportRaw!$H63</f>
        <v/>
      </c>
      <c r="G63" s="146" t="str">
        <f aca="false">ExportRaw!$I63</f>
        <v/>
      </c>
      <c r="H63" s="144" t="str">
        <f aca="false">ExportRaw!$A63</f>
        <v/>
      </c>
      <c r="I63" s="144" t="str">
        <f aca="false">ExportRaw!$B63</f>
        <v/>
      </c>
    </row>
    <row r="64" customFormat="false" ht="15.75" hidden="false" customHeight="false" outlineLevel="0" collapsed="false">
      <c r="A64" s="144" t="n">
        <f aca="false">ExportRaw!$F64</f>
        <v>0</v>
      </c>
      <c r="B64" s="144" t="n">
        <f aca="false">ExportRaw!$C64</f>
        <v>0</v>
      </c>
      <c r="C64" s="144" t="n">
        <f aca="false">ExportRaw!$G64</f>
        <v>0</v>
      </c>
      <c r="D64" s="144" t="str">
        <f aca="false">ExportRaw!$E64</f>
        <v/>
      </c>
      <c r="E64" s="145" t="str">
        <f aca="false">ExportRaw!$D64</f>
        <v/>
      </c>
      <c r="F64" s="144" t="str">
        <f aca="false">ExportRaw!$H64</f>
        <v/>
      </c>
      <c r="G64" s="146" t="str">
        <f aca="false">ExportRaw!$I64</f>
        <v/>
      </c>
      <c r="H64" s="144" t="str">
        <f aca="false">ExportRaw!$A64</f>
        <v/>
      </c>
      <c r="I64" s="144" t="str">
        <f aca="false">ExportRaw!$B64</f>
        <v/>
      </c>
    </row>
    <row r="65" customFormat="false" ht="15.75" hidden="false" customHeight="false" outlineLevel="0" collapsed="false">
      <c r="A65" s="144" t="n">
        <f aca="false">ExportRaw!$F65</f>
        <v>0</v>
      </c>
      <c r="B65" s="144" t="n">
        <f aca="false">ExportRaw!$C65</f>
        <v>0</v>
      </c>
      <c r="C65" s="144" t="n">
        <f aca="false">ExportRaw!$G65</f>
        <v>0</v>
      </c>
      <c r="D65" s="144" t="str">
        <f aca="false">ExportRaw!$E65</f>
        <v/>
      </c>
      <c r="E65" s="145" t="str">
        <f aca="false">ExportRaw!$D65</f>
        <v/>
      </c>
      <c r="F65" s="144" t="str">
        <f aca="false">ExportRaw!$H65</f>
        <v/>
      </c>
      <c r="G65" s="146" t="str">
        <f aca="false">ExportRaw!$I65</f>
        <v/>
      </c>
      <c r="H65" s="144" t="str">
        <f aca="false">ExportRaw!$A65</f>
        <v/>
      </c>
      <c r="I65" s="144" t="str">
        <f aca="false">ExportRaw!$B65</f>
        <v/>
      </c>
    </row>
    <row r="66" customFormat="false" ht="15.75" hidden="false" customHeight="false" outlineLevel="0" collapsed="false">
      <c r="A66" s="144" t="n">
        <f aca="false">ExportRaw!$F66</f>
        <v>0</v>
      </c>
      <c r="B66" s="144" t="n">
        <f aca="false">ExportRaw!$C66</f>
        <v>0</v>
      </c>
      <c r="C66" s="144" t="n">
        <f aca="false">ExportRaw!$G66</f>
        <v>0</v>
      </c>
      <c r="D66" s="144" t="str">
        <f aca="false">ExportRaw!$E66</f>
        <v/>
      </c>
      <c r="E66" s="145" t="str">
        <f aca="false">ExportRaw!$D66</f>
        <v/>
      </c>
      <c r="F66" s="144" t="str">
        <f aca="false">ExportRaw!$H66</f>
        <v/>
      </c>
      <c r="G66" s="146" t="str">
        <f aca="false">ExportRaw!$I66</f>
        <v/>
      </c>
      <c r="H66" s="144" t="str">
        <f aca="false">ExportRaw!$A66</f>
        <v/>
      </c>
      <c r="I66" s="144" t="str">
        <f aca="false">ExportRaw!$B66</f>
        <v/>
      </c>
    </row>
    <row r="67" customFormat="false" ht="15.75" hidden="false" customHeight="false" outlineLevel="0" collapsed="false">
      <c r="A67" s="144" t="n">
        <f aca="false">ExportRaw!$F67</f>
        <v>0</v>
      </c>
      <c r="B67" s="144" t="n">
        <f aca="false">ExportRaw!$C67</f>
        <v>0</v>
      </c>
      <c r="C67" s="144" t="n">
        <f aca="false">ExportRaw!$G67</f>
        <v>0</v>
      </c>
      <c r="D67" s="144" t="str">
        <f aca="false">ExportRaw!$E67</f>
        <v/>
      </c>
      <c r="E67" s="145" t="str">
        <f aca="false">ExportRaw!$D67</f>
        <v/>
      </c>
      <c r="F67" s="144" t="str">
        <f aca="false">ExportRaw!$H67</f>
        <v/>
      </c>
      <c r="G67" s="146" t="str">
        <f aca="false">ExportRaw!$I67</f>
        <v/>
      </c>
      <c r="H67" s="144" t="str">
        <f aca="false">ExportRaw!$A67</f>
        <v/>
      </c>
      <c r="I67" s="144" t="str">
        <f aca="false">ExportRaw!$B67</f>
        <v/>
      </c>
    </row>
    <row r="68" customFormat="false" ht="15.75" hidden="false" customHeight="false" outlineLevel="0" collapsed="false">
      <c r="A68" s="144" t="n">
        <f aca="false">ExportRaw!$F68</f>
        <v>0</v>
      </c>
      <c r="B68" s="144" t="n">
        <f aca="false">ExportRaw!$C68</f>
        <v>0</v>
      </c>
      <c r="C68" s="144" t="n">
        <f aca="false">ExportRaw!$G68</f>
        <v>0</v>
      </c>
      <c r="D68" s="144" t="str">
        <f aca="false">ExportRaw!$E68</f>
        <v/>
      </c>
      <c r="E68" s="145" t="str">
        <f aca="false">ExportRaw!$D68</f>
        <v/>
      </c>
      <c r="F68" s="144" t="str">
        <f aca="false">ExportRaw!$H68</f>
        <v/>
      </c>
      <c r="G68" s="146" t="str">
        <f aca="false">ExportRaw!$I68</f>
        <v/>
      </c>
      <c r="H68" s="144" t="str">
        <f aca="false">ExportRaw!$A68</f>
        <v/>
      </c>
      <c r="I68" s="144" t="str">
        <f aca="false">ExportRaw!$B68</f>
        <v/>
      </c>
    </row>
    <row r="69" customFormat="false" ht="15.75" hidden="false" customHeight="false" outlineLevel="0" collapsed="false">
      <c r="A69" s="144" t="n">
        <f aca="false">ExportRaw!$F69</f>
        <v>0</v>
      </c>
      <c r="B69" s="144" t="n">
        <f aca="false">ExportRaw!$C69</f>
        <v>0</v>
      </c>
      <c r="C69" s="144" t="n">
        <f aca="false">ExportRaw!$G69</f>
        <v>0</v>
      </c>
      <c r="D69" s="144" t="str">
        <f aca="false">ExportRaw!$E69</f>
        <v/>
      </c>
      <c r="E69" s="145" t="str">
        <f aca="false">ExportRaw!$D69</f>
        <v/>
      </c>
      <c r="F69" s="144" t="str">
        <f aca="false">ExportRaw!$H69</f>
        <v/>
      </c>
      <c r="G69" s="146" t="str">
        <f aca="false">ExportRaw!$I69</f>
        <v/>
      </c>
      <c r="H69" s="144" t="str">
        <f aca="false">ExportRaw!$A69</f>
        <v/>
      </c>
      <c r="I69" s="144" t="str">
        <f aca="false">ExportRaw!$B69</f>
        <v/>
      </c>
    </row>
    <row r="70" customFormat="false" ht="15.75" hidden="false" customHeight="false" outlineLevel="0" collapsed="false">
      <c r="A70" s="144" t="n">
        <f aca="false">ExportRaw!$F70</f>
        <v>0</v>
      </c>
      <c r="B70" s="144" t="n">
        <f aca="false">ExportRaw!$C70</f>
        <v>0</v>
      </c>
      <c r="C70" s="144" t="n">
        <f aca="false">ExportRaw!$G70</f>
        <v>0</v>
      </c>
      <c r="D70" s="144" t="str">
        <f aca="false">ExportRaw!$E70</f>
        <v/>
      </c>
      <c r="E70" s="145" t="str">
        <f aca="false">ExportRaw!$D70</f>
        <v/>
      </c>
      <c r="F70" s="144" t="str">
        <f aca="false">ExportRaw!$H70</f>
        <v/>
      </c>
      <c r="G70" s="146" t="str">
        <f aca="false">ExportRaw!$I70</f>
        <v/>
      </c>
      <c r="H70" s="144" t="str">
        <f aca="false">ExportRaw!$A70</f>
        <v/>
      </c>
      <c r="I70" s="144" t="str">
        <f aca="false">ExportRaw!$B70</f>
        <v/>
      </c>
    </row>
    <row r="71" customFormat="false" ht="15.75" hidden="false" customHeight="false" outlineLevel="0" collapsed="false">
      <c r="A71" s="144" t="n">
        <f aca="false">ExportRaw!$F71</f>
        <v>0</v>
      </c>
      <c r="B71" s="144" t="n">
        <f aca="false">ExportRaw!$C71</f>
        <v>0</v>
      </c>
      <c r="C71" s="144" t="n">
        <f aca="false">ExportRaw!$G71</f>
        <v>0</v>
      </c>
      <c r="D71" s="144" t="str">
        <f aca="false">ExportRaw!$E71</f>
        <v/>
      </c>
      <c r="E71" s="145" t="str">
        <f aca="false">ExportRaw!$D71</f>
        <v/>
      </c>
      <c r="F71" s="144" t="str">
        <f aca="false">ExportRaw!$H71</f>
        <v/>
      </c>
      <c r="G71" s="146" t="str">
        <f aca="false">ExportRaw!$I71</f>
        <v/>
      </c>
      <c r="H71" s="144" t="str">
        <f aca="false">ExportRaw!$A71</f>
        <v/>
      </c>
      <c r="I71" s="144" t="str">
        <f aca="false">ExportRaw!$B71</f>
        <v/>
      </c>
    </row>
    <row r="72" customFormat="false" ht="15.75" hidden="false" customHeight="false" outlineLevel="0" collapsed="false">
      <c r="A72" s="144" t="n">
        <f aca="false">ExportRaw!$F72</f>
        <v>0</v>
      </c>
      <c r="B72" s="144" t="n">
        <f aca="false">ExportRaw!$C72</f>
        <v>0</v>
      </c>
      <c r="C72" s="144" t="n">
        <f aca="false">ExportRaw!$G72</f>
        <v>0</v>
      </c>
      <c r="D72" s="144" t="str">
        <f aca="false">ExportRaw!$E72</f>
        <v/>
      </c>
      <c r="E72" s="145" t="str">
        <f aca="false">ExportRaw!$D72</f>
        <v/>
      </c>
      <c r="F72" s="144" t="str">
        <f aca="false">ExportRaw!$H72</f>
        <v/>
      </c>
      <c r="G72" s="146" t="str">
        <f aca="false">ExportRaw!$I72</f>
        <v/>
      </c>
      <c r="H72" s="144" t="str">
        <f aca="false">ExportRaw!$A72</f>
        <v/>
      </c>
      <c r="I72" s="144" t="str">
        <f aca="false">ExportRaw!$B72</f>
        <v/>
      </c>
    </row>
    <row r="73" customFormat="false" ht="15.75" hidden="false" customHeight="false" outlineLevel="0" collapsed="false">
      <c r="A73" s="144" t="n">
        <f aca="false">ExportRaw!$F73</f>
        <v>0</v>
      </c>
      <c r="B73" s="144" t="n">
        <f aca="false">ExportRaw!$C73</f>
        <v>0</v>
      </c>
      <c r="C73" s="144" t="n">
        <f aca="false">ExportRaw!$G73</f>
        <v>0</v>
      </c>
      <c r="D73" s="144" t="str">
        <f aca="false">ExportRaw!$E73</f>
        <v/>
      </c>
      <c r="E73" s="145" t="str">
        <f aca="false">ExportRaw!$D73</f>
        <v/>
      </c>
      <c r="F73" s="144" t="str">
        <f aca="false">ExportRaw!$H73</f>
        <v/>
      </c>
      <c r="G73" s="146" t="str">
        <f aca="false">ExportRaw!$I73</f>
        <v/>
      </c>
      <c r="H73" s="144" t="str">
        <f aca="false">ExportRaw!$A73</f>
        <v/>
      </c>
      <c r="I73" s="144" t="str">
        <f aca="false">ExportRaw!$B73</f>
        <v/>
      </c>
    </row>
    <row r="74" customFormat="false" ht="15.75" hidden="false" customHeight="false" outlineLevel="0" collapsed="false">
      <c r="A74" s="144" t="n">
        <f aca="false">ExportRaw!$F74</f>
        <v>0</v>
      </c>
      <c r="B74" s="144" t="n">
        <f aca="false">ExportRaw!$C74</f>
        <v>0</v>
      </c>
      <c r="C74" s="144" t="n">
        <f aca="false">ExportRaw!$G74</f>
        <v>0</v>
      </c>
      <c r="D74" s="144" t="str">
        <f aca="false">ExportRaw!$E74</f>
        <v/>
      </c>
      <c r="E74" s="145" t="str">
        <f aca="false">ExportRaw!$D74</f>
        <v/>
      </c>
      <c r="F74" s="144" t="str">
        <f aca="false">ExportRaw!$H74</f>
        <v/>
      </c>
      <c r="G74" s="146" t="str">
        <f aca="false">ExportRaw!$I74</f>
        <v/>
      </c>
      <c r="H74" s="144" t="str">
        <f aca="false">ExportRaw!$A74</f>
        <v/>
      </c>
      <c r="I74" s="144" t="str">
        <f aca="false">ExportRaw!$B74</f>
        <v/>
      </c>
    </row>
    <row r="75" customFormat="false" ht="15.75" hidden="false" customHeight="false" outlineLevel="0" collapsed="false">
      <c r="A75" s="144" t="n">
        <f aca="false">ExportRaw!$F75</f>
        <v>0</v>
      </c>
      <c r="B75" s="144" t="n">
        <f aca="false">ExportRaw!$C75</f>
        <v>0</v>
      </c>
      <c r="C75" s="144" t="n">
        <f aca="false">ExportRaw!$G75</f>
        <v>0</v>
      </c>
      <c r="D75" s="144" t="str">
        <f aca="false">ExportRaw!$E75</f>
        <v/>
      </c>
      <c r="E75" s="145" t="str">
        <f aca="false">ExportRaw!$D75</f>
        <v/>
      </c>
      <c r="F75" s="144" t="str">
        <f aca="false">ExportRaw!$H75</f>
        <v/>
      </c>
      <c r="G75" s="146" t="str">
        <f aca="false">ExportRaw!$I75</f>
        <v/>
      </c>
      <c r="H75" s="144" t="str">
        <f aca="false">ExportRaw!$A75</f>
        <v/>
      </c>
      <c r="I75" s="144" t="str">
        <f aca="false">ExportRaw!$B75</f>
        <v/>
      </c>
    </row>
    <row r="76" customFormat="false" ht="15.75" hidden="false" customHeight="false" outlineLevel="0" collapsed="false">
      <c r="A76" s="144" t="n">
        <f aca="false">ExportRaw!$F76</f>
        <v>0</v>
      </c>
      <c r="B76" s="144" t="n">
        <f aca="false">ExportRaw!$C76</f>
        <v>0</v>
      </c>
      <c r="C76" s="144" t="n">
        <f aca="false">ExportRaw!$G76</f>
        <v>0</v>
      </c>
      <c r="D76" s="144" t="str">
        <f aca="false">ExportRaw!$E76</f>
        <v/>
      </c>
      <c r="E76" s="145" t="str">
        <f aca="false">ExportRaw!$D76</f>
        <v/>
      </c>
      <c r="F76" s="144" t="str">
        <f aca="false">ExportRaw!$H76</f>
        <v/>
      </c>
      <c r="G76" s="146" t="str">
        <f aca="false">ExportRaw!$I76</f>
        <v/>
      </c>
      <c r="H76" s="144" t="str">
        <f aca="false">ExportRaw!$A76</f>
        <v/>
      </c>
      <c r="I76" s="144" t="str">
        <f aca="false">ExportRaw!$B76</f>
        <v/>
      </c>
    </row>
    <row r="77" customFormat="false" ht="15.75" hidden="false" customHeight="false" outlineLevel="0" collapsed="false">
      <c r="A77" s="144" t="n">
        <f aca="false">ExportRaw!$F77</f>
        <v>0</v>
      </c>
      <c r="B77" s="144" t="n">
        <f aca="false">ExportRaw!$C77</f>
        <v>0</v>
      </c>
      <c r="C77" s="144" t="n">
        <f aca="false">ExportRaw!$G77</f>
        <v>0</v>
      </c>
      <c r="D77" s="144" t="str">
        <f aca="false">ExportRaw!$E77</f>
        <v/>
      </c>
      <c r="E77" s="145" t="str">
        <f aca="false">ExportRaw!$D77</f>
        <v/>
      </c>
      <c r="F77" s="144" t="str">
        <f aca="false">ExportRaw!$H77</f>
        <v/>
      </c>
      <c r="G77" s="146" t="str">
        <f aca="false">ExportRaw!$I77</f>
        <v/>
      </c>
      <c r="H77" s="144" t="str">
        <f aca="false">ExportRaw!$A77</f>
        <v/>
      </c>
      <c r="I77" s="144" t="str">
        <f aca="false">ExportRaw!$B77</f>
        <v/>
      </c>
    </row>
    <row r="78" customFormat="false" ht="15.75" hidden="false" customHeight="false" outlineLevel="0" collapsed="false">
      <c r="A78" s="144" t="n">
        <f aca="false">ExportRaw!$F78</f>
        <v>0</v>
      </c>
      <c r="B78" s="144" t="n">
        <f aca="false">ExportRaw!$C78</f>
        <v>0</v>
      </c>
      <c r="C78" s="144" t="n">
        <f aca="false">ExportRaw!$G78</f>
        <v>0</v>
      </c>
      <c r="D78" s="144" t="str">
        <f aca="false">ExportRaw!$E78</f>
        <v/>
      </c>
      <c r="E78" s="145" t="str">
        <f aca="false">ExportRaw!$D78</f>
        <v/>
      </c>
      <c r="F78" s="144" t="str">
        <f aca="false">ExportRaw!$H78</f>
        <v/>
      </c>
      <c r="G78" s="146" t="str">
        <f aca="false">ExportRaw!$I78</f>
        <v/>
      </c>
      <c r="H78" s="144" t="str">
        <f aca="false">ExportRaw!$A78</f>
        <v/>
      </c>
      <c r="I78" s="144" t="str">
        <f aca="false">ExportRaw!$B78</f>
        <v/>
      </c>
    </row>
    <row r="79" customFormat="false" ht="15.75" hidden="false" customHeight="false" outlineLevel="0" collapsed="false">
      <c r="A79" s="144" t="n">
        <f aca="false">ExportRaw!$F79</f>
        <v>0</v>
      </c>
      <c r="B79" s="144" t="n">
        <f aca="false">ExportRaw!$C79</f>
        <v>0</v>
      </c>
      <c r="C79" s="144" t="n">
        <f aca="false">ExportRaw!$G79</f>
        <v>0</v>
      </c>
      <c r="D79" s="144" t="str">
        <f aca="false">ExportRaw!$E79</f>
        <v/>
      </c>
      <c r="E79" s="145" t="str">
        <f aca="false">ExportRaw!$D79</f>
        <v/>
      </c>
      <c r="F79" s="144" t="str">
        <f aca="false">ExportRaw!$H79</f>
        <v/>
      </c>
      <c r="G79" s="146" t="str">
        <f aca="false">ExportRaw!$I79</f>
        <v/>
      </c>
      <c r="H79" s="144" t="str">
        <f aca="false">ExportRaw!$A79</f>
        <v/>
      </c>
      <c r="I79" s="144" t="str">
        <f aca="false">ExportRaw!$B79</f>
        <v/>
      </c>
    </row>
    <row r="80" customFormat="false" ht="15.75" hidden="false" customHeight="false" outlineLevel="0" collapsed="false">
      <c r="A80" s="144" t="n">
        <f aca="false">ExportRaw!$F80</f>
        <v>0</v>
      </c>
      <c r="B80" s="144" t="n">
        <f aca="false">ExportRaw!$C80</f>
        <v>0</v>
      </c>
      <c r="C80" s="144" t="n">
        <f aca="false">ExportRaw!$G80</f>
        <v>0</v>
      </c>
      <c r="D80" s="144" t="str">
        <f aca="false">ExportRaw!$E80</f>
        <v/>
      </c>
      <c r="E80" s="145" t="str">
        <f aca="false">ExportRaw!$D80</f>
        <v/>
      </c>
      <c r="F80" s="144" t="str">
        <f aca="false">ExportRaw!$H80</f>
        <v/>
      </c>
      <c r="G80" s="146" t="str">
        <f aca="false">ExportRaw!$I80</f>
        <v/>
      </c>
      <c r="H80" s="144" t="str">
        <f aca="false">ExportRaw!$A80</f>
        <v/>
      </c>
      <c r="I80" s="144" t="str">
        <f aca="false">ExportRaw!$B80</f>
        <v/>
      </c>
    </row>
    <row r="81" customFormat="false" ht="15.75" hidden="false" customHeight="false" outlineLevel="0" collapsed="false">
      <c r="A81" s="144" t="n">
        <f aca="false">ExportRaw!$F81</f>
        <v>0</v>
      </c>
      <c r="B81" s="144" t="n">
        <f aca="false">ExportRaw!$C81</f>
        <v>0</v>
      </c>
      <c r="C81" s="144" t="n">
        <f aca="false">ExportRaw!$G81</f>
        <v>0</v>
      </c>
      <c r="D81" s="144" t="str">
        <f aca="false">ExportRaw!$E81</f>
        <v/>
      </c>
      <c r="E81" s="145" t="str">
        <f aca="false">ExportRaw!$D81</f>
        <v/>
      </c>
      <c r="F81" s="144" t="str">
        <f aca="false">ExportRaw!$H81</f>
        <v/>
      </c>
      <c r="G81" s="146" t="str">
        <f aca="false">ExportRaw!$I81</f>
        <v/>
      </c>
      <c r="H81" s="144" t="str">
        <f aca="false">ExportRaw!$A81</f>
        <v/>
      </c>
      <c r="I81" s="144" t="str">
        <f aca="false">ExportRaw!$B81</f>
        <v/>
      </c>
    </row>
    <row r="82" customFormat="false" ht="15.75" hidden="false" customHeight="false" outlineLevel="0" collapsed="false">
      <c r="A82" s="144" t="n">
        <f aca="false">ExportRaw!$F82</f>
        <v>0</v>
      </c>
      <c r="B82" s="144" t="n">
        <f aca="false">ExportRaw!$C82</f>
        <v>0</v>
      </c>
      <c r="C82" s="144" t="n">
        <f aca="false">ExportRaw!$G82</f>
        <v>0</v>
      </c>
      <c r="D82" s="144" t="str">
        <f aca="false">ExportRaw!$E82</f>
        <v/>
      </c>
      <c r="E82" s="145" t="str">
        <f aca="false">ExportRaw!$D82</f>
        <v/>
      </c>
      <c r="F82" s="144" t="str">
        <f aca="false">ExportRaw!$H82</f>
        <v/>
      </c>
      <c r="G82" s="146" t="str">
        <f aca="false">ExportRaw!$I82</f>
        <v/>
      </c>
      <c r="H82" s="144" t="str">
        <f aca="false">ExportRaw!$A82</f>
        <v/>
      </c>
      <c r="I82" s="144" t="str">
        <f aca="false">ExportRaw!$B82</f>
        <v/>
      </c>
    </row>
    <row r="83" customFormat="false" ht="15.75" hidden="false" customHeight="false" outlineLevel="0" collapsed="false">
      <c r="A83" s="144" t="n">
        <f aca="false">ExportRaw!$F83</f>
        <v>0</v>
      </c>
      <c r="B83" s="144" t="n">
        <f aca="false">ExportRaw!$C83</f>
        <v>0</v>
      </c>
      <c r="C83" s="144" t="n">
        <f aca="false">ExportRaw!$G83</f>
        <v>0</v>
      </c>
      <c r="D83" s="144" t="str">
        <f aca="false">ExportRaw!$E83</f>
        <v/>
      </c>
      <c r="E83" s="145" t="str">
        <f aca="false">ExportRaw!$D83</f>
        <v/>
      </c>
      <c r="F83" s="144" t="str">
        <f aca="false">ExportRaw!$H83</f>
        <v/>
      </c>
      <c r="G83" s="146" t="str">
        <f aca="false">ExportRaw!$I83</f>
        <v/>
      </c>
      <c r="H83" s="144" t="str">
        <f aca="false">ExportRaw!$A83</f>
        <v/>
      </c>
      <c r="I83" s="144" t="str">
        <f aca="false">ExportRaw!$B83</f>
        <v/>
      </c>
    </row>
    <row r="84" customFormat="false" ht="15.75" hidden="false" customHeight="false" outlineLevel="0" collapsed="false">
      <c r="A84" s="144" t="n">
        <f aca="false">ExportRaw!$F84</f>
        <v>0</v>
      </c>
      <c r="B84" s="144" t="n">
        <f aca="false">ExportRaw!$C84</f>
        <v>0</v>
      </c>
      <c r="C84" s="144" t="n">
        <f aca="false">ExportRaw!$G84</f>
        <v>0</v>
      </c>
      <c r="D84" s="144" t="str">
        <f aca="false">ExportRaw!$E84</f>
        <v/>
      </c>
      <c r="E84" s="145" t="str">
        <f aca="false">ExportRaw!$D84</f>
        <v/>
      </c>
      <c r="F84" s="144" t="str">
        <f aca="false">ExportRaw!$H84</f>
        <v/>
      </c>
      <c r="G84" s="146" t="str">
        <f aca="false">ExportRaw!$I84</f>
        <v/>
      </c>
      <c r="H84" s="144" t="str">
        <f aca="false">ExportRaw!$A84</f>
        <v/>
      </c>
      <c r="I84" s="144" t="str">
        <f aca="false">ExportRaw!$B84</f>
        <v/>
      </c>
    </row>
    <row r="85" customFormat="false" ht="15.75" hidden="false" customHeight="false" outlineLevel="0" collapsed="false">
      <c r="A85" s="144" t="n">
        <f aca="false">ExportRaw!$F85</f>
        <v>0</v>
      </c>
      <c r="B85" s="144" t="n">
        <f aca="false">ExportRaw!$C85</f>
        <v>0</v>
      </c>
      <c r="C85" s="144" t="n">
        <f aca="false">ExportRaw!$G85</f>
        <v>0</v>
      </c>
      <c r="D85" s="144" t="str">
        <f aca="false">ExportRaw!$E85</f>
        <v/>
      </c>
      <c r="E85" s="145" t="str">
        <f aca="false">ExportRaw!$D85</f>
        <v/>
      </c>
      <c r="F85" s="144" t="str">
        <f aca="false">ExportRaw!$H85</f>
        <v/>
      </c>
      <c r="G85" s="146" t="str">
        <f aca="false">ExportRaw!$I85</f>
        <v/>
      </c>
      <c r="H85" s="144" t="str">
        <f aca="false">ExportRaw!$A85</f>
        <v/>
      </c>
      <c r="I85" s="144" t="str">
        <f aca="false">ExportRaw!$B85</f>
        <v/>
      </c>
    </row>
    <row r="86" customFormat="false" ht="15.75" hidden="false" customHeight="false" outlineLevel="0" collapsed="false">
      <c r="A86" s="144" t="n">
        <f aca="false">ExportRaw!$F86</f>
        <v>0</v>
      </c>
      <c r="B86" s="144" t="n">
        <f aca="false">ExportRaw!$C86</f>
        <v>0</v>
      </c>
      <c r="C86" s="144" t="n">
        <f aca="false">ExportRaw!$G86</f>
        <v>0</v>
      </c>
      <c r="D86" s="144" t="str">
        <f aca="false">ExportRaw!$E86</f>
        <v/>
      </c>
      <c r="E86" s="145" t="str">
        <f aca="false">ExportRaw!$D86</f>
        <v/>
      </c>
      <c r="F86" s="144" t="str">
        <f aca="false">ExportRaw!$H86</f>
        <v/>
      </c>
      <c r="G86" s="146" t="str">
        <f aca="false">ExportRaw!$I86</f>
        <v/>
      </c>
      <c r="H86" s="144" t="str">
        <f aca="false">ExportRaw!$A86</f>
        <v/>
      </c>
      <c r="I86" s="144" t="str">
        <f aca="false">ExportRaw!$B86</f>
        <v/>
      </c>
    </row>
    <row r="87" customFormat="false" ht="15.75" hidden="false" customHeight="false" outlineLevel="0" collapsed="false">
      <c r="A87" s="144" t="n">
        <f aca="false">ExportRaw!$F87</f>
        <v>0</v>
      </c>
      <c r="B87" s="144" t="n">
        <f aca="false">ExportRaw!$C87</f>
        <v>0</v>
      </c>
      <c r="C87" s="144" t="n">
        <f aca="false">ExportRaw!$G87</f>
        <v>0</v>
      </c>
      <c r="D87" s="144" t="str">
        <f aca="false">ExportRaw!$E87</f>
        <v/>
      </c>
      <c r="E87" s="145" t="str">
        <f aca="false">ExportRaw!$D87</f>
        <v/>
      </c>
      <c r="F87" s="144" t="str">
        <f aca="false">ExportRaw!$H87</f>
        <v/>
      </c>
      <c r="G87" s="146" t="str">
        <f aca="false">ExportRaw!$I87</f>
        <v/>
      </c>
      <c r="H87" s="144" t="str">
        <f aca="false">ExportRaw!$A87</f>
        <v/>
      </c>
      <c r="I87" s="144" t="str">
        <f aca="false">ExportRaw!$B87</f>
        <v/>
      </c>
    </row>
    <row r="88" customFormat="false" ht="15.75" hidden="false" customHeight="false" outlineLevel="0" collapsed="false">
      <c r="A88" s="144" t="n">
        <f aca="false">ExportRaw!$F88</f>
        <v>0</v>
      </c>
      <c r="B88" s="144" t="n">
        <f aca="false">ExportRaw!$C88</f>
        <v>0</v>
      </c>
      <c r="C88" s="144" t="n">
        <f aca="false">ExportRaw!$G88</f>
        <v>0</v>
      </c>
      <c r="D88" s="144" t="str">
        <f aca="false">ExportRaw!$E88</f>
        <v/>
      </c>
      <c r="E88" s="145" t="str">
        <f aca="false">ExportRaw!$D88</f>
        <v/>
      </c>
      <c r="F88" s="144" t="str">
        <f aca="false">ExportRaw!$H88</f>
        <v/>
      </c>
      <c r="G88" s="146" t="str">
        <f aca="false">ExportRaw!$I88</f>
        <v/>
      </c>
      <c r="H88" s="144" t="str">
        <f aca="false">ExportRaw!$A88</f>
        <v/>
      </c>
      <c r="I88" s="144" t="str">
        <f aca="false">ExportRaw!$B88</f>
        <v/>
      </c>
    </row>
    <row r="89" customFormat="false" ht="15.75" hidden="false" customHeight="false" outlineLevel="0" collapsed="false">
      <c r="A89" s="144" t="n">
        <f aca="false">ExportRaw!$F89</f>
        <v>0</v>
      </c>
      <c r="B89" s="144" t="n">
        <f aca="false">ExportRaw!$C89</f>
        <v>0</v>
      </c>
      <c r="C89" s="144" t="n">
        <f aca="false">ExportRaw!$G89</f>
        <v>0</v>
      </c>
      <c r="D89" s="144" t="str">
        <f aca="false">ExportRaw!$E89</f>
        <v/>
      </c>
      <c r="E89" s="145" t="str">
        <f aca="false">ExportRaw!$D89</f>
        <v/>
      </c>
      <c r="F89" s="144" t="str">
        <f aca="false">ExportRaw!$H89</f>
        <v/>
      </c>
      <c r="G89" s="146" t="str">
        <f aca="false">ExportRaw!$I89</f>
        <v/>
      </c>
      <c r="H89" s="144" t="str">
        <f aca="false">ExportRaw!$A89</f>
        <v/>
      </c>
      <c r="I89" s="144" t="str">
        <f aca="false">ExportRaw!$B89</f>
        <v/>
      </c>
    </row>
    <row r="90" customFormat="false" ht="15.75" hidden="false" customHeight="false" outlineLevel="0" collapsed="false">
      <c r="A90" s="144" t="n">
        <f aca="false">ExportRaw!$F90</f>
        <v>0</v>
      </c>
      <c r="B90" s="144" t="n">
        <f aca="false">ExportRaw!$C90</f>
        <v>0</v>
      </c>
      <c r="C90" s="144" t="n">
        <f aca="false">ExportRaw!$G90</f>
        <v>0</v>
      </c>
      <c r="D90" s="144" t="str">
        <f aca="false">ExportRaw!$E90</f>
        <v/>
      </c>
      <c r="E90" s="145" t="str">
        <f aca="false">ExportRaw!$D90</f>
        <v/>
      </c>
      <c r="F90" s="144" t="str">
        <f aca="false">ExportRaw!$H90</f>
        <v/>
      </c>
      <c r="G90" s="146" t="str">
        <f aca="false">ExportRaw!$I90</f>
        <v/>
      </c>
      <c r="H90" s="144" t="str">
        <f aca="false">ExportRaw!$A90</f>
        <v/>
      </c>
      <c r="I90" s="144" t="str">
        <f aca="false">ExportRaw!$B90</f>
        <v/>
      </c>
    </row>
    <row r="91" customFormat="false" ht="15.75" hidden="false" customHeight="false" outlineLevel="0" collapsed="false">
      <c r="A91" s="144" t="n">
        <f aca="false">ExportRaw!$F91</f>
        <v>0</v>
      </c>
      <c r="B91" s="144" t="n">
        <f aca="false">ExportRaw!$C91</f>
        <v>0</v>
      </c>
      <c r="C91" s="144" t="n">
        <f aca="false">ExportRaw!$G91</f>
        <v>0</v>
      </c>
      <c r="D91" s="144" t="str">
        <f aca="false">ExportRaw!$E91</f>
        <v/>
      </c>
      <c r="E91" s="145" t="str">
        <f aca="false">ExportRaw!$D91</f>
        <v/>
      </c>
      <c r="F91" s="144" t="str">
        <f aca="false">ExportRaw!$H91</f>
        <v/>
      </c>
      <c r="G91" s="146" t="str">
        <f aca="false">ExportRaw!$I91</f>
        <v/>
      </c>
      <c r="H91" s="144" t="str">
        <f aca="false">ExportRaw!$A91</f>
        <v/>
      </c>
      <c r="I91" s="144" t="str">
        <f aca="false">ExportRaw!$B91</f>
        <v/>
      </c>
    </row>
    <row r="92" customFormat="false" ht="15.75" hidden="false" customHeight="false" outlineLevel="0" collapsed="false">
      <c r="A92" s="144" t="n">
        <f aca="false">ExportRaw!$F92</f>
        <v>0</v>
      </c>
      <c r="B92" s="144" t="n">
        <f aca="false">ExportRaw!$C92</f>
        <v>0</v>
      </c>
      <c r="C92" s="144" t="n">
        <f aca="false">ExportRaw!$G92</f>
        <v>0</v>
      </c>
      <c r="D92" s="144" t="str">
        <f aca="false">ExportRaw!$E92</f>
        <v/>
      </c>
      <c r="E92" s="145" t="str">
        <f aca="false">ExportRaw!$D92</f>
        <v/>
      </c>
      <c r="F92" s="144" t="str">
        <f aca="false">ExportRaw!$H92</f>
        <v/>
      </c>
      <c r="G92" s="146" t="str">
        <f aca="false">ExportRaw!$I92</f>
        <v/>
      </c>
      <c r="H92" s="144" t="str">
        <f aca="false">ExportRaw!$A92</f>
        <v/>
      </c>
      <c r="I92" s="144" t="str">
        <f aca="false">ExportRaw!$B92</f>
        <v/>
      </c>
    </row>
    <row r="93" customFormat="false" ht="15.75" hidden="false" customHeight="false" outlineLevel="0" collapsed="false">
      <c r="A93" s="144" t="n">
        <f aca="false">ExportRaw!$F93</f>
        <v>0</v>
      </c>
      <c r="B93" s="144" t="n">
        <f aca="false">ExportRaw!$C93</f>
        <v>0</v>
      </c>
      <c r="C93" s="144" t="n">
        <f aca="false">ExportRaw!$G93</f>
        <v>0</v>
      </c>
      <c r="D93" s="144" t="str">
        <f aca="false">ExportRaw!$E93</f>
        <v/>
      </c>
      <c r="E93" s="145" t="str">
        <f aca="false">ExportRaw!$D93</f>
        <v/>
      </c>
      <c r="F93" s="144" t="str">
        <f aca="false">ExportRaw!$H93</f>
        <v/>
      </c>
      <c r="G93" s="146" t="str">
        <f aca="false">ExportRaw!$I93</f>
        <v/>
      </c>
      <c r="H93" s="144" t="str">
        <f aca="false">ExportRaw!$A93</f>
        <v/>
      </c>
      <c r="I93" s="144" t="str">
        <f aca="false">ExportRaw!$B93</f>
        <v/>
      </c>
    </row>
    <row r="94" customFormat="false" ht="15.75" hidden="false" customHeight="false" outlineLevel="0" collapsed="false">
      <c r="A94" s="144" t="n">
        <f aca="false">ExportRaw!$F94</f>
        <v>0</v>
      </c>
      <c r="B94" s="144" t="n">
        <f aca="false">ExportRaw!$C94</f>
        <v>0</v>
      </c>
      <c r="C94" s="144" t="n">
        <f aca="false">ExportRaw!$G94</f>
        <v>0</v>
      </c>
      <c r="D94" s="144" t="str">
        <f aca="false">ExportRaw!$E94</f>
        <v/>
      </c>
      <c r="E94" s="145" t="str">
        <f aca="false">ExportRaw!$D94</f>
        <v/>
      </c>
      <c r="F94" s="144" t="str">
        <f aca="false">ExportRaw!$H94</f>
        <v/>
      </c>
      <c r="G94" s="146" t="str">
        <f aca="false">ExportRaw!$I94</f>
        <v/>
      </c>
      <c r="H94" s="144" t="str">
        <f aca="false">ExportRaw!$A94</f>
        <v/>
      </c>
      <c r="I94" s="144" t="str">
        <f aca="false">ExportRaw!$B94</f>
        <v/>
      </c>
    </row>
    <row r="95" customFormat="false" ht="15.75" hidden="false" customHeight="false" outlineLevel="0" collapsed="false">
      <c r="A95" s="144" t="n">
        <f aca="false">ExportRaw!$F95</f>
        <v>0</v>
      </c>
      <c r="B95" s="144" t="n">
        <f aca="false">ExportRaw!$C95</f>
        <v>0</v>
      </c>
      <c r="C95" s="144" t="n">
        <f aca="false">ExportRaw!$G95</f>
        <v>0</v>
      </c>
      <c r="D95" s="144" t="str">
        <f aca="false">ExportRaw!$E95</f>
        <v/>
      </c>
      <c r="E95" s="145" t="str">
        <f aca="false">ExportRaw!$D95</f>
        <v/>
      </c>
      <c r="F95" s="144" t="str">
        <f aca="false">ExportRaw!$H95</f>
        <v/>
      </c>
      <c r="G95" s="146" t="str">
        <f aca="false">ExportRaw!$I95</f>
        <v/>
      </c>
      <c r="H95" s="144" t="str">
        <f aca="false">ExportRaw!$A95</f>
        <v/>
      </c>
      <c r="I95" s="144" t="str">
        <f aca="false">ExportRaw!$B95</f>
        <v/>
      </c>
    </row>
    <row r="96" customFormat="false" ht="15.75" hidden="false" customHeight="false" outlineLevel="0" collapsed="false">
      <c r="A96" s="144" t="n">
        <f aca="false">ExportRaw!$F96</f>
        <v>0</v>
      </c>
      <c r="B96" s="144" t="n">
        <f aca="false">ExportRaw!$C96</f>
        <v>0</v>
      </c>
      <c r="C96" s="144" t="n">
        <f aca="false">ExportRaw!$G96</f>
        <v>0</v>
      </c>
      <c r="D96" s="144" t="str">
        <f aca="false">ExportRaw!$E96</f>
        <v/>
      </c>
      <c r="E96" s="145" t="str">
        <f aca="false">ExportRaw!$D96</f>
        <v/>
      </c>
      <c r="F96" s="144" t="str">
        <f aca="false">ExportRaw!$H96</f>
        <v/>
      </c>
      <c r="G96" s="146" t="str">
        <f aca="false">ExportRaw!$I96</f>
        <v/>
      </c>
      <c r="H96" s="144" t="str">
        <f aca="false">ExportRaw!$A96</f>
        <v/>
      </c>
      <c r="I96" s="144" t="str">
        <f aca="false">ExportRaw!$B96</f>
        <v/>
      </c>
    </row>
    <row r="97" customFormat="false" ht="15.75" hidden="false" customHeight="false" outlineLevel="0" collapsed="false">
      <c r="A97" s="144" t="n">
        <f aca="false">ExportRaw!$F97</f>
        <v>0</v>
      </c>
      <c r="B97" s="144" t="n">
        <f aca="false">ExportRaw!$C97</f>
        <v>0</v>
      </c>
      <c r="C97" s="144" t="n">
        <f aca="false">ExportRaw!$G97</f>
        <v>0</v>
      </c>
      <c r="D97" s="144" t="str">
        <f aca="false">ExportRaw!$E97</f>
        <v/>
      </c>
      <c r="E97" s="145" t="str">
        <f aca="false">ExportRaw!$D97</f>
        <v/>
      </c>
      <c r="F97" s="144" t="str">
        <f aca="false">ExportRaw!$H97</f>
        <v/>
      </c>
      <c r="G97" s="146" t="str">
        <f aca="false">ExportRaw!$I97</f>
        <v/>
      </c>
      <c r="H97" s="144" t="str">
        <f aca="false">ExportRaw!$A97</f>
        <v/>
      </c>
      <c r="I97" s="144" t="str">
        <f aca="false">ExportRaw!$B97</f>
        <v/>
      </c>
    </row>
    <row r="98" customFormat="false" ht="15.75" hidden="false" customHeight="false" outlineLevel="0" collapsed="false">
      <c r="A98" s="144" t="n">
        <f aca="false">ExportRaw!$F98</f>
        <v>0</v>
      </c>
      <c r="B98" s="144" t="n">
        <f aca="false">ExportRaw!$C98</f>
        <v>0</v>
      </c>
      <c r="C98" s="144" t="n">
        <f aca="false">ExportRaw!$G98</f>
        <v>0</v>
      </c>
      <c r="D98" s="144" t="str">
        <f aca="false">ExportRaw!$E98</f>
        <v/>
      </c>
      <c r="E98" s="145" t="str">
        <f aca="false">ExportRaw!$D98</f>
        <v/>
      </c>
      <c r="F98" s="144" t="str">
        <f aca="false">ExportRaw!$H98</f>
        <v/>
      </c>
      <c r="G98" s="146" t="str">
        <f aca="false">ExportRaw!$I98</f>
        <v/>
      </c>
      <c r="H98" s="144" t="str">
        <f aca="false">ExportRaw!$A98</f>
        <v/>
      </c>
      <c r="I98" s="144" t="str">
        <f aca="false">ExportRaw!$B98</f>
        <v/>
      </c>
    </row>
    <row r="99" customFormat="false" ht="15.75" hidden="false" customHeight="false" outlineLevel="0" collapsed="false">
      <c r="A99" s="144" t="n">
        <f aca="false">ExportRaw!$F99</f>
        <v>0</v>
      </c>
      <c r="B99" s="144" t="n">
        <f aca="false">ExportRaw!$C99</f>
        <v>0</v>
      </c>
      <c r="C99" s="144" t="n">
        <f aca="false">ExportRaw!$G99</f>
        <v>0</v>
      </c>
      <c r="D99" s="144" t="str">
        <f aca="false">ExportRaw!$E99</f>
        <v/>
      </c>
      <c r="E99" s="145" t="str">
        <f aca="false">ExportRaw!$D99</f>
        <v/>
      </c>
      <c r="F99" s="144" t="str">
        <f aca="false">ExportRaw!$H99</f>
        <v/>
      </c>
      <c r="G99" s="146" t="str">
        <f aca="false">ExportRaw!$I99</f>
        <v/>
      </c>
      <c r="H99" s="144" t="str">
        <f aca="false">ExportRaw!$A99</f>
        <v/>
      </c>
      <c r="I99" s="144" t="str">
        <f aca="false">ExportRaw!$B99</f>
        <v/>
      </c>
    </row>
    <row r="100" customFormat="false" ht="15.75" hidden="false" customHeight="false" outlineLevel="0" collapsed="false">
      <c r="A100" s="144" t="n">
        <f aca="false">ExportRaw!$F100</f>
        <v>0</v>
      </c>
      <c r="B100" s="144" t="n">
        <f aca="false">ExportRaw!$C100</f>
        <v>0</v>
      </c>
      <c r="C100" s="144" t="n">
        <f aca="false">ExportRaw!$G100</f>
        <v>0</v>
      </c>
      <c r="D100" s="144" t="str">
        <f aca="false">ExportRaw!$E100</f>
        <v/>
      </c>
      <c r="E100" s="145" t="str">
        <f aca="false">ExportRaw!$D100</f>
        <v/>
      </c>
      <c r="F100" s="144" t="str">
        <f aca="false">ExportRaw!$H100</f>
        <v/>
      </c>
      <c r="G100" s="146" t="str">
        <f aca="false">ExportRaw!$I100</f>
        <v/>
      </c>
      <c r="H100" s="144" t="str">
        <f aca="false">ExportRaw!$A100</f>
        <v/>
      </c>
      <c r="I100" s="144" t="str">
        <f aca="false">ExportRaw!$B100</f>
        <v/>
      </c>
    </row>
    <row r="101" customFormat="false" ht="15.75" hidden="false" customHeight="false" outlineLevel="0" collapsed="false">
      <c r="A101" s="144" t="n">
        <f aca="false">ExportRaw!$F101</f>
        <v>0</v>
      </c>
      <c r="B101" s="144" t="n">
        <f aca="false">ExportRaw!$C101</f>
        <v>0</v>
      </c>
      <c r="C101" s="144" t="n">
        <f aca="false">ExportRaw!$G101</f>
        <v>0</v>
      </c>
      <c r="D101" s="144" t="str">
        <f aca="false">ExportRaw!$E101</f>
        <v/>
      </c>
      <c r="E101" s="145" t="str">
        <f aca="false">ExportRaw!$D101</f>
        <v/>
      </c>
      <c r="F101" s="144" t="str">
        <f aca="false">ExportRaw!$H101</f>
        <v/>
      </c>
      <c r="G101" s="146" t="str">
        <f aca="false">ExportRaw!$I101</f>
        <v/>
      </c>
      <c r="H101" s="144" t="str">
        <f aca="false">ExportRaw!$A101</f>
        <v/>
      </c>
      <c r="I101" s="144" t="str">
        <f aca="false">ExportRaw!$B101</f>
        <v/>
      </c>
    </row>
    <row r="102" customFormat="false" ht="15.75" hidden="false" customHeight="false" outlineLevel="0" collapsed="false">
      <c r="A102" s="144" t="n">
        <f aca="false">ExportRaw!$F102</f>
        <v>0</v>
      </c>
      <c r="B102" s="144" t="n">
        <f aca="false">ExportRaw!$C102</f>
        <v>0</v>
      </c>
      <c r="C102" s="144" t="n">
        <f aca="false">ExportRaw!$G102</f>
        <v>0</v>
      </c>
      <c r="D102" s="144" t="str">
        <f aca="false">ExportRaw!$E102</f>
        <v/>
      </c>
      <c r="E102" s="145" t="str">
        <f aca="false">ExportRaw!$D102</f>
        <v/>
      </c>
      <c r="F102" s="144" t="str">
        <f aca="false">ExportRaw!$H102</f>
        <v/>
      </c>
      <c r="G102" s="146" t="str">
        <f aca="false">ExportRaw!$I102</f>
        <v/>
      </c>
      <c r="H102" s="144" t="str">
        <f aca="false">ExportRaw!$A102</f>
        <v/>
      </c>
      <c r="I102" s="144" t="str">
        <f aca="false">ExportRaw!$B102</f>
        <v/>
      </c>
    </row>
    <row r="103" customFormat="false" ht="15.75" hidden="false" customHeight="false" outlineLevel="0" collapsed="false">
      <c r="A103" s="144" t="n">
        <f aca="false">ExportRaw!$F103</f>
        <v>0</v>
      </c>
      <c r="B103" s="144" t="n">
        <f aca="false">ExportRaw!$C103</f>
        <v>0</v>
      </c>
      <c r="C103" s="144" t="n">
        <f aca="false">ExportRaw!$G103</f>
        <v>0</v>
      </c>
      <c r="D103" s="144" t="str">
        <f aca="false">ExportRaw!$E103</f>
        <v/>
      </c>
      <c r="E103" s="145" t="str">
        <f aca="false">ExportRaw!$D103</f>
        <v/>
      </c>
      <c r="F103" s="144" t="str">
        <f aca="false">ExportRaw!$H103</f>
        <v/>
      </c>
      <c r="G103" s="146" t="str">
        <f aca="false">ExportRaw!$I103</f>
        <v/>
      </c>
      <c r="H103" s="144" t="str">
        <f aca="false">ExportRaw!$A103</f>
        <v/>
      </c>
      <c r="I103" s="144" t="str">
        <f aca="false">ExportRaw!$B103</f>
        <v/>
      </c>
    </row>
    <row r="104" customFormat="false" ht="15.75" hidden="false" customHeight="false" outlineLevel="0" collapsed="false">
      <c r="A104" s="144" t="n">
        <f aca="false">ExportRaw!$F104</f>
        <v>0</v>
      </c>
      <c r="B104" s="144" t="n">
        <f aca="false">ExportRaw!$C104</f>
        <v>0</v>
      </c>
      <c r="C104" s="144" t="n">
        <f aca="false">ExportRaw!$G104</f>
        <v>0</v>
      </c>
      <c r="D104" s="144" t="str">
        <f aca="false">ExportRaw!$E104</f>
        <v/>
      </c>
      <c r="E104" s="145" t="str">
        <f aca="false">ExportRaw!$D104</f>
        <v/>
      </c>
      <c r="F104" s="144" t="str">
        <f aca="false">ExportRaw!$H104</f>
        <v/>
      </c>
      <c r="G104" s="146" t="str">
        <f aca="false">ExportRaw!$I104</f>
        <v/>
      </c>
      <c r="H104" s="144" t="str">
        <f aca="false">ExportRaw!$A104</f>
        <v/>
      </c>
      <c r="I104" s="144" t="str">
        <f aca="false">ExportRaw!$B104</f>
        <v/>
      </c>
    </row>
    <row r="105" customFormat="false" ht="15.75" hidden="false" customHeight="false" outlineLevel="0" collapsed="false">
      <c r="A105" s="144" t="n">
        <f aca="false">ExportRaw!$F105</f>
        <v>0</v>
      </c>
      <c r="B105" s="144" t="n">
        <f aca="false">ExportRaw!$C105</f>
        <v>0</v>
      </c>
      <c r="C105" s="144" t="n">
        <f aca="false">ExportRaw!$G105</f>
        <v>0</v>
      </c>
      <c r="D105" s="144" t="str">
        <f aca="false">ExportRaw!$E105</f>
        <v/>
      </c>
      <c r="E105" s="145" t="str">
        <f aca="false">ExportRaw!$D105</f>
        <v/>
      </c>
      <c r="F105" s="144" t="str">
        <f aca="false">ExportRaw!$H105</f>
        <v/>
      </c>
      <c r="G105" s="146" t="str">
        <f aca="false">ExportRaw!$I105</f>
        <v/>
      </c>
      <c r="H105" s="144" t="str">
        <f aca="false">ExportRaw!$A105</f>
        <v/>
      </c>
      <c r="I105" s="144" t="str">
        <f aca="false">ExportRaw!$B105</f>
        <v/>
      </c>
    </row>
    <row r="106" customFormat="false" ht="15.75" hidden="false" customHeight="false" outlineLevel="0" collapsed="false">
      <c r="A106" s="144" t="n">
        <f aca="false">ExportRaw!$F106</f>
        <v>0</v>
      </c>
      <c r="B106" s="144" t="n">
        <f aca="false">ExportRaw!$C106</f>
        <v>0</v>
      </c>
      <c r="C106" s="144" t="n">
        <f aca="false">ExportRaw!$G106</f>
        <v>0</v>
      </c>
      <c r="D106" s="144" t="str">
        <f aca="false">ExportRaw!$E106</f>
        <v/>
      </c>
      <c r="E106" s="145" t="str">
        <f aca="false">ExportRaw!$D106</f>
        <v/>
      </c>
      <c r="F106" s="144" t="str">
        <f aca="false">ExportRaw!$H106</f>
        <v/>
      </c>
      <c r="G106" s="146" t="str">
        <f aca="false">ExportRaw!$I106</f>
        <v/>
      </c>
      <c r="H106" s="144" t="str">
        <f aca="false">ExportRaw!$A106</f>
        <v/>
      </c>
      <c r="I106" s="144" t="str">
        <f aca="false">ExportRaw!$B106</f>
        <v/>
      </c>
    </row>
    <row r="107" customFormat="false" ht="15.75" hidden="false" customHeight="false" outlineLevel="0" collapsed="false">
      <c r="A107" s="144" t="n">
        <f aca="false">ExportRaw!$F107</f>
        <v>0</v>
      </c>
      <c r="B107" s="144" t="n">
        <f aca="false">ExportRaw!$C107</f>
        <v>0</v>
      </c>
      <c r="C107" s="144" t="n">
        <f aca="false">ExportRaw!$G107</f>
        <v>0</v>
      </c>
      <c r="D107" s="144" t="str">
        <f aca="false">ExportRaw!$E107</f>
        <v/>
      </c>
      <c r="E107" s="145" t="str">
        <f aca="false">ExportRaw!$D107</f>
        <v/>
      </c>
      <c r="F107" s="144" t="str">
        <f aca="false">ExportRaw!$H107</f>
        <v/>
      </c>
      <c r="G107" s="146" t="str">
        <f aca="false">ExportRaw!$I107</f>
        <v/>
      </c>
      <c r="H107" s="144" t="str">
        <f aca="false">ExportRaw!$A107</f>
        <v/>
      </c>
      <c r="I107" s="144" t="str">
        <f aca="false">ExportRaw!$B107</f>
        <v/>
      </c>
    </row>
    <row r="108" customFormat="false" ht="15.75" hidden="false" customHeight="false" outlineLevel="0" collapsed="false">
      <c r="A108" s="144" t="n">
        <f aca="false">ExportRaw!$F108</f>
        <v>0</v>
      </c>
      <c r="B108" s="144" t="n">
        <f aca="false">ExportRaw!$C108</f>
        <v>0</v>
      </c>
      <c r="C108" s="144" t="n">
        <f aca="false">ExportRaw!$G108</f>
        <v>0</v>
      </c>
      <c r="D108" s="144" t="str">
        <f aca="false">ExportRaw!$E108</f>
        <v/>
      </c>
      <c r="E108" s="145" t="str">
        <f aca="false">ExportRaw!$D108</f>
        <v/>
      </c>
      <c r="F108" s="144" t="str">
        <f aca="false">ExportRaw!$H108</f>
        <v/>
      </c>
      <c r="G108" s="146" t="str">
        <f aca="false">ExportRaw!$I108</f>
        <v/>
      </c>
      <c r="H108" s="144" t="str">
        <f aca="false">ExportRaw!$A108</f>
        <v/>
      </c>
      <c r="I108" s="144" t="str">
        <f aca="false">ExportRaw!$B108</f>
        <v/>
      </c>
    </row>
    <row r="109" customFormat="false" ht="15.75" hidden="false" customHeight="false" outlineLevel="0" collapsed="false">
      <c r="A109" s="144" t="n">
        <f aca="false">ExportRaw!$F109</f>
        <v>0</v>
      </c>
      <c r="B109" s="144" t="n">
        <f aca="false">ExportRaw!$C109</f>
        <v>0</v>
      </c>
      <c r="C109" s="144" t="n">
        <f aca="false">ExportRaw!$G109</f>
        <v>0</v>
      </c>
      <c r="D109" s="144" t="str">
        <f aca="false">ExportRaw!$E109</f>
        <v/>
      </c>
      <c r="E109" s="145" t="str">
        <f aca="false">ExportRaw!$D109</f>
        <v/>
      </c>
      <c r="F109" s="144" t="str">
        <f aca="false">ExportRaw!$H109</f>
        <v/>
      </c>
      <c r="G109" s="146" t="str">
        <f aca="false">ExportRaw!$I109</f>
        <v/>
      </c>
      <c r="H109" s="144" t="str">
        <f aca="false">ExportRaw!$A109</f>
        <v/>
      </c>
      <c r="I109" s="144" t="str">
        <f aca="false">ExportRaw!$B109</f>
        <v/>
      </c>
    </row>
    <row r="110" customFormat="false" ht="15.75" hidden="false" customHeight="false" outlineLevel="0" collapsed="false">
      <c r="A110" s="144" t="n">
        <f aca="false">ExportRaw!$F110</f>
        <v>0</v>
      </c>
      <c r="B110" s="144" t="n">
        <f aca="false">ExportRaw!$C110</f>
        <v>0</v>
      </c>
      <c r="C110" s="144" t="n">
        <f aca="false">ExportRaw!$G110</f>
        <v>0</v>
      </c>
      <c r="D110" s="144" t="str">
        <f aca="false">ExportRaw!$E110</f>
        <v/>
      </c>
      <c r="E110" s="145" t="str">
        <f aca="false">ExportRaw!$D110</f>
        <v/>
      </c>
      <c r="F110" s="144" t="str">
        <f aca="false">ExportRaw!$H110</f>
        <v/>
      </c>
      <c r="G110" s="146" t="str">
        <f aca="false">ExportRaw!$I110</f>
        <v/>
      </c>
      <c r="H110" s="144" t="str">
        <f aca="false">ExportRaw!$A110</f>
        <v/>
      </c>
      <c r="I110" s="144" t="str">
        <f aca="false">ExportRaw!$B110</f>
        <v/>
      </c>
    </row>
    <row r="111" customFormat="false" ht="15.75" hidden="false" customHeight="false" outlineLevel="0" collapsed="false">
      <c r="A111" s="144" t="n">
        <f aca="false">ExportRaw!$F111</f>
        <v>0</v>
      </c>
      <c r="B111" s="144" t="n">
        <f aca="false">ExportRaw!$C111</f>
        <v>0</v>
      </c>
      <c r="C111" s="144" t="n">
        <f aca="false">ExportRaw!$G111</f>
        <v>0</v>
      </c>
      <c r="D111" s="144" t="str">
        <f aca="false">ExportRaw!$E111</f>
        <v/>
      </c>
      <c r="E111" s="145" t="str">
        <f aca="false">ExportRaw!$D111</f>
        <v/>
      </c>
      <c r="F111" s="144" t="str">
        <f aca="false">ExportRaw!$H111</f>
        <v/>
      </c>
      <c r="G111" s="146" t="str">
        <f aca="false">ExportRaw!$I111</f>
        <v/>
      </c>
      <c r="H111" s="144" t="str">
        <f aca="false">ExportRaw!$A111</f>
        <v/>
      </c>
      <c r="I111" s="144" t="str">
        <f aca="false">ExportRaw!$B111</f>
        <v/>
      </c>
    </row>
    <row r="112" customFormat="false" ht="15.75" hidden="false" customHeight="false" outlineLevel="0" collapsed="false">
      <c r="A112" s="144" t="n">
        <f aca="false">ExportRaw!$F112</f>
        <v>0</v>
      </c>
      <c r="B112" s="144" t="n">
        <f aca="false">ExportRaw!$C112</f>
        <v>0</v>
      </c>
      <c r="C112" s="144" t="n">
        <f aca="false">ExportRaw!$G112</f>
        <v>0</v>
      </c>
      <c r="D112" s="144" t="str">
        <f aca="false">ExportRaw!$E112</f>
        <v/>
      </c>
      <c r="E112" s="145" t="str">
        <f aca="false">ExportRaw!$D112</f>
        <v/>
      </c>
      <c r="F112" s="144" t="str">
        <f aca="false">ExportRaw!$H112</f>
        <v/>
      </c>
      <c r="G112" s="146" t="str">
        <f aca="false">ExportRaw!$I112</f>
        <v/>
      </c>
      <c r="H112" s="144" t="str">
        <f aca="false">ExportRaw!$A112</f>
        <v/>
      </c>
      <c r="I112" s="144" t="str">
        <f aca="false">ExportRaw!$B112</f>
        <v/>
      </c>
    </row>
    <row r="113" customFormat="false" ht="15.75" hidden="false" customHeight="false" outlineLevel="0" collapsed="false">
      <c r="A113" s="144" t="n">
        <f aca="false">ExportRaw!$F113</f>
        <v>0</v>
      </c>
      <c r="B113" s="144" t="n">
        <f aca="false">ExportRaw!$C113</f>
        <v>0</v>
      </c>
      <c r="C113" s="144" t="n">
        <f aca="false">ExportRaw!$G113</f>
        <v>0</v>
      </c>
      <c r="D113" s="144" t="str">
        <f aca="false">ExportRaw!$E113</f>
        <v/>
      </c>
      <c r="E113" s="145" t="str">
        <f aca="false">ExportRaw!$D113</f>
        <v/>
      </c>
      <c r="F113" s="144" t="str">
        <f aca="false">ExportRaw!$H113</f>
        <v/>
      </c>
      <c r="G113" s="146" t="str">
        <f aca="false">ExportRaw!$I113</f>
        <v/>
      </c>
      <c r="H113" s="144" t="str">
        <f aca="false">ExportRaw!$A113</f>
        <v/>
      </c>
      <c r="I113" s="144" t="str">
        <f aca="false">ExportRaw!$B113</f>
        <v/>
      </c>
    </row>
    <row r="114" customFormat="false" ht="15.75" hidden="false" customHeight="false" outlineLevel="0" collapsed="false">
      <c r="A114" s="144" t="n">
        <f aca="false">ExportRaw!$F114</f>
        <v>0</v>
      </c>
      <c r="B114" s="144" t="n">
        <f aca="false">ExportRaw!$C114</f>
        <v>0</v>
      </c>
      <c r="C114" s="144" t="n">
        <f aca="false">ExportRaw!$G114</f>
        <v>0</v>
      </c>
      <c r="D114" s="144" t="str">
        <f aca="false">ExportRaw!$E114</f>
        <v/>
      </c>
      <c r="E114" s="145" t="str">
        <f aca="false">ExportRaw!$D114</f>
        <v/>
      </c>
      <c r="F114" s="144" t="str">
        <f aca="false">ExportRaw!$H114</f>
        <v/>
      </c>
      <c r="G114" s="146" t="str">
        <f aca="false">ExportRaw!$I114</f>
        <v/>
      </c>
      <c r="H114" s="144" t="str">
        <f aca="false">ExportRaw!$A114</f>
        <v/>
      </c>
      <c r="I114" s="144" t="str">
        <f aca="false">ExportRaw!$B114</f>
        <v/>
      </c>
    </row>
    <row r="115" customFormat="false" ht="15.75" hidden="false" customHeight="false" outlineLevel="0" collapsed="false">
      <c r="A115" s="144" t="n">
        <f aca="false">ExportRaw!$F115</f>
        <v>0</v>
      </c>
      <c r="B115" s="144" t="n">
        <f aca="false">ExportRaw!$C115</f>
        <v>0</v>
      </c>
      <c r="C115" s="144" t="n">
        <f aca="false">ExportRaw!$G115</f>
        <v>0</v>
      </c>
      <c r="D115" s="144" t="str">
        <f aca="false">ExportRaw!$E115</f>
        <v/>
      </c>
      <c r="E115" s="145" t="str">
        <f aca="false">ExportRaw!$D115</f>
        <v/>
      </c>
      <c r="F115" s="144" t="str">
        <f aca="false">ExportRaw!$H115</f>
        <v/>
      </c>
      <c r="G115" s="146" t="str">
        <f aca="false">ExportRaw!$I115</f>
        <v/>
      </c>
      <c r="H115" s="144" t="str">
        <f aca="false">ExportRaw!$A115</f>
        <v/>
      </c>
      <c r="I115" s="144" t="str">
        <f aca="false">ExportRaw!$B115</f>
        <v/>
      </c>
    </row>
    <row r="116" customFormat="false" ht="15.75" hidden="false" customHeight="false" outlineLevel="0" collapsed="false">
      <c r="A116" s="144" t="n">
        <f aca="false">ExportRaw!$F116</f>
        <v>0</v>
      </c>
      <c r="B116" s="144" t="n">
        <f aca="false">ExportRaw!$C116</f>
        <v>0</v>
      </c>
      <c r="C116" s="144" t="n">
        <f aca="false">ExportRaw!$G116</f>
        <v>0</v>
      </c>
      <c r="D116" s="144" t="str">
        <f aca="false">ExportRaw!$E116</f>
        <v/>
      </c>
      <c r="E116" s="145" t="str">
        <f aca="false">ExportRaw!$D116</f>
        <v/>
      </c>
      <c r="F116" s="144" t="str">
        <f aca="false">ExportRaw!$H116</f>
        <v/>
      </c>
      <c r="G116" s="146" t="str">
        <f aca="false">ExportRaw!$I116</f>
        <v/>
      </c>
      <c r="H116" s="144" t="str">
        <f aca="false">ExportRaw!$A116</f>
        <v/>
      </c>
      <c r="I116" s="144" t="str">
        <f aca="false">ExportRaw!$B116</f>
        <v/>
      </c>
    </row>
    <row r="117" customFormat="false" ht="15.75" hidden="false" customHeight="false" outlineLevel="0" collapsed="false">
      <c r="A117" s="144" t="n">
        <f aca="false">ExportRaw!$F117</f>
        <v>0</v>
      </c>
      <c r="B117" s="144" t="n">
        <f aca="false">ExportRaw!$C117</f>
        <v>0</v>
      </c>
      <c r="C117" s="144" t="n">
        <f aca="false">ExportRaw!$G117</f>
        <v>0</v>
      </c>
      <c r="D117" s="144" t="str">
        <f aca="false">ExportRaw!$E117</f>
        <v/>
      </c>
      <c r="E117" s="145" t="str">
        <f aca="false">ExportRaw!$D117</f>
        <v/>
      </c>
      <c r="F117" s="144" t="str">
        <f aca="false">ExportRaw!$H117</f>
        <v/>
      </c>
      <c r="G117" s="146" t="str">
        <f aca="false">ExportRaw!$I117</f>
        <v/>
      </c>
      <c r="H117" s="144" t="str">
        <f aca="false">ExportRaw!$A117</f>
        <v/>
      </c>
      <c r="I117" s="144" t="str">
        <f aca="false">ExportRaw!$B117</f>
        <v/>
      </c>
    </row>
    <row r="118" customFormat="false" ht="15.75" hidden="false" customHeight="false" outlineLevel="0" collapsed="false">
      <c r="A118" s="144" t="n">
        <f aca="false">ExportRaw!$F118</f>
        <v>0</v>
      </c>
      <c r="B118" s="144" t="n">
        <f aca="false">ExportRaw!$C118</f>
        <v>0</v>
      </c>
      <c r="C118" s="144" t="n">
        <f aca="false">ExportRaw!$G118</f>
        <v>0</v>
      </c>
      <c r="D118" s="144" t="str">
        <f aca="false">ExportRaw!$E118</f>
        <v/>
      </c>
      <c r="E118" s="145" t="str">
        <f aca="false">ExportRaw!$D118</f>
        <v/>
      </c>
      <c r="F118" s="144" t="str">
        <f aca="false">ExportRaw!$H118</f>
        <v/>
      </c>
      <c r="G118" s="146" t="str">
        <f aca="false">ExportRaw!$I118</f>
        <v/>
      </c>
      <c r="H118" s="144" t="str">
        <f aca="false">ExportRaw!$A118</f>
        <v/>
      </c>
      <c r="I118" s="144" t="str">
        <f aca="false">ExportRaw!$B118</f>
        <v/>
      </c>
    </row>
    <row r="119" customFormat="false" ht="15.75" hidden="false" customHeight="false" outlineLevel="0" collapsed="false">
      <c r="A119" s="144" t="n">
        <f aca="false">ExportRaw!$F119</f>
        <v>0</v>
      </c>
      <c r="B119" s="144" t="n">
        <f aca="false">ExportRaw!$C119</f>
        <v>0</v>
      </c>
      <c r="C119" s="144" t="n">
        <f aca="false">ExportRaw!$G119</f>
        <v>0</v>
      </c>
      <c r="D119" s="144" t="str">
        <f aca="false">ExportRaw!$E119</f>
        <v/>
      </c>
      <c r="E119" s="145" t="str">
        <f aca="false">ExportRaw!$D119</f>
        <v/>
      </c>
      <c r="F119" s="144" t="str">
        <f aca="false">ExportRaw!$H119</f>
        <v/>
      </c>
      <c r="G119" s="146" t="str">
        <f aca="false">ExportRaw!$I119</f>
        <v/>
      </c>
      <c r="H119" s="144" t="str">
        <f aca="false">ExportRaw!$A119</f>
        <v/>
      </c>
      <c r="I119" s="144" t="str">
        <f aca="false">ExportRaw!$B119</f>
        <v/>
      </c>
    </row>
    <row r="120" customFormat="false" ht="15.75" hidden="false" customHeight="false" outlineLevel="0" collapsed="false">
      <c r="A120" s="144" t="n">
        <f aca="false">ExportRaw!$F120</f>
        <v>0</v>
      </c>
      <c r="B120" s="144" t="n">
        <f aca="false">ExportRaw!$C120</f>
        <v>0</v>
      </c>
      <c r="C120" s="144" t="n">
        <f aca="false">ExportRaw!$G120</f>
        <v>0</v>
      </c>
      <c r="D120" s="144" t="str">
        <f aca="false">ExportRaw!$E120</f>
        <v/>
      </c>
      <c r="E120" s="145" t="str">
        <f aca="false">ExportRaw!$D120</f>
        <v/>
      </c>
      <c r="F120" s="144" t="str">
        <f aca="false">ExportRaw!$H120</f>
        <v/>
      </c>
      <c r="G120" s="146" t="str">
        <f aca="false">ExportRaw!$I120</f>
        <v/>
      </c>
      <c r="H120" s="144" t="str">
        <f aca="false">ExportRaw!$A120</f>
        <v/>
      </c>
      <c r="I120" s="144" t="str">
        <f aca="false">ExportRaw!$B120</f>
        <v/>
      </c>
    </row>
    <row r="121" customFormat="false" ht="15.75" hidden="false" customHeight="false" outlineLevel="0" collapsed="false">
      <c r="A121" s="144" t="n">
        <f aca="false">ExportRaw!$F121</f>
        <v>0</v>
      </c>
      <c r="B121" s="144" t="n">
        <f aca="false">ExportRaw!$C121</f>
        <v>0</v>
      </c>
      <c r="C121" s="144" t="n">
        <f aca="false">ExportRaw!$G121</f>
        <v>0</v>
      </c>
      <c r="D121" s="144" t="str">
        <f aca="false">ExportRaw!$E121</f>
        <v/>
      </c>
      <c r="E121" s="145" t="str">
        <f aca="false">ExportRaw!$D121</f>
        <v/>
      </c>
      <c r="F121" s="144" t="str">
        <f aca="false">ExportRaw!$H121</f>
        <v/>
      </c>
      <c r="G121" s="146" t="str">
        <f aca="false">ExportRaw!$I121</f>
        <v/>
      </c>
      <c r="H121" s="144" t="str">
        <f aca="false">ExportRaw!$A121</f>
        <v/>
      </c>
      <c r="I121" s="144" t="str">
        <f aca="false">ExportRaw!$B121</f>
        <v/>
      </c>
    </row>
    <row r="122" customFormat="false" ht="15.75" hidden="false" customHeight="false" outlineLevel="0" collapsed="false">
      <c r="A122" s="144" t="n">
        <f aca="false">ExportRaw!$F122</f>
        <v>0</v>
      </c>
      <c r="B122" s="144" t="n">
        <f aca="false">ExportRaw!$C122</f>
        <v>0</v>
      </c>
      <c r="C122" s="144" t="n">
        <f aca="false">ExportRaw!$G122</f>
        <v>0</v>
      </c>
      <c r="D122" s="144" t="str">
        <f aca="false">ExportRaw!$E122</f>
        <v/>
      </c>
      <c r="E122" s="145" t="str">
        <f aca="false">ExportRaw!$D122</f>
        <v/>
      </c>
      <c r="F122" s="144" t="str">
        <f aca="false">ExportRaw!$H122</f>
        <v/>
      </c>
      <c r="G122" s="146" t="str">
        <f aca="false">ExportRaw!$I122</f>
        <v/>
      </c>
      <c r="H122" s="144" t="str">
        <f aca="false">ExportRaw!$A122</f>
        <v/>
      </c>
      <c r="I122" s="144" t="str">
        <f aca="false">ExportRaw!$B122</f>
        <v/>
      </c>
    </row>
    <row r="123" customFormat="false" ht="15.75" hidden="false" customHeight="false" outlineLevel="0" collapsed="false">
      <c r="A123" s="144" t="n">
        <f aca="false">ExportRaw!$F123</f>
        <v>0</v>
      </c>
      <c r="B123" s="144" t="n">
        <f aca="false">ExportRaw!$C123</f>
        <v>0</v>
      </c>
      <c r="C123" s="144" t="n">
        <f aca="false">ExportRaw!$G123</f>
        <v>0</v>
      </c>
      <c r="D123" s="144" t="str">
        <f aca="false">ExportRaw!$E123</f>
        <v/>
      </c>
      <c r="E123" s="145" t="str">
        <f aca="false">ExportRaw!$D123</f>
        <v/>
      </c>
      <c r="F123" s="144" t="str">
        <f aca="false">ExportRaw!$H123</f>
        <v/>
      </c>
      <c r="G123" s="146" t="str">
        <f aca="false">ExportRaw!$I123</f>
        <v/>
      </c>
      <c r="H123" s="144" t="str">
        <f aca="false">ExportRaw!$A123</f>
        <v/>
      </c>
      <c r="I123" s="144" t="str">
        <f aca="false">ExportRaw!$B123</f>
        <v/>
      </c>
    </row>
    <row r="124" customFormat="false" ht="15.75" hidden="false" customHeight="false" outlineLevel="0" collapsed="false">
      <c r="A124" s="144" t="n">
        <f aca="false">ExportRaw!$F124</f>
        <v>0</v>
      </c>
      <c r="B124" s="144" t="n">
        <f aca="false">ExportRaw!$C124</f>
        <v>0</v>
      </c>
      <c r="C124" s="144" t="n">
        <f aca="false">ExportRaw!$G124</f>
        <v>0</v>
      </c>
      <c r="D124" s="144" t="str">
        <f aca="false">ExportRaw!$E124</f>
        <v/>
      </c>
      <c r="E124" s="145" t="str">
        <f aca="false">ExportRaw!$D124</f>
        <v/>
      </c>
      <c r="F124" s="144" t="str">
        <f aca="false">ExportRaw!$H124</f>
        <v/>
      </c>
      <c r="G124" s="146" t="str">
        <f aca="false">ExportRaw!$I124</f>
        <v/>
      </c>
      <c r="H124" s="144" t="str">
        <f aca="false">ExportRaw!$A124</f>
        <v/>
      </c>
      <c r="I124" s="144" t="str">
        <f aca="false">ExportRaw!$B124</f>
        <v/>
      </c>
    </row>
    <row r="125" customFormat="false" ht="15.75" hidden="false" customHeight="false" outlineLevel="0" collapsed="false">
      <c r="A125" s="144" t="n">
        <f aca="false">ExportRaw!$F125</f>
        <v>0</v>
      </c>
      <c r="B125" s="144" t="n">
        <f aca="false">ExportRaw!$C125</f>
        <v>0</v>
      </c>
      <c r="C125" s="144" t="n">
        <f aca="false">ExportRaw!$G125</f>
        <v>0</v>
      </c>
      <c r="D125" s="144" t="str">
        <f aca="false">ExportRaw!$E125</f>
        <v/>
      </c>
      <c r="E125" s="145" t="str">
        <f aca="false">ExportRaw!$D125</f>
        <v/>
      </c>
      <c r="F125" s="144" t="str">
        <f aca="false">ExportRaw!$H125</f>
        <v/>
      </c>
      <c r="G125" s="146" t="str">
        <f aca="false">ExportRaw!$I125</f>
        <v/>
      </c>
      <c r="H125" s="144" t="str">
        <f aca="false">ExportRaw!$A125</f>
        <v/>
      </c>
      <c r="I125" s="144" t="str">
        <f aca="false">ExportRaw!$B125</f>
        <v/>
      </c>
    </row>
    <row r="126" customFormat="false" ht="15.75" hidden="false" customHeight="false" outlineLevel="0" collapsed="false">
      <c r="A126" s="144" t="n">
        <f aca="false">ExportRaw!$F126</f>
        <v>0</v>
      </c>
      <c r="B126" s="144" t="n">
        <f aca="false">ExportRaw!$C126</f>
        <v>0</v>
      </c>
      <c r="C126" s="144" t="n">
        <f aca="false">ExportRaw!$G126</f>
        <v>0</v>
      </c>
      <c r="D126" s="144" t="str">
        <f aca="false">ExportRaw!$E126</f>
        <v/>
      </c>
      <c r="E126" s="145" t="str">
        <f aca="false">ExportRaw!$D126</f>
        <v/>
      </c>
      <c r="F126" s="144" t="str">
        <f aca="false">ExportRaw!$H126</f>
        <v/>
      </c>
      <c r="G126" s="146" t="str">
        <f aca="false">ExportRaw!$I126</f>
        <v/>
      </c>
      <c r="H126" s="144" t="str">
        <f aca="false">ExportRaw!$A126</f>
        <v/>
      </c>
      <c r="I126" s="144" t="str">
        <f aca="false">ExportRaw!$B126</f>
        <v/>
      </c>
    </row>
    <row r="127" customFormat="false" ht="15.75" hidden="false" customHeight="false" outlineLevel="0" collapsed="false">
      <c r="A127" s="144" t="n">
        <f aca="false">ExportRaw!$F127</f>
        <v>0</v>
      </c>
      <c r="B127" s="144" t="n">
        <f aca="false">ExportRaw!$C127</f>
        <v>0</v>
      </c>
      <c r="C127" s="144" t="n">
        <f aca="false">ExportRaw!$G127</f>
        <v>0</v>
      </c>
      <c r="D127" s="144" t="str">
        <f aca="false">ExportRaw!$E127</f>
        <v/>
      </c>
      <c r="E127" s="145" t="str">
        <f aca="false">ExportRaw!$D127</f>
        <v/>
      </c>
      <c r="F127" s="144" t="str">
        <f aca="false">ExportRaw!$H127</f>
        <v/>
      </c>
      <c r="G127" s="146" t="str">
        <f aca="false">ExportRaw!$I127</f>
        <v/>
      </c>
      <c r="H127" s="144" t="str">
        <f aca="false">ExportRaw!$A127</f>
        <v/>
      </c>
      <c r="I127" s="144" t="str">
        <f aca="false">ExportRaw!$B127</f>
        <v/>
      </c>
    </row>
    <row r="128" customFormat="false" ht="15.75" hidden="false" customHeight="false" outlineLevel="0" collapsed="false">
      <c r="A128" s="144" t="n">
        <f aca="false">ExportRaw!$F128</f>
        <v>0</v>
      </c>
      <c r="B128" s="144" t="n">
        <f aca="false">ExportRaw!$C128</f>
        <v>0</v>
      </c>
      <c r="C128" s="144" t="n">
        <f aca="false">ExportRaw!$G128</f>
        <v>0</v>
      </c>
      <c r="D128" s="144" t="str">
        <f aca="false">ExportRaw!$E128</f>
        <v/>
      </c>
      <c r="E128" s="145" t="str">
        <f aca="false">ExportRaw!$D128</f>
        <v/>
      </c>
      <c r="F128" s="144" t="str">
        <f aca="false">ExportRaw!$H128</f>
        <v/>
      </c>
      <c r="G128" s="146" t="str">
        <f aca="false">ExportRaw!$I128</f>
        <v/>
      </c>
      <c r="H128" s="144" t="str">
        <f aca="false">ExportRaw!$A128</f>
        <v/>
      </c>
      <c r="I128" s="144" t="str">
        <f aca="false">ExportRaw!$B128</f>
        <v/>
      </c>
    </row>
    <row r="129" customFormat="false" ht="15.75" hidden="false" customHeight="false" outlineLevel="0" collapsed="false">
      <c r="A129" s="144" t="n">
        <f aca="false">ExportRaw!$F129</f>
        <v>0</v>
      </c>
      <c r="B129" s="144" t="n">
        <f aca="false">ExportRaw!$C129</f>
        <v>0</v>
      </c>
      <c r="C129" s="144" t="n">
        <f aca="false">ExportRaw!$G129</f>
        <v>0</v>
      </c>
      <c r="D129" s="144" t="str">
        <f aca="false">ExportRaw!$E129</f>
        <v/>
      </c>
      <c r="E129" s="145" t="str">
        <f aca="false">ExportRaw!$D129</f>
        <v/>
      </c>
      <c r="F129" s="144" t="str">
        <f aca="false">ExportRaw!$H129</f>
        <v/>
      </c>
      <c r="G129" s="146" t="str">
        <f aca="false">ExportRaw!$I129</f>
        <v/>
      </c>
      <c r="H129" s="144" t="str">
        <f aca="false">ExportRaw!$A129</f>
        <v/>
      </c>
      <c r="I129" s="144" t="str">
        <f aca="false">ExportRaw!$B129</f>
        <v/>
      </c>
    </row>
    <row r="130" customFormat="false" ht="15.75" hidden="false" customHeight="false" outlineLevel="0" collapsed="false">
      <c r="A130" s="144" t="n">
        <f aca="false">ExportRaw!$F130</f>
        <v>0</v>
      </c>
      <c r="B130" s="144" t="n">
        <f aca="false">ExportRaw!$C130</f>
        <v>0</v>
      </c>
      <c r="C130" s="144" t="n">
        <f aca="false">ExportRaw!$G130</f>
        <v>0</v>
      </c>
      <c r="D130" s="144" t="str">
        <f aca="false">ExportRaw!$E130</f>
        <v/>
      </c>
      <c r="E130" s="145" t="str">
        <f aca="false">ExportRaw!$D130</f>
        <v/>
      </c>
      <c r="F130" s="144" t="str">
        <f aca="false">ExportRaw!$H130</f>
        <v/>
      </c>
      <c r="G130" s="146" t="str">
        <f aca="false">ExportRaw!$I130</f>
        <v/>
      </c>
      <c r="H130" s="144" t="str">
        <f aca="false">ExportRaw!$A130</f>
        <v/>
      </c>
      <c r="I130" s="144" t="str">
        <f aca="false">ExportRaw!$B130</f>
        <v/>
      </c>
    </row>
    <row r="131" customFormat="false" ht="15.75" hidden="false" customHeight="false" outlineLevel="0" collapsed="false">
      <c r="A131" s="144" t="n">
        <f aca="false">ExportRaw!$F131</f>
        <v>0</v>
      </c>
      <c r="B131" s="144" t="n">
        <f aca="false">ExportRaw!$C131</f>
        <v>0</v>
      </c>
      <c r="C131" s="144" t="n">
        <f aca="false">ExportRaw!$G131</f>
        <v>0</v>
      </c>
      <c r="D131" s="144" t="str">
        <f aca="false">ExportRaw!$E131</f>
        <v/>
      </c>
      <c r="E131" s="145" t="str">
        <f aca="false">ExportRaw!$D131</f>
        <v/>
      </c>
      <c r="F131" s="144" t="str">
        <f aca="false">ExportRaw!$H131</f>
        <v/>
      </c>
      <c r="G131" s="146" t="str">
        <f aca="false">ExportRaw!$I131</f>
        <v/>
      </c>
      <c r="H131" s="144" t="str">
        <f aca="false">ExportRaw!$A131</f>
        <v/>
      </c>
      <c r="I131" s="144" t="str">
        <f aca="false">ExportRaw!$B131</f>
        <v/>
      </c>
    </row>
    <row r="132" customFormat="false" ht="15.75" hidden="false" customHeight="false" outlineLevel="0" collapsed="false">
      <c r="A132" s="144" t="n">
        <f aca="false">ExportRaw!$F132</f>
        <v>0</v>
      </c>
      <c r="B132" s="144" t="n">
        <f aca="false">ExportRaw!$C132</f>
        <v>0</v>
      </c>
      <c r="C132" s="144" t="n">
        <f aca="false">ExportRaw!$G132</f>
        <v>0</v>
      </c>
      <c r="D132" s="144" t="str">
        <f aca="false">ExportRaw!$E132</f>
        <v/>
      </c>
      <c r="E132" s="145" t="str">
        <f aca="false">ExportRaw!$D132</f>
        <v/>
      </c>
      <c r="F132" s="144" t="str">
        <f aca="false">ExportRaw!$H132</f>
        <v/>
      </c>
      <c r="G132" s="146" t="str">
        <f aca="false">ExportRaw!$I132</f>
        <v/>
      </c>
      <c r="H132" s="144" t="str">
        <f aca="false">ExportRaw!$A132</f>
        <v/>
      </c>
      <c r="I132" s="144" t="str">
        <f aca="false">ExportRaw!$B132</f>
        <v/>
      </c>
    </row>
    <row r="133" customFormat="false" ht="15.75" hidden="false" customHeight="false" outlineLevel="0" collapsed="false">
      <c r="A133" s="144" t="n">
        <f aca="false">ExportRaw!$F133</f>
        <v>0</v>
      </c>
      <c r="B133" s="144" t="n">
        <f aca="false">ExportRaw!$C133</f>
        <v>0</v>
      </c>
      <c r="C133" s="144" t="n">
        <f aca="false">ExportRaw!$G133</f>
        <v>0</v>
      </c>
      <c r="D133" s="144" t="str">
        <f aca="false">ExportRaw!$E133</f>
        <v/>
      </c>
      <c r="E133" s="145" t="str">
        <f aca="false">ExportRaw!$D133</f>
        <v/>
      </c>
      <c r="F133" s="144" t="str">
        <f aca="false">ExportRaw!$H133</f>
        <v/>
      </c>
      <c r="G133" s="146" t="str">
        <f aca="false">ExportRaw!$I133</f>
        <v/>
      </c>
      <c r="H133" s="144" t="str">
        <f aca="false">ExportRaw!$A133</f>
        <v/>
      </c>
      <c r="I133" s="144" t="str">
        <f aca="false">ExportRaw!$B133</f>
        <v/>
      </c>
    </row>
    <row r="134" customFormat="false" ht="15.75" hidden="false" customHeight="false" outlineLevel="0" collapsed="false">
      <c r="A134" s="144" t="n">
        <f aca="false">ExportRaw!$F134</f>
        <v>0</v>
      </c>
      <c r="B134" s="144" t="n">
        <f aca="false">ExportRaw!$C134</f>
        <v>0</v>
      </c>
      <c r="C134" s="144" t="n">
        <f aca="false">ExportRaw!$G134</f>
        <v>0</v>
      </c>
      <c r="D134" s="144" t="str">
        <f aca="false">ExportRaw!$E134</f>
        <v/>
      </c>
      <c r="E134" s="145" t="str">
        <f aca="false">ExportRaw!$D134</f>
        <v/>
      </c>
      <c r="F134" s="144" t="str">
        <f aca="false">ExportRaw!$H134</f>
        <v/>
      </c>
      <c r="G134" s="146" t="str">
        <f aca="false">ExportRaw!$I134</f>
        <v/>
      </c>
      <c r="H134" s="144" t="str">
        <f aca="false">ExportRaw!$A134</f>
        <v/>
      </c>
      <c r="I134" s="144" t="str">
        <f aca="false">ExportRaw!$B134</f>
        <v/>
      </c>
    </row>
    <row r="135" customFormat="false" ht="15.75" hidden="false" customHeight="false" outlineLevel="0" collapsed="false">
      <c r="A135" s="144" t="n">
        <f aca="false">ExportRaw!$F135</f>
        <v>0</v>
      </c>
      <c r="B135" s="144" t="n">
        <f aca="false">ExportRaw!$C135</f>
        <v>0</v>
      </c>
      <c r="C135" s="144" t="n">
        <f aca="false">ExportRaw!$G135</f>
        <v>0</v>
      </c>
      <c r="D135" s="144" t="str">
        <f aca="false">ExportRaw!$E135</f>
        <v/>
      </c>
      <c r="E135" s="145" t="str">
        <f aca="false">ExportRaw!$D135</f>
        <v/>
      </c>
      <c r="F135" s="144" t="str">
        <f aca="false">ExportRaw!$H135</f>
        <v/>
      </c>
      <c r="G135" s="146" t="str">
        <f aca="false">ExportRaw!$I135</f>
        <v/>
      </c>
      <c r="H135" s="144" t="str">
        <f aca="false">ExportRaw!$A135</f>
        <v/>
      </c>
      <c r="I135" s="144" t="str">
        <f aca="false">ExportRaw!$B135</f>
        <v/>
      </c>
    </row>
    <row r="136" customFormat="false" ht="15.75" hidden="false" customHeight="false" outlineLevel="0" collapsed="false">
      <c r="A136" s="144" t="n">
        <f aca="false">ExportRaw!$F136</f>
        <v>0</v>
      </c>
      <c r="B136" s="144" t="n">
        <f aca="false">ExportRaw!$C136</f>
        <v>0</v>
      </c>
      <c r="C136" s="144" t="n">
        <f aca="false">ExportRaw!$G136</f>
        <v>0</v>
      </c>
      <c r="D136" s="144" t="str">
        <f aca="false">ExportRaw!$E136</f>
        <v/>
      </c>
      <c r="E136" s="145" t="str">
        <f aca="false">ExportRaw!$D136</f>
        <v/>
      </c>
      <c r="F136" s="144" t="str">
        <f aca="false">ExportRaw!$H136</f>
        <v/>
      </c>
      <c r="G136" s="146" t="str">
        <f aca="false">ExportRaw!$I136</f>
        <v/>
      </c>
      <c r="H136" s="144" t="str">
        <f aca="false">ExportRaw!$A136</f>
        <v/>
      </c>
      <c r="I136" s="144" t="str">
        <f aca="false">ExportRaw!$B136</f>
        <v/>
      </c>
    </row>
    <row r="137" customFormat="false" ht="15.75" hidden="false" customHeight="false" outlineLevel="0" collapsed="false">
      <c r="A137" s="144" t="n">
        <f aca="false">ExportRaw!$F137</f>
        <v>0</v>
      </c>
      <c r="B137" s="144" t="n">
        <f aca="false">ExportRaw!$C137</f>
        <v>0</v>
      </c>
      <c r="C137" s="144" t="n">
        <f aca="false">ExportRaw!$G137</f>
        <v>0</v>
      </c>
      <c r="D137" s="144" t="str">
        <f aca="false">ExportRaw!$E137</f>
        <v/>
      </c>
      <c r="E137" s="145" t="str">
        <f aca="false">ExportRaw!$D137</f>
        <v/>
      </c>
      <c r="F137" s="144" t="str">
        <f aca="false">ExportRaw!$H137</f>
        <v/>
      </c>
      <c r="G137" s="146" t="str">
        <f aca="false">ExportRaw!$I137</f>
        <v/>
      </c>
      <c r="H137" s="144" t="str">
        <f aca="false">ExportRaw!$A137</f>
        <v/>
      </c>
      <c r="I137" s="144" t="str">
        <f aca="false">ExportRaw!$B137</f>
        <v/>
      </c>
    </row>
    <row r="138" customFormat="false" ht="15.75" hidden="false" customHeight="false" outlineLevel="0" collapsed="false">
      <c r="A138" s="144" t="n">
        <f aca="false">ExportRaw!$F138</f>
        <v>0</v>
      </c>
      <c r="B138" s="144" t="n">
        <f aca="false">ExportRaw!$C138</f>
        <v>0</v>
      </c>
      <c r="C138" s="144" t="n">
        <f aca="false">ExportRaw!$G138</f>
        <v>0</v>
      </c>
      <c r="D138" s="144" t="str">
        <f aca="false">ExportRaw!$E138</f>
        <v/>
      </c>
      <c r="E138" s="145" t="str">
        <f aca="false">ExportRaw!$D138</f>
        <v/>
      </c>
      <c r="F138" s="144" t="str">
        <f aca="false">ExportRaw!$H138</f>
        <v/>
      </c>
      <c r="G138" s="146" t="str">
        <f aca="false">ExportRaw!$I138</f>
        <v/>
      </c>
      <c r="H138" s="144" t="str">
        <f aca="false">ExportRaw!$A138</f>
        <v/>
      </c>
      <c r="I138" s="144" t="str">
        <f aca="false">ExportRaw!$B138</f>
        <v/>
      </c>
    </row>
    <row r="139" customFormat="false" ht="15.75" hidden="false" customHeight="false" outlineLevel="0" collapsed="false">
      <c r="A139" s="144" t="n">
        <f aca="false">ExportRaw!$F139</f>
        <v>0</v>
      </c>
      <c r="B139" s="144" t="n">
        <f aca="false">ExportRaw!$C139</f>
        <v>0</v>
      </c>
      <c r="C139" s="144" t="n">
        <f aca="false">ExportRaw!$G139</f>
        <v>0</v>
      </c>
      <c r="D139" s="144" t="str">
        <f aca="false">ExportRaw!$E139</f>
        <v/>
      </c>
      <c r="E139" s="145" t="str">
        <f aca="false">ExportRaw!$D139</f>
        <v/>
      </c>
      <c r="F139" s="144" t="str">
        <f aca="false">ExportRaw!$H139</f>
        <v/>
      </c>
      <c r="G139" s="146" t="str">
        <f aca="false">ExportRaw!$I139</f>
        <v/>
      </c>
      <c r="H139" s="144" t="str">
        <f aca="false">ExportRaw!$A139</f>
        <v/>
      </c>
      <c r="I139" s="144" t="str">
        <f aca="false">ExportRaw!$B139</f>
        <v/>
      </c>
    </row>
    <row r="140" customFormat="false" ht="15.75" hidden="false" customHeight="false" outlineLevel="0" collapsed="false">
      <c r="A140" s="144" t="n">
        <f aca="false">ExportRaw!$F140</f>
        <v>0</v>
      </c>
      <c r="B140" s="144" t="n">
        <f aca="false">ExportRaw!$C140</f>
        <v>0</v>
      </c>
      <c r="C140" s="144" t="n">
        <f aca="false">ExportRaw!$G140</f>
        <v>0</v>
      </c>
      <c r="D140" s="144" t="str">
        <f aca="false">ExportRaw!$E140</f>
        <v/>
      </c>
      <c r="E140" s="145" t="str">
        <f aca="false">ExportRaw!$D140</f>
        <v/>
      </c>
      <c r="F140" s="144" t="str">
        <f aca="false">ExportRaw!$H140</f>
        <v/>
      </c>
      <c r="G140" s="146" t="str">
        <f aca="false">ExportRaw!$I140</f>
        <v/>
      </c>
      <c r="H140" s="144" t="str">
        <f aca="false">ExportRaw!$A140</f>
        <v/>
      </c>
      <c r="I140" s="144" t="str">
        <f aca="false">ExportRaw!$B140</f>
        <v/>
      </c>
    </row>
    <row r="141" customFormat="false" ht="15.75" hidden="false" customHeight="false" outlineLevel="0" collapsed="false">
      <c r="A141" s="144" t="n">
        <f aca="false">ExportRaw!$F141</f>
        <v>0</v>
      </c>
      <c r="B141" s="144" t="n">
        <f aca="false">ExportRaw!$C141</f>
        <v>0</v>
      </c>
      <c r="C141" s="144" t="n">
        <f aca="false">ExportRaw!$G141</f>
        <v>0</v>
      </c>
      <c r="D141" s="144" t="str">
        <f aca="false">ExportRaw!$E141</f>
        <v/>
      </c>
      <c r="E141" s="145" t="str">
        <f aca="false">ExportRaw!$D141</f>
        <v/>
      </c>
      <c r="F141" s="144" t="str">
        <f aca="false">ExportRaw!$H141</f>
        <v/>
      </c>
      <c r="G141" s="146" t="str">
        <f aca="false">ExportRaw!$I141</f>
        <v/>
      </c>
      <c r="H141" s="144" t="str">
        <f aca="false">ExportRaw!$A141</f>
        <v/>
      </c>
      <c r="I141" s="144" t="str">
        <f aca="false">ExportRaw!$B141</f>
        <v/>
      </c>
    </row>
    <row r="142" customFormat="false" ht="15.75" hidden="false" customHeight="false" outlineLevel="0" collapsed="false">
      <c r="A142" s="144" t="n">
        <f aca="false">ExportRaw!$F142</f>
        <v>0</v>
      </c>
      <c r="B142" s="144" t="n">
        <f aca="false">ExportRaw!$C142</f>
        <v>0</v>
      </c>
      <c r="C142" s="144" t="n">
        <f aca="false">ExportRaw!$G142</f>
        <v>0</v>
      </c>
      <c r="D142" s="144" t="str">
        <f aca="false">ExportRaw!$E142</f>
        <v/>
      </c>
      <c r="E142" s="145" t="str">
        <f aca="false">ExportRaw!$D142</f>
        <v/>
      </c>
      <c r="F142" s="144" t="str">
        <f aca="false">ExportRaw!$H142</f>
        <v/>
      </c>
      <c r="G142" s="146" t="str">
        <f aca="false">ExportRaw!$I142</f>
        <v/>
      </c>
      <c r="H142" s="144" t="str">
        <f aca="false">ExportRaw!$A142</f>
        <v/>
      </c>
      <c r="I142" s="144" t="str">
        <f aca="false">ExportRaw!$B142</f>
        <v/>
      </c>
    </row>
    <row r="143" customFormat="false" ht="15.75" hidden="false" customHeight="false" outlineLevel="0" collapsed="false">
      <c r="A143" s="144" t="n">
        <f aca="false">ExportRaw!$F143</f>
        <v>0</v>
      </c>
      <c r="B143" s="144" t="n">
        <f aca="false">ExportRaw!$C143</f>
        <v>0</v>
      </c>
      <c r="C143" s="144" t="n">
        <f aca="false">ExportRaw!$G143</f>
        <v>0</v>
      </c>
      <c r="D143" s="144" t="str">
        <f aca="false">ExportRaw!$E143</f>
        <v/>
      </c>
      <c r="E143" s="145" t="str">
        <f aca="false">ExportRaw!$D143</f>
        <v/>
      </c>
      <c r="F143" s="144" t="str">
        <f aca="false">ExportRaw!$H143</f>
        <v/>
      </c>
      <c r="G143" s="146" t="str">
        <f aca="false">ExportRaw!$I143</f>
        <v/>
      </c>
      <c r="H143" s="144" t="str">
        <f aca="false">ExportRaw!$A143</f>
        <v/>
      </c>
      <c r="I143" s="144" t="str">
        <f aca="false">ExportRaw!$B143</f>
        <v/>
      </c>
    </row>
    <row r="144" customFormat="false" ht="15.75" hidden="false" customHeight="false" outlineLevel="0" collapsed="false">
      <c r="A144" s="144" t="n">
        <f aca="false">ExportRaw!$F144</f>
        <v>0</v>
      </c>
      <c r="B144" s="144" t="n">
        <f aca="false">ExportRaw!$C144</f>
        <v>0</v>
      </c>
      <c r="C144" s="144" t="n">
        <f aca="false">ExportRaw!$G144</f>
        <v>0</v>
      </c>
      <c r="D144" s="144" t="str">
        <f aca="false">ExportRaw!$E144</f>
        <v/>
      </c>
      <c r="E144" s="145" t="str">
        <f aca="false">ExportRaw!$D144</f>
        <v/>
      </c>
      <c r="F144" s="144" t="str">
        <f aca="false">ExportRaw!$H144</f>
        <v/>
      </c>
      <c r="G144" s="146" t="str">
        <f aca="false">ExportRaw!$I144</f>
        <v/>
      </c>
      <c r="H144" s="144" t="str">
        <f aca="false">ExportRaw!$A144</f>
        <v/>
      </c>
      <c r="I144" s="144" t="str">
        <f aca="false">ExportRaw!$B144</f>
        <v/>
      </c>
    </row>
    <row r="145" customFormat="false" ht="15.75" hidden="false" customHeight="false" outlineLevel="0" collapsed="false">
      <c r="A145" s="144" t="n">
        <f aca="false">ExportRaw!$F145</f>
        <v>0</v>
      </c>
      <c r="B145" s="144" t="n">
        <f aca="false">ExportRaw!$C145</f>
        <v>0</v>
      </c>
      <c r="C145" s="144" t="n">
        <f aca="false">ExportRaw!$G145</f>
        <v>0</v>
      </c>
      <c r="D145" s="144" t="str">
        <f aca="false">ExportRaw!$E145</f>
        <v/>
      </c>
      <c r="E145" s="145" t="str">
        <f aca="false">ExportRaw!$D145</f>
        <v/>
      </c>
      <c r="F145" s="144" t="str">
        <f aca="false">ExportRaw!$H145</f>
        <v/>
      </c>
      <c r="G145" s="146" t="str">
        <f aca="false">ExportRaw!$I145</f>
        <v/>
      </c>
      <c r="H145" s="144" t="str">
        <f aca="false">ExportRaw!$A145</f>
        <v/>
      </c>
      <c r="I145" s="144" t="str">
        <f aca="false">ExportRaw!$B145</f>
        <v/>
      </c>
    </row>
    <row r="146" customFormat="false" ht="15.75" hidden="false" customHeight="false" outlineLevel="0" collapsed="false">
      <c r="A146" s="144" t="n">
        <f aca="false">ExportRaw!$F146</f>
        <v>0</v>
      </c>
      <c r="B146" s="144" t="n">
        <f aca="false">ExportRaw!$C146</f>
        <v>0</v>
      </c>
      <c r="C146" s="144" t="n">
        <f aca="false">ExportRaw!$G146</f>
        <v>0</v>
      </c>
      <c r="D146" s="144" t="str">
        <f aca="false">ExportRaw!$E146</f>
        <v/>
      </c>
      <c r="E146" s="145" t="str">
        <f aca="false">ExportRaw!$D146</f>
        <v/>
      </c>
      <c r="F146" s="144" t="str">
        <f aca="false">ExportRaw!$H146</f>
        <v/>
      </c>
      <c r="G146" s="146" t="str">
        <f aca="false">ExportRaw!$I146</f>
        <v/>
      </c>
      <c r="H146" s="144" t="str">
        <f aca="false">ExportRaw!$A146</f>
        <v/>
      </c>
      <c r="I146" s="144" t="str">
        <f aca="false">ExportRaw!$B146</f>
        <v/>
      </c>
    </row>
    <row r="147" customFormat="false" ht="15.75" hidden="false" customHeight="false" outlineLevel="0" collapsed="false">
      <c r="A147" s="144" t="n">
        <f aca="false">ExportRaw!$F147</f>
        <v>0</v>
      </c>
      <c r="B147" s="144" t="n">
        <f aca="false">ExportRaw!$C147</f>
        <v>0</v>
      </c>
      <c r="C147" s="144" t="n">
        <f aca="false">ExportRaw!$G147</f>
        <v>0</v>
      </c>
      <c r="D147" s="144" t="str">
        <f aca="false">ExportRaw!$E147</f>
        <v/>
      </c>
      <c r="E147" s="145" t="str">
        <f aca="false">ExportRaw!$D147</f>
        <v/>
      </c>
      <c r="F147" s="144" t="str">
        <f aca="false">ExportRaw!$H147</f>
        <v/>
      </c>
      <c r="G147" s="146" t="str">
        <f aca="false">ExportRaw!$I147</f>
        <v/>
      </c>
      <c r="H147" s="144" t="str">
        <f aca="false">ExportRaw!$A147</f>
        <v/>
      </c>
      <c r="I147" s="144" t="str">
        <f aca="false">ExportRaw!$B147</f>
        <v/>
      </c>
    </row>
    <row r="148" customFormat="false" ht="15.75" hidden="false" customHeight="false" outlineLevel="0" collapsed="false">
      <c r="A148" s="144" t="n">
        <f aca="false">ExportRaw!$F148</f>
        <v>0</v>
      </c>
      <c r="B148" s="144" t="n">
        <f aca="false">ExportRaw!$C148</f>
        <v>0</v>
      </c>
      <c r="C148" s="144" t="n">
        <f aca="false">ExportRaw!$G148</f>
        <v>0</v>
      </c>
      <c r="D148" s="144" t="str">
        <f aca="false">ExportRaw!$E148</f>
        <v/>
      </c>
      <c r="E148" s="145" t="str">
        <f aca="false">ExportRaw!$D148</f>
        <v/>
      </c>
      <c r="F148" s="144" t="str">
        <f aca="false">ExportRaw!$H148</f>
        <v/>
      </c>
      <c r="G148" s="146" t="str">
        <f aca="false">ExportRaw!$I148</f>
        <v/>
      </c>
      <c r="H148" s="144" t="str">
        <f aca="false">ExportRaw!$A148</f>
        <v/>
      </c>
      <c r="I148" s="144" t="str">
        <f aca="false">ExportRaw!$B148</f>
        <v/>
      </c>
    </row>
    <row r="149" customFormat="false" ht="15.75" hidden="false" customHeight="false" outlineLevel="0" collapsed="false">
      <c r="A149" s="144" t="n">
        <f aca="false">ExportRaw!$F149</f>
        <v>0</v>
      </c>
      <c r="B149" s="144" t="n">
        <f aca="false">ExportRaw!$C149</f>
        <v>0</v>
      </c>
      <c r="C149" s="144" t="n">
        <f aca="false">ExportRaw!$G149</f>
        <v>0</v>
      </c>
      <c r="D149" s="144" t="str">
        <f aca="false">ExportRaw!$E149</f>
        <v/>
      </c>
      <c r="E149" s="145" t="str">
        <f aca="false">ExportRaw!$D149</f>
        <v/>
      </c>
      <c r="F149" s="144" t="str">
        <f aca="false">ExportRaw!$H149</f>
        <v/>
      </c>
      <c r="G149" s="146" t="str">
        <f aca="false">ExportRaw!$I149</f>
        <v/>
      </c>
      <c r="H149" s="144" t="str">
        <f aca="false">ExportRaw!$A149</f>
        <v/>
      </c>
      <c r="I149" s="144" t="str">
        <f aca="false">ExportRaw!$B149</f>
        <v/>
      </c>
    </row>
    <row r="150" customFormat="false" ht="15.75" hidden="false" customHeight="false" outlineLevel="0" collapsed="false">
      <c r="A150" s="144" t="n">
        <f aca="false">ExportRaw!$F150</f>
        <v>0</v>
      </c>
      <c r="B150" s="144" t="n">
        <f aca="false">ExportRaw!$C150</f>
        <v>0</v>
      </c>
      <c r="C150" s="144" t="n">
        <f aca="false">ExportRaw!$G150</f>
        <v>0</v>
      </c>
      <c r="D150" s="144" t="str">
        <f aca="false">ExportRaw!$E150</f>
        <v/>
      </c>
      <c r="E150" s="145" t="str">
        <f aca="false">ExportRaw!$D150</f>
        <v/>
      </c>
      <c r="F150" s="144" t="str">
        <f aca="false">ExportRaw!$H150</f>
        <v/>
      </c>
      <c r="G150" s="146" t="str">
        <f aca="false">ExportRaw!$I150</f>
        <v/>
      </c>
      <c r="H150" s="144" t="str">
        <f aca="false">ExportRaw!$A150</f>
        <v/>
      </c>
      <c r="I150" s="144" t="str">
        <f aca="false">ExportRaw!$B150</f>
        <v/>
      </c>
    </row>
    <row r="151" customFormat="false" ht="15.75" hidden="false" customHeight="false" outlineLevel="0" collapsed="false">
      <c r="A151" s="144" t="n">
        <f aca="false">ExportRaw!$F151</f>
        <v>0</v>
      </c>
      <c r="B151" s="144" t="n">
        <f aca="false">ExportRaw!$C151</f>
        <v>0</v>
      </c>
      <c r="C151" s="144" t="n">
        <f aca="false">ExportRaw!$G151</f>
        <v>0</v>
      </c>
      <c r="D151" s="144" t="str">
        <f aca="false">ExportRaw!$E151</f>
        <v/>
      </c>
      <c r="E151" s="145" t="str">
        <f aca="false">ExportRaw!$D151</f>
        <v/>
      </c>
      <c r="F151" s="144" t="str">
        <f aca="false">ExportRaw!$H151</f>
        <v/>
      </c>
      <c r="G151" s="146" t="str">
        <f aca="false">ExportRaw!$I151</f>
        <v/>
      </c>
      <c r="H151" s="144" t="str">
        <f aca="false">ExportRaw!$A151</f>
        <v/>
      </c>
      <c r="I151" s="144" t="str">
        <f aca="false">ExportRaw!$B151</f>
        <v/>
      </c>
    </row>
    <row r="152" customFormat="false" ht="15.75" hidden="false" customHeight="false" outlineLevel="0" collapsed="false">
      <c r="A152" s="144" t="n">
        <f aca="false">ExportRaw!$F152</f>
        <v>0</v>
      </c>
      <c r="B152" s="144" t="n">
        <f aca="false">ExportRaw!$C152</f>
        <v>0</v>
      </c>
      <c r="C152" s="144" t="n">
        <f aca="false">ExportRaw!$G152</f>
        <v>0</v>
      </c>
      <c r="D152" s="144" t="str">
        <f aca="false">ExportRaw!$E152</f>
        <v/>
      </c>
      <c r="E152" s="145" t="str">
        <f aca="false">ExportRaw!$D152</f>
        <v/>
      </c>
      <c r="F152" s="144" t="str">
        <f aca="false">ExportRaw!$H152</f>
        <v/>
      </c>
      <c r="G152" s="146" t="str">
        <f aca="false">ExportRaw!$I152</f>
        <v/>
      </c>
      <c r="H152" s="144" t="str">
        <f aca="false">ExportRaw!$A152</f>
        <v/>
      </c>
      <c r="I152" s="144" t="str">
        <f aca="false">ExportRaw!$B152</f>
        <v/>
      </c>
    </row>
    <row r="153" customFormat="false" ht="15.75" hidden="false" customHeight="false" outlineLevel="0" collapsed="false">
      <c r="A153" s="144" t="n">
        <f aca="false">ExportRaw!$F153</f>
        <v>0</v>
      </c>
      <c r="B153" s="144" t="n">
        <f aca="false">ExportRaw!$C153</f>
        <v>0</v>
      </c>
      <c r="C153" s="144" t="n">
        <f aca="false">ExportRaw!$G153</f>
        <v>0</v>
      </c>
      <c r="D153" s="144" t="str">
        <f aca="false">ExportRaw!$E153</f>
        <v/>
      </c>
      <c r="E153" s="145" t="str">
        <f aca="false">ExportRaw!$D153</f>
        <v/>
      </c>
      <c r="F153" s="144" t="str">
        <f aca="false">ExportRaw!$H153</f>
        <v/>
      </c>
      <c r="G153" s="146" t="str">
        <f aca="false">ExportRaw!$I153</f>
        <v/>
      </c>
      <c r="H153" s="144" t="str">
        <f aca="false">ExportRaw!$A153</f>
        <v/>
      </c>
      <c r="I153" s="144" t="str">
        <f aca="false">ExportRaw!$B153</f>
        <v/>
      </c>
    </row>
    <row r="154" customFormat="false" ht="15.75" hidden="false" customHeight="false" outlineLevel="0" collapsed="false">
      <c r="A154" s="144" t="n">
        <f aca="false">ExportRaw!$F154</f>
        <v>0</v>
      </c>
      <c r="B154" s="144" t="n">
        <f aca="false">ExportRaw!$C154</f>
        <v>0</v>
      </c>
      <c r="C154" s="144" t="n">
        <f aca="false">ExportRaw!$G154</f>
        <v>0</v>
      </c>
      <c r="D154" s="144" t="str">
        <f aca="false">ExportRaw!$E154</f>
        <v/>
      </c>
      <c r="E154" s="145" t="str">
        <f aca="false">ExportRaw!$D154</f>
        <v/>
      </c>
      <c r="F154" s="144" t="str">
        <f aca="false">ExportRaw!$H154</f>
        <v/>
      </c>
      <c r="G154" s="146" t="str">
        <f aca="false">ExportRaw!$I154</f>
        <v/>
      </c>
      <c r="H154" s="144" t="str">
        <f aca="false">ExportRaw!$A154</f>
        <v/>
      </c>
      <c r="I154" s="144" t="str">
        <f aca="false">ExportRaw!$B154</f>
        <v/>
      </c>
    </row>
    <row r="155" customFormat="false" ht="15.75" hidden="false" customHeight="false" outlineLevel="0" collapsed="false">
      <c r="A155" s="144" t="n">
        <f aca="false">ExportRaw!$F155</f>
        <v>0</v>
      </c>
      <c r="B155" s="144" t="n">
        <f aca="false">ExportRaw!$C155</f>
        <v>0</v>
      </c>
      <c r="C155" s="144" t="n">
        <f aca="false">ExportRaw!$G155</f>
        <v>0</v>
      </c>
      <c r="D155" s="144" t="str">
        <f aca="false">ExportRaw!$E155</f>
        <v/>
      </c>
      <c r="E155" s="145" t="str">
        <f aca="false">ExportRaw!$D155</f>
        <v/>
      </c>
      <c r="F155" s="144" t="str">
        <f aca="false">ExportRaw!$H155</f>
        <v/>
      </c>
      <c r="G155" s="146" t="str">
        <f aca="false">ExportRaw!$I155</f>
        <v/>
      </c>
      <c r="H155" s="144" t="str">
        <f aca="false">ExportRaw!$A155</f>
        <v/>
      </c>
      <c r="I155" s="144" t="str">
        <f aca="false">ExportRaw!$B155</f>
        <v/>
      </c>
    </row>
    <row r="156" customFormat="false" ht="15.75" hidden="false" customHeight="false" outlineLevel="0" collapsed="false">
      <c r="A156" s="144" t="n">
        <f aca="false">ExportRaw!$F156</f>
        <v>0</v>
      </c>
      <c r="B156" s="144" t="n">
        <f aca="false">ExportRaw!$C156</f>
        <v>0</v>
      </c>
      <c r="C156" s="144" t="n">
        <f aca="false">ExportRaw!$G156</f>
        <v>0</v>
      </c>
      <c r="D156" s="144" t="str">
        <f aca="false">ExportRaw!$E156</f>
        <v/>
      </c>
      <c r="E156" s="145" t="str">
        <f aca="false">ExportRaw!$D156</f>
        <v/>
      </c>
      <c r="F156" s="144" t="str">
        <f aca="false">ExportRaw!$H156</f>
        <v/>
      </c>
      <c r="G156" s="146" t="str">
        <f aca="false">ExportRaw!$I156</f>
        <v/>
      </c>
      <c r="H156" s="144" t="str">
        <f aca="false">ExportRaw!$A156</f>
        <v/>
      </c>
      <c r="I156" s="144" t="str">
        <f aca="false">ExportRaw!$B156</f>
        <v/>
      </c>
    </row>
    <row r="157" customFormat="false" ht="15.75" hidden="false" customHeight="false" outlineLevel="0" collapsed="false">
      <c r="A157" s="144" t="n">
        <f aca="false">ExportRaw!$F157</f>
        <v>0</v>
      </c>
      <c r="B157" s="144" t="n">
        <f aca="false">ExportRaw!$C157</f>
        <v>0</v>
      </c>
      <c r="C157" s="144" t="n">
        <f aca="false">ExportRaw!$G157</f>
        <v>0</v>
      </c>
      <c r="D157" s="144" t="str">
        <f aca="false">ExportRaw!$E157</f>
        <v/>
      </c>
      <c r="E157" s="145" t="str">
        <f aca="false">ExportRaw!$D157</f>
        <v/>
      </c>
      <c r="F157" s="144" t="str">
        <f aca="false">ExportRaw!$H157</f>
        <v/>
      </c>
      <c r="G157" s="146" t="str">
        <f aca="false">ExportRaw!$I157</f>
        <v/>
      </c>
      <c r="H157" s="144" t="str">
        <f aca="false">ExportRaw!$A157</f>
        <v/>
      </c>
      <c r="I157" s="144" t="str">
        <f aca="false">ExportRaw!$B157</f>
        <v/>
      </c>
    </row>
    <row r="158" customFormat="false" ht="15.75" hidden="false" customHeight="false" outlineLevel="0" collapsed="false">
      <c r="A158" s="144" t="n">
        <f aca="false">ExportRaw!$F158</f>
        <v>0</v>
      </c>
      <c r="B158" s="144" t="n">
        <f aca="false">ExportRaw!$C158</f>
        <v>0</v>
      </c>
      <c r="C158" s="144" t="n">
        <f aca="false">ExportRaw!$G158</f>
        <v>0</v>
      </c>
      <c r="D158" s="144" t="str">
        <f aca="false">ExportRaw!$E158</f>
        <v/>
      </c>
      <c r="E158" s="145" t="str">
        <f aca="false">ExportRaw!$D158</f>
        <v/>
      </c>
      <c r="F158" s="144" t="str">
        <f aca="false">ExportRaw!$H158</f>
        <v/>
      </c>
      <c r="G158" s="146" t="str">
        <f aca="false">ExportRaw!$I158</f>
        <v/>
      </c>
      <c r="H158" s="144" t="str">
        <f aca="false">ExportRaw!$A158</f>
        <v/>
      </c>
      <c r="I158" s="144" t="str">
        <f aca="false">ExportRaw!$B158</f>
        <v/>
      </c>
    </row>
    <row r="159" customFormat="false" ht="15.75" hidden="false" customHeight="false" outlineLevel="0" collapsed="false">
      <c r="A159" s="144" t="n">
        <f aca="false">ExportRaw!$F159</f>
        <v>0</v>
      </c>
      <c r="B159" s="144" t="n">
        <f aca="false">ExportRaw!$C159</f>
        <v>0</v>
      </c>
      <c r="C159" s="144" t="n">
        <f aca="false">ExportRaw!$G159</f>
        <v>0</v>
      </c>
      <c r="D159" s="144" t="str">
        <f aca="false">ExportRaw!$E159</f>
        <v/>
      </c>
      <c r="E159" s="145" t="str">
        <f aca="false">ExportRaw!$D159</f>
        <v/>
      </c>
      <c r="F159" s="144" t="str">
        <f aca="false">ExportRaw!$H159</f>
        <v/>
      </c>
      <c r="G159" s="146" t="str">
        <f aca="false">ExportRaw!$I159</f>
        <v/>
      </c>
      <c r="H159" s="144" t="str">
        <f aca="false">ExportRaw!$A159</f>
        <v/>
      </c>
      <c r="I159" s="144" t="str">
        <f aca="false">ExportRaw!$B159</f>
        <v/>
      </c>
    </row>
    <row r="160" customFormat="false" ht="15.75" hidden="false" customHeight="false" outlineLevel="0" collapsed="false">
      <c r="A160" s="144" t="n">
        <f aca="false">ExportRaw!$F160</f>
        <v>0</v>
      </c>
      <c r="B160" s="144" t="n">
        <f aca="false">ExportRaw!$C160</f>
        <v>0</v>
      </c>
      <c r="C160" s="144" t="n">
        <f aca="false">ExportRaw!$G160</f>
        <v>0</v>
      </c>
      <c r="D160" s="144" t="str">
        <f aca="false">ExportRaw!$E160</f>
        <v/>
      </c>
      <c r="E160" s="145" t="str">
        <f aca="false">ExportRaw!$D160</f>
        <v/>
      </c>
      <c r="F160" s="144" t="str">
        <f aca="false">ExportRaw!$H160</f>
        <v/>
      </c>
      <c r="G160" s="146" t="str">
        <f aca="false">ExportRaw!$I160</f>
        <v/>
      </c>
      <c r="H160" s="144" t="str">
        <f aca="false">ExportRaw!$A160</f>
        <v/>
      </c>
      <c r="I160" s="144" t="str">
        <f aca="false">ExportRaw!$B160</f>
        <v/>
      </c>
    </row>
    <row r="161" customFormat="false" ht="15.75" hidden="false" customHeight="false" outlineLevel="0" collapsed="false">
      <c r="A161" s="144" t="n">
        <f aca="false">ExportRaw!$F161</f>
        <v>0</v>
      </c>
      <c r="B161" s="144" t="n">
        <f aca="false">ExportRaw!$C161</f>
        <v>0</v>
      </c>
      <c r="C161" s="144" t="n">
        <f aca="false">ExportRaw!$G161</f>
        <v>0</v>
      </c>
      <c r="D161" s="144" t="str">
        <f aca="false">ExportRaw!$E161</f>
        <v/>
      </c>
      <c r="E161" s="145" t="str">
        <f aca="false">ExportRaw!$D161</f>
        <v/>
      </c>
      <c r="F161" s="144" t="str">
        <f aca="false">ExportRaw!$H161</f>
        <v/>
      </c>
      <c r="G161" s="146" t="str">
        <f aca="false">ExportRaw!$I161</f>
        <v/>
      </c>
      <c r="H161" s="144" t="str">
        <f aca="false">ExportRaw!$A161</f>
        <v/>
      </c>
      <c r="I161" s="144" t="str">
        <f aca="false">ExportRaw!$B161</f>
        <v/>
      </c>
    </row>
    <row r="162" customFormat="false" ht="15.75" hidden="false" customHeight="false" outlineLevel="0" collapsed="false">
      <c r="A162" s="144" t="n">
        <f aca="false">ExportRaw!$F162</f>
        <v>0</v>
      </c>
      <c r="B162" s="144" t="n">
        <f aca="false">ExportRaw!$C162</f>
        <v>0</v>
      </c>
      <c r="C162" s="144" t="n">
        <f aca="false">ExportRaw!$G162</f>
        <v>0</v>
      </c>
      <c r="D162" s="144" t="str">
        <f aca="false">ExportRaw!$E162</f>
        <v/>
      </c>
      <c r="E162" s="145" t="str">
        <f aca="false">ExportRaw!$D162</f>
        <v/>
      </c>
      <c r="F162" s="144" t="str">
        <f aca="false">ExportRaw!$H162</f>
        <v/>
      </c>
      <c r="G162" s="146" t="str">
        <f aca="false">ExportRaw!$I162</f>
        <v/>
      </c>
      <c r="H162" s="144" t="str">
        <f aca="false">ExportRaw!$A162</f>
        <v/>
      </c>
      <c r="I162" s="144" t="str">
        <f aca="false">ExportRaw!$B162</f>
        <v/>
      </c>
    </row>
    <row r="163" customFormat="false" ht="15.75" hidden="false" customHeight="false" outlineLevel="0" collapsed="false">
      <c r="A163" s="144" t="n">
        <f aca="false">ExportRaw!$F163</f>
        <v>0</v>
      </c>
      <c r="B163" s="144" t="n">
        <f aca="false">ExportRaw!$C163</f>
        <v>0</v>
      </c>
      <c r="C163" s="144" t="n">
        <f aca="false">ExportRaw!$G163</f>
        <v>0</v>
      </c>
      <c r="D163" s="144" t="str">
        <f aca="false">ExportRaw!$E163</f>
        <v/>
      </c>
      <c r="E163" s="145" t="str">
        <f aca="false">ExportRaw!$D163</f>
        <v/>
      </c>
      <c r="F163" s="144" t="str">
        <f aca="false">ExportRaw!$H163</f>
        <v/>
      </c>
      <c r="G163" s="146" t="str">
        <f aca="false">ExportRaw!$I163</f>
        <v/>
      </c>
      <c r="H163" s="144" t="str">
        <f aca="false">ExportRaw!$A163</f>
        <v/>
      </c>
      <c r="I163" s="144" t="str">
        <f aca="false">ExportRaw!$B163</f>
        <v/>
      </c>
    </row>
    <row r="164" customFormat="false" ht="15.75" hidden="false" customHeight="false" outlineLevel="0" collapsed="false">
      <c r="A164" s="144" t="n">
        <f aca="false">ExportRaw!$F164</f>
        <v>0</v>
      </c>
      <c r="B164" s="144" t="n">
        <f aca="false">ExportRaw!$C164</f>
        <v>0</v>
      </c>
      <c r="C164" s="144" t="n">
        <f aca="false">ExportRaw!$G164</f>
        <v>0</v>
      </c>
      <c r="D164" s="144" t="str">
        <f aca="false">ExportRaw!$E164</f>
        <v/>
      </c>
      <c r="E164" s="145" t="str">
        <f aca="false">ExportRaw!$D164</f>
        <v/>
      </c>
      <c r="F164" s="144" t="str">
        <f aca="false">ExportRaw!$H164</f>
        <v/>
      </c>
      <c r="G164" s="146" t="str">
        <f aca="false">ExportRaw!$I164</f>
        <v/>
      </c>
      <c r="H164" s="144" t="str">
        <f aca="false">ExportRaw!$A164</f>
        <v/>
      </c>
      <c r="I164" s="144" t="str">
        <f aca="false">ExportRaw!$B164</f>
        <v/>
      </c>
    </row>
    <row r="165" customFormat="false" ht="15.75" hidden="false" customHeight="false" outlineLevel="0" collapsed="false">
      <c r="A165" s="144" t="n">
        <f aca="false">ExportRaw!$F165</f>
        <v>0</v>
      </c>
      <c r="B165" s="144" t="n">
        <f aca="false">ExportRaw!$C165</f>
        <v>0</v>
      </c>
      <c r="C165" s="144" t="n">
        <f aca="false">ExportRaw!$G165</f>
        <v>0</v>
      </c>
      <c r="D165" s="144" t="str">
        <f aca="false">ExportRaw!$E165</f>
        <v/>
      </c>
      <c r="E165" s="145" t="str">
        <f aca="false">ExportRaw!$D165</f>
        <v/>
      </c>
      <c r="F165" s="144" t="str">
        <f aca="false">ExportRaw!$H165</f>
        <v/>
      </c>
      <c r="G165" s="146" t="str">
        <f aca="false">ExportRaw!$I165</f>
        <v/>
      </c>
      <c r="H165" s="144" t="str">
        <f aca="false">ExportRaw!$A165</f>
        <v/>
      </c>
      <c r="I165" s="144" t="str">
        <f aca="false">ExportRaw!$B165</f>
        <v/>
      </c>
    </row>
    <row r="166" customFormat="false" ht="15.75" hidden="false" customHeight="false" outlineLevel="0" collapsed="false">
      <c r="A166" s="144" t="n">
        <f aca="false">ExportRaw!$F166</f>
        <v>0</v>
      </c>
      <c r="B166" s="144" t="n">
        <f aca="false">ExportRaw!$C166</f>
        <v>0</v>
      </c>
      <c r="C166" s="144" t="n">
        <f aca="false">ExportRaw!$G166</f>
        <v>0</v>
      </c>
      <c r="D166" s="144" t="str">
        <f aca="false">ExportRaw!$E166</f>
        <v/>
      </c>
      <c r="E166" s="145" t="str">
        <f aca="false">ExportRaw!$D166</f>
        <v/>
      </c>
      <c r="F166" s="144" t="str">
        <f aca="false">ExportRaw!$H166</f>
        <v/>
      </c>
      <c r="G166" s="146" t="str">
        <f aca="false">ExportRaw!$I166</f>
        <v/>
      </c>
      <c r="H166" s="144" t="str">
        <f aca="false">ExportRaw!$A166</f>
        <v/>
      </c>
      <c r="I166" s="144" t="str">
        <f aca="false">ExportRaw!$B166</f>
        <v/>
      </c>
    </row>
    <row r="167" customFormat="false" ht="15.75" hidden="false" customHeight="false" outlineLevel="0" collapsed="false">
      <c r="A167" s="144" t="n">
        <f aca="false">ExportRaw!$F167</f>
        <v>0</v>
      </c>
      <c r="B167" s="144" t="n">
        <f aca="false">ExportRaw!$C167</f>
        <v>0</v>
      </c>
      <c r="C167" s="144" t="n">
        <f aca="false">ExportRaw!$G167</f>
        <v>0</v>
      </c>
      <c r="D167" s="144" t="str">
        <f aca="false">ExportRaw!$E167</f>
        <v/>
      </c>
      <c r="E167" s="145" t="str">
        <f aca="false">ExportRaw!$D167</f>
        <v/>
      </c>
      <c r="F167" s="144" t="str">
        <f aca="false">ExportRaw!$H167</f>
        <v/>
      </c>
      <c r="G167" s="146" t="str">
        <f aca="false">ExportRaw!$I167</f>
        <v/>
      </c>
      <c r="H167" s="144" t="str">
        <f aca="false">ExportRaw!$A167</f>
        <v/>
      </c>
      <c r="I167" s="144" t="str">
        <f aca="false">ExportRaw!$B167</f>
        <v/>
      </c>
    </row>
    <row r="168" customFormat="false" ht="15.75" hidden="false" customHeight="false" outlineLevel="0" collapsed="false">
      <c r="A168" s="144" t="n">
        <f aca="false">ExportRaw!$F168</f>
        <v>0</v>
      </c>
      <c r="B168" s="144" t="n">
        <f aca="false">ExportRaw!$C168</f>
        <v>0</v>
      </c>
      <c r="C168" s="144" t="n">
        <f aca="false">ExportRaw!$G168</f>
        <v>0</v>
      </c>
      <c r="D168" s="144" t="str">
        <f aca="false">ExportRaw!$E168</f>
        <v/>
      </c>
      <c r="E168" s="145" t="str">
        <f aca="false">ExportRaw!$D168</f>
        <v/>
      </c>
      <c r="F168" s="144" t="str">
        <f aca="false">ExportRaw!$H168</f>
        <v/>
      </c>
      <c r="G168" s="146" t="str">
        <f aca="false">ExportRaw!$I168</f>
        <v/>
      </c>
      <c r="H168" s="144" t="str">
        <f aca="false">ExportRaw!$A168</f>
        <v/>
      </c>
      <c r="I168" s="144" t="str">
        <f aca="false">ExportRaw!$B168</f>
        <v/>
      </c>
    </row>
    <row r="169" customFormat="false" ht="15.75" hidden="false" customHeight="false" outlineLevel="0" collapsed="false">
      <c r="A169" s="144" t="n">
        <f aca="false">ExportRaw!$F169</f>
        <v>0</v>
      </c>
      <c r="B169" s="144" t="n">
        <f aca="false">ExportRaw!$C169</f>
        <v>0</v>
      </c>
      <c r="C169" s="144" t="n">
        <f aca="false">ExportRaw!$G169</f>
        <v>0</v>
      </c>
      <c r="D169" s="144" t="str">
        <f aca="false">ExportRaw!$E169</f>
        <v/>
      </c>
      <c r="E169" s="145" t="str">
        <f aca="false">ExportRaw!$D169</f>
        <v/>
      </c>
      <c r="F169" s="144" t="str">
        <f aca="false">ExportRaw!$H169</f>
        <v/>
      </c>
      <c r="G169" s="146" t="str">
        <f aca="false">ExportRaw!$I169</f>
        <v/>
      </c>
      <c r="H169" s="144" t="str">
        <f aca="false">ExportRaw!$A169</f>
        <v/>
      </c>
      <c r="I169" s="144" t="str">
        <f aca="false">ExportRaw!$B169</f>
        <v/>
      </c>
    </row>
    <row r="170" customFormat="false" ht="15.75" hidden="false" customHeight="false" outlineLevel="0" collapsed="false">
      <c r="A170" s="144" t="n">
        <f aca="false">ExportRaw!$F170</f>
        <v>0</v>
      </c>
      <c r="B170" s="144" t="n">
        <f aca="false">ExportRaw!$C170</f>
        <v>0</v>
      </c>
      <c r="C170" s="144" t="n">
        <f aca="false">ExportRaw!$G170</f>
        <v>0</v>
      </c>
      <c r="D170" s="144" t="str">
        <f aca="false">ExportRaw!$E170</f>
        <v/>
      </c>
      <c r="E170" s="145" t="str">
        <f aca="false">ExportRaw!$D170</f>
        <v/>
      </c>
      <c r="F170" s="144" t="str">
        <f aca="false">ExportRaw!$H170</f>
        <v/>
      </c>
      <c r="G170" s="146" t="str">
        <f aca="false">ExportRaw!$I170</f>
        <v/>
      </c>
      <c r="H170" s="144" t="str">
        <f aca="false">ExportRaw!$A170</f>
        <v/>
      </c>
      <c r="I170" s="144" t="str">
        <f aca="false">ExportRaw!$B170</f>
        <v/>
      </c>
    </row>
    <row r="171" customFormat="false" ht="15.75" hidden="false" customHeight="false" outlineLevel="0" collapsed="false">
      <c r="A171" s="144" t="n">
        <f aca="false">ExportRaw!$F171</f>
        <v>0</v>
      </c>
      <c r="B171" s="144" t="n">
        <f aca="false">ExportRaw!$C171</f>
        <v>0</v>
      </c>
      <c r="C171" s="144" t="n">
        <f aca="false">ExportRaw!$G171</f>
        <v>0</v>
      </c>
      <c r="D171" s="144" t="str">
        <f aca="false">ExportRaw!$E171</f>
        <v/>
      </c>
      <c r="E171" s="145" t="str">
        <f aca="false">ExportRaw!$D171</f>
        <v/>
      </c>
      <c r="F171" s="144" t="str">
        <f aca="false">ExportRaw!$H171</f>
        <v/>
      </c>
      <c r="G171" s="146" t="str">
        <f aca="false">ExportRaw!$I171</f>
        <v/>
      </c>
      <c r="H171" s="144" t="str">
        <f aca="false">ExportRaw!$A171</f>
        <v/>
      </c>
      <c r="I171" s="144" t="str">
        <f aca="false">ExportRaw!$B171</f>
        <v/>
      </c>
    </row>
    <row r="172" customFormat="false" ht="15.75" hidden="false" customHeight="false" outlineLevel="0" collapsed="false">
      <c r="A172" s="144" t="n">
        <f aca="false">ExportRaw!$F172</f>
        <v>0</v>
      </c>
      <c r="B172" s="144" t="n">
        <f aca="false">ExportRaw!$C172</f>
        <v>0</v>
      </c>
      <c r="C172" s="144" t="n">
        <f aca="false">ExportRaw!$G172</f>
        <v>0</v>
      </c>
      <c r="D172" s="144" t="str">
        <f aca="false">ExportRaw!$E172</f>
        <v/>
      </c>
      <c r="E172" s="145" t="str">
        <f aca="false">ExportRaw!$D172</f>
        <v/>
      </c>
      <c r="F172" s="144" t="str">
        <f aca="false">ExportRaw!$H172</f>
        <v/>
      </c>
      <c r="G172" s="146" t="str">
        <f aca="false">ExportRaw!$I172</f>
        <v/>
      </c>
      <c r="H172" s="144" t="str">
        <f aca="false">ExportRaw!$A172</f>
        <v/>
      </c>
      <c r="I172" s="144" t="str">
        <f aca="false">ExportRaw!$B172</f>
        <v/>
      </c>
    </row>
    <row r="173" customFormat="false" ht="15.75" hidden="false" customHeight="false" outlineLevel="0" collapsed="false">
      <c r="A173" s="144" t="n">
        <f aca="false">ExportRaw!$F173</f>
        <v>0</v>
      </c>
      <c r="B173" s="144" t="n">
        <f aca="false">ExportRaw!$C173</f>
        <v>0</v>
      </c>
      <c r="C173" s="144" t="n">
        <f aca="false">ExportRaw!$G173</f>
        <v>0</v>
      </c>
      <c r="D173" s="144" t="str">
        <f aca="false">ExportRaw!$E173</f>
        <v/>
      </c>
      <c r="E173" s="145" t="str">
        <f aca="false">ExportRaw!$D173</f>
        <v/>
      </c>
      <c r="F173" s="144" t="str">
        <f aca="false">ExportRaw!$H173</f>
        <v/>
      </c>
      <c r="G173" s="146" t="str">
        <f aca="false">ExportRaw!$I173</f>
        <v/>
      </c>
      <c r="H173" s="144" t="str">
        <f aca="false">ExportRaw!$A173</f>
        <v/>
      </c>
      <c r="I173" s="144" t="str">
        <f aca="false">ExportRaw!$B173</f>
        <v/>
      </c>
    </row>
    <row r="174" customFormat="false" ht="15.75" hidden="false" customHeight="false" outlineLevel="0" collapsed="false">
      <c r="A174" s="144" t="n">
        <f aca="false">ExportRaw!$F174</f>
        <v>0</v>
      </c>
      <c r="B174" s="144" t="n">
        <f aca="false">ExportRaw!$C174</f>
        <v>0</v>
      </c>
      <c r="C174" s="144" t="n">
        <f aca="false">ExportRaw!$G174</f>
        <v>0</v>
      </c>
      <c r="D174" s="144" t="str">
        <f aca="false">ExportRaw!$E174</f>
        <v/>
      </c>
      <c r="E174" s="145" t="str">
        <f aca="false">ExportRaw!$D174</f>
        <v/>
      </c>
      <c r="F174" s="144" t="str">
        <f aca="false">ExportRaw!$H174</f>
        <v/>
      </c>
      <c r="G174" s="146" t="str">
        <f aca="false">ExportRaw!$I174</f>
        <v/>
      </c>
      <c r="H174" s="144" t="str">
        <f aca="false">ExportRaw!$A174</f>
        <v/>
      </c>
      <c r="I174" s="144" t="str">
        <f aca="false">ExportRaw!$B174</f>
        <v/>
      </c>
    </row>
    <row r="175" customFormat="false" ht="15.75" hidden="false" customHeight="false" outlineLevel="0" collapsed="false">
      <c r="A175" s="144" t="n">
        <f aca="false">ExportRaw!$F175</f>
        <v>0</v>
      </c>
      <c r="B175" s="144" t="n">
        <f aca="false">ExportRaw!$C175</f>
        <v>0</v>
      </c>
      <c r="C175" s="144" t="n">
        <f aca="false">ExportRaw!$G175</f>
        <v>0</v>
      </c>
      <c r="D175" s="144" t="str">
        <f aca="false">ExportRaw!$E175</f>
        <v/>
      </c>
      <c r="E175" s="145" t="str">
        <f aca="false">ExportRaw!$D175</f>
        <v/>
      </c>
      <c r="F175" s="144" t="str">
        <f aca="false">ExportRaw!$H175</f>
        <v/>
      </c>
      <c r="G175" s="146" t="str">
        <f aca="false">ExportRaw!$I175</f>
        <v/>
      </c>
      <c r="H175" s="144" t="str">
        <f aca="false">ExportRaw!$A175</f>
        <v/>
      </c>
      <c r="I175" s="144" t="str">
        <f aca="false">ExportRaw!$B175</f>
        <v/>
      </c>
    </row>
    <row r="176" customFormat="false" ht="15.75" hidden="false" customHeight="false" outlineLevel="0" collapsed="false">
      <c r="A176" s="144" t="n">
        <f aca="false">ExportRaw!$F176</f>
        <v>0</v>
      </c>
      <c r="B176" s="144" t="n">
        <f aca="false">ExportRaw!$C176</f>
        <v>0</v>
      </c>
      <c r="C176" s="144" t="n">
        <f aca="false">ExportRaw!$G176</f>
        <v>0</v>
      </c>
      <c r="D176" s="144" t="str">
        <f aca="false">ExportRaw!$E176</f>
        <v/>
      </c>
      <c r="E176" s="145" t="str">
        <f aca="false">ExportRaw!$D176</f>
        <v/>
      </c>
      <c r="F176" s="144" t="str">
        <f aca="false">ExportRaw!$H176</f>
        <v/>
      </c>
      <c r="G176" s="146" t="str">
        <f aca="false">ExportRaw!$I176</f>
        <v/>
      </c>
      <c r="H176" s="144" t="str">
        <f aca="false">ExportRaw!$A176</f>
        <v/>
      </c>
      <c r="I176" s="144" t="str">
        <f aca="false">ExportRaw!$B176</f>
        <v/>
      </c>
    </row>
    <row r="177" customFormat="false" ht="15.75" hidden="false" customHeight="false" outlineLevel="0" collapsed="false">
      <c r="A177" s="144" t="n">
        <f aca="false">ExportRaw!$F177</f>
        <v>0</v>
      </c>
      <c r="B177" s="144" t="n">
        <f aca="false">ExportRaw!$C177</f>
        <v>0</v>
      </c>
      <c r="C177" s="144" t="n">
        <f aca="false">ExportRaw!$G177</f>
        <v>0</v>
      </c>
      <c r="D177" s="144" t="str">
        <f aca="false">ExportRaw!$E177</f>
        <v/>
      </c>
      <c r="E177" s="145" t="str">
        <f aca="false">ExportRaw!$D177</f>
        <v/>
      </c>
      <c r="F177" s="144" t="str">
        <f aca="false">ExportRaw!$H177</f>
        <v/>
      </c>
      <c r="G177" s="146" t="str">
        <f aca="false">ExportRaw!$I177</f>
        <v/>
      </c>
      <c r="H177" s="144" t="str">
        <f aca="false">ExportRaw!$A177</f>
        <v/>
      </c>
      <c r="I177" s="144" t="str">
        <f aca="false">ExportRaw!$B177</f>
        <v/>
      </c>
    </row>
    <row r="178" customFormat="false" ht="15.75" hidden="false" customHeight="false" outlineLevel="0" collapsed="false">
      <c r="A178" s="144" t="n">
        <f aca="false">ExportRaw!$F178</f>
        <v>0</v>
      </c>
      <c r="B178" s="144" t="n">
        <f aca="false">ExportRaw!$C178</f>
        <v>0</v>
      </c>
      <c r="C178" s="144" t="n">
        <f aca="false">ExportRaw!$G178</f>
        <v>0</v>
      </c>
      <c r="D178" s="144" t="str">
        <f aca="false">ExportRaw!$E178</f>
        <v/>
      </c>
      <c r="E178" s="145" t="str">
        <f aca="false">ExportRaw!$D178</f>
        <v/>
      </c>
      <c r="F178" s="144" t="str">
        <f aca="false">ExportRaw!$H178</f>
        <v/>
      </c>
      <c r="G178" s="146" t="str">
        <f aca="false">ExportRaw!$I178</f>
        <v/>
      </c>
      <c r="H178" s="144" t="str">
        <f aca="false">ExportRaw!$A178</f>
        <v/>
      </c>
      <c r="I178" s="144" t="str">
        <f aca="false">ExportRaw!$B178</f>
        <v/>
      </c>
    </row>
    <row r="179" customFormat="false" ht="15.75" hidden="false" customHeight="false" outlineLevel="0" collapsed="false">
      <c r="A179" s="144" t="n">
        <f aca="false">ExportRaw!$F179</f>
        <v>0</v>
      </c>
      <c r="B179" s="144" t="n">
        <f aca="false">ExportRaw!$C179</f>
        <v>0</v>
      </c>
      <c r="C179" s="144" t="n">
        <f aca="false">ExportRaw!$G179</f>
        <v>0</v>
      </c>
      <c r="D179" s="144" t="str">
        <f aca="false">ExportRaw!$E179</f>
        <v/>
      </c>
      <c r="E179" s="145" t="str">
        <f aca="false">ExportRaw!$D179</f>
        <v/>
      </c>
      <c r="F179" s="144" t="str">
        <f aca="false">ExportRaw!$H179</f>
        <v/>
      </c>
      <c r="G179" s="146" t="str">
        <f aca="false">ExportRaw!$I179</f>
        <v/>
      </c>
      <c r="H179" s="144" t="str">
        <f aca="false">ExportRaw!$A179</f>
        <v/>
      </c>
      <c r="I179" s="144" t="str">
        <f aca="false">ExportRaw!$B179</f>
        <v/>
      </c>
    </row>
    <row r="180" customFormat="false" ht="15.75" hidden="false" customHeight="false" outlineLevel="0" collapsed="false">
      <c r="A180" s="144" t="n">
        <f aca="false">ExportRaw!$F180</f>
        <v>0</v>
      </c>
      <c r="B180" s="144" t="n">
        <f aca="false">ExportRaw!$C180</f>
        <v>0</v>
      </c>
      <c r="C180" s="144" t="n">
        <f aca="false">ExportRaw!$G180</f>
        <v>0</v>
      </c>
      <c r="D180" s="144" t="str">
        <f aca="false">ExportRaw!$E180</f>
        <v/>
      </c>
      <c r="E180" s="145" t="str">
        <f aca="false">ExportRaw!$D180</f>
        <v/>
      </c>
      <c r="F180" s="144" t="str">
        <f aca="false">ExportRaw!$H180</f>
        <v/>
      </c>
      <c r="G180" s="146" t="str">
        <f aca="false">ExportRaw!$I180</f>
        <v/>
      </c>
      <c r="H180" s="144" t="str">
        <f aca="false">ExportRaw!$A180</f>
        <v/>
      </c>
      <c r="I180" s="144" t="str">
        <f aca="false">ExportRaw!$B180</f>
        <v/>
      </c>
    </row>
    <row r="181" customFormat="false" ht="15.75" hidden="false" customHeight="false" outlineLevel="0" collapsed="false">
      <c r="A181" s="144" t="n">
        <f aca="false">ExportRaw!$F181</f>
        <v>0</v>
      </c>
      <c r="B181" s="144" t="n">
        <f aca="false">ExportRaw!$C181</f>
        <v>0</v>
      </c>
      <c r="C181" s="144" t="n">
        <f aca="false">ExportRaw!$G181</f>
        <v>0</v>
      </c>
      <c r="D181" s="144" t="str">
        <f aca="false">ExportRaw!$E181</f>
        <v/>
      </c>
      <c r="E181" s="145" t="str">
        <f aca="false">ExportRaw!$D181</f>
        <v/>
      </c>
      <c r="F181" s="144" t="str">
        <f aca="false">ExportRaw!$H181</f>
        <v/>
      </c>
      <c r="G181" s="146" t="str">
        <f aca="false">ExportRaw!$I181</f>
        <v/>
      </c>
      <c r="H181" s="144" t="str">
        <f aca="false">ExportRaw!$A181</f>
        <v/>
      </c>
      <c r="I181" s="144" t="str">
        <f aca="false">ExportRaw!$B181</f>
        <v/>
      </c>
    </row>
    <row r="182" customFormat="false" ht="15.75" hidden="false" customHeight="false" outlineLevel="0" collapsed="false">
      <c r="A182" s="144" t="n">
        <f aca="false">ExportRaw!$F182</f>
        <v>0</v>
      </c>
      <c r="B182" s="144" t="n">
        <f aca="false">ExportRaw!$C182</f>
        <v>0</v>
      </c>
      <c r="C182" s="144" t="n">
        <f aca="false">ExportRaw!$G182</f>
        <v>0</v>
      </c>
      <c r="D182" s="144" t="str">
        <f aca="false">ExportRaw!$E182</f>
        <v/>
      </c>
      <c r="E182" s="145" t="str">
        <f aca="false">ExportRaw!$D182</f>
        <v/>
      </c>
      <c r="F182" s="144" t="str">
        <f aca="false">ExportRaw!$H182</f>
        <v/>
      </c>
      <c r="G182" s="146" t="str">
        <f aca="false">ExportRaw!$I182</f>
        <v/>
      </c>
      <c r="H182" s="144" t="str">
        <f aca="false">ExportRaw!$A182</f>
        <v/>
      </c>
      <c r="I182" s="144" t="str">
        <f aca="false">ExportRaw!$B182</f>
        <v/>
      </c>
    </row>
    <row r="183" customFormat="false" ht="15.75" hidden="false" customHeight="false" outlineLevel="0" collapsed="false">
      <c r="A183" s="144" t="n">
        <f aca="false">ExportRaw!$F183</f>
        <v>0</v>
      </c>
      <c r="B183" s="144" t="n">
        <f aca="false">ExportRaw!$C183</f>
        <v>0</v>
      </c>
      <c r="C183" s="144" t="n">
        <f aca="false">ExportRaw!$G183</f>
        <v>0</v>
      </c>
      <c r="D183" s="144" t="str">
        <f aca="false">ExportRaw!$E183</f>
        <v/>
      </c>
      <c r="E183" s="145" t="str">
        <f aca="false">ExportRaw!$D183</f>
        <v/>
      </c>
      <c r="F183" s="144" t="str">
        <f aca="false">ExportRaw!$H183</f>
        <v/>
      </c>
      <c r="G183" s="146" t="str">
        <f aca="false">ExportRaw!$I183</f>
        <v/>
      </c>
      <c r="H183" s="144" t="str">
        <f aca="false">ExportRaw!$A183</f>
        <v/>
      </c>
      <c r="I183" s="144" t="str">
        <f aca="false">ExportRaw!$B183</f>
        <v/>
      </c>
    </row>
    <row r="184" customFormat="false" ht="15.75" hidden="false" customHeight="false" outlineLevel="0" collapsed="false">
      <c r="A184" s="144" t="n">
        <f aca="false">ExportRaw!$F184</f>
        <v>0</v>
      </c>
      <c r="B184" s="144" t="n">
        <f aca="false">ExportRaw!$C184</f>
        <v>0</v>
      </c>
      <c r="C184" s="144" t="n">
        <f aca="false">ExportRaw!$G184</f>
        <v>0</v>
      </c>
      <c r="D184" s="144" t="str">
        <f aca="false">ExportRaw!$E184</f>
        <v/>
      </c>
      <c r="E184" s="145" t="str">
        <f aca="false">ExportRaw!$D184</f>
        <v/>
      </c>
      <c r="F184" s="144" t="str">
        <f aca="false">ExportRaw!$H184</f>
        <v/>
      </c>
      <c r="G184" s="146" t="str">
        <f aca="false">ExportRaw!$I184</f>
        <v/>
      </c>
      <c r="H184" s="144" t="str">
        <f aca="false">ExportRaw!$A184</f>
        <v/>
      </c>
      <c r="I184" s="144" t="str">
        <f aca="false">ExportRaw!$B184</f>
        <v/>
      </c>
    </row>
    <row r="185" customFormat="false" ht="15.75" hidden="false" customHeight="false" outlineLevel="0" collapsed="false">
      <c r="A185" s="144" t="n">
        <f aca="false">ExportRaw!$F185</f>
        <v>0</v>
      </c>
      <c r="B185" s="144" t="n">
        <f aca="false">ExportRaw!$C185</f>
        <v>0</v>
      </c>
      <c r="C185" s="144" t="n">
        <f aca="false">ExportRaw!$G185</f>
        <v>0</v>
      </c>
      <c r="D185" s="144" t="str">
        <f aca="false">ExportRaw!$E185</f>
        <v/>
      </c>
      <c r="E185" s="145" t="str">
        <f aca="false">ExportRaw!$D185</f>
        <v/>
      </c>
      <c r="F185" s="144" t="str">
        <f aca="false">ExportRaw!$H185</f>
        <v/>
      </c>
      <c r="G185" s="146" t="str">
        <f aca="false">ExportRaw!$I185</f>
        <v/>
      </c>
      <c r="H185" s="144" t="str">
        <f aca="false">ExportRaw!$A185</f>
        <v/>
      </c>
      <c r="I185" s="144" t="str">
        <f aca="false">ExportRaw!$B185</f>
        <v/>
      </c>
    </row>
    <row r="186" customFormat="false" ht="15.75" hidden="false" customHeight="false" outlineLevel="0" collapsed="false">
      <c r="A186" s="144" t="n">
        <f aca="false">ExportRaw!$F186</f>
        <v>0</v>
      </c>
      <c r="B186" s="144" t="n">
        <f aca="false">ExportRaw!$C186</f>
        <v>0</v>
      </c>
      <c r="C186" s="144" t="n">
        <f aca="false">ExportRaw!$G186</f>
        <v>0</v>
      </c>
      <c r="D186" s="144" t="str">
        <f aca="false">ExportRaw!$E186</f>
        <v/>
      </c>
      <c r="E186" s="145" t="str">
        <f aca="false">ExportRaw!$D186</f>
        <v/>
      </c>
      <c r="F186" s="144" t="str">
        <f aca="false">ExportRaw!$H186</f>
        <v/>
      </c>
      <c r="G186" s="146" t="str">
        <f aca="false">ExportRaw!$I186</f>
        <v/>
      </c>
      <c r="H186" s="144" t="str">
        <f aca="false">ExportRaw!$A186</f>
        <v/>
      </c>
      <c r="I186" s="144" t="str">
        <f aca="false">ExportRaw!$B186</f>
        <v/>
      </c>
    </row>
    <row r="187" customFormat="false" ht="15.75" hidden="false" customHeight="false" outlineLevel="0" collapsed="false">
      <c r="A187" s="144" t="n">
        <f aca="false">ExportRaw!$F187</f>
        <v>0</v>
      </c>
      <c r="B187" s="144" t="n">
        <f aca="false">ExportRaw!$C187</f>
        <v>0</v>
      </c>
      <c r="C187" s="144" t="n">
        <f aca="false">ExportRaw!$G187</f>
        <v>0</v>
      </c>
      <c r="D187" s="144" t="str">
        <f aca="false">ExportRaw!$E187</f>
        <v/>
      </c>
      <c r="E187" s="145" t="str">
        <f aca="false">ExportRaw!$D187</f>
        <v/>
      </c>
      <c r="F187" s="144" t="str">
        <f aca="false">ExportRaw!$H187</f>
        <v/>
      </c>
      <c r="G187" s="146" t="str">
        <f aca="false">ExportRaw!$I187</f>
        <v/>
      </c>
      <c r="H187" s="144" t="str">
        <f aca="false">ExportRaw!$A187</f>
        <v/>
      </c>
      <c r="I187" s="144" t="str">
        <f aca="false">ExportRaw!$B187</f>
        <v/>
      </c>
    </row>
    <row r="188" customFormat="false" ht="15.75" hidden="false" customHeight="false" outlineLevel="0" collapsed="false">
      <c r="A188" s="144" t="n">
        <f aca="false">ExportRaw!$F188</f>
        <v>0</v>
      </c>
      <c r="B188" s="144" t="n">
        <f aca="false">ExportRaw!$C188</f>
        <v>0</v>
      </c>
      <c r="C188" s="144" t="n">
        <f aca="false">ExportRaw!$G188</f>
        <v>0</v>
      </c>
      <c r="D188" s="144" t="str">
        <f aca="false">ExportRaw!$E188</f>
        <v/>
      </c>
      <c r="E188" s="145" t="str">
        <f aca="false">ExportRaw!$D188</f>
        <v/>
      </c>
      <c r="F188" s="144" t="str">
        <f aca="false">ExportRaw!$H188</f>
        <v/>
      </c>
      <c r="G188" s="146" t="str">
        <f aca="false">ExportRaw!$I188</f>
        <v/>
      </c>
      <c r="H188" s="144" t="str">
        <f aca="false">ExportRaw!$A188</f>
        <v/>
      </c>
      <c r="I188" s="144" t="str">
        <f aca="false">ExportRaw!$B188</f>
        <v/>
      </c>
    </row>
    <row r="189" customFormat="false" ht="15.75" hidden="false" customHeight="false" outlineLevel="0" collapsed="false">
      <c r="A189" s="144" t="n">
        <f aca="false">ExportRaw!$F189</f>
        <v>0</v>
      </c>
      <c r="B189" s="144" t="n">
        <f aca="false">ExportRaw!$C189</f>
        <v>0</v>
      </c>
      <c r="C189" s="144" t="n">
        <f aca="false">ExportRaw!$G189</f>
        <v>0</v>
      </c>
      <c r="D189" s="144" t="str">
        <f aca="false">ExportRaw!$E189</f>
        <v/>
      </c>
      <c r="E189" s="145" t="str">
        <f aca="false">ExportRaw!$D189</f>
        <v/>
      </c>
      <c r="F189" s="144" t="str">
        <f aca="false">ExportRaw!$H189</f>
        <v/>
      </c>
      <c r="G189" s="146" t="str">
        <f aca="false">ExportRaw!$I189</f>
        <v/>
      </c>
      <c r="H189" s="144" t="str">
        <f aca="false">ExportRaw!$A189</f>
        <v/>
      </c>
      <c r="I189" s="144" t="str">
        <f aca="false">ExportRaw!$B189</f>
        <v/>
      </c>
    </row>
    <row r="190" customFormat="false" ht="15.75" hidden="false" customHeight="false" outlineLevel="0" collapsed="false">
      <c r="A190" s="144" t="n">
        <f aca="false">ExportRaw!$F190</f>
        <v>0</v>
      </c>
      <c r="B190" s="144" t="n">
        <f aca="false">ExportRaw!$C190</f>
        <v>0</v>
      </c>
      <c r="C190" s="144" t="n">
        <f aca="false">ExportRaw!$G190</f>
        <v>0</v>
      </c>
      <c r="D190" s="144" t="str">
        <f aca="false">ExportRaw!$E190</f>
        <v/>
      </c>
      <c r="E190" s="145" t="str">
        <f aca="false">ExportRaw!$D190</f>
        <v/>
      </c>
      <c r="F190" s="144" t="str">
        <f aca="false">ExportRaw!$H190</f>
        <v/>
      </c>
      <c r="G190" s="146" t="str">
        <f aca="false">ExportRaw!$I190</f>
        <v/>
      </c>
      <c r="H190" s="144" t="str">
        <f aca="false">ExportRaw!$A190</f>
        <v/>
      </c>
      <c r="I190" s="144" t="str">
        <f aca="false">ExportRaw!$B190</f>
        <v/>
      </c>
    </row>
    <row r="191" customFormat="false" ht="15.75" hidden="false" customHeight="false" outlineLevel="0" collapsed="false">
      <c r="A191" s="144" t="n">
        <f aca="false">ExportRaw!$F191</f>
        <v>0</v>
      </c>
      <c r="B191" s="144" t="n">
        <f aca="false">ExportRaw!$C191</f>
        <v>0</v>
      </c>
      <c r="C191" s="144" t="n">
        <f aca="false">ExportRaw!$G191</f>
        <v>0</v>
      </c>
      <c r="D191" s="144" t="str">
        <f aca="false">ExportRaw!$E191</f>
        <v/>
      </c>
      <c r="E191" s="145" t="str">
        <f aca="false">ExportRaw!$D191</f>
        <v/>
      </c>
      <c r="F191" s="144" t="str">
        <f aca="false">ExportRaw!$H191</f>
        <v/>
      </c>
      <c r="G191" s="146" t="str">
        <f aca="false">ExportRaw!$I191</f>
        <v/>
      </c>
      <c r="H191" s="144" t="str">
        <f aca="false">ExportRaw!$A191</f>
        <v/>
      </c>
      <c r="I191" s="144" t="str">
        <f aca="false">ExportRaw!$B191</f>
        <v/>
      </c>
    </row>
    <row r="192" customFormat="false" ht="15.75" hidden="false" customHeight="false" outlineLevel="0" collapsed="false">
      <c r="A192" s="144" t="n">
        <f aca="false">ExportRaw!$F192</f>
        <v>0</v>
      </c>
      <c r="B192" s="144" t="n">
        <f aca="false">ExportRaw!$C192</f>
        <v>0</v>
      </c>
      <c r="C192" s="144" t="n">
        <f aca="false">ExportRaw!$G192</f>
        <v>0</v>
      </c>
      <c r="D192" s="144" t="str">
        <f aca="false">ExportRaw!$E192</f>
        <v/>
      </c>
      <c r="E192" s="145" t="str">
        <f aca="false">ExportRaw!$D192</f>
        <v/>
      </c>
      <c r="F192" s="144" t="str">
        <f aca="false">ExportRaw!$H192</f>
        <v/>
      </c>
      <c r="G192" s="146" t="str">
        <f aca="false">ExportRaw!$I192</f>
        <v/>
      </c>
      <c r="H192" s="144" t="str">
        <f aca="false">ExportRaw!$A192</f>
        <v/>
      </c>
      <c r="I192" s="144" t="str">
        <f aca="false">ExportRaw!$B192</f>
        <v/>
      </c>
    </row>
    <row r="193" customFormat="false" ht="15.75" hidden="false" customHeight="false" outlineLevel="0" collapsed="false">
      <c r="A193" s="144" t="n">
        <f aca="false">ExportRaw!$F193</f>
        <v>0</v>
      </c>
      <c r="B193" s="144" t="n">
        <f aca="false">ExportRaw!$C193</f>
        <v>0</v>
      </c>
      <c r="C193" s="144" t="n">
        <f aca="false">ExportRaw!$G193</f>
        <v>0</v>
      </c>
      <c r="D193" s="144" t="str">
        <f aca="false">ExportRaw!$E193</f>
        <v/>
      </c>
      <c r="E193" s="145" t="str">
        <f aca="false">ExportRaw!$D193</f>
        <v/>
      </c>
      <c r="F193" s="144" t="str">
        <f aca="false">ExportRaw!$H193</f>
        <v/>
      </c>
      <c r="G193" s="146" t="str">
        <f aca="false">ExportRaw!$I193</f>
        <v/>
      </c>
      <c r="H193" s="144" t="str">
        <f aca="false">ExportRaw!$A193</f>
        <v/>
      </c>
      <c r="I193" s="144" t="str">
        <f aca="false">ExportRaw!$B193</f>
        <v/>
      </c>
    </row>
    <row r="194" customFormat="false" ht="15.75" hidden="false" customHeight="false" outlineLevel="0" collapsed="false">
      <c r="A194" s="144" t="n">
        <f aca="false">ExportRaw!$F194</f>
        <v>0</v>
      </c>
      <c r="B194" s="144" t="n">
        <f aca="false">ExportRaw!$C194</f>
        <v>0</v>
      </c>
      <c r="C194" s="144" t="n">
        <f aca="false">ExportRaw!$G194</f>
        <v>0</v>
      </c>
      <c r="D194" s="144" t="str">
        <f aca="false">ExportRaw!$E194</f>
        <v/>
      </c>
      <c r="E194" s="145" t="str">
        <f aca="false">ExportRaw!$D194</f>
        <v/>
      </c>
      <c r="F194" s="144" t="str">
        <f aca="false">ExportRaw!$H194</f>
        <v/>
      </c>
      <c r="G194" s="146" t="str">
        <f aca="false">ExportRaw!$I194</f>
        <v/>
      </c>
      <c r="H194" s="144" t="str">
        <f aca="false">ExportRaw!$A194</f>
        <v/>
      </c>
      <c r="I194" s="144" t="str">
        <f aca="false">ExportRaw!$B194</f>
        <v/>
      </c>
    </row>
    <row r="195" customFormat="false" ht="15.75" hidden="false" customHeight="false" outlineLevel="0" collapsed="false">
      <c r="A195" s="144" t="n">
        <f aca="false">ExportRaw!$F195</f>
        <v>0</v>
      </c>
      <c r="B195" s="144" t="n">
        <f aca="false">ExportRaw!$C195</f>
        <v>0</v>
      </c>
      <c r="C195" s="144" t="n">
        <f aca="false">ExportRaw!$G195</f>
        <v>0</v>
      </c>
      <c r="D195" s="144" t="str">
        <f aca="false">ExportRaw!$E195</f>
        <v/>
      </c>
      <c r="E195" s="145" t="str">
        <f aca="false">ExportRaw!$D195</f>
        <v/>
      </c>
      <c r="F195" s="144" t="str">
        <f aca="false">ExportRaw!$H195</f>
        <v/>
      </c>
      <c r="G195" s="146" t="str">
        <f aca="false">ExportRaw!$I195</f>
        <v/>
      </c>
      <c r="H195" s="144" t="str">
        <f aca="false">ExportRaw!$A195</f>
        <v/>
      </c>
      <c r="I195" s="144" t="str">
        <f aca="false">ExportRaw!$B195</f>
        <v/>
      </c>
    </row>
    <row r="196" customFormat="false" ht="15.75" hidden="false" customHeight="false" outlineLevel="0" collapsed="false">
      <c r="A196" s="144" t="n">
        <f aca="false">ExportRaw!$F196</f>
        <v>0</v>
      </c>
      <c r="B196" s="144" t="n">
        <f aca="false">ExportRaw!$C196</f>
        <v>0</v>
      </c>
      <c r="C196" s="144" t="n">
        <f aca="false">ExportRaw!$G196</f>
        <v>0</v>
      </c>
      <c r="D196" s="144" t="str">
        <f aca="false">ExportRaw!$E196</f>
        <v/>
      </c>
      <c r="E196" s="145" t="str">
        <f aca="false">ExportRaw!$D196</f>
        <v/>
      </c>
      <c r="F196" s="144" t="str">
        <f aca="false">ExportRaw!$H196</f>
        <v/>
      </c>
      <c r="G196" s="146" t="str">
        <f aca="false">ExportRaw!$I196</f>
        <v/>
      </c>
      <c r="H196" s="144" t="str">
        <f aca="false">ExportRaw!$A196</f>
        <v/>
      </c>
      <c r="I196" s="144" t="str">
        <f aca="false">ExportRaw!$B196</f>
        <v/>
      </c>
    </row>
    <row r="197" customFormat="false" ht="15.75" hidden="false" customHeight="false" outlineLevel="0" collapsed="false">
      <c r="A197" s="144" t="n">
        <f aca="false">ExportRaw!$F197</f>
        <v>0</v>
      </c>
      <c r="B197" s="144" t="n">
        <f aca="false">ExportRaw!$C197</f>
        <v>0</v>
      </c>
      <c r="C197" s="144" t="n">
        <f aca="false">ExportRaw!$G197</f>
        <v>0</v>
      </c>
      <c r="D197" s="144" t="str">
        <f aca="false">ExportRaw!$E197</f>
        <v/>
      </c>
      <c r="E197" s="145" t="str">
        <f aca="false">ExportRaw!$D197</f>
        <v/>
      </c>
      <c r="F197" s="144" t="str">
        <f aca="false">ExportRaw!$H197</f>
        <v/>
      </c>
      <c r="G197" s="146" t="str">
        <f aca="false">ExportRaw!$I197</f>
        <v/>
      </c>
      <c r="H197" s="144" t="str">
        <f aca="false">ExportRaw!$A197</f>
        <v/>
      </c>
      <c r="I197" s="144" t="str">
        <f aca="false">ExportRaw!$B197</f>
        <v/>
      </c>
    </row>
    <row r="198" customFormat="false" ht="15.75" hidden="false" customHeight="false" outlineLevel="0" collapsed="false">
      <c r="A198" s="144" t="n">
        <f aca="false">ExportRaw!$F198</f>
        <v>0</v>
      </c>
      <c r="B198" s="144" t="n">
        <f aca="false">ExportRaw!$C198</f>
        <v>0</v>
      </c>
      <c r="C198" s="144" t="n">
        <f aca="false">ExportRaw!$G198</f>
        <v>0</v>
      </c>
      <c r="D198" s="144" t="str">
        <f aca="false">ExportRaw!$E198</f>
        <v/>
      </c>
      <c r="E198" s="145" t="str">
        <f aca="false">ExportRaw!$D198</f>
        <v/>
      </c>
      <c r="F198" s="144" t="str">
        <f aca="false">ExportRaw!$H198</f>
        <v/>
      </c>
      <c r="G198" s="146" t="str">
        <f aca="false">ExportRaw!$I198</f>
        <v/>
      </c>
      <c r="H198" s="144" t="str">
        <f aca="false">ExportRaw!$A198</f>
        <v/>
      </c>
      <c r="I198" s="144" t="str">
        <f aca="false">ExportRaw!$B198</f>
        <v/>
      </c>
    </row>
    <row r="199" customFormat="false" ht="15.75" hidden="false" customHeight="false" outlineLevel="0" collapsed="false">
      <c r="A199" s="144" t="n">
        <f aca="false">ExportRaw!$F199</f>
        <v>0</v>
      </c>
      <c r="B199" s="144" t="n">
        <f aca="false">ExportRaw!$C199</f>
        <v>0</v>
      </c>
      <c r="C199" s="144" t="n">
        <f aca="false">ExportRaw!$G199</f>
        <v>0</v>
      </c>
      <c r="D199" s="144" t="str">
        <f aca="false">ExportRaw!$E199</f>
        <v/>
      </c>
      <c r="E199" s="145" t="str">
        <f aca="false">ExportRaw!$D199</f>
        <v/>
      </c>
      <c r="F199" s="144" t="str">
        <f aca="false">ExportRaw!$H199</f>
        <v/>
      </c>
      <c r="G199" s="146" t="str">
        <f aca="false">ExportRaw!$I199</f>
        <v/>
      </c>
      <c r="H199" s="144" t="str">
        <f aca="false">ExportRaw!$A199</f>
        <v/>
      </c>
      <c r="I199" s="144" t="str">
        <f aca="false">ExportRaw!$B199</f>
        <v/>
      </c>
    </row>
    <row r="200" customFormat="false" ht="15.75" hidden="false" customHeight="false" outlineLevel="0" collapsed="false">
      <c r="A200" s="144" t="n">
        <f aca="false">ExportRaw!$F200</f>
        <v>0</v>
      </c>
      <c r="B200" s="144" t="n">
        <f aca="false">ExportRaw!$C200</f>
        <v>0</v>
      </c>
      <c r="C200" s="144" t="n">
        <f aca="false">ExportRaw!$G200</f>
        <v>0</v>
      </c>
      <c r="D200" s="144" t="str">
        <f aca="false">ExportRaw!$E200</f>
        <v/>
      </c>
      <c r="E200" s="145" t="str">
        <f aca="false">ExportRaw!$D200</f>
        <v/>
      </c>
      <c r="F200" s="144" t="str">
        <f aca="false">ExportRaw!$H200</f>
        <v/>
      </c>
      <c r="G200" s="146" t="str">
        <f aca="false">ExportRaw!$I200</f>
        <v/>
      </c>
      <c r="H200" s="144" t="str">
        <f aca="false">ExportRaw!$A200</f>
        <v/>
      </c>
      <c r="I200" s="144" t="str">
        <f aca="false">ExportRaw!$B200</f>
        <v/>
      </c>
    </row>
    <row r="201" customFormat="false" ht="15.75" hidden="false" customHeight="false" outlineLevel="0" collapsed="false">
      <c r="A201" s="144" t="n">
        <f aca="false">ExportRaw!$F201</f>
        <v>0</v>
      </c>
      <c r="B201" s="144" t="n">
        <f aca="false">ExportRaw!$C201</f>
        <v>0</v>
      </c>
      <c r="C201" s="144" t="n">
        <f aca="false">ExportRaw!$G201</f>
        <v>0</v>
      </c>
      <c r="D201" s="144" t="str">
        <f aca="false">ExportRaw!$E201</f>
        <v/>
      </c>
      <c r="E201" s="145" t="str">
        <f aca="false">ExportRaw!$D201</f>
        <v/>
      </c>
      <c r="F201" s="144" t="str">
        <f aca="false">ExportRaw!$H201</f>
        <v/>
      </c>
      <c r="G201" s="146" t="str">
        <f aca="false">ExportRaw!$I201</f>
        <v/>
      </c>
      <c r="H201" s="144" t="str">
        <f aca="false">ExportRaw!$A201</f>
        <v/>
      </c>
      <c r="I201" s="144" t="str">
        <f aca="false">ExportRaw!$B201</f>
        <v/>
      </c>
    </row>
    <row r="202" customFormat="false" ht="15.75" hidden="false" customHeight="false" outlineLevel="0" collapsed="false">
      <c r="A202" s="144" t="n">
        <f aca="false">ExportRaw!$F202</f>
        <v>0</v>
      </c>
      <c r="B202" s="144" t="n">
        <f aca="false">ExportRaw!$C202</f>
        <v>0</v>
      </c>
      <c r="C202" s="144" t="n">
        <f aca="false">ExportRaw!$G202</f>
        <v>0</v>
      </c>
      <c r="D202" s="144" t="str">
        <f aca="false">ExportRaw!$E202</f>
        <v/>
      </c>
      <c r="E202" s="145" t="str">
        <f aca="false">ExportRaw!$D202</f>
        <v/>
      </c>
      <c r="F202" s="144" t="str">
        <f aca="false">ExportRaw!$H202</f>
        <v/>
      </c>
      <c r="G202" s="146" t="str">
        <f aca="false">ExportRaw!$I202</f>
        <v/>
      </c>
      <c r="H202" s="144" t="str">
        <f aca="false">ExportRaw!$A202</f>
        <v/>
      </c>
      <c r="I202" s="144" t="str">
        <f aca="false">ExportRaw!$B202</f>
        <v/>
      </c>
    </row>
    <row r="203" customFormat="false" ht="15.75" hidden="false" customHeight="false" outlineLevel="0" collapsed="false">
      <c r="A203" s="144" t="n">
        <f aca="false">ExportRaw!$F203</f>
        <v>0</v>
      </c>
      <c r="B203" s="144" t="n">
        <f aca="false">ExportRaw!$C203</f>
        <v>0</v>
      </c>
      <c r="C203" s="144" t="n">
        <f aca="false">ExportRaw!$G203</f>
        <v>0</v>
      </c>
      <c r="D203" s="144" t="str">
        <f aca="false">ExportRaw!$E203</f>
        <v/>
      </c>
      <c r="E203" s="145" t="str">
        <f aca="false">ExportRaw!$D203</f>
        <v/>
      </c>
      <c r="F203" s="144" t="str">
        <f aca="false">ExportRaw!$H203</f>
        <v/>
      </c>
      <c r="G203" s="146" t="str">
        <f aca="false">ExportRaw!$I203</f>
        <v/>
      </c>
      <c r="H203" s="144" t="str">
        <f aca="false">ExportRaw!$A203</f>
        <v/>
      </c>
      <c r="I203" s="144" t="str">
        <f aca="false">ExportRaw!$B203</f>
        <v/>
      </c>
    </row>
    <row r="204" customFormat="false" ht="15.75" hidden="false" customHeight="false" outlineLevel="0" collapsed="false">
      <c r="A204" s="144" t="n">
        <f aca="false">ExportRaw!$F204</f>
        <v>0</v>
      </c>
      <c r="B204" s="144" t="n">
        <f aca="false">ExportRaw!$C204</f>
        <v>0</v>
      </c>
      <c r="C204" s="144" t="n">
        <f aca="false">ExportRaw!$G204</f>
        <v>0</v>
      </c>
      <c r="D204" s="144" t="str">
        <f aca="false">ExportRaw!$E204</f>
        <v/>
      </c>
      <c r="E204" s="145" t="str">
        <f aca="false">ExportRaw!$D204</f>
        <v/>
      </c>
      <c r="F204" s="144" t="str">
        <f aca="false">ExportRaw!$H204</f>
        <v/>
      </c>
      <c r="G204" s="146" t="str">
        <f aca="false">ExportRaw!$I204</f>
        <v/>
      </c>
      <c r="H204" s="144" t="str">
        <f aca="false">ExportRaw!$A204</f>
        <v/>
      </c>
      <c r="I204" s="144" t="str">
        <f aca="false">ExportRaw!$B204</f>
        <v/>
      </c>
    </row>
    <row r="205" customFormat="false" ht="15.75" hidden="false" customHeight="false" outlineLevel="0" collapsed="false">
      <c r="A205" s="144" t="n">
        <f aca="false">ExportRaw!$F205</f>
        <v>0</v>
      </c>
      <c r="B205" s="144" t="n">
        <f aca="false">ExportRaw!$C205</f>
        <v>0</v>
      </c>
      <c r="C205" s="144" t="n">
        <f aca="false">ExportRaw!$G205</f>
        <v>0</v>
      </c>
      <c r="D205" s="144" t="str">
        <f aca="false">ExportRaw!$E205</f>
        <v/>
      </c>
      <c r="E205" s="145" t="str">
        <f aca="false">ExportRaw!$D205</f>
        <v/>
      </c>
      <c r="F205" s="144" t="str">
        <f aca="false">ExportRaw!$H205</f>
        <v/>
      </c>
      <c r="G205" s="146" t="str">
        <f aca="false">ExportRaw!$I205</f>
        <v/>
      </c>
      <c r="H205" s="144" t="str">
        <f aca="false">ExportRaw!$A205</f>
        <v/>
      </c>
      <c r="I205" s="144" t="str">
        <f aca="false">ExportRaw!$B205</f>
        <v/>
      </c>
    </row>
    <row r="206" customFormat="false" ht="15.75" hidden="false" customHeight="false" outlineLevel="0" collapsed="false">
      <c r="A206" s="144" t="n">
        <f aca="false">ExportRaw!$F206</f>
        <v>0</v>
      </c>
      <c r="B206" s="144" t="n">
        <f aca="false">ExportRaw!$C206</f>
        <v>0</v>
      </c>
      <c r="C206" s="144" t="n">
        <f aca="false">ExportRaw!$G206</f>
        <v>0</v>
      </c>
      <c r="D206" s="144" t="str">
        <f aca="false">ExportRaw!$E206</f>
        <v/>
      </c>
      <c r="E206" s="145" t="str">
        <f aca="false">ExportRaw!$D206</f>
        <v/>
      </c>
      <c r="F206" s="144" t="str">
        <f aca="false">ExportRaw!$H206</f>
        <v/>
      </c>
      <c r="G206" s="146" t="str">
        <f aca="false">ExportRaw!$I206</f>
        <v/>
      </c>
      <c r="H206" s="144" t="str">
        <f aca="false">ExportRaw!$A206</f>
        <v/>
      </c>
      <c r="I206" s="144" t="str">
        <f aca="false">ExportRaw!$B206</f>
        <v/>
      </c>
    </row>
    <row r="207" customFormat="false" ht="15.75" hidden="false" customHeight="false" outlineLevel="0" collapsed="false">
      <c r="A207" s="144" t="n">
        <f aca="false">ExportRaw!$F207</f>
        <v>0</v>
      </c>
      <c r="B207" s="144" t="n">
        <f aca="false">ExportRaw!$C207</f>
        <v>0</v>
      </c>
      <c r="C207" s="144" t="n">
        <f aca="false">ExportRaw!$G207</f>
        <v>0</v>
      </c>
      <c r="D207" s="144" t="str">
        <f aca="false">ExportRaw!$E207</f>
        <v/>
      </c>
      <c r="E207" s="145" t="str">
        <f aca="false">ExportRaw!$D207</f>
        <v/>
      </c>
      <c r="F207" s="144" t="str">
        <f aca="false">ExportRaw!$H207</f>
        <v/>
      </c>
      <c r="G207" s="146" t="str">
        <f aca="false">ExportRaw!$I207</f>
        <v/>
      </c>
      <c r="H207" s="144" t="str">
        <f aca="false">ExportRaw!$A207</f>
        <v/>
      </c>
      <c r="I207" s="144" t="str">
        <f aca="false">ExportRaw!$B207</f>
        <v/>
      </c>
    </row>
    <row r="208" customFormat="false" ht="15.75" hidden="false" customHeight="false" outlineLevel="0" collapsed="false">
      <c r="A208" s="144" t="n">
        <f aca="false">ExportRaw!$F208</f>
        <v>0</v>
      </c>
      <c r="B208" s="144" t="n">
        <f aca="false">ExportRaw!$C208</f>
        <v>0</v>
      </c>
      <c r="C208" s="144" t="n">
        <f aca="false">ExportRaw!$G208</f>
        <v>0</v>
      </c>
      <c r="D208" s="144" t="str">
        <f aca="false">ExportRaw!$E208</f>
        <v/>
      </c>
      <c r="E208" s="145" t="str">
        <f aca="false">ExportRaw!$D208</f>
        <v/>
      </c>
      <c r="F208" s="144" t="str">
        <f aca="false">ExportRaw!$H208</f>
        <v/>
      </c>
      <c r="G208" s="146" t="str">
        <f aca="false">ExportRaw!$I208</f>
        <v/>
      </c>
      <c r="H208" s="144" t="str">
        <f aca="false">ExportRaw!$A208</f>
        <v/>
      </c>
      <c r="I208" s="144" t="str">
        <f aca="false">ExportRaw!$B208</f>
        <v/>
      </c>
    </row>
    <row r="209" customFormat="false" ht="15.75" hidden="false" customHeight="false" outlineLevel="0" collapsed="false">
      <c r="A209" s="144" t="n">
        <f aca="false">ExportRaw!$F209</f>
        <v>0</v>
      </c>
      <c r="B209" s="144" t="n">
        <f aca="false">ExportRaw!$C209</f>
        <v>0</v>
      </c>
      <c r="C209" s="144" t="n">
        <f aca="false">ExportRaw!$G209</f>
        <v>0</v>
      </c>
      <c r="D209" s="144" t="str">
        <f aca="false">ExportRaw!$E209</f>
        <v/>
      </c>
      <c r="E209" s="145" t="str">
        <f aca="false">ExportRaw!$D209</f>
        <v/>
      </c>
      <c r="F209" s="144" t="str">
        <f aca="false">ExportRaw!$H209</f>
        <v/>
      </c>
      <c r="G209" s="146" t="str">
        <f aca="false">ExportRaw!$I209</f>
        <v/>
      </c>
      <c r="H209" s="144" t="str">
        <f aca="false">ExportRaw!$A209</f>
        <v/>
      </c>
      <c r="I209" s="144" t="str">
        <f aca="false">ExportRaw!$B209</f>
        <v/>
      </c>
    </row>
    <row r="210" customFormat="false" ht="15.75" hidden="false" customHeight="false" outlineLevel="0" collapsed="false">
      <c r="A210" s="144" t="n">
        <f aca="false">ExportRaw!$F210</f>
        <v>0</v>
      </c>
      <c r="B210" s="144" t="n">
        <f aca="false">ExportRaw!$C210</f>
        <v>0</v>
      </c>
      <c r="C210" s="144" t="n">
        <f aca="false">ExportRaw!$G210</f>
        <v>0</v>
      </c>
      <c r="D210" s="144" t="str">
        <f aca="false">ExportRaw!$E210</f>
        <v/>
      </c>
      <c r="E210" s="145" t="str">
        <f aca="false">ExportRaw!$D210</f>
        <v/>
      </c>
      <c r="F210" s="144" t="str">
        <f aca="false">ExportRaw!$H210</f>
        <v/>
      </c>
      <c r="G210" s="146" t="str">
        <f aca="false">ExportRaw!$I210</f>
        <v/>
      </c>
      <c r="H210" s="144" t="str">
        <f aca="false">ExportRaw!$A210</f>
        <v/>
      </c>
      <c r="I210" s="144" t="str">
        <f aca="false">ExportRaw!$B210</f>
        <v/>
      </c>
    </row>
    <row r="211" customFormat="false" ht="15.75" hidden="false" customHeight="false" outlineLevel="0" collapsed="false">
      <c r="A211" s="144" t="n">
        <f aca="false">ExportRaw!$F211</f>
        <v>0</v>
      </c>
      <c r="B211" s="144" t="n">
        <f aca="false">ExportRaw!$C211</f>
        <v>0</v>
      </c>
      <c r="C211" s="144" t="n">
        <f aca="false">ExportRaw!$G211</f>
        <v>0</v>
      </c>
      <c r="D211" s="144" t="str">
        <f aca="false">ExportRaw!$E211</f>
        <v/>
      </c>
      <c r="E211" s="145" t="str">
        <f aca="false">ExportRaw!$D211</f>
        <v/>
      </c>
      <c r="F211" s="144" t="str">
        <f aca="false">ExportRaw!$H211</f>
        <v/>
      </c>
      <c r="G211" s="146" t="str">
        <f aca="false">ExportRaw!$I211</f>
        <v/>
      </c>
      <c r="H211" s="144" t="str">
        <f aca="false">ExportRaw!$A211</f>
        <v/>
      </c>
      <c r="I211" s="144" t="str">
        <f aca="false">ExportRaw!$B211</f>
        <v/>
      </c>
    </row>
    <row r="212" customFormat="false" ht="15.75" hidden="false" customHeight="false" outlineLevel="0" collapsed="false">
      <c r="A212" s="144" t="n">
        <f aca="false">ExportRaw!$F212</f>
        <v>0</v>
      </c>
      <c r="B212" s="144" t="n">
        <f aca="false">ExportRaw!$C212</f>
        <v>0</v>
      </c>
      <c r="C212" s="144" t="n">
        <f aca="false">ExportRaw!$G212</f>
        <v>0</v>
      </c>
      <c r="D212" s="144" t="str">
        <f aca="false">ExportRaw!$E212</f>
        <v/>
      </c>
      <c r="E212" s="145" t="str">
        <f aca="false">ExportRaw!$D212</f>
        <v/>
      </c>
      <c r="F212" s="144" t="str">
        <f aca="false">ExportRaw!$H212</f>
        <v/>
      </c>
      <c r="G212" s="146" t="str">
        <f aca="false">ExportRaw!$I212</f>
        <v/>
      </c>
      <c r="H212" s="144" t="str">
        <f aca="false">ExportRaw!$A212</f>
        <v/>
      </c>
      <c r="I212" s="144" t="str">
        <f aca="false">ExportRaw!$B212</f>
        <v/>
      </c>
    </row>
    <row r="213" customFormat="false" ht="15.75" hidden="false" customHeight="false" outlineLevel="0" collapsed="false">
      <c r="A213" s="144" t="n">
        <f aca="false">ExportRaw!$F213</f>
        <v>0</v>
      </c>
      <c r="B213" s="144" t="n">
        <f aca="false">ExportRaw!$C213</f>
        <v>0</v>
      </c>
      <c r="C213" s="144" t="n">
        <f aca="false">ExportRaw!$G213</f>
        <v>0</v>
      </c>
      <c r="D213" s="144" t="str">
        <f aca="false">ExportRaw!$E213</f>
        <v/>
      </c>
      <c r="E213" s="145" t="str">
        <f aca="false">ExportRaw!$D213</f>
        <v/>
      </c>
      <c r="F213" s="144" t="str">
        <f aca="false">ExportRaw!$H213</f>
        <v/>
      </c>
      <c r="G213" s="146" t="str">
        <f aca="false">ExportRaw!$I213</f>
        <v/>
      </c>
      <c r="H213" s="144" t="str">
        <f aca="false">ExportRaw!$A213</f>
        <v/>
      </c>
      <c r="I213" s="144" t="str">
        <f aca="false">ExportRaw!$B213</f>
        <v/>
      </c>
    </row>
    <row r="214" customFormat="false" ht="15.75" hidden="false" customHeight="false" outlineLevel="0" collapsed="false">
      <c r="A214" s="144" t="n">
        <f aca="false">ExportRaw!$F214</f>
        <v>0</v>
      </c>
      <c r="B214" s="144" t="n">
        <f aca="false">ExportRaw!$C214</f>
        <v>0</v>
      </c>
      <c r="C214" s="144" t="n">
        <f aca="false">ExportRaw!$G214</f>
        <v>0</v>
      </c>
      <c r="D214" s="144" t="str">
        <f aca="false">ExportRaw!$E214</f>
        <v/>
      </c>
      <c r="E214" s="145" t="str">
        <f aca="false">ExportRaw!$D214</f>
        <v/>
      </c>
      <c r="F214" s="144" t="str">
        <f aca="false">ExportRaw!$H214</f>
        <v/>
      </c>
      <c r="G214" s="146" t="str">
        <f aca="false">ExportRaw!$I214</f>
        <v/>
      </c>
      <c r="H214" s="144" t="str">
        <f aca="false">ExportRaw!$A214</f>
        <v/>
      </c>
      <c r="I214" s="144" t="str">
        <f aca="false">ExportRaw!$B214</f>
        <v/>
      </c>
    </row>
    <row r="215" customFormat="false" ht="15.75" hidden="false" customHeight="false" outlineLevel="0" collapsed="false">
      <c r="A215" s="144" t="n">
        <f aca="false">ExportRaw!$F215</f>
        <v>0</v>
      </c>
      <c r="B215" s="144" t="n">
        <f aca="false">ExportRaw!$C215</f>
        <v>0</v>
      </c>
      <c r="C215" s="144" t="n">
        <f aca="false">ExportRaw!$G215</f>
        <v>0</v>
      </c>
      <c r="D215" s="144" t="str">
        <f aca="false">ExportRaw!$E215</f>
        <v/>
      </c>
      <c r="E215" s="145" t="str">
        <f aca="false">ExportRaw!$D215</f>
        <v/>
      </c>
      <c r="F215" s="144" t="str">
        <f aca="false">ExportRaw!$H215</f>
        <v/>
      </c>
      <c r="G215" s="146" t="str">
        <f aca="false">ExportRaw!$I215</f>
        <v/>
      </c>
      <c r="H215" s="144" t="str">
        <f aca="false">ExportRaw!$A215</f>
        <v/>
      </c>
      <c r="I215" s="144" t="str">
        <f aca="false">ExportRaw!$B215</f>
        <v/>
      </c>
    </row>
    <row r="216" customFormat="false" ht="15.75" hidden="false" customHeight="false" outlineLevel="0" collapsed="false">
      <c r="A216" s="144" t="n">
        <f aca="false">ExportRaw!$F216</f>
        <v>0</v>
      </c>
      <c r="B216" s="144" t="n">
        <f aca="false">ExportRaw!$C216</f>
        <v>0</v>
      </c>
      <c r="C216" s="144" t="n">
        <f aca="false">ExportRaw!$G216</f>
        <v>0</v>
      </c>
      <c r="D216" s="144" t="str">
        <f aca="false">ExportRaw!$E216</f>
        <v/>
      </c>
      <c r="E216" s="145" t="str">
        <f aca="false">ExportRaw!$D216</f>
        <v/>
      </c>
      <c r="F216" s="144" t="str">
        <f aca="false">ExportRaw!$H216</f>
        <v/>
      </c>
      <c r="G216" s="146" t="str">
        <f aca="false">ExportRaw!$I216</f>
        <v/>
      </c>
      <c r="H216" s="144" t="str">
        <f aca="false">ExportRaw!$A216</f>
        <v/>
      </c>
      <c r="I216" s="144" t="str">
        <f aca="false">ExportRaw!$B216</f>
        <v/>
      </c>
    </row>
    <row r="217" customFormat="false" ht="15.75" hidden="false" customHeight="false" outlineLevel="0" collapsed="false">
      <c r="A217" s="144" t="n">
        <f aca="false">ExportRaw!$F217</f>
        <v>0</v>
      </c>
      <c r="B217" s="144" t="n">
        <f aca="false">ExportRaw!$C217</f>
        <v>0</v>
      </c>
      <c r="C217" s="144" t="n">
        <f aca="false">ExportRaw!$G217</f>
        <v>0</v>
      </c>
      <c r="D217" s="144" t="str">
        <f aca="false">ExportRaw!$E217</f>
        <v/>
      </c>
      <c r="E217" s="145" t="str">
        <f aca="false">ExportRaw!$D217</f>
        <v/>
      </c>
      <c r="F217" s="144" t="str">
        <f aca="false">ExportRaw!$H217</f>
        <v/>
      </c>
      <c r="G217" s="146" t="str">
        <f aca="false">ExportRaw!$I217</f>
        <v/>
      </c>
      <c r="H217" s="144" t="str">
        <f aca="false">ExportRaw!$A217</f>
        <v/>
      </c>
      <c r="I217" s="144" t="str">
        <f aca="false">ExportRaw!$B217</f>
        <v/>
      </c>
    </row>
    <row r="218" customFormat="false" ht="15.75" hidden="false" customHeight="false" outlineLevel="0" collapsed="false">
      <c r="A218" s="144" t="n">
        <f aca="false">ExportRaw!$F218</f>
        <v>0</v>
      </c>
      <c r="B218" s="144" t="n">
        <f aca="false">ExportRaw!$C218</f>
        <v>0</v>
      </c>
      <c r="C218" s="144" t="n">
        <f aca="false">ExportRaw!$G218</f>
        <v>0</v>
      </c>
      <c r="D218" s="144" t="str">
        <f aca="false">ExportRaw!$E218</f>
        <v/>
      </c>
      <c r="E218" s="145" t="str">
        <f aca="false">ExportRaw!$D218</f>
        <v/>
      </c>
      <c r="F218" s="144" t="str">
        <f aca="false">ExportRaw!$H218</f>
        <v/>
      </c>
      <c r="G218" s="146" t="str">
        <f aca="false">ExportRaw!$I218</f>
        <v/>
      </c>
      <c r="H218" s="144" t="str">
        <f aca="false">ExportRaw!$A218</f>
        <v/>
      </c>
      <c r="I218" s="144" t="str">
        <f aca="false">ExportRaw!$B218</f>
        <v/>
      </c>
    </row>
    <row r="219" customFormat="false" ht="15.75" hidden="false" customHeight="false" outlineLevel="0" collapsed="false">
      <c r="A219" s="144" t="n">
        <f aca="false">ExportRaw!$F219</f>
        <v>0</v>
      </c>
      <c r="B219" s="144" t="n">
        <f aca="false">ExportRaw!$C219</f>
        <v>0</v>
      </c>
      <c r="C219" s="144" t="n">
        <f aca="false">ExportRaw!$G219</f>
        <v>0</v>
      </c>
      <c r="D219" s="144" t="str">
        <f aca="false">ExportRaw!$E219</f>
        <v/>
      </c>
      <c r="E219" s="145" t="str">
        <f aca="false">ExportRaw!$D219</f>
        <v/>
      </c>
      <c r="F219" s="144" t="str">
        <f aca="false">ExportRaw!$H219</f>
        <v/>
      </c>
      <c r="G219" s="146" t="str">
        <f aca="false">ExportRaw!$I219</f>
        <v/>
      </c>
      <c r="H219" s="144" t="str">
        <f aca="false">ExportRaw!$A219</f>
        <v/>
      </c>
      <c r="I219" s="144" t="str">
        <f aca="false">ExportRaw!$B219</f>
        <v/>
      </c>
    </row>
    <row r="220" customFormat="false" ht="15.75" hidden="false" customHeight="false" outlineLevel="0" collapsed="false">
      <c r="A220" s="144" t="n">
        <f aca="false">ExportRaw!$F220</f>
        <v>0</v>
      </c>
      <c r="B220" s="144" t="n">
        <f aca="false">ExportRaw!$C220</f>
        <v>0</v>
      </c>
      <c r="C220" s="144" t="n">
        <f aca="false">ExportRaw!$G220</f>
        <v>0</v>
      </c>
      <c r="D220" s="144" t="str">
        <f aca="false">ExportRaw!$E220</f>
        <v/>
      </c>
      <c r="E220" s="145" t="str">
        <f aca="false">ExportRaw!$D220</f>
        <v/>
      </c>
      <c r="F220" s="144" t="str">
        <f aca="false">ExportRaw!$H220</f>
        <v/>
      </c>
      <c r="G220" s="146" t="str">
        <f aca="false">ExportRaw!$I220</f>
        <v/>
      </c>
      <c r="H220" s="144" t="str">
        <f aca="false">ExportRaw!$A220</f>
        <v/>
      </c>
      <c r="I220" s="144" t="str">
        <f aca="false">ExportRaw!$B220</f>
        <v/>
      </c>
    </row>
    <row r="221" customFormat="false" ht="15.75" hidden="false" customHeight="false" outlineLevel="0" collapsed="false">
      <c r="A221" s="144" t="n">
        <f aca="false">ExportRaw!$F221</f>
        <v>0</v>
      </c>
      <c r="B221" s="144" t="n">
        <f aca="false">ExportRaw!$C221</f>
        <v>0</v>
      </c>
      <c r="C221" s="144" t="n">
        <f aca="false">ExportRaw!$G221</f>
        <v>0</v>
      </c>
      <c r="D221" s="144" t="str">
        <f aca="false">ExportRaw!$E221</f>
        <v/>
      </c>
      <c r="E221" s="145" t="str">
        <f aca="false">ExportRaw!$D221</f>
        <v/>
      </c>
      <c r="F221" s="144" t="str">
        <f aca="false">ExportRaw!$H221</f>
        <v/>
      </c>
      <c r="G221" s="146" t="str">
        <f aca="false">ExportRaw!$I221</f>
        <v/>
      </c>
      <c r="H221" s="144" t="str">
        <f aca="false">ExportRaw!$A221</f>
        <v/>
      </c>
      <c r="I221" s="144" t="str">
        <f aca="false">ExportRaw!$B221</f>
        <v/>
      </c>
    </row>
    <row r="222" customFormat="false" ht="15.75" hidden="false" customHeight="false" outlineLevel="0" collapsed="false">
      <c r="A222" s="144" t="n">
        <f aca="false">ExportRaw!$F222</f>
        <v>0</v>
      </c>
      <c r="B222" s="144" t="n">
        <f aca="false">ExportRaw!$C222</f>
        <v>0</v>
      </c>
      <c r="C222" s="144" t="n">
        <f aca="false">ExportRaw!$G222</f>
        <v>0</v>
      </c>
      <c r="D222" s="144" t="str">
        <f aca="false">ExportRaw!$E222</f>
        <v/>
      </c>
      <c r="E222" s="145" t="str">
        <f aca="false">ExportRaw!$D222</f>
        <v/>
      </c>
      <c r="F222" s="144" t="str">
        <f aca="false">ExportRaw!$H222</f>
        <v/>
      </c>
      <c r="G222" s="146" t="str">
        <f aca="false">ExportRaw!$I222</f>
        <v/>
      </c>
      <c r="H222" s="144" t="str">
        <f aca="false">ExportRaw!$A222</f>
        <v/>
      </c>
      <c r="I222" s="144" t="str">
        <f aca="false">ExportRaw!$B222</f>
        <v/>
      </c>
    </row>
    <row r="223" customFormat="false" ht="15.75" hidden="false" customHeight="false" outlineLevel="0" collapsed="false">
      <c r="A223" s="144" t="n">
        <f aca="false">ExportRaw!$F223</f>
        <v>0</v>
      </c>
      <c r="B223" s="144" t="n">
        <f aca="false">ExportRaw!$C223</f>
        <v>0</v>
      </c>
      <c r="C223" s="144" t="n">
        <f aca="false">ExportRaw!$G223</f>
        <v>0</v>
      </c>
      <c r="D223" s="144" t="str">
        <f aca="false">ExportRaw!$E223</f>
        <v/>
      </c>
      <c r="E223" s="145" t="str">
        <f aca="false">ExportRaw!$D223</f>
        <v/>
      </c>
      <c r="F223" s="144" t="str">
        <f aca="false">ExportRaw!$H223</f>
        <v/>
      </c>
      <c r="G223" s="146" t="str">
        <f aca="false">ExportRaw!$I223</f>
        <v/>
      </c>
      <c r="H223" s="144" t="str">
        <f aca="false">ExportRaw!$A223</f>
        <v/>
      </c>
      <c r="I223" s="144" t="str">
        <f aca="false">ExportRaw!$B223</f>
        <v/>
      </c>
    </row>
    <row r="224" customFormat="false" ht="15.75" hidden="false" customHeight="false" outlineLevel="0" collapsed="false">
      <c r="A224" s="144" t="n">
        <f aca="false">ExportRaw!$F224</f>
        <v>0</v>
      </c>
      <c r="B224" s="144" t="n">
        <f aca="false">ExportRaw!$C224</f>
        <v>0</v>
      </c>
      <c r="C224" s="144" t="n">
        <f aca="false">ExportRaw!$G224</f>
        <v>0</v>
      </c>
      <c r="D224" s="144" t="str">
        <f aca="false">ExportRaw!$E224</f>
        <v/>
      </c>
      <c r="E224" s="145" t="str">
        <f aca="false">ExportRaw!$D224</f>
        <v/>
      </c>
      <c r="F224" s="144" t="str">
        <f aca="false">ExportRaw!$H224</f>
        <v/>
      </c>
      <c r="G224" s="146" t="str">
        <f aca="false">ExportRaw!$I224</f>
        <v/>
      </c>
      <c r="H224" s="144" t="str">
        <f aca="false">ExportRaw!$A224</f>
        <v/>
      </c>
      <c r="I224" s="144" t="str">
        <f aca="false">ExportRaw!$B224</f>
        <v/>
      </c>
    </row>
    <row r="225" customFormat="false" ht="15.75" hidden="false" customHeight="false" outlineLevel="0" collapsed="false">
      <c r="A225" s="144" t="n">
        <f aca="false">ExportRaw!$F225</f>
        <v>0</v>
      </c>
      <c r="B225" s="144" t="n">
        <f aca="false">ExportRaw!$C225</f>
        <v>0</v>
      </c>
      <c r="C225" s="144" t="n">
        <f aca="false">ExportRaw!$G225</f>
        <v>0</v>
      </c>
      <c r="D225" s="144" t="str">
        <f aca="false">ExportRaw!$E225</f>
        <v/>
      </c>
      <c r="E225" s="145" t="str">
        <f aca="false">ExportRaw!$D225</f>
        <v/>
      </c>
      <c r="F225" s="144" t="str">
        <f aca="false">ExportRaw!$H225</f>
        <v/>
      </c>
      <c r="G225" s="146" t="str">
        <f aca="false">ExportRaw!$I225</f>
        <v/>
      </c>
      <c r="H225" s="144" t="str">
        <f aca="false">ExportRaw!$A225</f>
        <v/>
      </c>
      <c r="I225" s="144" t="str">
        <f aca="false">ExportRaw!$B225</f>
        <v/>
      </c>
    </row>
    <row r="226" customFormat="false" ht="15.75" hidden="false" customHeight="false" outlineLevel="0" collapsed="false">
      <c r="A226" s="144" t="n">
        <f aca="false">ExportRaw!$F226</f>
        <v>0</v>
      </c>
      <c r="B226" s="144" t="n">
        <f aca="false">ExportRaw!$C226</f>
        <v>0</v>
      </c>
      <c r="C226" s="144" t="n">
        <f aca="false">ExportRaw!$G226</f>
        <v>0</v>
      </c>
      <c r="D226" s="144" t="str">
        <f aca="false">ExportRaw!$E226</f>
        <v/>
      </c>
      <c r="E226" s="145" t="str">
        <f aca="false">ExportRaw!$D226</f>
        <v/>
      </c>
      <c r="F226" s="144" t="str">
        <f aca="false">ExportRaw!$H226</f>
        <v/>
      </c>
      <c r="G226" s="146" t="str">
        <f aca="false">ExportRaw!$I226</f>
        <v/>
      </c>
      <c r="H226" s="144" t="str">
        <f aca="false">ExportRaw!$A226</f>
        <v/>
      </c>
      <c r="I226" s="144" t="str">
        <f aca="false">ExportRaw!$B226</f>
        <v/>
      </c>
    </row>
    <row r="227" customFormat="false" ht="15.75" hidden="false" customHeight="false" outlineLevel="0" collapsed="false">
      <c r="A227" s="144" t="n">
        <f aca="false">ExportRaw!$F227</f>
        <v>0</v>
      </c>
      <c r="B227" s="144" t="n">
        <f aca="false">ExportRaw!$C227</f>
        <v>0</v>
      </c>
      <c r="C227" s="144" t="n">
        <f aca="false">ExportRaw!$G227</f>
        <v>0</v>
      </c>
      <c r="D227" s="144" t="str">
        <f aca="false">ExportRaw!$E227</f>
        <v/>
      </c>
      <c r="E227" s="145" t="str">
        <f aca="false">ExportRaw!$D227</f>
        <v/>
      </c>
      <c r="F227" s="144" t="str">
        <f aca="false">ExportRaw!$H227</f>
        <v/>
      </c>
      <c r="G227" s="146" t="str">
        <f aca="false">ExportRaw!$I227</f>
        <v/>
      </c>
      <c r="H227" s="144" t="str">
        <f aca="false">ExportRaw!$A227</f>
        <v/>
      </c>
      <c r="I227" s="144" t="str">
        <f aca="false">ExportRaw!$B227</f>
        <v/>
      </c>
    </row>
    <row r="228" customFormat="false" ht="15.75" hidden="false" customHeight="false" outlineLevel="0" collapsed="false">
      <c r="A228" s="144" t="n">
        <f aca="false">ExportRaw!$F228</f>
        <v>0</v>
      </c>
      <c r="B228" s="144" t="n">
        <f aca="false">ExportRaw!$C228</f>
        <v>0</v>
      </c>
      <c r="C228" s="144" t="n">
        <f aca="false">ExportRaw!$G228</f>
        <v>0</v>
      </c>
      <c r="D228" s="144" t="str">
        <f aca="false">ExportRaw!$E228</f>
        <v/>
      </c>
      <c r="E228" s="145" t="str">
        <f aca="false">ExportRaw!$D228</f>
        <v/>
      </c>
      <c r="F228" s="144" t="str">
        <f aca="false">ExportRaw!$H228</f>
        <v/>
      </c>
      <c r="G228" s="146" t="str">
        <f aca="false">ExportRaw!$I228</f>
        <v/>
      </c>
      <c r="H228" s="144" t="str">
        <f aca="false">ExportRaw!$A228</f>
        <v/>
      </c>
      <c r="I228" s="144" t="str">
        <f aca="false">ExportRaw!$B228</f>
        <v/>
      </c>
    </row>
    <row r="229" customFormat="false" ht="15.75" hidden="false" customHeight="false" outlineLevel="0" collapsed="false">
      <c r="A229" s="144" t="n">
        <f aca="false">ExportRaw!$F229</f>
        <v>0</v>
      </c>
      <c r="B229" s="144" t="n">
        <f aca="false">ExportRaw!$C229</f>
        <v>0</v>
      </c>
      <c r="C229" s="144" t="n">
        <f aca="false">ExportRaw!$G229</f>
        <v>0</v>
      </c>
      <c r="D229" s="144" t="str">
        <f aca="false">ExportRaw!$E229</f>
        <v/>
      </c>
      <c r="E229" s="145" t="str">
        <f aca="false">ExportRaw!$D229</f>
        <v/>
      </c>
      <c r="F229" s="144" t="str">
        <f aca="false">ExportRaw!$H229</f>
        <v/>
      </c>
      <c r="G229" s="146" t="str">
        <f aca="false">ExportRaw!$I229</f>
        <v/>
      </c>
      <c r="H229" s="144" t="str">
        <f aca="false">ExportRaw!$A229</f>
        <v/>
      </c>
      <c r="I229" s="144" t="str">
        <f aca="false">ExportRaw!$B229</f>
        <v/>
      </c>
    </row>
    <row r="230" customFormat="false" ht="15.75" hidden="false" customHeight="false" outlineLevel="0" collapsed="false">
      <c r="A230" s="144" t="n">
        <f aca="false">ExportRaw!$F230</f>
        <v>0</v>
      </c>
      <c r="B230" s="144" t="n">
        <f aca="false">ExportRaw!$C230</f>
        <v>0</v>
      </c>
      <c r="C230" s="144" t="n">
        <f aca="false">ExportRaw!$G230</f>
        <v>0</v>
      </c>
      <c r="D230" s="144" t="str">
        <f aca="false">ExportRaw!$E230</f>
        <v/>
      </c>
      <c r="E230" s="145" t="str">
        <f aca="false">ExportRaw!$D230</f>
        <v/>
      </c>
      <c r="F230" s="144" t="str">
        <f aca="false">ExportRaw!$H230</f>
        <v/>
      </c>
      <c r="G230" s="146" t="str">
        <f aca="false">ExportRaw!$I230</f>
        <v/>
      </c>
      <c r="H230" s="144" t="str">
        <f aca="false">ExportRaw!$A230</f>
        <v/>
      </c>
      <c r="I230" s="144" t="str">
        <f aca="false">ExportRaw!$B230</f>
        <v/>
      </c>
    </row>
    <row r="231" customFormat="false" ht="15.75" hidden="false" customHeight="false" outlineLevel="0" collapsed="false">
      <c r="A231" s="144" t="n">
        <f aca="false">ExportRaw!$F231</f>
        <v>0</v>
      </c>
      <c r="B231" s="144" t="n">
        <f aca="false">ExportRaw!$C231</f>
        <v>0</v>
      </c>
      <c r="C231" s="144" t="n">
        <f aca="false">ExportRaw!$G231</f>
        <v>0</v>
      </c>
      <c r="D231" s="144" t="str">
        <f aca="false">ExportRaw!$E231</f>
        <v/>
      </c>
      <c r="E231" s="145" t="str">
        <f aca="false">ExportRaw!$D231</f>
        <v/>
      </c>
      <c r="F231" s="144" t="str">
        <f aca="false">ExportRaw!$H231</f>
        <v/>
      </c>
      <c r="G231" s="146" t="str">
        <f aca="false">ExportRaw!$I231</f>
        <v/>
      </c>
      <c r="H231" s="144" t="str">
        <f aca="false">ExportRaw!$A231</f>
        <v/>
      </c>
      <c r="I231" s="144" t="str">
        <f aca="false">ExportRaw!$B231</f>
        <v/>
      </c>
    </row>
    <row r="232" customFormat="false" ht="15.75" hidden="false" customHeight="false" outlineLevel="0" collapsed="false">
      <c r="A232" s="144" t="n">
        <f aca="false">ExportRaw!$F232</f>
        <v>0</v>
      </c>
      <c r="B232" s="144" t="n">
        <f aca="false">ExportRaw!$C232</f>
        <v>0</v>
      </c>
      <c r="C232" s="144" t="n">
        <f aca="false">ExportRaw!$G232</f>
        <v>0</v>
      </c>
      <c r="D232" s="144" t="str">
        <f aca="false">ExportRaw!$E232</f>
        <v/>
      </c>
      <c r="E232" s="145" t="str">
        <f aca="false">ExportRaw!$D232</f>
        <v/>
      </c>
      <c r="F232" s="144" t="str">
        <f aca="false">ExportRaw!$H232</f>
        <v/>
      </c>
      <c r="G232" s="146" t="str">
        <f aca="false">ExportRaw!$I232</f>
        <v/>
      </c>
      <c r="H232" s="144" t="str">
        <f aca="false">ExportRaw!$A232</f>
        <v/>
      </c>
      <c r="I232" s="144" t="str">
        <f aca="false">ExportRaw!$B232</f>
        <v/>
      </c>
    </row>
    <row r="233" customFormat="false" ht="15.75" hidden="false" customHeight="false" outlineLevel="0" collapsed="false">
      <c r="A233" s="144" t="n">
        <f aca="false">ExportRaw!$F233</f>
        <v>0</v>
      </c>
      <c r="B233" s="144" t="n">
        <f aca="false">ExportRaw!$C233</f>
        <v>0</v>
      </c>
      <c r="C233" s="144" t="n">
        <f aca="false">ExportRaw!$G233</f>
        <v>0</v>
      </c>
      <c r="D233" s="144" t="str">
        <f aca="false">ExportRaw!$E233</f>
        <v/>
      </c>
      <c r="E233" s="145" t="str">
        <f aca="false">ExportRaw!$D233</f>
        <v/>
      </c>
      <c r="F233" s="144" t="str">
        <f aca="false">ExportRaw!$H233</f>
        <v/>
      </c>
      <c r="G233" s="146" t="str">
        <f aca="false">ExportRaw!$I233</f>
        <v/>
      </c>
      <c r="H233" s="144" t="str">
        <f aca="false">ExportRaw!$A233</f>
        <v/>
      </c>
      <c r="I233" s="144" t="str">
        <f aca="false">ExportRaw!$B233</f>
        <v/>
      </c>
    </row>
    <row r="234" customFormat="false" ht="15.75" hidden="false" customHeight="false" outlineLevel="0" collapsed="false">
      <c r="A234" s="144" t="n">
        <f aca="false">ExportRaw!$F234</f>
        <v>0</v>
      </c>
      <c r="B234" s="144" t="n">
        <f aca="false">ExportRaw!$C234</f>
        <v>0</v>
      </c>
      <c r="C234" s="144" t="n">
        <f aca="false">ExportRaw!$G234</f>
        <v>0</v>
      </c>
      <c r="D234" s="144" t="str">
        <f aca="false">ExportRaw!$E234</f>
        <v/>
      </c>
      <c r="E234" s="145" t="str">
        <f aca="false">ExportRaw!$D234</f>
        <v/>
      </c>
      <c r="F234" s="144" t="str">
        <f aca="false">ExportRaw!$H234</f>
        <v/>
      </c>
      <c r="G234" s="146" t="str">
        <f aca="false">ExportRaw!$I234</f>
        <v/>
      </c>
      <c r="H234" s="144" t="str">
        <f aca="false">ExportRaw!$A234</f>
        <v/>
      </c>
      <c r="I234" s="144" t="str">
        <f aca="false">ExportRaw!$B234</f>
        <v/>
      </c>
    </row>
    <row r="235" customFormat="false" ht="15.75" hidden="false" customHeight="false" outlineLevel="0" collapsed="false">
      <c r="A235" s="144" t="n">
        <f aca="false">ExportRaw!$F235</f>
        <v>0</v>
      </c>
      <c r="B235" s="144" t="n">
        <f aca="false">ExportRaw!$C235</f>
        <v>0</v>
      </c>
      <c r="C235" s="144" t="n">
        <f aca="false">ExportRaw!$G235</f>
        <v>0</v>
      </c>
      <c r="D235" s="144" t="str">
        <f aca="false">ExportRaw!$E235</f>
        <v/>
      </c>
      <c r="E235" s="145" t="str">
        <f aca="false">ExportRaw!$D235</f>
        <v/>
      </c>
      <c r="F235" s="144" t="str">
        <f aca="false">ExportRaw!$H235</f>
        <v/>
      </c>
      <c r="G235" s="146" t="str">
        <f aca="false">ExportRaw!$I235</f>
        <v/>
      </c>
      <c r="H235" s="144" t="str">
        <f aca="false">ExportRaw!$A235</f>
        <v/>
      </c>
      <c r="I235" s="144" t="str">
        <f aca="false">ExportRaw!$B235</f>
        <v/>
      </c>
    </row>
    <row r="236" customFormat="false" ht="15.75" hidden="false" customHeight="false" outlineLevel="0" collapsed="false">
      <c r="A236" s="144" t="n">
        <f aca="false">ExportRaw!$F236</f>
        <v>0</v>
      </c>
      <c r="B236" s="144" t="n">
        <f aca="false">ExportRaw!$C236</f>
        <v>0</v>
      </c>
      <c r="C236" s="144" t="n">
        <f aca="false">ExportRaw!$G236</f>
        <v>0</v>
      </c>
      <c r="D236" s="144" t="str">
        <f aca="false">ExportRaw!$E236</f>
        <v/>
      </c>
      <c r="E236" s="145" t="str">
        <f aca="false">ExportRaw!$D236</f>
        <v/>
      </c>
      <c r="F236" s="144" t="str">
        <f aca="false">ExportRaw!$H236</f>
        <v/>
      </c>
      <c r="G236" s="146" t="str">
        <f aca="false">ExportRaw!$I236</f>
        <v/>
      </c>
      <c r="H236" s="144" t="str">
        <f aca="false">ExportRaw!$A236</f>
        <v/>
      </c>
      <c r="I236" s="144" t="str">
        <f aca="false">ExportRaw!$B236</f>
        <v/>
      </c>
    </row>
    <row r="237" customFormat="false" ht="15.75" hidden="false" customHeight="false" outlineLevel="0" collapsed="false">
      <c r="A237" s="144" t="n">
        <f aca="false">ExportRaw!$F237</f>
        <v>0</v>
      </c>
      <c r="B237" s="144" t="n">
        <f aca="false">ExportRaw!$C237</f>
        <v>0</v>
      </c>
      <c r="C237" s="144" t="n">
        <f aca="false">ExportRaw!$G237</f>
        <v>0</v>
      </c>
      <c r="D237" s="144" t="str">
        <f aca="false">ExportRaw!$E237</f>
        <v/>
      </c>
      <c r="E237" s="145" t="str">
        <f aca="false">ExportRaw!$D237</f>
        <v/>
      </c>
      <c r="F237" s="144" t="str">
        <f aca="false">ExportRaw!$H237</f>
        <v/>
      </c>
      <c r="G237" s="146" t="str">
        <f aca="false">ExportRaw!$I237</f>
        <v/>
      </c>
      <c r="H237" s="144" t="str">
        <f aca="false">ExportRaw!$A237</f>
        <v/>
      </c>
      <c r="I237" s="144" t="str">
        <f aca="false">ExportRaw!$B237</f>
        <v/>
      </c>
    </row>
    <row r="238" customFormat="false" ht="15.75" hidden="false" customHeight="false" outlineLevel="0" collapsed="false">
      <c r="A238" s="144" t="n">
        <f aca="false">ExportRaw!$F238</f>
        <v>0</v>
      </c>
      <c r="B238" s="144" t="n">
        <f aca="false">ExportRaw!$C238</f>
        <v>0</v>
      </c>
      <c r="C238" s="144" t="n">
        <f aca="false">ExportRaw!$G238</f>
        <v>0</v>
      </c>
      <c r="D238" s="144" t="str">
        <f aca="false">ExportRaw!$E238</f>
        <v/>
      </c>
      <c r="E238" s="145" t="str">
        <f aca="false">ExportRaw!$D238</f>
        <v/>
      </c>
      <c r="F238" s="144" t="str">
        <f aca="false">ExportRaw!$H238</f>
        <v/>
      </c>
      <c r="G238" s="146" t="str">
        <f aca="false">ExportRaw!$I238</f>
        <v/>
      </c>
      <c r="H238" s="144" t="str">
        <f aca="false">ExportRaw!$A238</f>
        <v/>
      </c>
      <c r="I238" s="144" t="str">
        <f aca="false">ExportRaw!$B238</f>
        <v/>
      </c>
    </row>
    <row r="239" customFormat="false" ht="15.75" hidden="false" customHeight="false" outlineLevel="0" collapsed="false">
      <c r="A239" s="144" t="n">
        <f aca="false">ExportRaw!$F239</f>
        <v>0</v>
      </c>
      <c r="B239" s="144" t="n">
        <f aca="false">ExportRaw!$C239</f>
        <v>0</v>
      </c>
      <c r="C239" s="144" t="n">
        <f aca="false">ExportRaw!$G239</f>
        <v>0</v>
      </c>
      <c r="D239" s="144" t="str">
        <f aca="false">ExportRaw!$E239</f>
        <v/>
      </c>
      <c r="E239" s="145" t="str">
        <f aca="false">ExportRaw!$D239</f>
        <v/>
      </c>
      <c r="F239" s="144" t="str">
        <f aca="false">ExportRaw!$H239</f>
        <v/>
      </c>
      <c r="G239" s="146" t="str">
        <f aca="false">ExportRaw!$I239</f>
        <v/>
      </c>
      <c r="H239" s="144" t="str">
        <f aca="false">ExportRaw!$A239</f>
        <v/>
      </c>
      <c r="I239" s="144" t="str">
        <f aca="false">ExportRaw!$B239</f>
        <v/>
      </c>
    </row>
    <row r="240" customFormat="false" ht="15.75" hidden="false" customHeight="false" outlineLevel="0" collapsed="false">
      <c r="A240" s="144" t="n">
        <f aca="false">ExportRaw!$F240</f>
        <v>0</v>
      </c>
      <c r="B240" s="144" t="n">
        <f aca="false">ExportRaw!$C240</f>
        <v>0</v>
      </c>
      <c r="C240" s="144" t="n">
        <f aca="false">ExportRaw!$G240</f>
        <v>0</v>
      </c>
      <c r="D240" s="144" t="str">
        <f aca="false">ExportRaw!$E240</f>
        <v/>
      </c>
      <c r="E240" s="145" t="str">
        <f aca="false">ExportRaw!$D240</f>
        <v/>
      </c>
      <c r="F240" s="144" t="str">
        <f aca="false">ExportRaw!$H240</f>
        <v/>
      </c>
      <c r="G240" s="146" t="str">
        <f aca="false">ExportRaw!$I240</f>
        <v/>
      </c>
      <c r="H240" s="144" t="str">
        <f aca="false">ExportRaw!$A240</f>
        <v/>
      </c>
      <c r="I240" s="144" t="str">
        <f aca="false">ExportRaw!$B240</f>
        <v/>
      </c>
    </row>
    <row r="241" customFormat="false" ht="15.75" hidden="false" customHeight="false" outlineLevel="0" collapsed="false">
      <c r="A241" s="144" t="n">
        <f aca="false">ExportRaw!$F241</f>
        <v>0</v>
      </c>
      <c r="B241" s="144" t="n">
        <f aca="false">ExportRaw!$C241</f>
        <v>0</v>
      </c>
      <c r="C241" s="144" t="n">
        <f aca="false">ExportRaw!$G241</f>
        <v>0</v>
      </c>
      <c r="D241" s="144" t="str">
        <f aca="false">ExportRaw!$E241</f>
        <v/>
      </c>
      <c r="E241" s="145" t="str">
        <f aca="false">ExportRaw!$D241</f>
        <v/>
      </c>
      <c r="F241" s="144" t="str">
        <f aca="false">ExportRaw!$H241</f>
        <v/>
      </c>
      <c r="G241" s="146" t="str">
        <f aca="false">ExportRaw!$I241</f>
        <v/>
      </c>
      <c r="H241" s="144" t="str">
        <f aca="false">ExportRaw!$A241</f>
        <v/>
      </c>
      <c r="I241" s="144" t="str">
        <f aca="false">ExportRaw!$B241</f>
        <v/>
      </c>
    </row>
    <row r="242" customFormat="false" ht="15.75" hidden="false" customHeight="false" outlineLevel="0" collapsed="false">
      <c r="A242" s="144" t="n">
        <f aca="false">ExportRaw!$F242</f>
        <v>0</v>
      </c>
      <c r="B242" s="144" t="n">
        <f aca="false">ExportRaw!$C242</f>
        <v>0</v>
      </c>
      <c r="C242" s="144" t="n">
        <f aca="false">ExportRaw!$G242</f>
        <v>0</v>
      </c>
      <c r="D242" s="144" t="str">
        <f aca="false">ExportRaw!$E242</f>
        <v/>
      </c>
      <c r="E242" s="145" t="str">
        <f aca="false">ExportRaw!$D242</f>
        <v/>
      </c>
      <c r="F242" s="144" t="str">
        <f aca="false">ExportRaw!$H242</f>
        <v/>
      </c>
      <c r="G242" s="146" t="str">
        <f aca="false">ExportRaw!$I242</f>
        <v/>
      </c>
      <c r="H242" s="144" t="str">
        <f aca="false">ExportRaw!$A242</f>
        <v/>
      </c>
      <c r="I242" s="144" t="str">
        <f aca="false">ExportRaw!$B242</f>
        <v/>
      </c>
    </row>
    <row r="243" customFormat="false" ht="15.75" hidden="false" customHeight="false" outlineLevel="0" collapsed="false">
      <c r="A243" s="144" t="n">
        <f aca="false">ExportRaw!$F243</f>
        <v>0</v>
      </c>
      <c r="B243" s="144" t="n">
        <f aca="false">ExportRaw!$C243</f>
        <v>0</v>
      </c>
      <c r="C243" s="144" t="n">
        <f aca="false">ExportRaw!$G243</f>
        <v>0</v>
      </c>
      <c r="D243" s="144" t="str">
        <f aca="false">ExportRaw!$E243</f>
        <v/>
      </c>
      <c r="E243" s="145" t="str">
        <f aca="false">ExportRaw!$D243</f>
        <v/>
      </c>
      <c r="F243" s="144" t="str">
        <f aca="false">ExportRaw!$H243</f>
        <v/>
      </c>
      <c r="G243" s="146" t="str">
        <f aca="false">ExportRaw!$I243</f>
        <v/>
      </c>
      <c r="H243" s="144" t="str">
        <f aca="false">ExportRaw!$A243</f>
        <v/>
      </c>
      <c r="I243" s="144" t="str">
        <f aca="false">ExportRaw!$B243</f>
        <v/>
      </c>
    </row>
    <row r="244" customFormat="false" ht="15.75" hidden="false" customHeight="false" outlineLevel="0" collapsed="false">
      <c r="A244" s="144" t="n">
        <f aca="false">ExportRaw!$F244</f>
        <v>0</v>
      </c>
      <c r="B244" s="144" t="n">
        <f aca="false">ExportRaw!$C244</f>
        <v>0</v>
      </c>
      <c r="C244" s="144" t="n">
        <f aca="false">ExportRaw!$G244</f>
        <v>0</v>
      </c>
      <c r="D244" s="144" t="str">
        <f aca="false">ExportRaw!$E244</f>
        <v/>
      </c>
      <c r="E244" s="145" t="str">
        <f aca="false">ExportRaw!$D244</f>
        <v/>
      </c>
      <c r="F244" s="144" t="str">
        <f aca="false">ExportRaw!$H244</f>
        <v/>
      </c>
      <c r="G244" s="146" t="str">
        <f aca="false">ExportRaw!$I244</f>
        <v/>
      </c>
      <c r="H244" s="144" t="str">
        <f aca="false">ExportRaw!$A244</f>
        <v/>
      </c>
      <c r="I244" s="144" t="str">
        <f aca="false">ExportRaw!$B244</f>
        <v/>
      </c>
    </row>
    <row r="245" customFormat="false" ht="15.75" hidden="false" customHeight="false" outlineLevel="0" collapsed="false">
      <c r="A245" s="144" t="n">
        <f aca="false">ExportRaw!$F245</f>
        <v>0</v>
      </c>
      <c r="B245" s="144" t="n">
        <f aca="false">ExportRaw!$C245</f>
        <v>0</v>
      </c>
      <c r="C245" s="144" t="n">
        <f aca="false">ExportRaw!$G245</f>
        <v>0</v>
      </c>
      <c r="D245" s="144" t="str">
        <f aca="false">ExportRaw!$E245</f>
        <v/>
      </c>
      <c r="E245" s="145" t="str">
        <f aca="false">ExportRaw!$D245</f>
        <v/>
      </c>
      <c r="F245" s="144" t="str">
        <f aca="false">ExportRaw!$H245</f>
        <v/>
      </c>
      <c r="G245" s="146" t="str">
        <f aca="false">ExportRaw!$I245</f>
        <v/>
      </c>
      <c r="H245" s="144" t="str">
        <f aca="false">ExportRaw!$A245</f>
        <v/>
      </c>
      <c r="I245" s="144" t="str">
        <f aca="false">ExportRaw!$B245</f>
        <v/>
      </c>
    </row>
    <row r="246" customFormat="false" ht="15.75" hidden="false" customHeight="false" outlineLevel="0" collapsed="false">
      <c r="A246" s="144" t="n">
        <f aca="false">ExportRaw!$F246</f>
        <v>0</v>
      </c>
      <c r="B246" s="144" t="n">
        <f aca="false">ExportRaw!$C246</f>
        <v>0</v>
      </c>
      <c r="C246" s="144" t="n">
        <f aca="false">ExportRaw!$G246</f>
        <v>0</v>
      </c>
      <c r="D246" s="144" t="str">
        <f aca="false">ExportRaw!$E246</f>
        <v/>
      </c>
      <c r="E246" s="145" t="str">
        <f aca="false">ExportRaw!$D246</f>
        <v/>
      </c>
      <c r="F246" s="144" t="str">
        <f aca="false">ExportRaw!$H246</f>
        <v/>
      </c>
      <c r="G246" s="146" t="str">
        <f aca="false">ExportRaw!$I246</f>
        <v/>
      </c>
      <c r="H246" s="144" t="str">
        <f aca="false">ExportRaw!$A246</f>
        <v/>
      </c>
      <c r="I246" s="144" t="str">
        <f aca="false">ExportRaw!$B246</f>
        <v/>
      </c>
    </row>
    <row r="247" customFormat="false" ht="15.75" hidden="false" customHeight="false" outlineLevel="0" collapsed="false">
      <c r="A247" s="144" t="n">
        <f aca="false">ExportRaw!$F247</f>
        <v>0</v>
      </c>
      <c r="B247" s="144" t="n">
        <f aca="false">ExportRaw!$C247</f>
        <v>0</v>
      </c>
      <c r="C247" s="144" t="n">
        <f aca="false">ExportRaw!$G247</f>
        <v>0</v>
      </c>
      <c r="D247" s="144" t="str">
        <f aca="false">ExportRaw!$E247</f>
        <v/>
      </c>
      <c r="E247" s="145" t="str">
        <f aca="false">ExportRaw!$D247</f>
        <v/>
      </c>
      <c r="F247" s="144" t="str">
        <f aca="false">ExportRaw!$H247</f>
        <v/>
      </c>
      <c r="G247" s="146" t="str">
        <f aca="false">ExportRaw!$I247</f>
        <v/>
      </c>
      <c r="H247" s="144" t="str">
        <f aca="false">ExportRaw!$A247</f>
        <v/>
      </c>
      <c r="I247" s="144" t="str">
        <f aca="false">ExportRaw!$B247</f>
        <v/>
      </c>
    </row>
    <row r="248" customFormat="false" ht="15.75" hidden="false" customHeight="false" outlineLevel="0" collapsed="false">
      <c r="A248" s="144" t="n">
        <f aca="false">ExportRaw!$F248</f>
        <v>0</v>
      </c>
      <c r="B248" s="144" t="n">
        <f aca="false">ExportRaw!$C248</f>
        <v>0</v>
      </c>
      <c r="C248" s="144" t="n">
        <f aca="false">ExportRaw!$G248</f>
        <v>0</v>
      </c>
      <c r="D248" s="144" t="str">
        <f aca="false">ExportRaw!$E248</f>
        <v/>
      </c>
      <c r="E248" s="145" t="str">
        <f aca="false">ExportRaw!$D248</f>
        <v/>
      </c>
      <c r="F248" s="144" t="str">
        <f aca="false">ExportRaw!$H248</f>
        <v/>
      </c>
      <c r="G248" s="146" t="str">
        <f aca="false">ExportRaw!$I248</f>
        <v/>
      </c>
      <c r="H248" s="144" t="str">
        <f aca="false">ExportRaw!$A248</f>
        <v/>
      </c>
      <c r="I248" s="144" t="str">
        <f aca="false">ExportRaw!$B248</f>
        <v/>
      </c>
    </row>
    <row r="249" customFormat="false" ht="15.75" hidden="false" customHeight="false" outlineLevel="0" collapsed="false">
      <c r="A249" s="144" t="n">
        <f aca="false">ExportRaw!$F249</f>
        <v>0</v>
      </c>
      <c r="B249" s="144" t="n">
        <f aca="false">ExportRaw!$C249</f>
        <v>0</v>
      </c>
      <c r="C249" s="144" t="n">
        <f aca="false">ExportRaw!$G249</f>
        <v>0</v>
      </c>
      <c r="D249" s="144" t="str">
        <f aca="false">ExportRaw!$E249</f>
        <v/>
      </c>
      <c r="E249" s="145" t="str">
        <f aca="false">ExportRaw!$D249</f>
        <v/>
      </c>
      <c r="F249" s="144" t="str">
        <f aca="false">ExportRaw!$H249</f>
        <v/>
      </c>
      <c r="G249" s="146" t="str">
        <f aca="false">ExportRaw!$I249</f>
        <v/>
      </c>
      <c r="H249" s="144" t="str">
        <f aca="false">ExportRaw!$A249</f>
        <v/>
      </c>
      <c r="I249" s="144" t="str">
        <f aca="false">ExportRaw!$B249</f>
        <v/>
      </c>
    </row>
    <row r="250" customFormat="false" ht="15.75" hidden="false" customHeight="false" outlineLevel="0" collapsed="false">
      <c r="A250" s="144" t="n">
        <f aca="false">ExportRaw!$F250</f>
        <v>0</v>
      </c>
      <c r="B250" s="144" t="n">
        <f aca="false">ExportRaw!$C250</f>
        <v>0</v>
      </c>
      <c r="C250" s="144" t="n">
        <f aca="false">ExportRaw!$G250</f>
        <v>0</v>
      </c>
      <c r="D250" s="144" t="str">
        <f aca="false">ExportRaw!$E250</f>
        <v/>
      </c>
      <c r="E250" s="145" t="str">
        <f aca="false">ExportRaw!$D250</f>
        <v/>
      </c>
      <c r="F250" s="144" t="str">
        <f aca="false">ExportRaw!$H250</f>
        <v/>
      </c>
      <c r="G250" s="146" t="str">
        <f aca="false">ExportRaw!$I250</f>
        <v/>
      </c>
      <c r="H250" s="144" t="str">
        <f aca="false">ExportRaw!$A250</f>
        <v/>
      </c>
      <c r="I250" s="144" t="str">
        <f aca="false">ExportRaw!$B250</f>
        <v/>
      </c>
    </row>
    <row r="251" customFormat="false" ht="15.75" hidden="false" customHeight="false" outlineLevel="0" collapsed="false">
      <c r="A251" s="144" t="n">
        <f aca="false">ExportRaw!$F251</f>
        <v>0</v>
      </c>
      <c r="B251" s="144" t="n">
        <f aca="false">ExportRaw!$C251</f>
        <v>0</v>
      </c>
      <c r="C251" s="144" t="n">
        <f aca="false">ExportRaw!$G251</f>
        <v>0</v>
      </c>
      <c r="D251" s="144" t="str">
        <f aca="false">ExportRaw!$E251</f>
        <v/>
      </c>
      <c r="E251" s="145" t="str">
        <f aca="false">ExportRaw!$D251</f>
        <v/>
      </c>
      <c r="F251" s="144" t="str">
        <f aca="false">ExportRaw!$H251</f>
        <v/>
      </c>
      <c r="G251" s="146" t="str">
        <f aca="false">ExportRaw!$I251</f>
        <v/>
      </c>
      <c r="H251" s="144" t="str">
        <f aca="false">ExportRaw!$A251</f>
        <v/>
      </c>
      <c r="I251" s="144" t="str">
        <f aca="false">ExportRaw!$B251</f>
        <v/>
      </c>
    </row>
    <row r="252" customFormat="false" ht="15.75" hidden="false" customHeight="false" outlineLevel="0" collapsed="false">
      <c r="A252" s="144" t="n">
        <f aca="false">ExportRaw!$F252</f>
        <v>0</v>
      </c>
      <c r="B252" s="144" t="n">
        <f aca="false">ExportRaw!$C252</f>
        <v>0</v>
      </c>
      <c r="C252" s="144" t="n">
        <f aca="false">ExportRaw!$G252</f>
        <v>0</v>
      </c>
      <c r="D252" s="144" t="str">
        <f aca="false">ExportRaw!$E252</f>
        <v/>
      </c>
      <c r="E252" s="145" t="str">
        <f aca="false">ExportRaw!$D252</f>
        <v/>
      </c>
      <c r="F252" s="144" t="str">
        <f aca="false">ExportRaw!$H252</f>
        <v/>
      </c>
      <c r="G252" s="146" t="str">
        <f aca="false">ExportRaw!$I252</f>
        <v/>
      </c>
      <c r="H252" s="144" t="str">
        <f aca="false">ExportRaw!$A252</f>
        <v/>
      </c>
      <c r="I252" s="144" t="str">
        <f aca="false">ExportRaw!$B252</f>
        <v/>
      </c>
    </row>
    <row r="253" customFormat="false" ht="15.75" hidden="false" customHeight="false" outlineLevel="0" collapsed="false">
      <c r="A253" s="144" t="n">
        <f aca="false">ExportRaw!$F253</f>
        <v>0</v>
      </c>
      <c r="B253" s="144" t="n">
        <f aca="false">ExportRaw!$C253</f>
        <v>0</v>
      </c>
      <c r="C253" s="144" t="n">
        <f aca="false">ExportRaw!$G253</f>
        <v>0</v>
      </c>
      <c r="D253" s="144" t="str">
        <f aca="false">ExportRaw!$E253</f>
        <v/>
      </c>
      <c r="E253" s="145" t="str">
        <f aca="false">ExportRaw!$D253</f>
        <v/>
      </c>
      <c r="F253" s="144" t="str">
        <f aca="false">ExportRaw!$H253</f>
        <v/>
      </c>
      <c r="G253" s="146" t="str">
        <f aca="false">ExportRaw!$I253</f>
        <v/>
      </c>
      <c r="H253" s="144" t="str">
        <f aca="false">ExportRaw!$A253</f>
        <v/>
      </c>
      <c r="I253" s="144" t="str">
        <f aca="false">ExportRaw!$B253</f>
        <v/>
      </c>
    </row>
    <row r="254" customFormat="false" ht="15.75" hidden="false" customHeight="false" outlineLevel="0" collapsed="false">
      <c r="A254" s="144" t="n">
        <f aca="false">ExportRaw!$F254</f>
        <v>0</v>
      </c>
      <c r="B254" s="144" t="n">
        <f aca="false">ExportRaw!$C254</f>
        <v>0</v>
      </c>
      <c r="C254" s="144" t="n">
        <f aca="false">ExportRaw!$G254</f>
        <v>0</v>
      </c>
      <c r="D254" s="144" t="str">
        <f aca="false">ExportRaw!$E254</f>
        <v/>
      </c>
      <c r="E254" s="145" t="str">
        <f aca="false">ExportRaw!$D254</f>
        <v/>
      </c>
      <c r="F254" s="144" t="str">
        <f aca="false">ExportRaw!$H254</f>
        <v/>
      </c>
      <c r="G254" s="146" t="str">
        <f aca="false">ExportRaw!$I254</f>
        <v/>
      </c>
      <c r="H254" s="144" t="str">
        <f aca="false">ExportRaw!$A254</f>
        <v/>
      </c>
      <c r="I254" s="144" t="str">
        <f aca="false">ExportRaw!$B254</f>
        <v/>
      </c>
    </row>
    <row r="255" customFormat="false" ht="15.75" hidden="false" customHeight="false" outlineLevel="0" collapsed="false">
      <c r="A255" s="144" t="n">
        <f aca="false">ExportRaw!$F255</f>
        <v>0</v>
      </c>
      <c r="B255" s="144" t="n">
        <f aca="false">ExportRaw!$C255</f>
        <v>0</v>
      </c>
      <c r="C255" s="144" t="n">
        <f aca="false">ExportRaw!$G255</f>
        <v>0</v>
      </c>
      <c r="D255" s="144" t="str">
        <f aca="false">ExportRaw!$E255</f>
        <v/>
      </c>
      <c r="E255" s="145" t="str">
        <f aca="false">ExportRaw!$D255</f>
        <v/>
      </c>
      <c r="F255" s="144" t="str">
        <f aca="false">ExportRaw!$H255</f>
        <v/>
      </c>
      <c r="G255" s="146" t="str">
        <f aca="false">ExportRaw!$I255</f>
        <v/>
      </c>
      <c r="H255" s="144" t="str">
        <f aca="false">ExportRaw!$A255</f>
        <v/>
      </c>
      <c r="I255" s="144" t="str">
        <f aca="false">ExportRaw!$B255</f>
        <v/>
      </c>
    </row>
    <row r="256" customFormat="false" ht="15.75" hidden="false" customHeight="false" outlineLevel="0" collapsed="false">
      <c r="A256" s="144" t="n">
        <f aca="false">ExportRaw!$F256</f>
        <v>0</v>
      </c>
      <c r="B256" s="144" t="n">
        <f aca="false">ExportRaw!$C256</f>
        <v>0</v>
      </c>
      <c r="C256" s="144" t="n">
        <f aca="false">ExportRaw!$G256</f>
        <v>0</v>
      </c>
      <c r="D256" s="144" t="str">
        <f aca="false">ExportRaw!$E256</f>
        <v/>
      </c>
      <c r="E256" s="145" t="str">
        <f aca="false">ExportRaw!$D256</f>
        <v/>
      </c>
      <c r="F256" s="144" t="str">
        <f aca="false">ExportRaw!$H256</f>
        <v/>
      </c>
      <c r="G256" s="146" t="str">
        <f aca="false">ExportRaw!$I256</f>
        <v/>
      </c>
      <c r="H256" s="144" t="str">
        <f aca="false">ExportRaw!$A256</f>
        <v/>
      </c>
      <c r="I256" s="144" t="str">
        <f aca="false">ExportRaw!$B256</f>
        <v/>
      </c>
    </row>
    <row r="257" customFormat="false" ht="15.75" hidden="false" customHeight="false" outlineLevel="0" collapsed="false">
      <c r="A257" s="144" t="n">
        <f aca="false">ExportRaw!$F257</f>
        <v>0</v>
      </c>
      <c r="B257" s="144" t="n">
        <f aca="false">ExportRaw!$C257</f>
        <v>0</v>
      </c>
      <c r="C257" s="144" t="n">
        <f aca="false">ExportRaw!$G257</f>
        <v>0</v>
      </c>
      <c r="D257" s="144" t="str">
        <f aca="false">ExportRaw!$E257</f>
        <v/>
      </c>
      <c r="E257" s="145" t="str">
        <f aca="false">ExportRaw!$D257</f>
        <v/>
      </c>
      <c r="F257" s="144" t="str">
        <f aca="false">ExportRaw!$H257</f>
        <v/>
      </c>
      <c r="G257" s="146" t="str">
        <f aca="false">ExportRaw!$I257</f>
        <v/>
      </c>
      <c r="H257" s="144" t="str">
        <f aca="false">ExportRaw!$A257</f>
        <v/>
      </c>
      <c r="I257" s="144" t="str">
        <f aca="false">ExportRaw!$B257</f>
        <v/>
      </c>
    </row>
    <row r="258" customFormat="false" ht="15.75" hidden="false" customHeight="false" outlineLevel="0" collapsed="false">
      <c r="A258" s="144" t="n">
        <f aca="false">ExportRaw!$F258</f>
        <v>0</v>
      </c>
      <c r="B258" s="144" t="n">
        <f aca="false">ExportRaw!$C258</f>
        <v>0</v>
      </c>
      <c r="C258" s="144" t="n">
        <f aca="false">ExportRaw!$G258</f>
        <v>0</v>
      </c>
      <c r="D258" s="144" t="str">
        <f aca="false">ExportRaw!$E258</f>
        <v/>
      </c>
      <c r="E258" s="145" t="str">
        <f aca="false">ExportRaw!$D258</f>
        <v/>
      </c>
      <c r="F258" s="144" t="str">
        <f aca="false">ExportRaw!$H258</f>
        <v/>
      </c>
      <c r="G258" s="146" t="str">
        <f aca="false">ExportRaw!$I258</f>
        <v/>
      </c>
      <c r="H258" s="144" t="str">
        <f aca="false">ExportRaw!$A258</f>
        <v/>
      </c>
      <c r="I258" s="144" t="str">
        <f aca="false">ExportRaw!$B258</f>
        <v/>
      </c>
    </row>
    <row r="259" customFormat="false" ht="15.75" hidden="false" customHeight="false" outlineLevel="0" collapsed="false">
      <c r="A259" s="144" t="n">
        <f aca="false">ExportRaw!$F259</f>
        <v>0</v>
      </c>
      <c r="B259" s="144" t="n">
        <f aca="false">ExportRaw!$C259</f>
        <v>0</v>
      </c>
      <c r="C259" s="144" t="n">
        <f aca="false">ExportRaw!$G259</f>
        <v>0</v>
      </c>
      <c r="D259" s="144" t="str">
        <f aca="false">ExportRaw!$E259</f>
        <v/>
      </c>
      <c r="E259" s="145" t="str">
        <f aca="false">ExportRaw!$D259</f>
        <v/>
      </c>
      <c r="F259" s="144" t="str">
        <f aca="false">ExportRaw!$H259</f>
        <v/>
      </c>
      <c r="G259" s="146" t="str">
        <f aca="false">ExportRaw!$I259</f>
        <v/>
      </c>
      <c r="H259" s="144" t="str">
        <f aca="false">ExportRaw!$A259</f>
        <v/>
      </c>
      <c r="I259" s="144" t="str">
        <f aca="false">ExportRaw!$B259</f>
        <v/>
      </c>
    </row>
    <row r="260" customFormat="false" ht="15.75" hidden="false" customHeight="false" outlineLevel="0" collapsed="false">
      <c r="A260" s="144" t="n">
        <f aca="false">ExportRaw!$F260</f>
        <v>0</v>
      </c>
      <c r="B260" s="144" t="n">
        <f aca="false">ExportRaw!$C260</f>
        <v>0</v>
      </c>
      <c r="C260" s="144" t="n">
        <f aca="false">ExportRaw!$G260</f>
        <v>0</v>
      </c>
      <c r="D260" s="144" t="str">
        <f aca="false">ExportRaw!$E260</f>
        <v/>
      </c>
      <c r="E260" s="145" t="str">
        <f aca="false">ExportRaw!$D260</f>
        <v/>
      </c>
      <c r="F260" s="144" t="str">
        <f aca="false">ExportRaw!$H260</f>
        <v/>
      </c>
      <c r="G260" s="146" t="str">
        <f aca="false">ExportRaw!$I260</f>
        <v/>
      </c>
      <c r="H260" s="144" t="str">
        <f aca="false">ExportRaw!$A260</f>
        <v/>
      </c>
      <c r="I260" s="144" t="str">
        <f aca="false">ExportRaw!$B260</f>
        <v/>
      </c>
    </row>
    <row r="261" customFormat="false" ht="15.75" hidden="false" customHeight="false" outlineLevel="0" collapsed="false">
      <c r="A261" s="144" t="n">
        <f aca="false">ExportRaw!$F261</f>
        <v>0</v>
      </c>
      <c r="B261" s="144" t="n">
        <f aca="false">ExportRaw!$C261</f>
        <v>0</v>
      </c>
      <c r="C261" s="144" t="n">
        <f aca="false">ExportRaw!$G261</f>
        <v>0</v>
      </c>
      <c r="D261" s="144" t="str">
        <f aca="false">ExportRaw!$E261</f>
        <v/>
      </c>
      <c r="E261" s="145" t="str">
        <f aca="false">ExportRaw!$D261</f>
        <v/>
      </c>
      <c r="F261" s="144" t="str">
        <f aca="false">ExportRaw!$H261</f>
        <v/>
      </c>
      <c r="G261" s="146" t="str">
        <f aca="false">ExportRaw!$I261</f>
        <v/>
      </c>
      <c r="H261" s="144" t="str">
        <f aca="false">ExportRaw!$A261</f>
        <v/>
      </c>
      <c r="I261" s="144" t="str">
        <f aca="false">ExportRaw!$B261</f>
        <v/>
      </c>
    </row>
    <row r="262" customFormat="false" ht="15.75" hidden="false" customHeight="false" outlineLevel="0" collapsed="false">
      <c r="A262" s="144" t="n">
        <f aca="false">ExportRaw!$F262</f>
        <v>0</v>
      </c>
      <c r="B262" s="144" t="n">
        <f aca="false">ExportRaw!$C262</f>
        <v>0</v>
      </c>
      <c r="C262" s="144" t="n">
        <f aca="false">ExportRaw!$G262</f>
        <v>0</v>
      </c>
      <c r="D262" s="144" t="str">
        <f aca="false">ExportRaw!$E262</f>
        <v/>
      </c>
      <c r="E262" s="145" t="str">
        <f aca="false">ExportRaw!$D262</f>
        <v/>
      </c>
      <c r="F262" s="144" t="str">
        <f aca="false">ExportRaw!$H262</f>
        <v/>
      </c>
      <c r="G262" s="146" t="str">
        <f aca="false">ExportRaw!$I262</f>
        <v/>
      </c>
      <c r="H262" s="144" t="str">
        <f aca="false">ExportRaw!$A262</f>
        <v/>
      </c>
      <c r="I262" s="144" t="str">
        <f aca="false">ExportRaw!$B262</f>
        <v/>
      </c>
    </row>
    <row r="263" customFormat="false" ht="15.75" hidden="false" customHeight="false" outlineLevel="0" collapsed="false">
      <c r="A263" s="144" t="n">
        <f aca="false">ExportRaw!$F263</f>
        <v>0</v>
      </c>
      <c r="B263" s="144" t="n">
        <f aca="false">ExportRaw!$C263</f>
        <v>0</v>
      </c>
      <c r="C263" s="144" t="n">
        <f aca="false">ExportRaw!$G263</f>
        <v>0</v>
      </c>
      <c r="D263" s="144" t="str">
        <f aca="false">ExportRaw!$E263</f>
        <v/>
      </c>
      <c r="E263" s="145" t="str">
        <f aca="false">ExportRaw!$D263</f>
        <v/>
      </c>
      <c r="F263" s="144" t="str">
        <f aca="false">ExportRaw!$H263</f>
        <v/>
      </c>
      <c r="G263" s="146" t="str">
        <f aca="false">ExportRaw!$I263</f>
        <v/>
      </c>
      <c r="H263" s="144" t="str">
        <f aca="false">ExportRaw!$A263</f>
        <v/>
      </c>
      <c r="I263" s="144" t="str">
        <f aca="false">ExportRaw!$B263</f>
        <v/>
      </c>
    </row>
    <row r="264" customFormat="false" ht="15.75" hidden="false" customHeight="false" outlineLevel="0" collapsed="false">
      <c r="A264" s="144" t="n">
        <f aca="false">ExportRaw!$F264</f>
        <v>0</v>
      </c>
      <c r="B264" s="144" t="n">
        <f aca="false">ExportRaw!$C264</f>
        <v>0</v>
      </c>
      <c r="C264" s="144" t="n">
        <f aca="false">ExportRaw!$G264</f>
        <v>0</v>
      </c>
      <c r="D264" s="144" t="str">
        <f aca="false">ExportRaw!$E264</f>
        <v/>
      </c>
      <c r="E264" s="145" t="str">
        <f aca="false">ExportRaw!$D264</f>
        <v/>
      </c>
      <c r="F264" s="144" t="str">
        <f aca="false">ExportRaw!$H264</f>
        <v/>
      </c>
      <c r="G264" s="146" t="str">
        <f aca="false">ExportRaw!$I264</f>
        <v/>
      </c>
      <c r="H264" s="144" t="str">
        <f aca="false">ExportRaw!$A264</f>
        <v/>
      </c>
      <c r="I264" s="144" t="str">
        <f aca="false">ExportRaw!$B264</f>
        <v/>
      </c>
    </row>
    <row r="265" customFormat="false" ht="15.75" hidden="false" customHeight="false" outlineLevel="0" collapsed="false">
      <c r="A265" s="144" t="n">
        <f aca="false">ExportRaw!$F265</f>
        <v>0</v>
      </c>
      <c r="B265" s="144" t="n">
        <f aca="false">ExportRaw!$C265</f>
        <v>0</v>
      </c>
      <c r="C265" s="144" t="n">
        <f aca="false">ExportRaw!$G265</f>
        <v>0</v>
      </c>
      <c r="D265" s="144" t="str">
        <f aca="false">ExportRaw!$E265</f>
        <v/>
      </c>
      <c r="E265" s="145" t="str">
        <f aca="false">ExportRaw!$D265</f>
        <v/>
      </c>
      <c r="F265" s="144" t="str">
        <f aca="false">ExportRaw!$H265</f>
        <v/>
      </c>
      <c r="G265" s="146" t="str">
        <f aca="false">ExportRaw!$I265</f>
        <v/>
      </c>
      <c r="H265" s="144" t="str">
        <f aca="false">ExportRaw!$A265</f>
        <v/>
      </c>
      <c r="I265" s="144" t="str">
        <f aca="false">ExportRaw!$B265</f>
        <v/>
      </c>
    </row>
    <row r="266" customFormat="false" ht="15.75" hidden="false" customHeight="false" outlineLevel="0" collapsed="false">
      <c r="A266" s="144" t="n">
        <f aca="false">ExportRaw!$F266</f>
        <v>0</v>
      </c>
      <c r="B266" s="144" t="n">
        <f aca="false">ExportRaw!$C266</f>
        <v>0</v>
      </c>
      <c r="C266" s="144" t="n">
        <f aca="false">ExportRaw!$G266</f>
        <v>0</v>
      </c>
      <c r="D266" s="144" t="str">
        <f aca="false">ExportRaw!$E266</f>
        <v/>
      </c>
      <c r="E266" s="145" t="str">
        <f aca="false">ExportRaw!$D266</f>
        <v/>
      </c>
      <c r="F266" s="144" t="str">
        <f aca="false">ExportRaw!$H266</f>
        <v/>
      </c>
      <c r="G266" s="146" t="str">
        <f aca="false">ExportRaw!$I266</f>
        <v/>
      </c>
      <c r="H266" s="144" t="str">
        <f aca="false">ExportRaw!$A266</f>
        <v/>
      </c>
      <c r="I266" s="144" t="str">
        <f aca="false">ExportRaw!$B266</f>
        <v/>
      </c>
    </row>
    <row r="267" customFormat="false" ht="15.75" hidden="false" customHeight="false" outlineLevel="0" collapsed="false">
      <c r="A267" s="144" t="n">
        <f aca="false">ExportRaw!$F267</f>
        <v>0</v>
      </c>
      <c r="B267" s="144" t="n">
        <f aca="false">ExportRaw!$C267</f>
        <v>0</v>
      </c>
      <c r="C267" s="144" t="n">
        <f aca="false">ExportRaw!$G267</f>
        <v>0</v>
      </c>
      <c r="D267" s="144" t="str">
        <f aca="false">ExportRaw!$E267</f>
        <v/>
      </c>
      <c r="E267" s="145" t="str">
        <f aca="false">ExportRaw!$D267</f>
        <v/>
      </c>
      <c r="F267" s="144" t="str">
        <f aca="false">ExportRaw!$H267</f>
        <v/>
      </c>
      <c r="G267" s="146" t="str">
        <f aca="false">ExportRaw!$I267</f>
        <v/>
      </c>
      <c r="H267" s="144" t="str">
        <f aca="false">ExportRaw!$A267</f>
        <v/>
      </c>
      <c r="I267" s="144" t="str">
        <f aca="false">ExportRaw!$B267</f>
        <v/>
      </c>
    </row>
    <row r="268" customFormat="false" ht="15.75" hidden="false" customHeight="false" outlineLevel="0" collapsed="false">
      <c r="A268" s="144" t="n">
        <f aca="false">ExportRaw!$F268</f>
        <v>0</v>
      </c>
      <c r="B268" s="144" t="n">
        <f aca="false">ExportRaw!$C268</f>
        <v>0</v>
      </c>
      <c r="C268" s="144" t="n">
        <f aca="false">ExportRaw!$G268</f>
        <v>0</v>
      </c>
      <c r="D268" s="144" t="str">
        <f aca="false">ExportRaw!$E268</f>
        <v/>
      </c>
      <c r="E268" s="145" t="str">
        <f aca="false">ExportRaw!$D268</f>
        <v/>
      </c>
      <c r="F268" s="144" t="str">
        <f aca="false">ExportRaw!$H268</f>
        <v/>
      </c>
      <c r="G268" s="146" t="str">
        <f aca="false">ExportRaw!$I268</f>
        <v/>
      </c>
      <c r="H268" s="144" t="str">
        <f aca="false">ExportRaw!$A268</f>
        <v/>
      </c>
      <c r="I268" s="144" t="str">
        <f aca="false">ExportRaw!$B268</f>
        <v/>
      </c>
    </row>
    <row r="269" customFormat="false" ht="15.75" hidden="false" customHeight="false" outlineLevel="0" collapsed="false">
      <c r="A269" s="144" t="n">
        <f aca="false">ExportRaw!$F269</f>
        <v>0</v>
      </c>
      <c r="B269" s="144" t="n">
        <f aca="false">ExportRaw!$C269</f>
        <v>0</v>
      </c>
      <c r="C269" s="144" t="n">
        <f aca="false">ExportRaw!$G269</f>
        <v>0</v>
      </c>
      <c r="D269" s="144" t="str">
        <f aca="false">ExportRaw!$E269</f>
        <v/>
      </c>
      <c r="E269" s="145" t="str">
        <f aca="false">ExportRaw!$D269</f>
        <v/>
      </c>
      <c r="F269" s="144" t="str">
        <f aca="false">ExportRaw!$H269</f>
        <v/>
      </c>
      <c r="G269" s="146" t="str">
        <f aca="false">ExportRaw!$I269</f>
        <v/>
      </c>
      <c r="H269" s="144" t="str">
        <f aca="false">ExportRaw!$A269</f>
        <v/>
      </c>
      <c r="I269" s="144" t="str">
        <f aca="false">ExportRaw!$B269</f>
        <v/>
      </c>
    </row>
    <row r="270" customFormat="false" ht="15.75" hidden="false" customHeight="false" outlineLevel="0" collapsed="false">
      <c r="A270" s="144" t="n">
        <f aca="false">ExportRaw!$F270</f>
        <v>0</v>
      </c>
      <c r="B270" s="144" t="n">
        <f aca="false">ExportRaw!$C270</f>
        <v>0</v>
      </c>
      <c r="C270" s="144" t="n">
        <f aca="false">ExportRaw!$G270</f>
        <v>0</v>
      </c>
      <c r="D270" s="144" t="str">
        <f aca="false">ExportRaw!$E270</f>
        <v/>
      </c>
      <c r="E270" s="145" t="str">
        <f aca="false">ExportRaw!$D270</f>
        <v/>
      </c>
      <c r="F270" s="144" t="str">
        <f aca="false">ExportRaw!$H270</f>
        <v/>
      </c>
      <c r="G270" s="146" t="str">
        <f aca="false">ExportRaw!$I270</f>
        <v/>
      </c>
      <c r="H270" s="144" t="str">
        <f aca="false">ExportRaw!$A270</f>
        <v/>
      </c>
      <c r="I270" s="144" t="str">
        <f aca="false">ExportRaw!$B270</f>
        <v/>
      </c>
    </row>
    <row r="271" customFormat="false" ht="15.75" hidden="false" customHeight="false" outlineLevel="0" collapsed="false">
      <c r="A271" s="144" t="n">
        <f aca="false">ExportRaw!$F271</f>
        <v>0</v>
      </c>
      <c r="B271" s="144" t="n">
        <f aca="false">ExportRaw!$C271</f>
        <v>0</v>
      </c>
      <c r="C271" s="144" t="n">
        <f aca="false">ExportRaw!$G271</f>
        <v>0</v>
      </c>
      <c r="D271" s="144" t="str">
        <f aca="false">ExportRaw!$E271</f>
        <v/>
      </c>
      <c r="E271" s="145" t="str">
        <f aca="false">ExportRaw!$D271</f>
        <v/>
      </c>
      <c r="F271" s="144" t="str">
        <f aca="false">ExportRaw!$H271</f>
        <v/>
      </c>
      <c r="G271" s="146" t="str">
        <f aca="false">ExportRaw!$I271</f>
        <v/>
      </c>
      <c r="H271" s="144" t="str">
        <f aca="false">ExportRaw!$A271</f>
        <v/>
      </c>
      <c r="I271" s="144" t="str">
        <f aca="false">ExportRaw!$B271</f>
        <v/>
      </c>
    </row>
    <row r="272" customFormat="false" ht="15.75" hidden="false" customHeight="false" outlineLevel="0" collapsed="false">
      <c r="A272" s="144" t="n">
        <f aca="false">ExportRaw!$F272</f>
        <v>0</v>
      </c>
      <c r="B272" s="144" t="n">
        <f aca="false">ExportRaw!$C272</f>
        <v>0</v>
      </c>
      <c r="C272" s="144" t="n">
        <f aca="false">ExportRaw!$G272</f>
        <v>0</v>
      </c>
      <c r="D272" s="144" t="str">
        <f aca="false">ExportRaw!$E272</f>
        <v/>
      </c>
      <c r="E272" s="145" t="str">
        <f aca="false">ExportRaw!$D272</f>
        <v/>
      </c>
      <c r="F272" s="144" t="str">
        <f aca="false">ExportRaw!$H272</f>
        <v/>
      </c>
      <c r="G272" s="146" t="str">
        <f aca="false">ExportRaw!$I272</f>
        <v/>
      </c>
      <c r="H272" s="144" t="str">
        <f aca="false">ExportRaw!$A272</f>
        <v/>
      </c>
      <c r="I272" s="144" t="str">
        <f aca="false">ExportRaw!$B272</f>
        <v/>
      </c>
    </row>
    <row r="273" customFormat="false" ht="15.75" hidden="false" customHeight="false" outlineLevel="0" collapsed="false">
      <c r="A273" s="144" t="n">
        <f aca="false">ExportRaw!$F273</f>
        <v>0</v>
      </c>
      <c r="B273" s="144" t="n">
        <f aca="false">ExportRaw!$C273</f>
        <v>0</v>
      </c>
      <c r="C273" s="144" t="n">
        <f aca="false">ExportRaw!$G273</f>
        <v>0</v>
      </c>
      <c r="D273" s="144" t="str">
        <f aca="false">ExportRaw!$E273</f>
        <v/>
      </c>
      <c r="E273" s="145" t="str">
        <f aca="false">ExportRaw!$D273</f>
        <v/>
      </c>
      <c r="F273" s="144" t="str">
        <f aca="false">ExportRaw!$H273</f>
        <v/>
      </c>
      <c r="G273" s="146" t="str">
        <f aca="false">ExportRaw!$I273</f>
        <v/>
      </c>
      <c r="H273" s="144" t="str">
        <f aca="false">ExportRaw!$A273</f>
        <v/>
      </c>
      <c r="I273" s="144" t="str">
        <f aca="false">ExportRaw!$B273</f>
        <v/>
      </c>
    </row>
    <row r="274" customFormat="false" ht="15.75" hidden="false" customHeight="false" outlineLevel="0" collapsed="false">
      <c r="A274" s="144" t="n">
        <f aca="false">ExportRaw!$F274</f>
        <v>0</v>
      </c>
      <c r="B274" s="144" t="n">
        <f aca="false">ExportRaw!$C274</f>
        <v>0</v>
      </c>
      <c r="C274" s="144" t="n">
        <f aca="false">ExportRaw!$G274</f>
        <v>0</v>
      </c>
      <c r="D274" s="144" t="str">
        <f aca="false">ExportRaw!$E274</f>
        <v/>
      </c>
      <c r="E274" s="145" t="str">
        <f aca="false">ExportRaw!$D274</f>
        <v/>
      </c>
      <c r="F274" s="144" t="str">
        <f aca="false">ExportRaw!$H274</f>
        <v/>
      </c>
      <c r="G274" s="146" t="str">
        <f aca="false">ExportRaw!$I274</f>
        <v/>
      </c>
      <c r="H274" s="144" t="str">
        <f aca="false">ExportRaw!$A274</f>
        <v/>
      </c>
      <c r="I274" s="144" t="str">
        <f aca="false">ExportRaw!$B274</f>
        <v/>
      </c>
    </row>
    <row r="275" customFormat="false" ht="15.75" hidden="false" customHeight="false" outlineLevel="0" collapsed="false">
      <c r="A275" s="144" t="n">
        <f aca="false">ExportRaw!$F275</f>
        <v>0</v>
      </c>
      <c r="B275" s="144" t="n">
        <f aca="false">ExportRaw!$C275</f>
        <v>0</v>
      </c>
      <c r="C275" s="144" t="n">
        <f aca="false">ExportRaw!$G275</f>
        <v>0</v>
      </c>
      <c r="D275" s="144" t="str">
        <f aca="false">ExportRaw!$E275</f>
        <v/>
      </c>
      <c r="E275" s="145" t="str">
        <f aca="false">ExportRaw!$D275</f>
        <v/>
      </c>
      <c r="F275" s="144" t="str">
        <f aca="false">ExportRaw!$H275</f>
        <v/>
      </c>
      <c r="G275" s="146" t="str">
        <f aca="false">ExportRaw!$I275</f>
        <v/>
      </c>
      <c r="H275" s="144" t="str">
        <f aca="false">ExportRaw!$A275</f>
        <v/>
      </c>
      <c r="I275" s="144" t="str">
        <f aca="false">ExportRaw!$B275</f>
        <v/>
      </c>
    </row>
    <row r="276" customFormat="false" ht="15.75" hidden="false" customHeight="false" outlineLevel="0" collapsed="false">
      <c r="A276" s="144" t="n">
        <f aca="false">ExportRaw!$F276</f>
        <v>0</v>
      </c>
      <c r="B276" s="144" t="n">
        <f aca="false">ExportRaw!$C276</f>
        <v>0</v>
      </c>
      <c r="C276" s="144" t="n">
        <f aca="false">ExportRaw!$G276</f>
        <v>0</v>
      </c>
      <c r="D276" s="144" t="str">
        <f aca="false">ExportRaw!$E276</f>
        <v/>
      </c>
      <c r="E276" s="145" t="str">
        <f aca="false">ExportRaw!$D276</f>
        <v/>
      </c>
      <c r="F276" s="144" t="str">
        <f aca="false">ExportRaw!$H276</f>
        <v/>
      </c>
      <c r="G276" s="146" t="str">
        <f aca="false">ExportRaw!$I276</f>
        <v/>
      </c>
      <c r="H276" s="144" t="str">
        <f aca="false">ExportRaw!$A276</f>
        <v/>
      </c>
      <c r="I276" s="144" t="str">
        <f aca="false">ExportRaw!$B276</f>
        <v/>
      </c>
    </row>
    <row r="277" customFormat="false" ht="15.75" hidden="false" customHeight="false" outlineLevel="0" collapsed="false">
      <c r="A277" s="144" t="n">
        <f aca="false">ExportRaw!$F277</f>
        <v>0</v>
      </c>
      <c r="B277" s="144" t="n">
        <f aca="false">ExportRaw!$C277</f>
        <v>0</v>
      </c>
      <c r="C277" s="144" t="n">
        <f aca="false">ExportRaw!$G277</f>
        <v>0</v>
      </c>
      <c r="D277" s="144" t="str">
        <f aca="false">ExportRaw!$E277</f>
        <v/>
      </c>
      <c r="E277" s="145" t="str">
        <f aca="false">ExportRaw!$D277</f>
        <v/>
      </c>
      <c r="F277" s="144" t="str">
        <f aca="false">ExportRaw!$H277</f>
        <v/>
      </c>
      <c r="G277" s="146" t="str">
        <f aca="false">ExportRaw!$I277</f>
        <v/>
      </c>
      <c r="H277" s="144" t="str">
        <f aca="false">ExportRaw!$A277</f>
        <v/>
      </c>
      <c r="I277" s="144" t="str">
        <f aca="false">ExportRaw!$B277</f>
        <v/>
      </c>
    </row>
    <row r="278" customFormat="false" ht="15.75" hidden="false" customHeight="false" outlineLevel="0" collapsed="false">
      <c r="A278" s="144" t="n">
        <f aca="false">ExportRaw!$F278</f>
        <v>0</v>
      </c>
      <c r="B278" s="144" t="n">
        <f aca="false">ExportRaw!$C278</f>
        <v>0</v>
      </c>
      <c r="C278" s="144" t="n">
        <f aca="false">ExportRaw!$G278</f>
        <v>0</v>
      </c>
      <c r="D278" s="144" t="str">
        <f aca="false">ExportRaw!$E278</f>
        <v/>
      </c>
      <c r="E278" s="145" t="str">
        <f aca="false">ExportRaw!$D278</f>
        <v/>
      </c>
      <c r="F278" s="144" t="str">
        <f aca="false">ExportRaw!$H278</f>
        <v/>
      </c>
      <c r="G278" s="146" t="str">
        <f aca="false">ExportRaw!$I278</f>
        <v/>
      </c>
      <c r="H278" s="144" t="str">
        <f aca="false">ExportRaw!$A278</f>
        <v/>
      </c>
      <c r="I278" s="144" t="str">
        <f aca="false">ExportRaw!$B278</f>
        <v/>
      </c>
    </row>
    <row r="279" customFormat="false" ht="15.75" hidden="false" customHeight="false" outlineLevel="0" collapsed="false">
      <c r="A279" s="144" t="n">
        <f aca="false">ExportRaw!$F279</f>
        <v>0</v>
      </c>
      <c r="B279" s="144" t="n">
        <f aca="false">ExportRaw!$C279</f>
        <v>0</v>
      </c>
      <c r="C279" s="144" t="n">
        <f aca="false">ExportRaw!$G279</f>
        <v>0</v>
      </c>
      <c r="D279" s="144" t="str">
        <f aca="false">ExportRaw!$E279</f>
        <v/>
      </c>
      <c r="E279" s="145" t="str">
        <f aca="false">ExportRaw!$D279</f>
        <v/>
      </c>
      <c r="F279" s="144" t="str">
        <f aca="false">ExportRaw!$H279</f>
        <v/>
      </c>
      <c r="G279" s="146" t="str">
        <f aca="false">ExportRaw!$I279</f>
        <v/>
      </c>
      <c r="H279" s="144" t="str">
        <f aca="false">ExportRaw!$A279</f>
        <v/>
      </c>
      <c r="I279" s="144" t="str">
        <f aca="false">ExportRaw!$B279</f>
        <v/>
      </c>
    </row>
    <row r="280" customFormat="false" ht="15.75" hidden="false" customHeight="false" outlineLevel="0" collapsed="false">
      <c r="A280" s="144" t="n">
        <f aca="false">ExportRaw!$F280</f>
        <v>0</v>
      </c>
      <c r="B280" s="144" t="n">
        <f aca="false">ExportRaw!$C280</f>
        <v>0</v>
      </c>
      <c r="C280" s="144" t="n">
        <f aca="false">ExportRaw!$G280</f>
        <v>0</v>
      </c>
      <c r="D280" s="144" t="str">
        <f aca="false">ExportRaw!$E280</f>
        <v/>
      </c>
      <c r="E280" s="145" t="str">
        <f aca="false">ExportRaw!$D280</f>
        <v/>
      </c>
      <c r="F280" s="144" t="str">
        <f aca="false">ExportRaw!$H280</f>
        <v/>
      </c>
      <c r="G280" s="146" t="str">
        <f aca="false">ExportRaw!$I280</f>
        <v/>
      </c>
      <c r="H280" s="144" t="str">
        <f aca="false">ExportRaw!$A280</f>
        <v/>
      </c>
      <c r="I280" s="144" t="str">
        <f aca="false">ExportRaw!$B280</f>
        <v/>
      </c>
    </row>
    <row r="281" customFormat="false" ht="15.75" hidden="false" customHeight="false" outlineLevel="0" collapsed="false">
      <c r="A281" s="144" t="n">
        <f aca="false">ExportRaw!$F281</f>
        <v>0</v>
      </c>
      <c r="B281" s="144" t="n">
        <f aca="false">ExportRaw!$C281</f>
        <v>0</v>
      </c>
      <c r="C281" s="144" t="n">
        <f aca="false">ExportRaw!$G281</f>
        <v>0</v>
      </c>
      <c r="D281" s="144" t="str">
        <f aca="false">ExportRaw!$E281</f>
        <v/>
      </c>
      <c r="E281" s="145" t="str">
        <f aca="false">ExportRaw!$D281</f>
        <v/>
      </c>
      <c r="F281" s="144" t="str">
        <f aca="false">ExportRaw!$H281</f>
        <v/>
      </c>
      <c r="G281" s="146" t="str">
        <f aca="false">ExportRaw!$I281</f>
        <v/>
      </c>
      <c r="H281" s="144" t="str">
        <f aca="false">ExportRaw!$A281</f>
        <v/>
      </c>
      <c r="I281" s="144" t="str">
        <f aca="false">ExportRaw!$B281</f>
        <v/>
      </c>
    </row>
    <row r="282" customFormat="false" ht="15.75" hidden="false" customHeight="false" outlineLevel="0" collapsed="false">
      <c r="A282" s="144" t="n">
        <f aca="false">ExportRaw!$F282</f>
        <v>0</v>
      </c>
      <c r="B282" s="144" t="n">
        <f aca="false">ExportRaw!$C282</f>
        <v>0</v>
      </c>
      <c r="C282" s="144" t="n">
        <f aca="false">ExportRaw!$G282</f>
        <v>0</v>
      </c>
      <c r="D282" s="144" t="str">
        <f aca="false">ExportRaw!$E282</f>
        <v/>
      </c>
      <c r="E282" s="145" t="str">
        <f aca="false">ExportRaw!$D282</f>
        <v/>
      </c>
      <c r="F282" s="144" t="str">
        <f aca="false">ExportRaw!$H282</f>
        <v/>
      </c>
      <c r="G282" s="146" t="str">
        <f aca="false">ExportRaw!$I282</f>
        <v/>
      </c>
      <c r="H282" s="144" t="str">
        <f aca="false">ExportRaw!$A282</f>
        <v/>
      </c>
      <c r="I282" s="144" t="str">
        <f aca="false">ExportRaw!$B282</f>
        <v/>
      </c>
    </row>
    <row r="283" customFormat="false" ht="15.75" hidden="false" customHeight="false" outlineLevel="0" collapsed="false">
      <c r="A283" s="144" t="n">
        <f aca="false">ExportRaw!$F283</f>
        <v>0</v>
      </c>
      <c r="B283" s="144" t="n">
        <f aca="false">ExportRaw!$C283</f>
        <v>0</v>
      </c>
      <c r="C283" s="144" t="n">
        <f aca="false">ExportRaw!$G283</f>
        <v>0</v>
      </c>
      <c r="D283" s="144" t="str">
        <f aca="false">ExportRaw!$E283</f>
        <v/>
      </c>
      <c r="E283" s="145" t="str">
        <f aca="false">ExportRaw!$D283</f>
        <v/>
      </c>
      <c r="F283" s="144" t="str">
        <f aca="false">ExportRaw!$H283</f>
        <v/>
      </c>
      <c r="G283" s="146" t="str">
        <f aca="false">ExportRaw!$I283</f>
        <v/>
      </c>
      <c r="H283" s="144" t="str">
        <f aca="false">ExportRaw!$A283</f>
        <v/>
      </c>
      <c r="I283" s="144" t="str">
        <f aca="false">ExportRaw!$B283</f>
        <v/>
      </c>
    </row>
    <row r="284" customFormat="false" ht="15.75" hidden="false" customHeight="false" outlineLevel="0" collapsed="false">
      <c r="A284" s="144" t="n">
        <f aca="false">ExportRaw!$F284</f>
        <v>0</v>
      </c>
      <c r="B284" s="144" t="n">
        <f aca="false">ExportRaw!$C284</f>
        <v>0</v>
      </c>
      <c r="C284" s="144" t="n">
        <f aca="false">ExportRaw!$G284</f>
        <v>0</v>
      </c>
      <c r="D284" s="144" t="str">
        <f aca="false">ExportRaw!$E284</f>
        <v/>
      </c>
      <c r="E284" s="145" t="str">
        <f aca="false">ExportRaw!$D284</f>
        <v/>
      </c>
      <c r="F284" s="144" t="str">
        <f aca="false">ExportRaw!$H284</f>
        <v/>
      </c>
      <c r="G284" s="146" t="str">
        <f aca="false">ExportRaw!$I284</f>
        <v/>
      </c>
      <c r="H284" s="144" t="str">
        <f aca="false">ExportRaw!$A284</f>
        <v/>
      </c>
      <c r="I284" s="144" t="str">
        <f aca="false">ExportRaw!$B284</f>
        <v/>
      </c>
    </row>
    <row r="285" customFormat="false" ht="15.75" hidden="false" customHeight="false" outlineLevel="0" collapsed="false">
      <c r="A285" s="144" t="n">
        <f aca="false">ExportRaw!$F285</f>
        <v>0</v>
      </c>
      <c r="B285" s="144" t="n">
        <f aca="false">ExportRaw!$C285</f>
        <v>0</v>
      </c>
      <c r="C285" s="144" t="n">
        <f aca="false">ExportRaw!$G285</f>
        <v>0</v>
      </c>
      <c r="D285" s="144" t="str">
        <f aca="false">ExportRaw!$E285</f>
        <v/>
      </c>
      <c r="E285" s="145" t="str">
        <f aca="false">ExportRaw!$D285</f>
        <v/>
      </c>
      <c r="F285" s="144" t="str">
        <f aca="false">ExportRaw!$H285</f>
        <v/>
      </c>
      <c r="G285" s="146" t="str">
        <f aca="false">ExportRaw!$I285</f>
        <v/>
      </c>
      <c r="H285" s="144" t="str">
        <f aca="false">ExportRaw!$A285</f>
        <v/>
      </c>
      <c r="I285" s="144" t="str">
        <f aca="false">ExportRaw!$B285</f>
        <v/>
      </c>
    </row>
    <row r="286" customFormat="false" ht="15.75" hidden="false" customHeight="false" outlineLevel="0" collapsed="false">
      <c r="A286" s="144" t="n">
        <f aca="false">ExportRaw!$F286</f>
        <v>0</v>
      </c>
      <c r="B286" s="144" t="n">
        <f aca="false">ExportRaw!$C286</f>
        <v>0</v>
      </c>
      <c r="C286" s="144" t="n">
        <f aca="false">ExportRaw!$G286</f>
        <v>0</v>
      </c>
      <c r="D286" s="144" t="str">
        <f aca="false">ExportRaw!$E286</f>
        <v/>
      </c>
      <c r="E286" s="145" t="str">
        <f aca="false">ExportRaw!$D286</f>
        <v/>
      </c>
      <c r="F286" s="144" t="str">
        <f aca="false">ExportRaw!$H286</f>
        <v/>
      </c>
      <c r="G286" s="146" t="str">
        <f aca="false">ExportRaw!$I286</f>
        <v/>
      </c>
      <c r="H286" s="144" t="str">
        <f aca="false">ExportRaw!$A286</f>
        <v/>
      </c>
      <c r="I286" s="144" t="str">
        <f aca="false">ExportRaw!$B286</f>
        <v/>
      </c>
    </row>
    <row r="287" customFormat="false" ht="15.75" hidden="false" customHeight="false" outlineLevel="0" collapsed="false">
      <c r="A287" s="144" t="n">
        <f aca="false">ExportRaw!$F287</f>
        <v>0</v>
      </c>
      <c r="B287" s="144" t="n">
        <f aca="false">ExportRaw!$C287</f>
        <v>0</v>
      </c>
      <c r="C287" s="144" t="n">
        <f aca="false">ExportRaw!$G287</f>
        <v>0</v>
      </c>
      <c r="D287" s="144" t="str">
        <f aca="false">ExportRaw!$E287</f>
        <v/>
      </c>
      <c r="E287" s="145" t="str">
        <f aca="false">ExportRaw!$D287</f>
        <v/>
      </c>
      <c r="F287" s="144" t="str">
        <f aca="false">ExportRaw!$H287</f>
        <v/>
      </c>
      <c r="G287" s="146" t="str">
        <f aca="false">ExportRaw!$I287</f>
        <v/>
      </c>
      <c r="H287" s="144" t="str">
        <f aca="false">ExportRaw!$A287</f>
        <v/>
      </c>
      <c r="I287" s="144" t="str">
        <f aca="false">ExportRaw!$B287</f>
        <v/>
      </c>
    </row>
    <row r="288" customFormat="false" ht="15.75" hidden="false" customHeight="false" outlineLevel="0" collapsed="false">
      <c r="A288" s="144" t="n">
        <f aca="false">ExportRaw!$F288</f>
        <v>0</v>
      </c>
      <c r="B288" s="144" t="n">
        <f aca="false">ExportRaw!$C288</f>
        <v>0</v>
      </c>
      <c r="C288" s="144" t="n">
        <f aca="false">ExportRaw!$G288</f>
        <v>0</v>
      </c>
      <c r="D288" s="144" t="str">
        <f aca="false">ExportRaw!$E288</f>
        <v/>
      </c>
      <c r="E288" s="145" t="str">
        <f aca="false">ExportRaw!$D288</f>
        <v/>
      </c>
      <c r="F288" s="144" t="str">
        <f aca="false">ExportRaw!$H288</f>
        <v/>
      </c>
      <c r="G288" s="146" t="str">
        <f aca="false">ExportRaw!$I288</f>
        <v/>
      </c>
      <c r="H288" s="144" t="str">
        <f aca="false">ExportRaw!$A288</f>
        <v/>
      </c>
      <c r="I288" s="144" t="str">
        <f aca="false">ExportRaw!$B288</f>
        <v/>
      </c>
    </row>
    <row r="289" customFormat="false" ht="15.75" hidden="false" customHeight="false" outlineLevel="0" collapsed="false">
      <c r="A289" s="144" t="n">
        <f aca="false">ExportRaw!$F289</f>
        <v>0</v>
      </c>
      <c r="B289" s="144" t="n">
        <f aca="false">ExportRaw!$C289</f>
        <v>0</v>
      </c>
      <c r="C289" s="144" t="n">
        <f aca="false">ExportRaw!$G289</f>
        <v>0</v>
      </c>
      <c r="D289" s="144" t="str">
        <f aca="false">ExportRaw!$E289</f>
        <v/>
      </c>
      <c r="E289" s="145" t="str">
        <f aca="false">ExportRaw!$D289</f>
        <v/>
      </c>
      <c r="F289" s="144" t="str">
        <f aca="false">ExportRaw!$H289</f>
        <v/>
      </c>
      <c r="G289" s="146" t="str">
        <f aca="false">ExportRaw!$I289</f>
        <v/>
      </c>
      <c r="H289" s="144" t="str">
        <f aca="false">ExportRaw!$A289</f>
        <v/>
      </c>
      <c r="I289" s="144" t="str">
        <f aca="false">ExportRaw!$B289</f>
        <v/>
      </c>
    </row>
    <row r="290" customFormat="false" ht="15.75" hidden="false" customHeight="false" outlineLevel="0" collapsed="false">
      <c r="A290" s="144" t="n">
        <f aca="false">ExportRaw!$F290</f>
        <v>0</v>
      </c>
      <c r="B290" s="144" t="n">
        <f aca="false">ExportRaw!$C290</f>
        <v>0</v>
      </c>
      <c r="C290" s="144" t="n">
        <f aca="false">ExportRaw!$G290</f>
        <v>0</v>
      </c>
      <c r="D290" s="144" t="str">
        <f aca="false">ExportRaw!$E290</f>
        <v/>
      </c>
      <c r="E290" s="145" t="str">
        <f aca="false">ExportRaw!$D290</f>
        <v/>
      </c>
      <c r="F290" s="144" t="str">
        <f aca="false">ExportRaw!$H290</f>
        <v/>
      </c>
      <c r="G290" s="146" t="str">
        <f aca="false">ExportRaw!$I290</f>
        <v/>
      </c>
      <c r="H290" s="144" t="str">
        <f aca="false">ExportRaw!$A290</f>
        <v/>
      </c>
      <c r="I290" s="144" t="str">
        <f aca="false">ExportRaw!$B290</f>
        <v/>
      </c>
    </row>
    <row r="291" customFormat="false" ht="15.75" hidden="false" customHeight="false" outlineLevel="0" collapsed="false">
      <c r="A291" s="144" t="n">
        <f aca="false">ExportRaw!$F291</f>
        <v>0</v>
      </c>
      <c r="B291" s="144" t="n">
        <f aca="false">ExportRaw!$C291</f>
        <v>0</v>
      </c>
      <c r="C291" s="144" t="n">
        <f aca="false">ExportRaw!$G291</f>
        <v>0</v>
      </c>
      <c r="D291" s="144" t="str">
        <f aca="false">ExportRaw!$E291</f>
        <v/>
      </c>
      <c r="E291" s="145" t="str">
        <f aca="false">ExportRaw!$D291</f>
        <v/>
      </c>
      <c r="F291" s="144" t="str">
        <f aca="false">ExportRaw!$H291</f>
        <v/>
      </c>
      <c r="G291" s="146" t="str">
        <f aca="false">ExportRaw!$I291</f>
        <v/>
      </c>
      <c r="H291" s="144" t="str">
        <f aca="false">ExportRaw!$A291</f>
        <v/>
      </c>
      <c r="I291" s="144" t="str">
        <f aca="false">ExportRaw!$B291</f>
        <v/>
      </c>
    </row>
    <row r="292" customFormat="false" ht="15.75" hidden="false" customHeight="false" outlineLevel="0" collapsed="false">
      <c r="A292" s="144" t="n">
        <f aca="false">ExportRaw!$F292</f>
        <v>0</v>
      </c>
      <c r="B292" s="144" t="n">
        <f aca="false">ExportRaw!$C292</f>
        <v>0</v>
      </c>
      <c r="C292" s="144" t="n">
        <f aca="false">ExportRaw!$G292</f>
        <v>0</v>
      </c>
      <c r="D292" s="144" t="str">
        <f aca="false">ExportRaw!$E292</f>
        <v/>
      </c>
      <c r="E292" s="145" t="str">
        <f aca="false">ExportRaw!$D292</f>
        <v/>
      </c>
      <c r="F292" s="144" t="str">
        <f aca="false">ExportRaw!$H292</f>
        <v/>
      </c>
      <c r="G292" s="146" t="str">
        <f aca="false">ExportRaw!$I292</f>
        <v/>
      </c>
      <c r="H292" s="144" t="str">
        <f aca="false">ExportRaw!$A292</f>
        <v/>
      </c>
      <c r="I292" s="144" t="str">
        <f aca="false">ExportRaw!$B292</f>
        <v/>
      </c>
    </row>
    <row r="293" customFormat="false" ht="15.75" hidden="false" customHeight="false" outlineLevel="0" collapsed="false">
      <c r="A293" s="144" t="n">
        <f aca="false">ExportRaw!$F293</f>
        <v>0</v>
      </c>
      <c r="B293" s="144" t="n">
        <f aca="false">ExportRaw!$C293</f>
        <v>0</v>
      </c>
      <c r="C293" s="144" t="n">
        <f aca="false">ExportRaw!$G293</f>
        <v>0</v>
      </c>
      <c r="D293" s="144" t="str">
        <f aca="false">ExportRaw!$E293</f>
        <v/>
      </c>
      <c r="E293" s="145" t="str">
        <f aca="false">ExportRaw!$D293</f>
        <v/>
      </c>
      <c r="F293" s="144" t="str">
        <f aca="false">ExportRaw!$H293</f>
        <v/>
      </c>
      <c r="G293" s="146" t="str">
        <f aca="false">ExportRaw!$I293</f>
        <v/>
      </c>
      <c r="H293" s="144" t="str">
        <f aca="false">ExportRaw!$A293</f>
        <v/>
      </c>
      <c r="I293" s="144" t="str">
        <f aca="false">ExportRaw!$B293</f>
        <v/>
      </c>
    </row>
    <row r="294" customFormat="false" ht="15.75" hidden="false" customHeight="false" outlineLevel="0" collapsed="false">
      <c r="A294" s="144" t="n">
        <f aca="false">ExportRaw!$F294</f>
        <v>0</v>
      </c>
      <c r="B294" s="144" t="n">
        <f aca="false">ExportRaw!$C294</f>
        <v>0</v>
      </c>
      <c r="C294" s="144" t="n">
        <f aca="false">ExportRaw!$G294</f>
        <v>0</v>
      </c>
      <c r="D294" s="144" t="str">
        <f aca="false">ExportRaw!$E294</f>
        <v/>
      </c>
      <c r="E294" s="145" t="str">
        <f aca="false">ExportRaw!$D294</f>
        <v/>
      </c>
      <c r="F294" s="144" t="str">
        <f aca="false">ExportRaw!$H294</f>
        <v/>
      </c>
      <c r="G294" s="146" t="str">
        <f aca="false">ExportRaw!$I294</f>
        <v/>
      </c>
      <c r="H294" s="144" t="str">
        <f aca="false">ExportRaw!$A294</f>
        <v/>
      </c>
      <c r="I294" s="144" t="str">
        <f aca="false">ExportRaw!$B294</f>
        <v/>
      </c>
    </row>
    <row r="295" customFormat="false" ht="15.75" hidden="false" customHeight="false" outlineLevel="0" collapsed="false">
      <c r="A295" s="144" t="n">
        <f aca="false">ExportRaw!$F295</f>
        <v>0</v>
      </c>
      <c r="B295" s="144" t="n">
        <f aca="false">ExportRaw!$C295</f>
        <v>0</v>
      </c>
      <c r="C295" s="144" t="n">
        <f aca="false">ExportRaw!$G295</f>
        <v>0</v>
      </c>
      <c r="D295" s="144" t="str">
        <f aca="false">ExportRaw!$E295</f>
        <v/>
      </c>
      <c r="E295" s="145" t="str">
        <f aca="false">ExportRaw!$D295</f>
        <v/>
      </c>
      <c r="F295" s="144" t="str">
        <f aca="false">ExportRaw!$H295</f>
        <v/>
      </c>
      <c r="G295" s="146" t="str">
        <f aca="false">ExportRaw!$I295</f>
        <v/>
      </c>
      <c r="H295" s="144" t="str">
        <f aca="false">ExportRaw!$A295</f>
        <v/>
      </c>
      <c r="I295" s="144" t="str">
        <f aca="false">ExportRaw!$B295</f>
        <v/>
      </c>
    </row>
    <row r="296" customFormat="false" ht="15.75" hidden="false" customHeight="false" outlineLevel="0" collapsed="false">
      <c r="A296" s="144" t="n">
        <f aca="false">ExportRaw!$F296</f>
        <v>0</v>
      </c>
      <c r="B296" s="144" t="n">
        <f aca="false">ExportRaw!$C296</f>
        <v>0</v>
      </c>
      <c r="C296" s="144" t="n">
        <f aca="false">ExportRaw!$G296</f>
        <v>0</v>
      </c>
      <c r="D296" s="144" t="str">
        <f aca="false">ExportRaw!$E296</f>
        <v/>
      </c>
      <c r="E296" s="145" t="str">
        <f aca="false">ExportRaw!$D296</f>
        <v/>
      </c>
      <c r="F296" s="144" t="str">
        <f aca="false">ExportRaw!$H296</f>
        <v/>
      </c>
      <c r="G296" s="146" t="str">
        <f aca="false">ExportRaw!$I296</f>
        <v/>
      </c>
      <c r="H296" s="144" t="str">
        <f aca="false">ExportRaw!$A296</f>
        <v/>
      </c>
      <c r="I296" s="144" t="str">
        <f aca="false">ExportRaw!$B296</f>
        <v/>
      </c>
    </row>
    <row r="297" customFormat="false" ht="15.75" hidden="false" customHeight="false" outlineLevel="0" collapsed="false">
      <c r="A297" s="144" t="n">
        <f aca="false">ExportRaw!$F297</f>
        <v>0</v>
      </c>
      <c r="B297" s="144" t="n">
        <f aca="false">ExportRaw!$C297</f>
        <v>0</v>
      </c>
      <c r="C297" s="144" t="n">
        <f aca="false">ExportRaw!$G297</f>
        <v>0</v>
      </c>
      <c r="D297" s="144" t="str">
        <f aca="false">ExportRaw!$E297</f>
        <v/>
      </c>
      <c r="E297" s="145" t="str">
        <f aca="false">ExportRaw!$D297</f>
        <v/>
      </c>
      <c r="F297" s="144" t="str">
        <f aca="false">ExportRaw!$H297</f>
        <v/>
      </c>
      <c r="G297" s="146" t="str">
        <f aca="false">ExportRaw!$I297</f>
        <v/>
      </c>
      <c r="H297" s="144" t="str">
        <f aca="false">ExportRaw!$A297</f>
        <v/>
      </c>
      <c r="I297" s="144" t="str">
        <f aca="false">ExportRaw!$B297</f>
        <v/>
      </c>
    </row>
    <row r="298" customFormat="false" ht="15.75" hidden="false" customHeight="false" outlineLevel="0" collapsed="false">
      <c r="A298" s="144" t="n">
        <f aca="false">ExportRaw!$F298</f>
        <v>0</v>
      </c>
      <c r="B298" s="144" t="n">
        <f aca="false">ExportRaw!$C298</f>
        <v>0</v>
      </c>
      <c r="C298" s="144" t="n">
        <f aca="false">ExportRaw!$G298</f>
        <v>0</v>
      </c>
      <c r="D298" s="144" t="str">
        <f aca="false">ExportRaw!$E298</f>
        <v/>
      </c>
      <c r="E298" s="145" t="str">
        <f aca="false">ExportRaw!$D298</f>
        <v/>
      </c>
      <c r="F298" s="144" t="str">
        <f aca="false">ExportRaw!$H298</f>
        <v/>
      </c>
      <c r="G298" s="146" t="str">
        <f aca="false">ExportRaw!$I298</f>
        <v/>
      </c>
      <c r="H298" s="144" t="str">
        <f aca="false">ExportRaw!$A298</f>
        <v/>
      </c>
      <c r="I298" s="144" t="str">
        <f aca="false">ExportRaw!$B298</f>
        <v/>
      </c>
    </row>
    <row r="299" customFormat="false" ht="15.75" hidden="false" customHeight="false" outlineLevel="0" collapsed="false">
      <c r="A299" s="144" t="n">
        <f aca="false">ExportRaw!$F299</f>
        <v>0</v>
      </c>
      <c r="B299" s="144" t="n">
        <f aca="false">ExportRaw!$C299</f>
        <v>0</v>
      </c>
      <c r="C299" s="144" t="n">
        <f aca="false">ExportRaw!$G299</f>
        <v>0</v>
      </c>
      <c r="D299" s="144" t="str">
        <f aca="false">ExportRaw!$E299</f>
        <v/>
      </c>
      <c r="E299" s="145" t="str">
        <f aca="false">ExportRaw!$D299</f>
        <v/>
      </c>
      <c r="F299" s="144" t="str">
        <f aca="false">ExportRaw!$H299</f>
        <v/>
      </c>
      <c r="G299" s="146" t="str">
        <f aca="false">ExportRaw!$I299</f>
        <v/>
      </c>
      <c r="H299" s="144" t="str">
        <f aca="false">ExportRaw!$A299</f>
        <v/>
      </c>
      <c r="I299" s="144" t="str">
        <f aca="false">ExportRaw!$B299</f>
        <v/>
      </c>
    </row>
    <row r="300" customFormat="false" ht="15.75" hidden="false" customHeight="false" outlineLevel="0" collapsed="false">
      <c r="A300" s="144" t="n">
        <f aca="false">ExportRaw!$F300</f>
        <v>0</v>
      </c>
      <c r="B300" s="144" t="n">
        <f aca="false">ExportRaw!$C300</f>
        <v>0</v>
      </c>
      <c r="C300" s="144" t="n">
        <f aca="false">ExportRaw!$G300</f>
        <v>0</v>
      </c>
      <c r="D300" s="144" t="str">
        <f aca="false">ExportRaw!$E300</f>
        <v/>
      </c>
      <c r="E300" s="145" t="str">
        <f aca="false">ExportRaw!$D300</f>
        <v/>
      </c>
      <c r="F300" s="144" t="str">
        <f aca="false">ExportRaw!$H300</f>
        <v/>
      </c>
      <c r="G300" s="146" t="str">
        <f aca="false">ExportRaw!$I300</f>
        <v/>
      </c>
      <c r="H300" s="144" t="str">
        <f aca="false">ExportRaw!$A300</f>
        <v/>
      </c>
      <c r="I300" s="144" t="str">
        <f aca="false">ExportRaw!$B300</f>
        <v/>
      </c>
    </row>
    <row r="301" customFormat="false" ht="15.75" hidden="false" customHeight="false" outlineLevel="0" collapsed="false">
      <c r="A301" s="144" t="n">
        <f aca="false">ExportRaw!$F301</f>
        <v>0</v>
      </c>
      <c r="B301" s="144" t="n">
        <f aca="false">ExportRaw!$C301</f>
        <v>0</v>
      </c>
      <c r="C301" s="144" t="n">
        <f aca="false">ExportRaw!$G301</f>
        <v>0</v>
      </c>
      <c r="D301" s="144" t="str">
        <f aca="false">ExportRaw!$E301</f>
        <v/>
      </c>
      <c r="E301" s="145" t="str">
        <f aca="false">ExportRaw!$D301</f>
        <v/>
      </c>
      <c r="F301" s="144" t="str">
        <f aca="false">ExportRaw!$H301</f>
        <v/>
      </c>
      <c r="G301" s="146" t="str">
        <f aca="false">ExportRaw!$I301</f>
        <v/>
      </c>
      <c r="H301" s="144" t="str">
        <f aca="false">ExportRaw!$A301</f>
        <v/>
      </c>
      <c r="I301" s="144" t="str">
        <f aca="false">ExportRaw!$B301</f>
        <v/>
      </c>
    </row>
    <row r="302" customFormat="false" ht="15.75" hidden="false" customHeight="false" outlineLevel="0" collapsed="false">
      <c r="A302" s="144" t="n">
        <f aca="false">ExportRaw!$F302</f>
        <v>0</v>
      </c>
      <c r="B302" s="144" t="n">
        <f aca="false">ExportRaw!$C302</f>
        <v>0</v>
      </c>
      <c r="C302" s="144" t="n">
        <f aca="false">ExportRaw!$G302</f>
        <v>0</v>
      </c>
      <c r="D302" s="144" t="str">
        <f aca="false">ExportRaw!$E302</f>
        <v/>
      </c>
      <c r="E302" s="145" t="str">
        <f aca="false">ExportRaw!$D302</f>
        <v/>
      </c>
      <c r="F302" s="144" t="str">
        <f aca="false">ExportRaw!$H302</f>
        <v/>
      </c>
      <c r="G302" s="146" t="str">
        <f aca="false">ExportRaw!$I302</f>
        <v/>
      </c>
      <c r="H302" s="144" t="str">
        <f aca="false">ExportRaw!$A302</f>
        <v/>
      </c>
      <c r="I302" s="144" t="str">
        <f aca="false">ExportRaw!$B302</f>
        <v/>
      </c>
    </row>
    <row r="303" customFormat="false" ht="15.75" hidden="false" customHeight="false" outlineLevel="0" collapsed="false">
      <c r="A303" s="144" t="n">
        <f aca="false">ExportRaw!$F303</f>
        <v>0</v>
      </c>
      <c r="B303" s="144" t="n">
        <f aca="false">ExportRaw!$C303</f>
        <v>0</v>
      </c>
      <c r="C303" s="144" t="n">
        <f aca="false">ExportRaw!$G303</f>
        <v>0</v>
      </c>
      <c r="D303" s="144" t="str">
        <f aca="false">ExportRaw!$E303</f>
        <v/>
      </c>
      <c r="E303" s="145" t="str">
        <f aca="false">ExportRaw!$D303</f>
        <v/>
      </c>
      <c r="F303" s="144" t="str">
        <f aca="false">ExportRaw!$H303</f>
        <v/>
      </c>
      <c r="G303" s="146" t="str">
        <f aca="false">ExportRaw!$I303</f>
        <v/>
      </c>
      <c r="H303" s="144" t="str">
        <f aca="false">ExportRaw!$A303</f>
        <v/>
      </c>
      <c r="I303" s="144" t="str">
        <f aca="false">ExportRaw!$B303</f>
        <v/>
      </c>
    </row>
    <row r="304" customFormat="false" ht="15.75" hidden="false" customHeight="false" outlineLevel="0" collapsed="false">
      <c r="A304" s="144" t="n">
        <f aca="false">ExportRaw!$F304</f>
        <v>0</v>
      </c>
      <c r="B304" s="144" t="n">
        <f aca="false">ExportRaw!$C304</f>
        <v>0</v>
      </c>
      <c r="C304" s="144" t="n">
        <f aca="false">ExportRaw!$G304</f>
        <v>0</v>
      </c>
      <c r="D304" s="144" t="str">
        <f aca="false">ExportRaw!$E304</f>
        <v/>
      </c>
      <c r="E304" s="145" t="str">
        <f aca="false">ExportRaw!$D304</f>
        <v/>
      </c>
      <c r="F304" s="144" t="str">
        <f aca="false">ExportRaw!$H304</f>
        <v/>
      </c>
      <c r="G304" s="146" t="str">
        <f aca="false">ExportRaw!$I304</f>
        <v/>
      </c>
      <c r="H304" s="144" t="str">
        <f aca="false">ExportRaw!$A304</f>
        <v/>
      </c>
      <c r="I304" s="144" t="str">
        <f aca="false">ExportRaw!$B304</f>
        <v/>
      </c>
    </row>
    <row r="305" customFormat="false" ht="15.75" hidden="false" customHeight="false" outlineLevel="0" collapsed="false">
      <c r="A305" s="144" t="n">
        <f aca="false">ExportRaw!$F305</f>
        <v>0</v>
      </c>
      <c r="B305" s="144" t="n">
        <f aca="false">ExportRaw!$C305</f>
        <v>0</v>
      </c>
      <c r="C305" s="144" t="n">
        <f aca="false">ExportRaw!$G305</f>
        <v>0</v>
      </c>
      <c r="D305" s="144" t="str">
        <f aca="false">ExportRaw!$E305</f>
        <v/>
      </c>
      <c r="E305" s="145" t="str">
        <f aca="false">ExportRaw!$D305</f>
        <v/>
      </c>
      <c r="F305" s="144" t="str">
        <f aca="false">ExportRaw!$H305</f>
        <v/>
      </c>
      <c r="G305" s="146" t="str">
        <f aca="false">ExportRaw!$I305</f>
        <v/>
      </c>
      <c r="H305" s="144" t="str">
        <f aca="false">ExportRaw!$A305</f>
        <v/>
      </c>
      <c r="I305" s="144" t="str">
        <f aca="false">ExportRaw!$B305</f>
        <v/>
      </c>
    </row>
    <row r="306" customFormat="false" ht="15.75" hidden="false" customHeight="false" outlineLevel="0" collapsed="false">
      <c r="A306" s="144" t="n">
        <f aca="false">ExportRaw!$F306</f>
        <v>0</v>
      </c>
      <c r="B306" s="144" t="n">
        <f aca="false">ExportRaw!$C306</f>
        <v>0</v>
      </c>
      <c r="C306" s="144" t="n">
        <f aca="false">ExportRaw!$G306</f>
        <v>0</v>
      </c>
      <c r="D306" s="144" t="str">
        <f aca="false">ExportRaw!$E306</f>
        <v/>
      </c>
      <c r="E306" s="145" t="str">
        <f aca="false">ExportRaw!$D306</f>
        <v/>
      </c>
      <c r="F306" s="144" t="str">
        <f aca="false">ExportRaw!$H306</f>
        <v/>
      </c>
      <c r="G306" s="146" t="str">
        <f aca="false">ExportRaw!$I306</f>
        <v/>
      </c>
      <c r="H306" s="144" t="str">
        <f aca="false">ExportRaw!$A306</f>
        <v/>
      </c>
      <c r="I306" s="144" t="str">
        <f aca="false">ExportRaw!$B306</f>
        <v/>
      </c>
    </row>
    <row r="307" customFormat="false" ht="15.75" hidden="false" customHeight="false" outlineLevel="0" collapsed="false">
      <c r="A307" s="144" t="n">
        <f aca="false">ExportRaw!$F307</f>
        <v>0</v>
      </c>
      <c r="B307" s="144" t="n">
        <f aca="false">ExportRaw!$C307</f>
        <v>0</v>
      </c>
      <c r="C307" s="144" t="n">
        <f aca="false">ExportRaw!$G307</f>
        <v>0</v>
      </c>
      <c r="D307" s="144" t="str">
        <f aca="false">ExportRaw!$E307</f>
        <v/>
      </c>
      <c r="E307" s="145" t="str">
        <f aca="false">ExportRaw!$D307</f>
        <v/>
      </c>
      <c r="F307" s="144" t="str">
        <f aca="false">ExportRaw!$H307</f>
        <v/>
      </c>
      <c r="G307" s="146" t="str">
        <f aca="false">ExportRaw!$I307</f>
        <v/>
      </c>
      <c r="H307" s="144" t="str">
        <f aca="false">ExportRaw!$A307</f>
        <v/>
      </c>
      <c r="I307" s="144" t="str">
        <f aca="false">ExportRaw!$B307</f>
        <v/>
      </c>
    </row>
    <row r="308" customFormat="false" ht="15.75" hidden="false" customHeight="false" outlineLevel="0" collapsed="false">
      <c r="A308" s="144" t="n">
        <f aca="false">ExportRaw!$F308</f>
        <v>0</v>
      </c>
      <c r="B308" s="144" t="n">
        <f aca="false">ExportRaw!$C308</f>
        <v>0</v>
      </c>
      <c r="C308" s="144" t="n">
        <f aca="false">ExportRaw!$G308</f>
        <v>0</v>
      </c>
      <c r="D308" s="144" t="str">
        <f aca="false">ExportRaw!$E308</f>
        <v/>
      </c>
      <c r="E308" s="145" t="str">
        <f aca="false">ExportRaw!$D308</f>
        <v/>
      </c>
      <c r="F308" s="144" t="str">
        <f aca="false">ExportRaw!$H308</f>
        <v/>
      </c>
      <c r="G308" s="146" t="str">
        <f aca="false">ExportRaw!$I308</f>
        <v/>
      </c>
      <c r="H308" s="144" t="str">
        <f aca="false">ExportRaw!$A308</f>
        <v/>
      </c>
      <c r="I308" s="144" t="str">
        <f aca="false">ExportRaw!$B308</f>
        <v/>
      </c>
    </row>
    <row r="309" customFormat="false" ht="15.75" hidden="false" customHeight="false" outlineLevel="0" collapsed="false">
      <c r="A309" s="144" t="n">
        <f aca="false">ExportRaw!$F309</f>
        <v>0</v>
      </c>
      <c r="B309" s="144" t="n">
        <f aca="false">ExportRaw!$C309</f>
        <v>0</v>
      </c>
      <c r="C309" s="144" t="n">
        <f aca="false">ExportRaw!$G309</f>
        <v>0</v>
      </c>
      <c r="D309" s="144" t="str">
        <f aca="false">ExportRaw!$E309</f>
        <v/>
      </c>
      <c r="E309" s="145" t="str">
        <f aca="false">ExportRaw!$D309</f>
        <v/>
      </c>
      <c r="F309" s="144" t="str">
        <f aca="false">ExportRaw!$H309</f>
        <v/>
      </c>
      <c r="G309" s="146" t="str">
        <f aca="false">ExportRaw!$I309</f>
        <v/>
      </c>
      <c r="H309" s="144" t="str">
        <f aca="false">ExportRaw!$A309</f>
        <v/>
      </c>
      <c r="I309" s="144" t="str">
        <f aca="false">ExportRaw!$B309</f>
        <v/>
      </c>
    </row>
    <row r="310" customFormat="false" ht="15.75" hidden="false" customHeight="false" outlineLevel="0" collapsed="false">
      <c r="A310" s="144" t="n">
        <f aca="false">ExportRaw!$F310</f>
        <v>0</v>
      </c>
      <c r="B310" s="144" t="n">
        <f aca="false">ExportRaw!$C310</f>
        <v>0</v>
      </c>
      <c r="C310" s="144" t="n">
        <f aca="false">ExportRaw!$G310</f>
        <v>0</v>
      </c>
      <c r="D310" s="144" t="str">
        <f aca="false">ExportRaw!$E310</f>
        <v/>
      </c>
      <c r="E310" s="145" t="str">
        <f aca="false">ExportRaw!$D310</f>
        <v/>
      </c>
      <c r="F310" s="144" t="str">
        <f aca="false">ExportRaw!$H310</f>
        <v/>
      </c>
      <c r="G310" s="146" t="str">
        <f aca="false">ExportRaw!$I310</f>
        <v/>
      </c>
      <c r="H310" s="144" t="str">
        <f aca="false">ExportRaw!$A310</f>
        <v/>
      </c>
      <c r="I310" s="144" t="str">
        <f aca="false">ExportRaw!$B310</f>
        <v/>
      </c>
    </row>
    <row r="311" customFormat="false" ht="15.75" hidden="false" customHeight="false" outlineLevel="0" collapsed="false">
      <c r="A311" s="144" t="n">
        <f aca="false">ExportRaw!$F311</f>
        <v>0</v>
      </c>
      <c r="B311" s="144" t="n">
        <f aca="false">ExportRaw!$C311</f>
        <v>0</v>
      </c>
      <c r="C311" s="144" t="n">
        <f aca="false">ExportRaw!$G311</f>
        <v>0</v>
      </c>
      <c r="D311" s="144" t="str">
        <f aca="false">ExportRaw!$E311</f>
        <v/>
      </c>
      <c r="E311" s="145" t="str">
        <f aca="false">ExportRaw!$D311</f>
        <v/>
      </c>
      <c r="F311" s="144" t="str">
        <f aca="false">ExportRaw!$H311</f>
        <v/>
      </c>
      <c r="G311" s="146" t="str">
        <f aca="false">ExportRaw!$I311</f>
        <v/>
      </c>
      <c r="H311" s="144" t="str">
        <f aca="false">ExportRaw!$A311</f>
        <v/>
      </c>
      <c r="I311" s="144" t="str">
        <f aca="false">ExportRaw!$B311</f>
        <v/>
      </c>
    </row>
    <row r="312" customFormat="false" ht="15.75" hidden="false" customHeight="false" outlineLevel="0" collapsed="false">
      <c r="A312" s="144" t="n">
        <f aca="false">ExportRaw!$F312</f>
        <v>0</v>
      </c>
      <c r="B312" s="144" t="n">
        <f aca="false">ExportRaw!$C312</f>
        <v>0</v>
      </c>
      <c r="C312" s="144" t="n">
        <f aca="false">ExportRaw!$G312</f>
        <v>0</v>
      </c>
      <c r="D312" s="144" t="str">
        <f aca="false">ExportRaw!$E312</f>
        <v/>
      </c>
      <c r="E312" s="145" t="str">
        <f aca="false">ExportRaw!$D312</f>
        <v/>
      </c>
      <c r="F312" s="144" t="str">
        <f aca="false">ExportRaw!$H312</f>
        <v/>
      </c>
      <c r="G312" s="146" t="str">
        <f aca="false">ExportRaw!$I312</f>
        <v/>
      </c>
      <c r="H312" s="144" t="str">
        <f aca="false">ExportRaw!$A312</f>
        <v/>
      </c>
      <c r="I312" s="144" t="str">
        <f aca="false">ExportRaw!$B312</f>
        <v/>
      </c>
    </row>
    <row r="313" customFormat="false" ht="15.75" hidden="false" customHeight="false" outlineLevel="0" collapsed="false">
      <c r="A313" s="144" t="n">
        <f aca="false">ExportRaw!$F313</f>
        <v>0</v>
      </c>
      <c r="B313" s="144" t="n">
        <f aca="false">ExportRaw!$C313</f>
        <v>0</v>
      </c>
      <c r="C313" s="144" t="n">
        <f aca="false">ExportRaw!$G313</f>
        <v>0</v>
      </c>
      <c r="D313" s="144" t="str">
        <f aca="false">ExportRaw!$E313</f>
        <v/>
      </c>
      <c r="E313" s="145" t="str">
        <f aca="false">ExportRaw!$D313</f>
        <v/>
      </c>
      <c r="F313" s="144" t="str">
        <f aca="false">ExportRaw!$H313</f>
        <v/>
      </c>
      <c r="G313" s="146" t="str">
        <f aca="false">ExportRaw!$I313</f>
        <v/>
      </c>
      <c r="H313" s="144" t="str">
        <f aca="false">ExportRaw!$A313</f>
        <v/>
      </c>
      <c r="I313" s="144" t="str">
        <f aca="false">ExportRaw!$B313</f>
        <v/>
      </c>
    </row>
    <row r="314" customFormat="false" ht="15.75" hidden="false" customHeight="false" outlineLevel="0" collapsed="false">
      <c r="A314" s="144" t="n">
        <f aca="false">ExportRaw!$F314</f>
        <v>0</v>
      </c>
      <c r="B314" s="144" t="n">
        <f aca="false">ExportRaw!$C314</f>
        <v>0</v>
      </c>
      <c r="C314" s="144" t="n">
        <f aca="false">ExportRaw!$G314</f>
        <v>0</v>
      </c>
      <c r="D314" s="144" t="str">
        <f aca="false">ExportRaw!$E314</f>
        <v/>
      </c>
      <c r="E314" s="145" t="str">
        <f aca="false">ExportRaw!$D314</f>
        <v/>
      </c>
      <c r="F314" s="144" t="str">
        <f aca="false">ExportRaw!$H314</f>
        <v/>
      </c>
      <c r="G314" s="146" t="str">
        <f aca="false">ExportRaw!$I314</f>
        <v/>
      </c>
      <c r="H314" s="144" t="str">
        <f aca="false">ExportRaw!$A314</f>
        <v/>
      </c>
      <c r="I314" s="144" t="str">
        <f aca="false">ExportRaw!$B314</f>
        <v/>
      </c>
    </row>
    <row r="315" customFormat="false" ht="15.75" hidden="false" customHeight="false" outlineLevel="0" collapsed="false">
      <c r="A315" s="144" t="n">
        <f aca="false">ExportRaw!$F315</f>
        <v>0</v>
      </c>
      <c r="B315" s="144" t="n">
        <f aca="false">ExportRaw!$C315</f>
        <v>0</v>
      </c>
      <c r="C315" s="144" t="n">
        <f aca="false">ExportRaw!$G315</f>
        <v>0</v>
      </c>
      <c r="D315" s="144" t="str">
        <f aca="false">ExportRaw!$E315</f>
        <v/>
      </c>
      <c r="E315" s="145" t="str">
        <f aca="false">ExportRaw!$D315</f>
        <v/>
      </c>
      <c r="F315" s="144" t="str">
        <f aca="false">ExportRaw!$H315</f>
        <v/>
      </c>
      <c r="G315" s="146" t="str">
        <f aca="false">ExportRaw!$I315</f>
        <v/>
      </c>
      <c r="H315" s="144" t="str">
        <f aca="false">ExportRaw!$A315</f>
        <v/>
      </c>
      <c r="I315" s="144" t="str">
        <f aca="false">ExportRaw!$B315</f>
        <v/>
      </c>
    </row>
    <row r="316" customFormat="false" ht="15.75" hidden="false" customHeight="false" outlineLevel="0" collapsed="false">
      <c r="A316" s="144" t="n">
        <f aca="false">ExportRaw!$F316</f>
        <v>0</v>
      </c>
      <c r="B316" s="144" t="n">
        <f aca="false">ExportRaw!$C316</f>
        <v>0</v>
      </c>
      <c r="C316" s="144" t="n">
        <f aca="false">ExportRaw!$G316</f>
        <v>0</v>
      </c>
      <c r="D316" s="144" t="str">
        <f aca="false">ExportRaw!$E316</f>
        <v/>
      </c>
      <c r="E316" s="145" t="str">
        <f aca="false">ExportRaw!$D316</f>
        <v/>
      </c>
      <c r="F316" s="144" t="str">
        <f aca="false">ExportRaw!$H316</f>
        <v/>
      </c>
      <c r="G316" s="146" t="str">
        <f aca="false">ExportRaw!$I316</f>
        <v/>
      </c>
      <c r="H316" s="144" t="str">
        <f aca="false">ExportRaw!$A316</f>
        <v/>
      </c>
      <c r="I316" s="144" t="str">
        <f aca="false">ExportRaw!$B316</f>
        <v/>
      </c>
    </row>
    <row r="317" customFormat="false" ht="15.75" hidden="false" customHeight="false" outlineLevel="0" collapsed="false">
      <c r="A317" s="144" t="n">
        <f aca="false">ExportRaw!$F317</f>
        <v>0</v>
      </c>
      <c r="B317" s="144" t="n">
        <f aca="false">ExportRaw!$C317</f>
        <v>0</v>
      </c>
      <c r="C317" s="144" t="n">
        <f aca="false">ExportRaw!$G317</f>
        <v>0</v>
      </c>
      <c r="D317" s="144" t="str">
        <f aca="false">ExportRaw!$E317</f>
        <v/>
      </c>
      <c r="E317" s="145" t="str">
        <f aca="false">ExportRaw!$D317</f>
        <v/>
      </c>
      <c r="F317" s="144" t="str">
        <f aca="false">ExportRaw!$H317</f>
        <v/>
      </c>
      <c r="G317" s="146" t="str">
        <f aca="false">ExportRaw!$I317</f>
        <v/>
      </c>
      <c r="H317" s="144" t="str">
        <f aca="false">ExportRaw!$A317</f>
        <v/>
      </c>
      <c r="I317" s="144" t="str">
        <f aca="false">ExportRaw!$B317</f>
        <v/>
      </c>
    </row>
    <row r="318" customFormat="false" ht="15.75" hidden="false" customHeight="false" outlineLevel="0" collapsed="false">
      <c r="A318" s="144" t="n">
        <f aca="false">ExportRaw!$F318</f>
        <v>0</v>
      </c>
      <c r="B318" s="144" t="n">
        <f aca="false">ExportRaw!$C318</f>
        <v>0</v>
      </c>
      <c r="C318" s="144" t="n">
        <f aca="false">ExportRaw!$G318</f>
        <v>0</v>
      </c>
      <c r="D318" s="144" t="str">
        <f aca="false">ExportRaw!$E318</f>
        <v/>
      </c>
      <c r="E318" s="145" t="str">
        <f aca="false">ExportRaw!$D318</f>
        <v/>
      </c>
      <c r="F318" s="144" t="str">
        <f aca="false">ExportRaw!$H318</f>
        <v/>
      </c>
      <c r="G318" s="146" t="str">
        <f aca="false">ExportRaw!$I318</f>
        <v/>
      </c>
      <c r="H318" s="144" t="str">
        <f aca="false">ExportRaw!$A318</f>
        <v/>
      </c>
      <c r="I318" s="144" t="str">
        <f aca="false">ExportRaw!$B318</f>
        <v/>
      </c>
    </row>
    <row r="319" customFormat="false" ht="15.75" hidden="false" customHeight="false" outlineLevel="0" collapsed="false">
      <c r="A319" s="144" t="n">
        <f aca="false">ExportRaw!$F319</f>
        <v>0</v>
      </c>
      <c r="B319" s="144" t="n">
        <f aca="false">ExportRaw!$C319</f>
        <v>0</v>
      </c>
      <c r="C319" s="144" t="n">
        <f aca="false">ExportRaw!$G319</f>
        <v>0</v>
      </c>
      <c r="D319" s="144" t="str">
        <f aca="false">ExportRaw!$E319</f>
        <v/>
      </c>
      <c r="E319" s="145" t="str">
        <f aca="false">ExportRaw!$D319</f>
        <v/>
      </c>
      <c r="F319" s="144" t="str">
        <f aca="false">ExportRaw!$H319</f>
        <v/>
      </c>
      <c r="G319" s="146" t="str">
        <f aca="false">ExportRaw!$I319</f>
        <v/>
      </c>
      <c r="H319" s="144" t="str">
        <f aca="false">ExportRaw!$A319</f>
        <v/>
      </c>
      <c r="I319" s="144" t="str">
        <f aca="false">ExportRaw!$B319</f>
        <v/>
      </c>
    </row>
    <row r="320" customFormat="false" ht="15.75" hidden="false" customHeight="false" outlineLevel="0" collapsed="false">
      <c r="A320" s="144" t="n">
        <f aca="false">ExportRaw!$F320</f>
        <v>0</v>
      </c>
      <c r="B320" s="144" t="n">
        <f aca="false">ExportRaw!$C320</f>
        <v>0</v>
      </c>
      <c r="C320" s="144" t="n">
        <f aca="false">ExportRaw!$G320</f>
        <v>0</v>
      </c>
      <c r="D320" s="144" t="str">
        <f aca="false">ExportRaw!$E320</f>
        <v/>
      </c>
      <c r="E320" s="145" t="str">
        <f aca="false">ExportRaw!$D320</f>
        <v/>
      </c>
      <c r="F320" s="144" t="str">
        <f aca="false">ExportRaw!$H320</f>
        <v/>
      </c>
      <c r="G320" s="146" t="str">
        <f aca="false">ExportRaw!$I320</f>
        <v/>
      </c>
      <c r="H320" s="144" t="str">
        <f aca="false">ExportRaw!$A320</f>
        <v/>
      </c>
      <c r="I320" s="144" t="str">
        <f aca="false">ExportRaw!$B320</f>
        <v/>
      </c>
    </row>
    <row r="321" customFormat="false" ht="15.75" hidden="false" customHeight="false" outlineLevel="0" collapsed="false">
      <c r="A321" s="144" t="n">
        <f aca="false">ExportRaw!$F321</f>
        <v>0</v>
      </c>
      <c r="B321" s="144" t="n">
        <f aca="false">ExportRaw!$C321</f>
        <v>0</v>
      </c>
      <c r="C321" s="144" t="n">
        <f aca="false">ExportRaw!$G321</f>
        <v>0</v>
      </c>
      <c r="D321" s="144" t="str">
        <f aca="false">ExportRaw!$E321</f>
        <v/>
      </c>
      <c r="E321" s="145" t="str">
        <f aca="false">ExportRaw!$D321</f>
        <v/>
      </c>
      <c r="F321" s="144" t="str">
        <f aca="false">ExportRaw!$H321</f>
        <v/>
      </c>
      <c r="G321" s="146" t="str">
        <f aca="false">ExportRaw!$I321</f>
        <v/>
      </c>
      <c r="H321" s="144" t="str">
        <f aca="false">ExportRaw!$A321</f>
        <v/>
      </c>
      <c r="I321" s="144" t="str">
        <f aca="false">ExportRaw!$B321</f>
        <v/>
      </c>
    </row>
    <row r="322" customFormat="false" ht="15.75" hidden="false" customHeight="false" outlineLevel="0" collapsed="false">
      <c r="A322" s="144" t="n">
        <f aca="false">ExportRaw!$F322</f>
        <v>0</v>
      </c>
      <c r="B322" s="144" t="n">
        <f aca="false">ExportRaw!$C322</f>
        <v>0</v>
      </c>
      <c r="C322" s="144" t="n">
        <f aca="false">ExportRaw!$G322</f>
        <v>0</v>
      </c>
      <c r="D322" s="144" t="str">
        <f aca="false">ExportRaw!$E322</f>
        <v/>
      </c>
      <c r="E322" s="145" t="str">
        <f aca="false">ExportRaw!$D322</f>
        <v/>
      </c>
      <c r="F322" s="144" t="str">
        <f aca="false">ExportRaw!$H322</f>
        <v/>
      </c>
      <c r="G322" s="146" t="str">
        <f aca="false">ExportRaw!$I322</f>
        <v/>
      </c>
      <c r="H322" s="144" t="str">
        <f aca="false">ExportRaw!$A322</f>
        <v/>
      </c>
      <c r="I322" s="144" t="str">
        <f aca="false">ExportRaw!$B322</f>
        <v/>
      </c>
    </row>
    <row r="323" customFormat="false" ht="15.75" hidden="false" customHeight="false" outlineLevel="0" collapsed="false">
      <c r="A323" s="144" t="n">
        <f aca="false">ExportRaw!$F323</f>
        <v>0</v>
      </c>
      <c r="B323" s="144" t="n">
        <f aca="false">ExportRaw!$C323</f>
        <v>0</v>
      </c>
      <c r="C323" s="144" t="n">
        <f aca="false">ExportRaw!$G323</f>
        <v>0</v>
      </c>
      <c r="D323" s="144" t="str">
        <f aca="false">ExportRaw!$E323</f>
        <v/>
      </c>
      <c r="E323" s="145" t="str">
        <f aca="false">ExportRaw!$D323</f>
        <v/>
      </c>
      <c r="F323" s="144" t="str">
        <f aca="false">ExportRaw!$H323</f>
        <v/>
      </c>
      <c r="G323" s="146" t="str">
        <f aca="false">ExportRaw!$I323</f>
        <v/>
      </c>
      <c r="H323" s="144" t="str">
        <f aca="false">ExportRaw!$A323</f>
        <v/>
      </c>
      <c r="I323" s="144" t="str">
        <f aca="false">ExportRaw!$B323</f>
        <v/>
      </c>
    </row>
    <row r="324" customFormat="false" ht="15.75" hidden="false" customHeight="false" outlineLevel="0" collapsed="false">
      <c r="A324" s="144" t="n">
        <f aca="false">ExportRaw!$F324</f>
        <v>0</v>
      </c>
      <c r="B324" s="144" t="n">
        <f aca="false">ExportRaw!$C324</f>
        <v>0</v>
      </c>
      <c r="C324" s="144" t="n">
        <f aca="false">ExportRaw!$G324</f>
        <v>0</v>
      </c>
      <c r="D324" s="144" t="str">
        <f aca="false">ExportRaw!$E324</f>
        <v/>
      </c>
      <c r="E324" s="145" t="str">
        <f aca="false">ExportRaw!$D324</f>
        <v/>
      </c>
      <c r="F324" s="144" t="str">
        <f aca="false">ExportRaw!$H324</f>
        <v/>
      </c>
      <c r="G324" s="146" t="str">
        <f aca="false">ExportRaw!$I324</f>
        <v/>
      </c>
      <c r="H324" s="144" t="str">
        <f aca="false">ExportRaw!$A324</f>
        <v/>
      </c>
      <c r="I324" s="144" t="str">
        <f aca="false">ExportRaw!$B324</f>
        <v/>
      </c>
    </row>
    <row r="325" customFormat="false" ht="15.75" hidden="false" customHeight="false" outlineLevel="0" collapsed="false">
      <c r="A325" s="144" t="n">
        <f aca="false">ExportRaw!$F325</f>
        <v>0</v>
      </c>
      <c r="B325" s="144" t="n">
        <f aca="false">ExportRaw!$C325</f>
        <v>0</v>
      </c>
      <c r="C325" s="144" t="n">
        <f aca="false">ExportRaw!$G325</f>
        <v>0</v>
      </c>
      <c r="D325" s="144" t="str">
        <f aca="false">ExportRaw!$E325</f>
        <v/>
      </c>
      <c r="E325" s="145" t="str">
        <f aca="false">ExportRaw!$D325</f>
        <v/>
      </c>
      <c r="F325" s="144" t="str">
        <f aca="false">ExportRaw!$H325</f>
        <v/>
      </c>
      <c r="G325" s="146" t="str">
        <f aca="false">ExportRaw!$I325</f>
        <v/>
      </c>
      <c r="H325" s="144" t="str">
        <f aca="false">ExportRaw!$A325</f>
        <v/>
      </c>
      <c r="I325" s="144" t="str">
        <f aca="false">ExportRaw!$B325</f>
        <v/>
      </c>
    </row>
    <row r="326" customFormat="false" ht="15.75" hidden="false" customHeight="false" outlineLevel="0" collapsed="false">
      <c r="A326" s="144" t="n">
        <f aca="false">ExportRaw!$F326</f>
        <v>0</v>
      </c>
      <c r="B326" s="144" t="n">
        <f aca="false">ExportRaw!$C326</f>
        <v>0</v>
      </c>
      <c r="C326" s="144" t="n">
        <f aca="false">ExportRaw!$G326</f>
        <v>0</v>
      </c>
      <c r="D326" s="144" t="str">
        <f aca="false">ExportRaw!$E326</f>
        <v/>
      </c>
      <c r="E326" s="145" t="str">
        <f aca="false">ExportRaw!$D326</f>
        <v/>
      </c>
      <c r="F326" s="144" t="str">
        <f aca="false">ExportRaw!$H326</f>
        <v/>
      </c>
      <c r="G326" s="146" t="str">
        <f aca="false">ExportRaw!$I326</f>
        <v/>
      </c>
      <c r="H326" s="144" t="str">
        <f aca="false">ExportRaw!$A326</f>
        <v/>
      </c>
      <c r="I326" s="144" t="str">
        <f aca="false">ExportRaw!$B326</f>
        <v/>
      </c>
    </row>
    <row r="327" customFormat="false" ht="15.75" hidden="false" customHeight="false" outlineLevel="0" collapsed="false">
      <c r="A327" s="144" t="n">
        <f aca="false">ExportRaw!$F327</f>
        <v>0</v>
      </c>
      <c r="B327" s="144" t="n">
        <f aca="false">ExportRaw!$C327</f>
        <v>0</v>
      </c>
      <c r="C327" s="144" t="n">
        <f aca="false">ExportRaw!$G327</f>
        <v>0</v>
      </c>
      <c r="D327" s="144" t="str">
        <f aca="false">ExportRaw!$E327</f>
        <v/>
      </c>
      <c r="E327" s="145" t="str">
        <f aca="false">ExportRaw!$D327</f>
        <v/>
      </c>
      <c r="F327" s="144" t="str">
        <f aca="false">ExportRaw!$H327</f>
        <v/>
      </c>
      <c r="G327" s="146" t="str">
        <f aca="false">ExportRaw!$I327</f>
        <v/>
      </c>
      <c r="H327" s="144" t="str">
        <f aca="false">ExportRaw!$A327</f>
        <v/>
      </c>
      <c r="I327" s="144" t="str">
        <f aca="false">ExportRaw!$B327</f>
        <v/>
      </c>
    </row>
    <row r="328" customFormat="false" ht="15.75" hidden="false" customHeight="false" outlineLevel="0" collapsed="false">
      <c r="A328" s="144" t="n">
        <f aca="false">ExportRaw!$F328</f>
        <v>0</v>
      </c>
      <c r="B328" s="144" t="n">
        <f aca="false">ExportRaw!$C328</f>
        <v>0</v>
      </c>
      <c r="C328" s="144" t="n">
        <f aca="false">ExportRaw!$G328</f>
        <v>0</v>
      </c>
      <c r="D328" s="144" t="str">
        <f aca="false">ExportRaw!$E328</f>
        <v/>
      </c>
      <c r="E328" s="145" t="str">
        <f aca="false">ExportRaw!$D328</f>
        <v/>
      </c>
      <c r="F328" s="144" t="str">
        <f aca="false">ExportRaw!$H328</f>
        <v/>
      </c>
      <c r="G328" s="146" t="str">
        <f aca="false">ExportRaw!$I328</f>
        <v/>
      </c>
      <c r="H328" s="144" t="str">
        <f aca="false">ExportRaw!$A328</f>
        <v/>
      </c>
      <c r="I328" s="144" t="str">
        <f aca="false">ExportRaw!$B328</f>
        <v/>
      </c>
    </row>
    <row r="329" customFormat="false" ht="15.75" hidden="false" customHeight="false" outlineLevel="0" collapsed="false">
      <c r="A329" s="144" t="n">
        <f aca="false">ExportRaw!$F329</f>
        <v>0</v>
      </c>
      <c r="B329" s="144" t="n">
        <f aca="false">ExportRaw!$C329</f>
        <v>0</v>
      </c>
      <c r="C329" s="144" t="n">
        <f aca="false">ExportRaw!$G329</f>
        <v>0</v>
      </c>
      <c r="D329" s="144" t="str">
        <f aca="false">ExportRaw!$E329</f>
        <v/>
      </c>
      <c r="E329" s="145" t="str">
        <f aca="false">ExportRaw!$D329</f>
        <v/>
      </c>
      <c r="F329" s="144" t="str">
        <f aca="false">ExportRaw!$H329</f>
        <v/>
      </c>
      <c r="G329" s="146" t="str">
        <f aca="false">ExportRaw!$I329</f>
        <v/>
      </c>
      <c r="H329" s="144" t="str">
        <f aca="false">ExportRaw!$A329</f>
        <v/>
      </c>
      <c r="I329" s="144" t="str">
        <f aca="false">ExportRaw!$B329</f>
        <v/>
      </c>
    </row>
    <row r="330" customFormat="false" ht="15.75" hidden="false" customHeight="false" outlineLevel="0" collapsed="false">
      <c r="A330" s="144" t="n">
        <f aca="false">ExportRaw!$F330</f>
        <v>0</v>
      </c>
      <c r="B330" s="144" t="n">
        <f aca="false">ExportRaw!$C330</f>
        <v>0</v>
      </c>
      <c r="C330" s="144" t="n">
        <f aca="false">ExportRaw!$G330</f>
        <v>0</v>
      </c>
      <c r="D330" s="144" t="str">
        <f aca="false">ExportRaw!$E330</f>
        <v/>
      </c>
      <c r="E330" s="145" t="str">
        <f aca="false">ExportRaw!$D330</f>
        <v/>
      </c>
      <c r="F330" s="144" t="str">
        <f aca="false">ExportRaw!$H330</f>
        <v/>
      </c>
      <c r="G330" s="146" t="str">
        <f aca="false">ExportRaw!$I330</f>
        <v/>
      </c>
      <c r="H330" s="144" t="str">
        <f aca="false">ExportRaw!$A330</f>
        <v/>
      </c>
      <c r="I330" s="144" t="str">
        <f aca="false">ExportRaw!$B330</f>
        <v/>
      </c>
    </row>
    <row r="331" customFormat="false" ht="15.75" hidden="false" customHeight="false" outlineLevel="0" collapsed="false">
      <c r="A331" s="144" t="n">
        <f aca="false">ExportRaw!$F331</f>
        <v>0</v>
      </c>
      <c r="B331" s="144" t="n">
        <f aca="false">ExportRaw!$C331</f>
        <v>0</v>
      </c>
      <c r="C331" s="144" t="n">
        <f aca="false">ExportRaw!$G331</f>
        <v>0</v>
      </c>
      <c r="D331" s="144" t="str">
        <f aca="false">ExportRaw!$E331</f>
        <v/>
      </c>
      <c r="E331" s="145" t="str">
        <f aca="false">ExportRaw!$D331</f>
        <v/>
      </c>
      <c r="F331" s="144" t="str">
        <f aca="false">ExportRaw!$H331</f>
        <v/>
      </c>
      <c r="G331" s="146" t="str">
        <f aca="false">ExportRaw!$I331</f>
        <v/>
      </c>
      <c r="H331" s="144" t="str">
        <f aca="false">ExportRaw!$A331</f>
        <v/>
      </c>
      <c r="I331" s="144" t="str">
        <f aca="false">ExportRaw!$B331</f>
        <v/>
      </c>
    </row>
    <row r="332" customFormat="false" ht="15.75" hidden="false" customHeight="false" outlineLevel="0" collapsed="false">
      <c r="A332" s="144" t="n">
        <f aca="false">ExportRaw!$F332</f>
        <v>0</v>
      </c>
      <c r="B332" s="144" t="n">
        <f aca="false">ExportRaw!$C332</f>
        <v>0</v>
      </c>
      <c r="C332" s="144" t="n">
        <f aca="false">ExportRaw!$G332</f>
        <v>0</v>
      </c>
      <c r="D332" s="144" t="str">
        <f aca="false">ExportRaw!$E332</f>
        <v/>
      </c>
      <c r="E332" s="145" t="str">
        <f aca="false">ExportRaw!$D332</f>
        <v/>
      </c>
      <c r="F332" s="144" t="str">
        <f aca="false">ExportRaw!$H332</f>
        <v/>
      </c>
      <c r="G332" s="146" t="str">
        <f aca="false">ExportRaw!$I332</f>
        <v/>
      </c>
      <c r="H332" s="144" t="str">
        <f aca="false">ExportRaw!$A332</f>
        <v/>
      </c>
      <c r="I332" s="144" t="str">
        <f aca="false">ExportRaw!$B332</f>
        <v/>
      </c>
    </row>
    <row r="333" customFormat="false" ht="15.75" hidden="false" customHeight="false" outlineLevel="0" collapsed="false">
      <c r="A333" s="144" t="n">
        <f aca="false">ExportRaw!$F333</f>
        <v>0</v>
      </c>
      <c r="B333" s="144" t="n">
        <f aca="false">ExportRaw!$C333</f>
        <v>0</v>
      </c>
      <c r="C333" s="144" t="n">
        <f aca="false">ExportRaw!$G333</f>
        <v>0</v>
      </c>
      <c r="D333" s="144" t="str">
        <f aca="false">ExportRaw!$E333</f>
        <v/>
      </c>
      <c r="E333" s="145" t="str">
        <f aca="false">ExportRaw!$D333</f>
        <v/>
      </c>
      <c r="F333" s="144" t="str">
        <f aca="false">ExportRaw!$H333</f>
        <v/>
      </c>
      <c r="G333" s="146" t="str">
        <f aca="false">ExportRaw!$I333</f>
        <v/>
      </c>
      <c r="H333" s="144" t="str">
        <f aca="false">ExportRaw!$A333</f>
        <v/>
      </c>
      <c r="I333" s="144" t="str">
        <f aca="false">ExportRaw!$B333</f>
        <v/>
      </c>
    </row>
    <row r="334" customFormat="false" ht="15.75" hidden="false" customHeight="false" outlineLevel="0" collapsed="false">
      <c r="A334" s="144" t="n">
        <f aca="false">ExportRaw!$F334</f>
        <v>0</v>
      </c>
      <c r="B334" s="144" t="n">
        <f aca="false">ExportRaw!$C334</f>
        <v>0</v>
      </c>
      <c r="C334" s="144" t="n">
        <f aca="false">ExportRaw!$G334</f>
        <v>0</v>
      </c>
      <c r="D334" s="144" t="str">
        <f aca="false">ExportRaw!$E334</f>
        <v/>
      </c>
      <c r="E334" s="145" t="str">
        <f aca="false">ExportRaw!$D334</f>
        <v/>
      </c>
      <c r="F334" s="144" t="str">
        <f aca="false">ExportRaw!$H334</f>
        <v/>
      </c>
      <c r="G334" s="146" t="str">
        <f aca="false">ExportRaw!$I334</f>
        <v/>
      </c>
      <c r="H334" s="144" t="str">
        <f aca="false">ExportRaw!$A334</f>
        <v/>
      </c>
      <c r="I334" s="144" t="str">
        <f aca="false">ExportRaw!$B334</f>
        <v/>
      </c>
    </row>
    <row r="335" customFormat="false" ht="15.75" hidden="false" customHeight="false" outlineLevel="0" collapsed="false">
      <c r="A335" s="144" t="n">
        <f aca="false">ExportRaw!$F335</f>
        <v>0</v>
      </c>
      <c r="B335" s="144" t="n">
        <f aca="false">ExportRaw!$C335</f>
        <v>0</v>
      </c>
      <c r="C335" s="144" t="n">
        <f aca="false">ExportRaw!$G335</f>
        <v>0</v>
      </c>
      <c r="D335" s="144" t="str">
        <f aca="false">ExportRaw!$E335</f>
        <v/>
      </c>
      <c r="E335" s="145" t="str">
        <f aca="false">ExportRaw!$D335</f>
        <v/>
      </c>
      <c r="F335" s="144" t="str">
        <f aca="false">ExportRaw!$H335</f>
        <v/>
      </c>
      <c r="G335" s="146" t="str">
        <f aca="false">ExportRaw!$I335</f>
        <v/>
      </c>
      <c r="H335" s="144" t="str">
        <f aca="false">ExportRaw!$A335</f>
        <v/>
      </c>
      <c r="I335" s="144" t="str">
        <f aca="false">ExportRaw!$B335</f>
        <v/>
      </c>
    </row>
    <row r="336" customFormat="false" ht="15.75" hidden="false" customHeight="false" outlineLevel="0" collapsed="false">
      <c r="A336" s="144" t="n">
        <f aca="false">ExportRaw!$F336</f>
        <v>0</v>
      </c>
      <c r="B336" s="144" t="n">
        <f aca="false">ExportRaw!$C336</f>
        <v>0</v>
      </c>
      <c r="C336" s="144" t="n">
        <f aca="false">ExportRaw!$G336</f>
        <v>0</v>
      </c>
      <c r="D336" s="144" t="str">
        <f aca="false">ExportRaw!$E336</f>
        <v/>
      </c>
      <c r="E336" s="145" t="str">
        <f aca="false">ExportRaw!$D336</f>
        <v/>
      </c>
      <c r="F336" s="144" t="str">
        <f aca="false">ExportRaw!$H336</f>
        <v/>
      </c>
      <c r="G336" s="146" t="str">
        <f aca="false">ExportRaw!$I336</f>
        <v/>
      </c>
      <c r="H336" s="144" t="str">
        <f aca="false">ExportRaw!$A336</f>
        <v/>
      </c>
      <c r="I336" s="144" t="str">
        <f aca="false">ExportRaw!$B336</f>
        <v/>
      </c>
    </row>
    <row r="337" customFormat="false" ht="15.75" hidden="false" customHeight="false" outlineLevel="0" collapsed="false">
      <c r="A337" s="144" t="n">
        <f aca="false">ExportRaw!$F337</f>
        <v>0</v>
      </c>
      <c r="B337" s="144" t="n">
        <f aca="false">ExportRaw!$C337</f>
        <v>0</v>
      </c>
      <c r="C337" s="144" t="n">
        <f aca="false">ExportRaw!$G337</f>
        <v>0</v>
      </c>
      <c r="D337" s="144" t="str">
        <f aca="false">ExportRaw!$E337</f>
        <v/>
      </c>
      <c r="E337" s="145" t="str">
        <f aca="false">ExportRaw!$D337</f>
        <v/>
      </c>
      <c r="F337" s="144" t="str">
        <f aca="false">ExportRaw!$H337</f>
        <v/>
      </c>
      <c r="G337" s="146" t="str">
        <f aca="false">ExportRaw!$I337</f>
        <v/>
      </c>
      <c r="H337" s="144" t="str">
        <f aca="false">ExportRaw!$A337</f>
        <v/>
      </c>
      <c r="I337" s="144" t="str">
        <f aca="false">ExportRaw!$B337</f>
        <v/>
      </c>
    </row>
    <row r="338" customFormat="false" ht="15.75" hidden="false" customHeight="false" outlineLevel="0" collapsed="false">
      <c r="A338" s="144" t="n">
        <f aca="false">ExportRaw!$F338</f>
        <v>0</v>
      </c>
      <c r="B338" s="144" t="n">
        <f aca="false">ExportRaw!$C338</f>
        <v>0</v>
      </c>
      <c r="C338" s="144" t="n">
        <f aca="false">ExportRaw!$G338</f>
        <v>0</v>
      </c>
      <c r="D338" s="144" t="str">
        <f aca="false">ExportRaw!$E338</f>
        <v/>
      </c>
      <c r="E338" s="145" t="str">
        <f aca="false">ExportRaw!$D338</f>
        <v/>
      </c>
      <c r="F338" s="144" t="str">
        <f aca="false">ExportRaw!$H338</f>
        <v/>
      </c>
      <c r="G338" s="146" t="str">
        <f aca="false">ExportRaw!$I338</f>
        <v/>
      </c>
      <c r="H338" s="144" t="str">
        <f aca="false">ExportRaw!$A338</f>
        <v/>
      </c>
      <c r="I338" s="144" t="str">
        <f aca="false">ExportRaw!$B338</f>
        <v/>
      </c>
    </row>
    <row r="339" customFormat="false" ht="15.75" hidden="false" customHeight="false" outlineLevel="0" collapsed="false">
      <c r="A339" s="144" t="n">
        <f aca="false">ExportRaw!$F339</f>
        <v>0</v>
      </c>
      <c r="B339" s="144" t="n">
        <f aca="false">ExportRaw!$C339</f>
        <v>0</v>
      </c>
      <c r="C339" s="144" t="n">
        <f aca="false">ExportRaw!$G339</f>
        <v>0</v>
      </c>
      <c r="D339" s="144" t="str">
        <f aca="false">ExportRaw!$E339</f>
        <v/>
      </c>
      <c r="E339" s="145" t="str">
        <f aca="false">ExportRaw!$D339</f>
        <v/>
      </c>
      <c r="F339" s="144" t="str">
        <f aca="false">ExportRaw!$H339</f>
        <v/>
      </c>
      <c r="G339" s="146" t="str">
        <f aca="false">ExportRaw!$I339</f>
        <v/>
      </c>
      <c r="H339" s="144" t="str">
        <f aca="false">ExportRaw!$A339</f>
        <v/>
      </c>
      <c r="I339" s="144" t="str">
        <f aca="false">ExportRaw!$B339</f>
        <v/>
      </c>
    </row>
    <row r="340" customFormat="false" ht="15.75" hidden="false" customHeight="false" outlineLevel="0" collapsed="false">
      <c r="A340" s="144" t="n">
        <f aca="false">ExportRaw!$F340</f>
        <v>0</v>
      </c>
      <c r="B340" s="144" t="n">
        <f aca="false">ExportRaw!$C340</f>
        <v>0</v>
      </c>
      <c r="C340" s="144" t="n">
        <f aca="false">ExportRaw!$G340</f>
        <v>0</v>
      </c>
      <c r="D340" s="144" t="str">
        <f aca="false">ExportRaw!$E340</f>
        <v/>
      </c>
      <c r="E340" s="145" t="str">
        <f aca="false">ExportRaw!$D340</f>
        <v/>
      </c>
      <c r="F340" s="144" t="str">
        <f aca="false">ExportRaw!$H340</f>
        <v/>
      </c>
      <c r="G340" s="146" t="str">
        <f aca="false">ExportRaw!$I340</f>
        <v/>
      </c>
      <c r="H340" s="144" t="str">
        <f aca="false">ExportRaw!$A340</f>
        <v/>
      </c>
      <c r="I340" s="144" t="str">
        <f aca="false">ExportRaw!$B340</f>
        <v/>
      </c>
    </row>
    <row r="341" customFormat="false" ht="15.75" hidden="false" customHeight="false" outlineLevel="0" collapsed="false">
      <c r="A341" s="144" t="n">
        <f aca="false">ExportRaw!$F341</f>
        <v>0</v>
      </c>
      <c r="B341" s="144" t="n">
        <f aca="false">ExportRaw!$C341</f>
        <v>0</v>
      </c>
      <c r="C341" s="144" t="n">
        <f aca="false">ExportRaw!$G341</f>
        <v>0</v>
      </c>
      <c r="D341" s="144" t="str">
        <f aca="false">ExportRaw!$E341</f>
        <v/>
      </c>
      <c r="E341" s="145" t="str">
        <f aca="false">ExportRaw!$D341</f>
        <v/>
      </c>
      <c r="F341" s="144" t="str">
        <f aca="false">ExportRaw!$H341</f>
        <v/>
      </c>
      <c r="G341" s="146" t="str">
        <f aca="false">ExportRaw!$I341</f>
        <v/>
      </c>
      <c r="H341" s="144" t="str">
        <f aca="false">ExportRaw!$A341</f>
        <v/>
      </c>
      <c r="I341" s="144" t="str">
        <f aca="false">ExportRaw!$B341</f>
        <v/>
      </c>
    </row>
    <row r="342" customFormat="false" ht="15.75" hidden="false" customHeight="false" outlineLevel="0" collapsed="false">
      <c r="A342" s="144" t="n">
        <f aca="false">ExportRaw!$F342</f>
        <v>0</v>
      </c>
      <c r="B342" s="144" t="n">
        <f aca="false">ExportRaw!$C342</f>
        <v>0</v>
      </c>
      <c r="C342" s="144" t="n">
        <f aca="false">ExportRaw!$G342</f>
        <v>0</v>
      </c>
      <c r="D342" s="144" t="str">
        <f aca="false">ExportRaw!$E342</f>
        <v/>
      </c>
      <c r="E342" s="145" t="str">
        <f aca="false">ExportRaw!$D342</f>
        <v/>
      </c>
      <c r="F342" s="144" t="str">
        <f aca="false">ExportRaw!$H342</f>
        <v/>
      </c>
      <c r="G342" s="146" t="str">
        <f aca="false">ExportRaw!$I342</f>
        <v/>
      </c>
      <c r="H342" s="144" t="str">
        <f aca="false">ExportRaw!$A342</f>
        <v/>
      </c>
      <c r="I342" s="144" t="str">
        <f aca="false">ExportRaw!$B342</f>
        <v/>
      </c>
    </row>
    <row r="343" customFormat="false" ht="15.75" hidden="false" customHeight="false" outlineLevel="0" collapsed="false">
      <c r="A343" s="144" t="n">
        <f aca="false">ExportRaw!$F343</f>
        <v>0</v>
      </c>
      <c r="B343" s="144" t="n">
        <f aca="false">ExportRaw!$C343</f>
        <v>0</v>
      </c>
      <c r="C343" s="144" t="n">
        <f aca="false">ExportRaw!$G343</f>
        <v>0</v>
      </c>
      <c r="D343" s="144" t="str">
        <f aca="false">ExportRaw!$E343</f>
        <v/>
      </c>
      <c r="E343" s="145" t="str">
        <f aca="false">ExportRaw!$D343</f>
        <v/>
      </c>
      <c r="F343" s="144" t="str">
        <f aca="false">ExportRaw!$H343</f>
        <v/>
      </c>
      <c r="G343" s="146" t="str">
        <f aca="false">ExportRaw!$I343</f>
        <v/>
      </c>
      <c r="H343" s="144" t="str">
        <f aca="false">ExportRaw!$A343</f>
        <v/>
      </c>
      <c r="I343" s="144" t="str">
        <f aca="false">ExportRaw!$B343</f>
        <v/>
      </c>
    </row>
    <row r="344" customFormat="false" ht="15.75" hidden="false" customHeight="false" outlineLevel="0" collapsed="false">
      <c r="A344" s="144" t="n">
        <f aca="false">ExportRaw!$F344</f>
        <v>0</v>
      </c>
      <c r="B344" s="144" t="n">
        <f aca="false">ExportRaw!$C344</f>
        <v>0</v>
      </c>
      <c r="C344" s="144" t="n">
        <f aca="false">ExportRaw!$G344</f>
        <v>0</v>
      </c>
      <c r="D344" s="144" t="str">
        <f aca="false">ExportRaw!$E344</f>
        <v/>
      </c>
      <c r="E344" s="145" t="str">
        <f aca="false">ExportRaw!$D344</f>
        <v/>
      </c>
      <c r="F344" s="144" t="str">
        <f aca="false">ExportRaw!$H344</f>
        <v/>
      </c>
      <c r="G344" s="146" t="str">
        <f aca="false">ExportRaw!$I344</f>
        <v/>
      </c>
      <c r="H344" s="144" t="str">
        <f aca="false">ExportRaw!$A344</f>
        <v/>
      </c>
      <c r="I344" s="144" t="str">
        <f aca="false">ExportRaw!$B344</f>
        <v/>
      </c>
    </row>
    <row r="345" customFormat="false" ht="15.75" hidden="false" customHeight="false" outlineLevel="0" collapsed="false">
      <c r="A345" s="144" t="n">
        <f aca="false">ExportRaw!$F345</f>
        <v>0</v>
      </c>
      <c r="B345" s="144" t="n">
        <f aca="false">ExportRaw!$C345</f>
        <v>0</v>
      </c>
      <c r="C345" s="144" t="n">
        <f aca="false">ExportRaw!$G345</f>
        <v>0</v>
      </c>
      <c r="D345" s="144" t="str">
        <f aca="false">ExportRaw!$E345</f>
        <v/>
      </c>
      <c r="E345" s="145" t="str">
        <f aca="false">ExportRaw!$D345</f>
        <v/>
      </c>
      <c r="F345" s="144" t="str">
        <f aca="false">ExportRaw!$H345</f>
        <v/>
      </c>
      <c r="G345" s="146" t="str">
        <f aca="false">ExportRaw!$I345</f>
        <v/>
      </c>
      <c r="H345" s="144" t="str">
        <f aca="false">ExportRaw!$A345</f>
        <v/>
      </c>
      <c r="I345" s="144" t="str">
        <f aca="false">ExportRaw!$B345</f>
        <v/>
      </c>
    </row>
    <row r="346" customFormat="false" ht="15.75" hidden="false" customHeight="false" outlineLevel="0" collapsed="false">
      <c r="A346" s="144" t="n">
        <f aca="false">ExportRaw!$F346</f>
        <v>0</v>
      </c>
      <c r="B346" s="144" t="n">
        <f aca="false">ExportRaw!$C346</f>
        <v>0</v>
      </c>
      <c r="C346" s="144" t="n">
        <f aca="false">ExportRaw!$G346</f>
        <v>0</v>
      </c>
      <c r="D346" s="144" t="str">
        <f aca="false">ExportRaw!$E346</f>
        <v/>
      </c>
      <c r="E346" s="145" t="str">
        <f aca="false">ExportRaw!$D346</f>
        <v/>
      </c>
      <c r="F346" s="144" t="str">
        <f aca="false">ExportRaw!$H346</f>
        <v/>
      </c>
      <c r="G346" s="146" t="str">
        <f aca="false">ExportRaw!$I346</f>
        <v/>
      </c>
      <c r="H346" s="144" t="str">
        <f aca="false">ExportRaw!$A346</f>
        <v/>
      </c>
      <c r="I346" s="144" t="str">
        <f aca="false">ExportRaw!$B346</f>
        <v/>
      </c>
    </row>
    <row r="347" customFormat="false" ht="15.75" hidden="false" customHeight="false" outlineLevel="0" collapsed="false">
      <c r="A347" s="144" t="n">
        <f aca="false">ExportRaw!$F347</f>
        <v>0</v>
      </c>
      <c r="B347" s="144" t="n">
        <f aca="false">ExportRaw!$C347</f>
        <v>0</v>
      </c>
      <c r="C347" s="144" t="n">
        <f aca="false">ExportRaw!$G347</f>
        <v>0</v>
      </c>
      <c r="D347" s="144" t="str">
        <f aca="false">ExportRaw!$E347</f>
        <v/>
      </c>
      <c r="E347" s="145" t="str">
        <f aca="false">ExportRaw!$D347</f>
        <v/>
      </c>
      <c r="F347" s="144" t="str">
        <f aca="false">ExportRaw!$H347</f>
        <v/>
      </c>
      <c r="G347" s="146" t="str">
        <f aca="false">ExportRaw!$I347</f>
        <v/>
      </c>
      <c r="H347" s="144" t="str">
        <f aca="false">ExportRaw!$A347</f>
        <v/>
      </c>
      <c r="I347" s="144" t="str">
        <f aca="false">ExportRaw!$B347</f>
        <v/>
      </c>
    </row>
    <row r="348" customFormat="false" ht="15.75" hidden="false" customHeight="false" outlineLevel="0" collapsed="false">
      <c r="A348" s="144" t="n">
        <f aca="false">ExportRaw!$F348</f>
        <v>0</v>
      </c>
      <c r="B348" s="144" t="n">
        <f aca="false">ExportRaw!$C348</f>
        <v>0</v>
      </c>
      <c r="C348" s="144" t="n">
        <f aca="false">ExportRaw!$G348</f>
        <v>0</v>
      </c>
      <c r="D348" s="144" t="str">
        <f aca="false">ExportRaw!$E348</f>
        <v/>
      </c>
      <c r="E348" s="145" t="str">
        <f aca="false">ExportRaw!$D348</f>
        <v/>
      </c>
      <c r="F348" s="144" t="str">
        <f aca="false">ExportRaw!$H348</f>
        <v/>
      </c>
      <c r="G348" s="146" t="str">
        <f aca="false">ExportRaw!$I348</f>
        <v/>
      </c>
      <c r="H348" s="144" t="str">
        <f aca="false">ExportRaw!$A348</f>
        <v/>
      </c>
      <c r="I348" s="144" t="str">
        <f aca="false">ExportRaw!$B348</f>
        <v/>
      </c>
    </row>
    <row r="349" customFormat="false" ht="15.75" hidden="false" customHeight="false" outlineLevel="0" collapsed="false">
      <c r="A349" s="144" t="n">
        <f aca="false">ExportRaw!$F349</f>
        <v>0</v>
      </c>
      <c r="B349" s="144" t="n">
        <f aca="false">ExportRaw!$C349</f>
        <v>0</v>
      </c>
      <c r="C349" s="144" t="n">
        <f aca="false">ExportRaw!$G349</f>
        <v>0</v>
      </c>
      <c r="D349" s="144" t="str">
        <f aca="false">ExportRaw!$E349</f>
        <v/>
      </c>
      <c r="E349" s="145" t="str">
        <f aca="false">ExportRaw!$D349</f>
        <v/>
      </c>
      <c r="F349" s="144" t="str">
        <f aca="false">ExportRaw!$H349</f>
        <v/>
      </c>
      <c r="G349" s="146" t="str">
        <f aca="false">ExportRaw!$I349</f>
        <v/>
      </c>
      <c r="H349" s="144" t="str">
        <f aca="false">ExportRaw!$A349</f>
        <v/>
      </c>
      <c r="I349" s="144" t="str">
        <f aca="false">ExportRaw!$B349</f>
        <v/>
      </c>
    </row>
    <row r="350" customFormat="false" ht="15.75" hidden="false" customHeight="false" outlineLevel="0" collapsed="false">
      <c r="A350" s="144" t="n">
        <f aca="false">ExportRaw!$F350</f>
        <v>0</v>
      </c>
      <c r="B350" s="144" t="n">
        <f aca="false">ExportRaw!$C350</f>
        <v>0</v>
      </c>
      <c r="C350" s="144" t="n">
        <f aca="false">ExportRaw!$G350</f>
        <v>0</v>
      </c>
      <c r="D350" s="144" t="str">
        <f aca="false">ExportRaw!$E350</f>
        <v/>
      </c>
      <c r="E350" s="145" t="str">
        <f aca="false">ExportRaw!$D350</f>
        <v/>
      </c>
      <c r="F350" s="144" t="str">
        <f aca="false">ExportRaw!$H350</f>
        <v/>
      </c>
      <c r="G350" s="146" t="str">
        <f aca="false">ExportRaw!$I350</f>
        <v/>
      </c>
      <c r="H350" s="144" t="str">
        <f aca="false">ExportRaw!$A350</f>
        <v/>
      </c>
      <c r="I350" s="144" t="str">
        <f aca="false">ExportRaw!$B350</f>
        <v/>
      </c>
    </row>
    <row r="351" customFormat="false" ht="15.75" hidden="false" customHeight="false" outlineLevel="0" collapsed="false">
      <c r="A351" s="144" t="n">
        <f aca="false">ExportRaw!$F351</f>
        <v>0</v>
      </c>
      <c r="B351" s="144" t="n">
        <f aca="false">ExportRaw!$C351</f>
        <v>0</v>
      </c>
      <c r="C351" s="144" t="n">
        <f aca="false">ExportRaw!$G351</f>
        <v>0</v>
      </c>
      <c r="D351" s="144" t="str">
        <f aca="false">ExportRaw!$E351</f>
        <v/>
      </c>
      <c r="E351" s="145" t="str">
        <f aca="false">ExportRaw!$D351</f>
        <v/>
      </c>
      <c r="F351" s="144" t="str">
        <f aca="false">ExportRaw!$H351</f>
        <v/>
      </c>
      <c r="G351" s="146" t="str">
        <f aca="false">ExportRaw!$I351</f>
        <v/>
      </c>
      <c r="H351" s="144" t="str">
        <f aca="false">ExportRaw!$A351</f>
        <v/>
      </c>
      <c r="I351" s="144" t="str">
        <f aca="false">ExportRaw!$B351</f>
        <v/>
      </c>
    </row>
    <row r="352" customFormat="false" ht="15.75" hidden="false" customHeight="false" outlineLevel="0" collapsed="false">
      <c r="A352" s="144" t="n">
        <f aca="false">ExportRaw!$F352</f>
        <v>0</v>
      </c>
      <c r="B352" s="144" t="n">
        <f aca="false">ExportRaw!$C352</f>
        <v>0</v>
      </c>
      <c r="C352" s="144" t="n">
        <f aca="false">ExportRaw!$G352</f>
        <v>0</v>
      </c>
      <c r="D352" s="144" t="str">
        <f aca="false">ExportRaw!$E352</f>
        <v/>
      </c>
      <c r="E352" s="145" t="str">
        <f aca="false">ExportRaw!$D352</f>
        <v/>
      </c>
      <c r="F352" s="144" t="str">
        <f aca="false">ExportRaw!$H352</f>
        <v/>
      </c>
      <c r="G352" s="146" t="str">
        <f aca="false">ExportRaw!$I352</f>
        <v/>
      </c>
      <c r="H352" s="144" t="str">
        <f aca="false">ExportRaw!$A352</f>
        <v/>
      </c>
      <c r="I352" s="144" t="str">
        <f aca="false">ExportRaw!$B352</f>
        <v/>
      </c>
    </row>
    <row r="353" customFormat="false" ht="15.75" hidden="false" customHeight="false" outlineLevel="0" collapsed="false">
      <c r="A353" s="144" t="n">
        <f aca="false">ExportRaw!$F353</f>
        <v>0</v>
      </c>
      <c r="B353" s="144" t="n">
        <f aca="false">ExportRaw!$C353</f>
        <v>0</v>
      </c>
      <c r="C353" s="144" t="n">
        <f aca="false">ExportRaw!$G353</f>
        <v>0</v>
      </c>
      <c r="D353" s="144" t="str">
        <f aca="false">ExportRaw!$E353</f>
        <v/>
      </c>
      <c r="E353" s="145" t="str">
        <f aca="false">ExportRaw!$D353</f>
        <v/>
      </c>
      <c r="F353" s="144" t="str">
        <f aca="false">ExportRaw!$H353</f>
        <v/>
      </c>
      <c r="G353" s="146" t="str">
        <f aca="false">ExportRaw!$I353</f>
        <v/>
      </c>
      <c r="H353" s="144" t="str">
        <f aca="false">ExportRaw!$A353</f>
        <v/>
      </c>
      <c r="I353" s="144" t="str">
        <f aca="false">ExportRaw!$B353</f>
        <v/>
      </c>
    </row>
    <row r="354" customFormat="false" ht="15.75" hidden="false" customHeight="false" outlineLevel="0" collapsed="false">
      <c r="A354" s="144" t="n">
        <f aca="false">ExportRaw!$F354</f>
        <v>0</v>
      </c>
      <c r="B354" s="144" t="n">
        <f aca="false">ExportRaw!$C354</f>
        <v>0</v>
      </c>
      <c r="C354" s="144" t="n">
        <f aca="false">ExportRaw!$G354</f>
        <v>0</v>
      </c>
      <c r="D354" s="144" t="str">
        <f aca="false">ExportRaw!$E354</f>
        <v/>
      </c>
      <c r="E354" s="145" t="str">
        <f aca="false">ExportRaw!$D354</f>
        <v/>
      </c>
      <c r="F354" s="144" t="str">
        <f aca="false">ExportRaw!$H354</f>
        <v/>
      </c>
      <c r="G354" s="146" t="str">
        <f aca="false">ExportRaw!$I354</f>
        <v/>
      </c>
      <c r="H354" s="144" t="str">
        <f aca="false">ExportRaw!$A354</f>
        <v/>
      </c>
      <c r="I354" s="144" t="str">
        <f aca="false">ExportRaw!$B354</f>
        <v/>
      </c>
    </row>
    <row r="355" customFormat="false" ht="15.75" hidden="false" customHeight="false" outlineLevel="0" collapsed="false">
      <c r="A355" s="144" t="n">
        <f aca="false">ExportRaw!$F355</f>
        <v>0</v>
      </c>
      <c r="B355" s="144" t="n">
        <f aca="false">ExportRaw!$C355</f>
        <v>0</v>
      </c>
      <c r="C355" s="144" t="n">
        <f aca="false">ExportRaw!$G355</f>
        <v>0</v>
      </c>
      <c r="D355" s="144" t="str">
        <f aca="false">ExportRaw!$E355</f>
        <v/>
      </c>
      <c r="E355" s="145" t="str">
        <f aca="false">ExportRaw!$D355</f>
        <v/>
      </c>
      <c r="F355" s="144" t="str">
        <f aca="false">ExportRaw!$H355</f>
        <v/>
      </c>
      <c r="G355" s="146" t="str">
        <f aca="false">ExportRaw!$I355</f>
        <v/>
      </c>
      <c r="H355" s="144" t="str">
        <f aca="false">ExportRaw!$A355</f>
        <v/>
      </c>
      <c r="I355" s="144" t="str">
        <f aca="false">ExportRaw!$B355</f>
        <v/>
      </c>
    </row>
    <row r="356" customFormat="false" ht="15.75" hidden="false" customHeight="false" outlineLevel="0" collapsed="false">
      <c r="A356" s="144" t="n">
        <f aca="false">ExportRaw!$F356</f>
        <v>0</v>
      </c>
      <c r="B356" s="144" t="n">
        <f aca="false">ExportRaw!$C356</f>
        <v>0</v>
      </c>
      <c r="C356" s="144" t="n">
        <f aca="false">ExportRaw!$G356</f>
        <v>0</v>
      </c>
      <c r="D356" s="144" t="str">
        <f aca="false">ExportRaw!$E356</f>
        <v/>
      </c>
      <c r="E356" s="145" t="str">
        <f aca="false">ExportRaw!$D356</f>
        <v/>
      </c>
      <c r="F356" s="144" t="str">
        <f aca="false">ExportRaw!$H356</f>
        <v/>
      </c>
      <c r="G356" s="146" t="str">
        <f aca="false">ExportRaw!$I356</f>
        <v/>
      </c>
      <c r="H356" s="144" t="str">
        <f aca="false">ExportRaw!$A356</f>
        <v/>
      </c>
      <c r="I356" s="144" t="str">
        <f aca="false">ExportRaw!$B356</f>
        <v/>
      </c>
    </row>
    <row r="357" customFormat="false" ht="15.75" hidden="false" customHeight="false" outlineLevel="0" collapsed="false">
      <c r="A357" s="144" t="n">
        <f aca="false">ExportRaw!$F357</f>
        <v>0</v>
      </c>
      <c r="B357" s="144" t="n">
        <f aca="false">ExportRaw!$C357</f>
        <v>0</v>
      </c>
      <c r="C357" s="144" t="n">
        <f aca="false">ExportRaw!$G357</f>
        <v>0</v>
      </c>
      <c r="D357" s="144" t="str">
        <f aca="false">ExportRaw!$E357</f>
        <v/>
      </c>
      <c r="E357" s="145" t="str">
        <f aca="false">ExportRaw!$D357</f>
        <v/>
      </c>
      <c r="F357" s="144" t="str">
        <f aca="false">ExportRaw!$H357</f>
        <v/>
      </c>
      <c r="G357" s="146" t="str">
        <f aca="false">ExportRaw!$I357</f>
        <v/>
      </c>
      <c r="H357" s="144" t="str">
        <f aca="false">ExportRaw!$A357</f>
        <v/>
      </c>
      <c r="I357" s="144" t="str">
        <f aca="false">ExportRaw!$B357</f>
        <v/>
      </c>
    </row>
    <row r="358" customFormat="false" ht="15.75" hidden="false" customHeight="false" outlineLevel="0" collapsed="false">
      <c r="A358" s="144" t="n">
        <f aca="false">ExportRaw!$F358</f>
        <v>0</v>
      </c>
      <c r="B358" s="144" t="n">
        <f aca="false">ExportRaw!$C358</f>
        <v>0</v>
      </c>
      <c r="C358" s="144" t="n">
        <f aca="false">ExportRaw!$G358</f>
        <v>0</v>
      </c>
      <c r="D358" s="144" t="str">
        <f aca="false">ExportRaw!$E358</f>
        <v/>
      </c>
      <c r="E358" s="145" t="str">
        <f aca="false">ExportRaw!$D358</f>
        <v/>
      </c>
      <c r="F358" s="144" t="str">
        <f aca="false">ExportRaw!$H358</f>
        <v/>
      </c>
      <c r="G358" s="146" t="str">
        <f aca="false">ExportRaw!$I358</f>
        <v/>
      </c>
      <c r="H358" s="144" t="str">
        <f aca="false">ExportRaw!$A358</f>
        <v/>
      </c>
      <c r="I358" s="144" t="str">
        <f aca="false">ExportRaw!$B358</f>
        <v/>
      </c>
    </row>
    <row r="359" customFormat="false" ht="15.75" hidden="false" customHeight="false" outlineLevel="0" collapsed="false">
      <c r="A359" s="144" t="n">
        <f aca="false">ExportRaw!$F359</f>
        <v>0</v>
      </c>
      <c r="B359" s="144" t="n">
        <f aca="false">ExportRaw!$C359</f>
        <v>0</v>
      </c>
      <c r="C359" s="144" t="n">
        <f aca="false">ExportRaw!$G359</f>
        <v>0</v>
      </c>
      <c r="D359" s="144" t="str">
        <f aca="false">ExportRaw!$E359</f>
        <v/>
      </c>
      <c r="E359" s="145" t="str">
        <f aca="false">ExportRaw!$D359</f>
        <v/>
      </c>
      <c r="F359" s="144" t="str">
        <f aca="false">ExportRaw!$H359</f>
        <v/>
      </c>
      <c r="G359" s="146" t="str">
        <f aca="false">ExportRaw!$I359</f>
        <v/>
      </c>
      <c r="H359" s="144" t="str">
        <f aca="false">ExportRaw!$A359</f>
        <v/>
      </c>
      <c r="I359" s="144" t="str">
        <f aca="false">ExportRaw!$B359</f>
        <v/>
      </c>
    </row>
    <row r="360" customFormat="false" ht="15.75" hidden="false" customHeight="false" outlineLevel="0" collapsed="false">
      <c r="A360" s="144" t="n">
        <f aca="false">ExportRaw!$F360</f>
        <v>0</v>
      </c>
      <c r="B360" s="144" t="n">
        <f aca="false">ExportRaw!$C360</f>
        <v>0</v>
      </c>
      <c r="C360" s="144" t="n">
        <f aca="false">ExportRaw!$G360</f>
        <v>0</v>
      </c>
      <c r="D360" s="144" t="str">
        <f aca="false">ExportRaw!$E360</f>
        <v/>
      </c>
      <c r="E360" s="145" t="str">
        <f aca="false">ExportRaw!$D360</f>
        <v/>
      </c>
      <c r="F360" s="144" t="str">
        <f aca="false">ExportRaw!$H360</f>
        <v/>
      </c>
      <c r="G360" s="146" t="str">
        <f aca="false">ExportRaw!$I360</f>
        <v/>
      </c>
      <c r="H360" s="144" t="str">
        <f aca="false">ExportRaw!$A360</f>
        <v/>
      </c>
      <c r="I360" s="144" t="str">
        <f aca="false">ExportRaw!$B360</f>
        <v/>
      </c>
    </row>
    <row r="361" customFormat="false" ht="15.75" hidden="false" customHeight="false" outlineLevel="0" collapsed="false">
      <c r="A361" s="144" t="n">
        <f aca="false">ExportRaw!$F361</f>
        <v>0</v>
      </c>
      <c r="B361" s="144" t="n">
        <f aca="false">ExportRaw!$C361</f>
        <v>0</v>
      </c>
      <c r="C361" s="144" t="n">
        <f aca="false">ExportRaw!$G361</f>
        <v>0</v>
      </c>
      <c r="D361" s="144" t="str">
        <f aca="false">ExportRaw!$E361</f>
        <v/>
      </c>
      <c r="E361" s="145" t="str">
        <f aca="false">ExportRaw!$D361</f>
        <v/>
      </c>
      <c r="F361" s="144" t="str">
        <f aca="false">ExportRaw!$H361</f>
        <v/>
      </c>
      <c r="G361" s="146" t="str">
        <f aca="false">ExportRaw!$I361</f>
        <v/>
      </c>
      <c r="H361" s="144" t="str">
        <f aca="false">ExportRaw!$A361</f>
        <v/>
      </c>
      <c r="I361" s="144" t="str">
        <f aca="false">ExportRaw!$B361</f>
        <v/>
      </c>
    </row>
    <row r="362" customFormat="false" ht="15.75" hidden="false" customHeight="false" outlineLevel="0" collapsed="false">
      <c r="A362" s="144" t="n">
        <f aca="false">ExportRaw!$F362</f>
        <v>0</v>
      </c>
      <c r="B362" s="144" t="n">
        <f aca="false">ExportRaw!$C362</f>
        <v>0</v>
      </c>
      <c r="C362" s="144" t="n">
        <f aca="false">ExportRaw!$G362</f>
        <v>0</v>
      </c>
      <c r="D362" s="144" t="str">
        <f aca="false">ExportRaw!$E362</f>
        <v/>
      </c>
      <c r="E362" s="145" t="str">
        <f aca="false">ExportRaw!$D362</f>
        <v/>
      </c>
      <c r="F362" s="144" t="str">
        <f aca="false">ExportRaw!$H362</f>
        <v/>
      </c>
      <c r="G362" s="146" t="str">
        <f aca="false">ExportRaw!$I362</f>
        <v/>
      </c>
      <c r="H362" s="144" t="str">
        <f aca="false">ExportRaw!$A362</f>
        <v/>
      </c>
      <c r="I362" s="144" t="str">
        <f aca="false">ExportRaw!$B362</f>
        <v/>
      </c>
    </row>
    <row r="363" customFormat="false" ht="15.75" hidden="false" customHeight="false" outlineLevel="0" collapsed="false">
      <c r="A363" s="144" t="n">
        <f aca="false">ExportRaw!$F363</f>
        <v>0</v>
      </c>
      <c r="B363" s="144" t="n">
        <f aca="false">ExportRaw!$C363</f>
        <v>0</v>
      </c>
      <c r="C363" s="144" t="n">
        <f aca="false">ExportRaw!$G363</f>
        <v>0</v>
      </c>
      <c r="D363" s="144" t="str">
        <f aca="false">ExportRaw!$E363</f>
        <v/>
      </c>
      <c r="E363" s="145" t="str">
        <f aca="false">ExportRaw!$D363</f>
        <v/>
      </c>
      <c r="F363" s="144" t="str">
        <f aca="false">ExportRaw!$H363</f>
        <v/>
      </c>
      <c r="G363" s="146" t="str">
        <f aca="false">ExportRaw!$I363</f>
        <v/>
      </c>
      <c r="H363" s="144" t="str">
        <f aca="false">ExportRaw!$A363</f>
        <v/>
      </c>
      <c r="I363" s="144" t="str">
        <f aca="false">ExportRaw!$B363</f>
        <v/>
      </c>
    </row>
    <row r="364" customFormat="false" ht="15.75" hidden="false" customHeight="false" outlineLevel="0" collapsed="false">
      <c r="A364" s="144" t="n">
        <f aca="false">ExportRaw!$F364</f>
        <v>0</v>
      </c>
      <c r="B364" s="144" t="n">
        <f aca="false">ExportRaw!$C364</f>
        <v>0</v>
      </c>
      <c r="C364" s="144" t="n">
        <f aca="false">ExportRaw!$G364</f>
        <v>0</v>
      </c>
      <c r="D364" s="144" t="str">
        <f aca="false">ExportRaw!$E364</f>
        <v/>
      </c>
      <c r="E364" s="145" t="str">
        <f aca="false">ExportRaw!$D364</f>
        <v/>
      </c>
      <c r="F364" s="144" t="str">
        <f aca="false">ExportRaw!$H364</f>
        <v/>
      </c>
      <c r="G364" s="146" t="str">
        <f aca="false">ExportRaw!$I364</f>
        <v/>
      </c>
      <c r="H364" s="144" t="str">
        <f aca="false">ExportRaw!$A364</f>
        <v/>
      </c>
      <c r="I364" s="144" t="str">
        <f aca="false">ExportRaw!$B364</f>
        <v/>
      </c>
    </row>
    <row r="365" customFormat="false" ht="15.75" hidden="false" customHeight="false" outlineLevel="0" collapsed="false">
      <c r="A365" s="144" t="n">
        <f aca="false">ExportRaw!$F365</f>
        <v>0</v>
      </c>
      <c r="B365" s="144" t="n">
        <f aca="false">ExportRaw!$C365</f>
        <v>0</v>
      </c>
      <c r="C365" s="144" t="n">
        <f aca="false">ExportRaw!$G365</f>
        <v>0</v>
      </c>
      <c r="D365" s="144" t="str">
        <f aca="false">ExportRaw!$E365</f>
        <v/>
      </c>
      <c r="E365" s="145" t="str">
        <f aca="false">ExportRaw!$D365</f>
        <v/>
      </c>
      <c r="F365" s="144" t="str">
        <f aca="false">ExportRaw!$H365</f>
        <v/>
      </c>
      <c r="G365" s="146" t="str">
        <f aca="false">ExportRaw!$I365</f>
        <v/>
      </c>
      <c r="H365" s="144" t="str">
        <f aca="false">ExportRaw!$A365</f>
        <v/>
      </c>
      <c r="I365" s="144" t="str">
        <f aca="false">ExportRaw!$B365</f>
        <v/>
      </c>
    </row>
    <row r="366" customFormat="false" ht="15.75" hidden="false" customHeight="false" outlineLevel="0" collapsed="false">
      <c r="A366" s="144" t="n">
        <f aca="false">ExportRaw!$F366</f>
        <v>0</v>
      </c>
      <c r="B366" s="144" t="n">
        <f aca="false">ExportRaw!$C366</f>
        <v>0</v>
      </c>
      <c r="C366" s="144" t="n">
        <f aca="false">ExportRaw!$G366</f>
        <v>0</v>
      </c>
      <c r="D366" s="144" t="str">
        <f aca="false">ExportRaw!$E366</f>
        <v/>
      </c>
      <c r="E366" s="145" t="str">
        <f aca="false">ExportRaw!$D366</f>
        <v/>
      </c>
      <c r="F366" s="144" t="str">
        <f aca="false">ExportRaw!$H366</f>
        <v/>
      </c>
      <c r="G366" s="146" t="str">
        <f aca="false">ExportRaw!$I366</f>
        <v/>
      </c>
      <c r="H366" s="144" t="str">
        <f aca="false">ExportRaw!$A366</f>
        <v/>
      </c>
      <c r="I366" s="144" t="str">
        <f aca="false">ExportRaw!$B366</f>
        <v/>
      </c>
    </row>
    <row r="367" customFormat="false" ht="15.75" hidden="false" customHeight="false" outlineLevel="0" collapsed="false">
      <c r="A367" s="144" t="n">
        <f aca="false">ExportRaw!$F367</f>
        <v>0</v>
      </c>
      <c r="B367" s="144" t="n">
        <f aca="false">ExportRaw!$C367</f>
        <v>0</v>
      </c>
      <c r="C367" s="144" t="n">
        <f aca="false">ExportRaw!$G367</f>
        <v>0</v>
      </c>
      <c r="D367" s="144" t="str">
        <f aca="false">ExportRaw!$E367</f>
        <v/>
      </c>
      <c r="E367" s="145" t="str">
        <f aca="false">ExportRaw!$D367</f>
        <v/>
      </c>
      <c r="F367" s="144" t="str">
        <f aca="false">ExportRaw!$H367</f>
        <v/>
      </c>
      <c r="G367" s="146" t="str">
        <f aca="false">ExportRaw!$I367</f>
        <v/>
      </c>
      <c r="H367" s="144" t="str">
        <f aca="false">ExportRaw!$A367</f>
        <v/>
      </c>
      <c r="I367" s="144" t="str">
        <f aca="false">ExportRaw!$B367</f>
        <v/>
      </c>
    </row>
    <row r="368" customFormat="false" ht="15.75" hidden="false" customHeight="false" outlineLevel="0" collapsed="false">
      <c r="A368" s="144" t="n">
        <f aca="false">ExportRaw!$F368</f>
        <v>0</v>
      </c>
      <c r="B368" s="144" t="n">
        <f aca="false">ExportRaw!$C368</f>
        <v>0</v>
      </c>
      <c r="C368" s="144" t="n">
        <f aca="false">ExportRaw!$G368</f>
        <v>0</v>
      </c>
      <c r="D368" s="144" t="str">
        <f aca="false">ExportRaw!$E368</f>
        <v/>
      </c>
      <c r="E368" s="145" t="str">
        <f aca="false">ExportRaw!$D368</f>
        <v/>
      </c>
      <c r="F368" s="144" t="str">
        <f aca="false">ExportRaw!$H368</f>
        <v/>
      </c>
      <c r="G368" s="146" t="str">
        <f aca="false">ExportRaw!$I368</f>
        <v/>
      </c>
      <c r="H368" s="144" t="str">
        <f aca="false">ExportRaw!$A368</f>
        <v/>
      </c>
      <c r="I368" s="144" t="str">
        <f aca="false">ExportRaw!$B368</f>
        <v/>
      </c>
    </row>
    <row r="369" customFormat="false" ht="15.75" hidden="false" customHeight="false" outlineLevel="0" collapsed="false">
      <c r="A369" s="144" t="n">
        <f aca="false">ExportRaw!$F369</f>
        <v>0</v>
      </c>
      <c r="B369" s="144" t="n">
        <f aca="false">ExportRaw!$C369</f>
        <v>0</v>
      </c>
      <c r="C369" s="144" t="n">
        <f aca="false">ExportRaw!$G369</f>
        <v>0</v>
      </c>
      <c r="D369" s="144" t="str">
        <f aca="false">ExportRaw!$E369</f>
        <v/>
      </c>
      <c r="E369" s="145" t="str">
        <f aca="false">ExportRaw!$D369</f>
        <v/>
      </c>
      <c r="F369" s="144" t="str">
        <f aca="false">ExportRaw!$H369</f>
        <v/>
      </c>
      <c r="G369" s="146" t="str">
        <f aca="false">ExportRaw!$I369</f>
        <v/>
      </c>
      <c r="H369" s="144" t="str">
        <f aca="false">ExportRaw!$A369</f>
        <v/>
      </c>
      <c r="I369" s="144" t="str">
        <f aca="false">ExportRaw!$B369</f>
        <v/>
      </c>
    </row>
    <row r="370" customFormat="false" ht="15.75" hidden="false" customHeight="false" outlineLevel="0" collapsed="false">
      <c r="A370" s="144" t="n">
        <f aca="false">ExportRaw!$F370</f>
        <v>0</v>
      </c>
      <c r="B370" s="144" t="n">
        <f aca="false">ExportRaw!$C370</f>
        <v>0</v>
      </c>
      <c r="C370" s="144" t="n">
        <f aca="false">ExportRaw!$G370</f>
        <v>0</v>
      </c>
      <c r="D370" s="144" t="str">
        <f aca="false">ExportRaw!$E370</f>
        <v/>
      </c>
      <c r="E370" s="145" t="str">
        <f aca="false">ExportRaw!$D370</f>
        <v/>
      </c>
      <c r="F370" s="144" t="str">
        <f aca="false">ExportRaw!$H370</f>
        <v/>
      </c>
      <c r="G370" s="146" t="str">
        <f aca="false">ExportRaw!$I370</f>
        <v/>
      </c>
      <c r="H370" s="144" t="str">
        <f aca="false">ExportRaw!$A370</f>
        <v/>
      </c>
      <c r="I370" s="144" t="str">
        <f aca="false">ExportRaw!$B370</f>
        <v/>
      </c>
    </row>
    <row r="371" customFormat="false" ht="15.75" hidden="false" customHeight="false" outlineLevel="0" collapsed="false">
      <c r="A371" s="144" t="n">
        <f aca="false">ExportRaw!$F371</f>
        <v>0</v>
      </c>
      <c r="B371" s="144" t="n">
        <f aca="false">ExportRaw!$C371</f>
        <v>0</v>
      </c>
      <c r="C371" s="144" t="n">
        <f aca="false">ExportRaw!$G371</f>
        <v>0</v>
      </c>
      <c r="D371" s="144" t="str">
        <f aca="false">ExportRaw!$E371</f>
        <v/>
      </c>
      <c r="E371" s="145" t="str">
        <f aca="false">ExportRaw!$D371</f>
        <v/>
      </c>
      <c r="F371" s="144" t="str">
        <f aca="false">ExportRaw!$H371</f>
        <v/>
      </c>
      <c r="G371" s="146" t="str">
        <f aca="false">ExportRaw!$I371</f>
        <v/>
      </c>
      <c r="H371" s="144" t="str">
        <f aca="false">ExportRaw!$A371</f>
        <v/>
      </c>
      <c r="I371" s="144" t="str">
        <f aca="false">ExportRaw!$B371</f>
        <v/>
      </c>
    </row>
    <row r="372" customFormat="false" ht="15.75" hidden="false" customHeight="false" outlineLevel="0" collapsed="false">
      <c r="A372" s="144" t="n">
        <f aca="false">ExportRaw!$F372</f>
        <v>0</v>
      </c>
      <c r="B372" s="144" t="n">
        <f aca="false">ExportRaw!$C372</f>
        <v>0</v>
      </c>
      <c r="C372" s="144" t="n">
        <f aca="false">ExportRaw!$G372</f>
        <v>0</v>
      </c>
      <c r="D372" s="144" t="str">
        <f aca="false">ExportRaw!$E372</f>
        <v/>
      </c>
      <c r="E372" s="145" t="str">
        <f aca="false">ExportRaw!$D372</f>
        <v/>
      </c>
      <c r="F372" s="144" t="str">
        <f aca="false">ExportRaw!$H372</f>
        <v/>
      </c>
      <c r="G372" s="146" t="str">
        <f aca="false">ExportRaw!$I372</f>
        <v/>
      </c>
      <c r="H372" s="144" t="str">
        <f aca="false">ExportRaw!$A372</f>
        <v/>
      </c>
      <c r="I372" s="144" t="str">
        <f aca="false">ExportRaw!$B372</f>
        <v/>
      </c>
    </row>
    <row r="373" customFormat="false" ht="15.75" hidden="false" customHeight="false" outlineLevel="0" collapsed="false">
      <c r="A373" s="144" t="n">
        <f aca="false">ExportRaw!$F373</f>
        <v>0</v>
      </c>
      <c r="B373" s="144" t="n">
        <f aca="false">ExportRaw!$C373</f>
        <v>0</v>
      </c>
      <c r="C373" s="144" t="n">
        <f aca="false">ExportRaw!$G373</f>
        <v>0</v>
      </c>
      <c r="D373" s="144" t="str">
        <f aca="false">ExportRaw!$E373</f>
        <v/>
      </c>
      <c r="E373" s="145" t="str">
        <f aca="false">ExportRaw!$D373</f>
        <v/>
      </c>
      <c r="F373" s="144" t="str">
        <f aca="false">ExportRaw!$H373</f>
        <v/>
      </c>
      <c r="G373" s="146" t="str">
        <f aca="false">ExportRaw!$I373</f>
        <v/>
      </c>
      <c r="H373" s="144" t="str">
        <f aca="false">ExportRaw!$A373</f>
        <v/>
      </c>
      <c r="I373" s="144" t="str">
        <f aca="false">ExportRaw!$B373</f>
        <v/>
      </c>
    </row>
    <row r="374" customFormat="false" ht="15.75" hidden="false" customHeight="false" outlineLevel="0" collapsed="false">
      <c r="A374" s="144" t="n">
        <f aca="false">ExportRaw!$F374</f>
        <v>0</v>
      </c>
      <c r="B374" s="144" t="n">
        <f aca="false">ExportRaw!$C374</f>
        <v>0</v>
      </c>
      <c r="C374" s="144" t="n">
        <f aca="false">ExportRaw!$G374</f>
        <v>0</v>
      </c>
      <c r="D374" s="144" t="str">
        <f aca="false">ExportRaw!$E374</f>
        <v/>
      </c>
      <c r="E374" s="145" t="str">
        <f aca="false">ExportRaw!$D374</f>
        <v/>
      </c>
      <c r="F374" s="144" t="str">
        <f aca="false">ExportRaw!$H374</f>
        <v/>
      </c>
      <c r="G374" s="146" t="str">
        <f aca="false">ExportRaw!$I374</f>
        <v/>
      </c>
      <c r="H374" s="144" t="str">
        <f aca="false">ExportRaw!$A374</f>
        <v/>
      </c>
      <c r="I374" s="144" t="str">
        <f aca="false">ExportRaw!$B374</f>
        <v/>
      </c>
    </row>
    <row r="375" customFormat="false" ht="15.75" hidden="false" customHeight="false" outlineLevel="0" collapsed="false">
      <c r="A375" s="144" t="n">
        <f aca="false">ExportRaw!$F375</f>
        <v>0</v>
      </c>
      <c r="B375" s="144" t="n">
        <f aca="false">ExportRaw!$C375</f>
        <v>0</v>
      </c>
      <c r="C375" s="144" t="n">
        <f aca="false">ExportRaw!$G375</f>
        <v>0</v>
      </c>
      <c r="D375" s="144" t="str">
        <f aca="false">ExportRaw!$E375</f>
        <v/>
      </c>
      <c r="E375" s="145" t="str">
        <f aca="false">ExportRaw!$D375</f>
        <v/>
      </c>
      <c r="F375" s="144" t="str">
        <f aca="false">ExportRaw!$H375</f>
        <v/>
      </c>
      <c r="G375" s="146" t="str">
        <f aca="false">ExportRaw!$I375</f>
        <v/>
      </c>
      <c r="H375" s="144" t="str">
        <f aca="false">ExportRaw!$A375</f>
        <v/>
      </c>
      <c r="I375" s="144" t="str">
        <f aca="false">ExportRaw!$B375</f>
        <v/>
      </c>
    </row>
    <row r="376" customFormat="false" ht="15.75" hidden="false" customHeight="false" outlineLevel="0" collapsed="false">
      <c r="A376" s="144" t="n">
        <f aca="false">ExportRaw!$F376</f>
        <v>0</v>
      </c>
      <c r="B376" s="144" t="n">
        <f aca="false">ExportRaw!$C376</f>
        <v>0</v>
      </c>
      <c r="C376" s="144" t="n">
        <f aca="false">ExportRaw!$G376</f>
        <v>0</v>
      </c>
      <c r="D376" s="144" t="str">
        <f aca="false">ExportRaw!$E376</f>
        <v/>
      </c>
      <c r="E376" s="145" t="str">
        <f aca="false">ExportRaw!$D376</f>
        <v/>
      </c>
      <c r="F376" s="144" t="str">
        <f aca="false">ExportRaw!$H376</f>
        <v/>
      </c>
      <c r="G376" s="146" t="str">
        <f aca="false">ExportRaw!$I376</f>
        <v/>
      </c>
      <c r="H376" s="144" t="str">
        <f aca="false">ExportRaw!$A376</f>
        <v/>
      </c>
      <c r="I376" s="144" t="str">
        <f aca="false">ExportRaw!$B376</f>
        <v/>
      </c>
    </row>
    <row r="377" customFormat="false" ht="15.75" hidden="false" customHeight="false" outlineLevel="0" collapsed="false">
      <c r="A377" s="144" t="n">
        <f aca="false">ExportRaw!$F377</f>
        <v>0</v>
      </c>
      <c r="B377" s="144" t="n">
        <f aca="false">ExportRaw!$C377</f>
        <v>0</v>
      </c>
      <c r="C377" s="144" t="n">
        <f aca="false">ExportRaw!$G377</f>
        <v>0</v>
      </c>
      <c r="D377" s="144" t="str">
        <f aca="false">ExportRaw!$E377</f>
        <v/>
      </c>
      <c r="E377" s="145" t="str">
        <f aca="false">ExportRaw!$D377</f>
        <v/>
      </c>
      <c r="F377" s="144" t="str">
        <f aca="false">ExportRaw!$H377</f>
        <v/>
      </c>
      <c r="G377" s="146" t="str">
        <f aca="false">ExportRaw!$I377</f>
        <v/>
      </c>
      <c r="H377" s="144" t="str">
        <f aca="false">ExportRaw!$A377</f>
        <v/>
      </c>
      <c r="I377" s="144" t="str">
        <f aca="false">ExportRaw!$B377</f>
        <v/>
      </c>
    </row>
    <row r="378" customFormat="false" ht="15.75" hidden="false" customHeight="false" outlineLevel="0" collapsed="false">
      <c r="A378" s="144" t="n">
        <f aca="false">ExportRaw!$F378</f>
        <v>0</v>
      </c>
      <c r="B378" s="144" t="n">
        <f aca="false">ExportRaw!$C378</f>
        <v>0</v>
      </c>
      <c r="C378" s="144" t="n">
        <f aca="false">ExportRaw!$G378</f>
        <v>0</v>
      </c>
      <c r="D378" s="144" t="str">
        <f aca="false">ExportRaw!$E378</f>
        <v/>
      </c>
      <c r="E378" s="145" t="str">
        <f aca="false">ExportRaw!$D378</f>
        <v/>
      </c>
      <c r="F378" s="144" t="str">
        <f aca="false">ExportRaw!$H378</f>
        <v/>
      </c>
      <c r="G378" s="146" t="str">
        <f aca="false">ExportRaw!$I378</f>
        <v/>
      </c>
      <c r="H378" s="144" t="str">
        <f aca="false">ExportRaw!$A378</f>
        <v/>
      </c>
      <c r="I378" s="144" t="str">
        <f aca="false">ExportRaw!$B378</f>
        <v/>
      </c>
    </row>
    <row r="379" customFormat="false" ht="15.75" hidden="false" customHeight="false" outlineLevel="0" collapsed="false">
      <c r="A379" s="144" t="n">
        <f aca="false">ExportRaw!$F379</f>
        <v>0</v>
      </c>
      <c r="B379" s="144" t="n">
        <f aca="false">ExportRaw!$C379</f>
        <v>0</v>
      </c>
      <c r="C379" s="144" t="n">
        <f aca="false">ExportRaw!$G379</f>
        <v>0</v>
      </c>
      <c r="D379" s="144" t="str">
        <f aca="false">ExportRaw!$E379</f>
        <v/>
      </c>
      <c r="E379" s="145" t="str">
        <f aca="false">ExportRaw!$D379</f>
        <v/>
      </c>
      <c r="F379" s="144" t="str">
        <f aca="false">ExportRaw!$H379</f>
        <v/>
      </c>
      <c r="G379" s="146" t="str">
        <f aca="false">ExportRaw!$I379</f>
        <v/>
      </c>
      <c r="H379" s="144" t="str">
        <f aca="false">ExportRaw!$A379</f>
        <v/>
      </c>
      <c r="I379" s="144" t="str">
        <f aca="false">ExportRaw!$B379</f>
        <v/>
      </c>
    </row>
    <row r="380" customFormat="false" ht="15.75" hidden="false" customHeight="false" outlineLevel="0" collapsed="false">
      <c r="A380" s="144" t="n">
        <f aca="false">ExportRaw!$F380</f>
        <v>0</v>
      </c>
      <c r="B380" s="144" t="n">
        <f aca="false">ExportRaw!$C380</f>
        <v>0</v>
      </c>
      <c r="C380" s="144" t="n">
        <f aca="false">ExportRaw!$G380</f>
        <v>0</v>
      </c>
      <c r="D380" s="144" t="str">
        <f aca="false">ExportRaw!$E380</f>
        <v/>
      </c>
      <c r="E380" s="145" t="str">
        <f aca="false">ExportRaw!$D380</f>
        <v/>
      </c>
      <c r="F380" s="144" t="str">
        <f aca="false">ExportRaw!$H380</f>
        <v/>
      </c>
      <c r="G380" s="146" t="str">
        <f aca="false">ExportRaw!$I380</f>
        <v/>
      </c>
      <c r="H380" s="144" t="str">
        <f aca="false">ExportRaw!$A380</f>
        <v/>
      </c>
      <c r="I380" s="144" t="str">
        <f aca="false">ExportRaw!$B380</f>
        <v/>
      </c>
    </row>
    <row r="381" customFormat="false" ht="15.75" hidden="false" customHeight="false" outlineLevel="0" collapsed="false">
      <c r="A381" s="144" t="n">
        <f aca="false">ExportRaw!$F381</f>
        <v>0</v>
      </c>
      <c r="B381" s="144" t="n">
        <f aca="false">ExportRaw!$C381</f>
        <v>0</v>
      </c>
      <c r="C381" s="144" t="n">
        <f aca="false">ExportRaw!$G381</f>
        <v>0</v>
      </c>
      <c r="D381" s="144" t="str">
        <f aca="false">ExportRaw!$E381</f>
        <v/>
      </c>
      <c r="E381" s="145" t="str">
        <f aca="false">ExportRaw!$D381</f>
        <v/>
      </c>
      <c r="F381" s="144" t="str">
        <f aca="false">ExportRaw!$H381</f>
        <v/>
      </c>
      <c r="G381" s="146" t="str">
        <f aca="false">ExportRaw!$I381</f>
        <v/>
      </c>
      <c r="H381" s="144" t="str">
        <f aca="false">ExportRaw!$A381</f>
        <v/>
      </c>
      <c r="I381" s="144" t="str">
        <f aca="false">ExportRaw!$B381</f>
        <v/>
      </c>
    </row>
    <row r="382" customFormat="false" ht="15.75" hidden="false" customHeight="false" outlineLevel="0" collapsed="false">
      <c r="A382" s="144" t="n">
        <f aca="false">ExportRaw!$F382</f>
        <v>0</v>
      </c>
      <c r="B382" s="144" t="n">
        <f aca="false">ExportRaw!$C382</f>
        <v>0</v>
      </c>
      <c r="C382" s="144" t="n">
        <f aca="false">ExportRaw!$G382</f>
        <v>0</v>
      </c>
      <c r="D382" s="144" t="str">
        <f aca="false">ExportRaw!$E382</f>
        <v/>
      </c>
      <c r="E382" s="145" t="str">
        <f aca="false">ExportRaw!$D382</f>
        <v/>
      </c>
      <c r="F382" s="144" t="str">
        <f aca="false">ExportRaw!$H382</f>
        <v/>
      </c>
      <c r="G382" s="146" t="str">
        <f aca="false">ExportRaw!$I382</f>
        <v/>
      </c>
      <c r="H382" s="144" t="str">
        <f aca="false">ExportRaw!$A382</f>
        <v/>
      </c>
      <c r="I382" s="144" t="str">
        <f aca="false">ExportRaw!$B382</f>
        <v/>
      </c>
    </row>
    <row r="383" customFormat="false" ht="15.75" hidden="false" customHeight="false" outlineLevel="0" collapsed="false">
      <c r="A383" s="144" t="n">
        <f aca="false">ExportRaw!$F383</f>
        <v>0</v>
      </c>
      <c r="B383" s="144" t="n">
        <f aca="false">ExportRaw!$C383</f>
        <v>0</v>
      </c>
      <c r="C383" s="144" t="n">
        <f aca="false">ExportRaw!$G383</f>
        <v>0</v>
      </c>
      <c r="D383" s="144" t="str">
        <f aca="false">ExportRaw!$E383</f>
        <v/>
      </c>
      <c r="E383" s="145" t="str">
        <f aca="false">ExportRaw!$D383</f>
        <v/>
      </c>
      <c r="F383" s="144" t="str">
        <f aca="false">ExportRaw!$H383</f>
        <v/>
      </c>
      <c r="G383" s="146" t="str">
        <f aca="false">ExportRaw!$I383</f>
        <v/>
      </c>
      <c r="H383" s="144" t="str">
        <f aca="false">ExportRaw!$A383</f>
        <v/>
      </c>
      <c r="I383" s="144" t="str">
        <f aca="false">ExportRaw!$B383</f>
        <v/>
      </c>
    </row>
    <row r="384" customFormat="false" ht="15.75" hidden="false" customHeight="false" outlineLevel="0" collapsed="false">
      <c r="A384" s="144" t="n">
        <f aca="false">ExportRaw!$F384</f>
        <v>0</v>
      </c>
      <c r="B384" s="144" t="n">
        <f aca="false">ExportRaw!$C384</f>
        <v>0</v>
      </c>
      <c r="C384" s="144" t="n">
        <f aca="false">ExportRaw!$G384</f>
        <v>0</v>
      </c>
      <c r="D384" s="144" t="str">
        <f aca="false">ExportRaw!$E384</f>
        <v/>
      </c>
      <c r="E384" s="145" t="str">
        <f aca="false">ExportRaw!$D384</f>
        <v/>
      </c>
      <c r="F384" s="144" t="str">
        <f aca="false">ExportRaw!$H384</f>
        <v/>
      </c>
      <c r="G384" s="146" t="str">
        <f aca="false">ExportRaw!$I384</f>
        <v/>
      </c>
      <c r="H384" s="144" t="str">
        <f aca="false">ExportRaw!$A384</f>
        <v/>
      </c>
      <c r="I384" s="144" t="str">
        <f aca="false">ExportRaw!$B384</f>
        <v/>
      </c>
    </row>
    <row r="385" customFormat="false" ht="15.75" hidden="false" customHeight="false" outlineLevel="0" collapsed="false">
      <c r="A385" s="144" t="n">
        <f aca="false">ExportRaw!$F385</f>
        <v>0</v>
      </c>
      <c r="B385" s="144" t="n">
        <f aca="false">ExportRaw!$C385</f>
        <v>0</v>
      </c>
      <c r="C385" s="144" t="n">
        <f aca="false">ExportRaw!$G385</f>
        <v>0</v>
      </c>
      <c r="D385" s="144" t="str">
        <f aca="false">ExportRaw!$E385</f>
        <v/>
      </c>
      <c r="E385" s="145" t="str">
        <f aca="false">ExportRaw!$D385</f>
        <v/>
      </c>
      <c r="F385" s="144" t="str">
        <f aca="false">ExportRaw!$H385</f>
        <v/>
      </c>
      <c r="G385" s="146" t="str">
        <f aca="false">ExportRaw!$I385</f>
        <v/>
      </c>
      <c r="H385" s="144" t="str">
        <f aca="false">ExportRaw!$A385</f>
        <v/>
      </c>
      <c r="I385" s="144" t="str">
        <f aca="false">ExportRaw!$B385</f>
        <v/>
      </c>
    </row>
    <row r="386" customFormat="false" ht="15.75" hidden="false" customHeight="false" outlineLevel="0" collapsed="false">
      <c r="A386" s="144" t="n">
        <f aca="false">ExportRaw!$F386</f>
        <v>0</v>
      </c>
      <c r="B386" s="144" t="n">
        <f aca="false">ExportRaw!$C386</f>
        <v>0</v>
      </c>
      <c r="C386" s="144" t="n">
        <f aca="false">ExportRaw!$G386</f>
        <v>0</v>
      </c>
      <c r="D386" s="144" t="str">
        <f aca="false">ExportRaw!$E386</f>
        <v/>
      </c>
      <c r="E386" s="145" t="str">
        <f aca="false">ExportRaw!$D386</f>
        <v/>
      </c>
      <c r="F386" s="144" t="str">
        <f aca="false">ExportRaw!$H386</f>
        <v/>
      </c>
      <c r="G386" s="146" t="str">
        <f aca="false">ExportRaw!$I386</f>
        <v/>
      </c>
      <c r="H386" s="144" t="str">
        <f aca="false">ExportRaw!$A386</f>
        <v/>
      </c>
      <c r="I386" s="144" t="str">
        <f aca="false">ExportRaw!$B386</f>
        <v/>
      </c>
    </row>
    <row r="387" customFormat="false" ht="15.75" hidden="false" customHeight="false" outlineLevel="0" collapsed="false">
      <c r="A387" s="144" t="n">
        <f aca="false">ExportRaw!$F387</f>
        <v>0</v>
      </c>
      <c r="B387" s="144" t="n">
        <f aca="false">ExportRaw!$C387</f>
        <v>0</v>
      </c>
      <c r="C387" s="144" t="n">
        <f aca="false">ExportRaw!$G387</f>
        <v>0</v>
      </c>
      <c r="D387" s="144" t="str">
        <f aca="false">ExportRaw!$E387</f>
        <v/>
      </c>
      <c r="E387" s="145" t="str">
        <f aca="false">ExportRaw!$D387</f>
        <v/>
      </c>
      <c r="F387" s="144" t="str">
        <f aca="false">ExportRaw!$H387</f>
        <v/>
      </c>
      <c r="G387" s="146" t="str">
        <f aca="false">ExportRaw!$I387</f>
        <v/>
      </c>
      <c r="H387" s="144" t="str">
        <f aca="false">ExportRaw!$A387</f>
        <v/>
      </c>
      <c r="I387" s="144" t="str">
        <f aca="false">ExportRaw!$B387</f>
        <v/>
      </c>
    </row>
    <row r="388" customFormat="false" ht="15.75" hidden="false" customHeight="false" outlineLevel="0" collapsed="false">
      <c r="A388" s="144" t="n">
        <f aca="false">ExportRaw!$F388</f>
        <v>0</v>
      </c>
      <c r="B388" s="144" t="n">
        <f aca="false">ExportRaw!$C388</f>
        <v>0</v>
      </c>
      <c r="C388" s="144" t="n">
        <f aca="false">ExportRaw!$G388</f>
        <v>0</v>
      </c>
      <c r="D388" s="144" t="str">
        <f aca="false">ExportRaw!$E388</f>
        <v/>
      </c>
      <c r="E388" s="145" t="str">
        <f aca="false">ExportRaw!$D388</f>
        <v/>
      </c>
      <c r="F388" s="144" t="str">
        <f aca="false">ExportRaw!$H388</f>
        <v/>
      </c>
      <c r="G388" s="146" t="str">
        <f aca="false">ExportRaw!$I388</f>
        <v/>
      </c>
      <c r="H388" s="144" t="str">
        <f aca="false">ExportRaw!$A388</f>
        <v/>
      </c>
      <c r="I388" s="144" t="str">
        <f aca="false">ExportRaw!$B388</f>
        <v/>
      </c>
    </row>
    <row r="389" customFormat="false" ht="15.75" hidden="false" customHeight="false" outlineLevel="0" collapsed="false">
      <c r="A389" s="144" t="n">
        <f aca="false">ExportRaw!$F389</f>
        <v>0</v>
      </c>
      <c r="B389" s="144" t="n">
        <f aca="false">ExportRaw!$C389</f>
        <v>0</v>
      </c>
      <c r="C389" s="144" t="n">
        <f aca="false">ExportRaw!$G389</f>
        <v>0</v>
      </c>
      <c r="D389" s="144" t="str">
        <f aca="false">ExportRaw!$E389</f>
        <v/>
      </c>
      <c r="E389" s="145" t="str">
        <f aca="false">ExportRaw!$D389</f>
        <v/>
      </c>
      <c r="F389" s="144" t="str">
        <f aca="false">ExportRaw!$H389</f>
        <v/>
      </c>
      <c r="G389" s="146" t="str">
        <f aca="false">ExportRaw!$I389</f>
        <v/>
      </c>
      <c r="H389" s="144" t="str">
        <f aca="false">ExportRaw!$A389</f>
        <v/>
      </c>
      <c r="I389" s="144" t="str">
        <f aca="false">ExportRaw!$B389</f>
        <v/>
      </c>
    </row>
    <row r="390" customFormat="false" ht="15.75" hidden="false" customHeight="false" outlineLevel="0" collapsed="false">
      <c r="A390" s="144" t="n">
        <f aca="false">ExportRaw!$F390</f>
        <v>0</v>
      </c>
      <c r="B390" s="144" t="n">
        <f aca="false">ExportRaw!$C390</f>
        <v>0</v>
      </c>
      <c r="C390" s="144" t="n">
        <f aca="false">ExportRaw!$G390</f>
        <v>0</v>
      </c>
      <c r="D390" s="144" t="str">
        <f aca="false">ExportRaw!$E390</f>
        <v/>
      </c>
      <c r="E390" s="145" t="str">
        <f aca="false">ExportRaw!$D390</f>
        <v/>
      </c>
      <c r="F390" s="144" t="str">
        <f aca="false">ExportRaw!$H390</f>
        <v/>
      </c>
      <c r="G390" s="146" t="str">
        <f aca="false">ExportRaw!$I390</f>
        <v/>
      </c>
      <c r="H390" s="144" t="str">
        <f aca="false">ExportRaw!$A390</f>
        <v/>
      </c>
      <c r="I390" s="144" t="str">
        <f aca="false">ExportRaw!$B390</f>
        <v/>
      </c>
    </row>
    <row r="391" customFormat="false" ht="15.75" hidden="false" customHeight="false" outlineLevel="0" collapsed="false">
      <c r="A391" s="144" t="n">
        <f aca="false">ExportRaw!$F391</f>
        <v>0</v>
      </c>
      <c r="B391" s="144" t="n">
        <f aca="false">ExportRaw!$C391</f>
        <v>0</v>
      </c>
      <c r="C391" s="144" t="n">
        <f aca="false">ExportRaw!$G391</f>
        <v>0</v>
      </c>
      <c r="D391" s="144" t="str">
        <f aca="false">ExportRaw!$E391</f>
        <v/>
      </c>
      <c r="E391" s="145" t="str">
        <f aca="false">ExportRaw!$D391</f>
        <v/>
      </c>
      <c r="F391" s="144" t="str">
        <f aca="false">ExportRaw!$H391</f>
        <v/>
      </c>
      <c r="G391" s="146" t="str">
        <f aca="false">ExportRaw!$I391</f>
        <v/>
      </c>
      <c r="H391" s="144" t="str">
        <f aca="false">ExportRaw!$A391</f>
        <v/>
      </c>
      <c r="I391" s="144" t="str">
        <f aca="false">ExportRaw!$B391</f>
        <v/>
      </c>
    </row>
    <row r="392" customFormat="false" ht="15.75" hidden="false" customHeight="false" outlineLevel="0" collapsed="false">
      <c r="A392" s="144" t="n">
        <f aca="false">ExportRaw!$F392</f>
        <v>0</v>
      </c>
      <c r="B392" s="144" t="n">
        <f aca="false">ExportRaw!$C392</f>
        <v>0</v>
      </c>
      <c r="C392" s="144" t="n">
        <f aca="false">ExportRaw!$G392</f>
        <v>0</v>
      </c>
      <c r="D392" s="144" t="str">
        <f aca="false">ExportRaw!$E392</f>
        <v/>
      </c>
      <c r="E392" s="145" t="str">
        <f aca="false">ExportRaw!$D392</f>
        <v/>
      </c>
      <c r="F392" s="144" t="str">
        <f aca="false">ExportRaw!$H392</f>
        <v/>
      </c>
      <c r="G392" s="146" t="str">
        <f aca="false">ExportRaw!$I392</f>
        <v/>
      </c>
      <c r="H392" s="144" t="str">
        <f aca="false">ExportRaw!$A392</f>
        <v/>
      </c>
      <c r="I392" s="144" t="str">
        <f aca="false">ExportRaw!$B392</f>
        <v/>
      </c>
    </row>
    <row r="393" customFormat="false" ht="15.75" hidden="false" customHeight="false" outlineLevel="0" collapsed="false">
      <c r="A393" s="144" t="n">
        <f aca="false">ExportRaw!$F393</f>
        <v>0</v>
      </c>
      <c r="B393" s="144" t="n">
        <f aca="false">ExportRaw!$C393</f>
        <v>0</v>
      </c>
      <c r="C393" s="144" t="n">
        <f aca="false">ExportRaw!$G393</f>
        <v>0</v>
      </c>
      <c r="D393" s="144" t="str">
        <f aca="false">ExportRaw!$E393</f>
        <v/>
      </c>
      <c r="E393" s="145" t="str">
        <f aca="false">ExportRaw!$D393</f>
        <v/>
      </c>
      <c r="F393" s="144" t="str">
        <f aca="false">ExportRaw!$H393</f>
        <v/>
      </c>
      <c r="G393" s="146" t="str">
        <f aca="false">ExportRaw!$I393</f>
        <v/>
      </c>
      <c r="H393" s="144" t="str">
        <f aca="false">ExportRaw!$A393</f>
        <v/>
      </c>
      <c r="I393" s="144" t="str">
        <f aca="false">ExportRaw!$B393</f>
        <v/>
      </c>
    </row>
    <row r="394" customFormat="false" ht="15.75" hidden="false" customHeight="false" outlineLevel="0" collapsed="false">
      <c r="A394" s="144" t="n">
        <f aca="false">ExportRaw!$F394</f>
        <v>0</v>
      </c>
      <c r="B394" s="144" t="n">
        <f aca="false">ExportRaw!$C394</f>
        <v>0</v>
      </c>
      <c r="C394" s="144" t="n">
        <f aca="false">ExportRaw!$G394</f>
        <v>0</v>
      </c>
      <c r="D394" s="144" t="str">
        <f aca="false">ExportRaw!$E394</f>
        <v/>
      </c>
      <c r="E394" s="145" t="str">
        <f aca="false">ExportRaw!$D394</f>
        <v/>
      </c>
      <c r="F394" s="144" t="str">
        <f aca="false">ExportRaw!$H394</f>
        <v/>
      </c>
      <c r="G394" s="146" t="str">
        <f aca="false">ExportRaw!$I394</f>
        <v/>
      </c>
      <c r="H394" s="144" t="str">
        <f aca="false">ExportRaw!$A394</f>
        <v/>
      </c>
      <c r="I394" s="144" t="str">
        <f aca="false">ExportRaw!$B394</f>
        <v/>
      </c>
    </row>
    <row r="395" customFormat="false" ht="15.75" hidden="false" customHeight="false" outlineLevel="0" collapsed="false">
      <c r="A395" s="144" t="n">
        <f aca="false">ExportRaw!$F395</f>
        <v>0</v>
      </c>
      <c r="B395" s="144" t="n">
        <f aca="false">ExportRaw!$C395</f>
        <v>0</v>
      </c>
      <c r="C395" s="144" t="n">
        <f aca="false">ExportRaw!$G395</f>
        <v>0</v>
      </c>
      <c r="D395" s="144" t="str">
        <f aca="false">ExportRaw!$E395</f>
        <v/>
      </c>
      <c r="E395" s="145" t="str">
        <f aca="false">ExportRaw!$D395</f>
        <v/>
      </c>
      <c r="F395" s="144" t="str">
        <f aca="false">ExportRaw!$H395</f>
        <v/>
      </c>
      <c r="G395" s="146" t="str">
        <f aca="false">ExportRaw!$I395</f>
        <v/>
      </c>
      <c r="H395" s="144" t="str">
        <f aca="false">ExportRaw!$A395</f>
        <v/>
      </c>
      <c r="I395" s="144" t="str">
        <f aca="false">ExportRaw!$B395</f>
        <v/>
      </c>
    </row>
    <row r="396" customFormat="false" ht="15.75" hidden="false" customHeight="false" outlineLevel="0" collapsed="false">
      <c r="A396" s="144" t="n">
        <f aca="false">ExportRaw!$F396</f>
        <v>0</v>
      </c>
      <c r="B396" s="144" t="n">
        <f aca="false">ExportRaw!$C396</f>
        <v>0</v>
      </c>
      <c r="C396" s="144" t="n">
        <f aca="false">ExportRaw!$G396</f>
        <v>0</v>
      </c>
      <c r="D396" s="144" t="str">
        <f aca="false">ExportRaw!$E396</f>
        <v/>
      </c>
      <c r="E396" s="145" t="str">
        <f aca="false">ExportRaw!$D396</f>
        <v/>
      </c>
      <c r="F396" s="144" t="str">
        <f aca="false">ExportRaw!$H396</f>
        <v/>
      </c>
      <c r="G396" s="146" t="str">
        <f aca="false">ExportRaw!$I396</f>
        <v/>
      </c>
      <c r="H396" s="144" t="str">
        <f aca="false">ExportRaw!$A396</f>
        <v/>
      </c>
      <c r="I396" s="144" t="str">
        <f aca="false">ExportRaw!$B396</f>
        <v/>
      </c>
    </row>
    <row r="397" customFormat="false" ht="15.75" hidden="false" customHeight="false" outlineLevel="0" collapsed="false">
      <c r="A397" s="144" t="n">
        <f aca="false">ExportRaw!$F397</f>
        <v>0</v>
      </c>
      <c r="B397" s="144" t="n">
        <f aca="false">ExportRaw!$C397</f>
        <v>0</v>
      </c>
      <c r="C397" s="144" t="n">
        <f aca="false">ExportRaw!$G397</f>
        <v>0</v>
      </c>
      <c r="D397" s="144" t="str">
        <f aca="false">ExportRaw!$E397</f>
        <v/>
      </c>
      <c r="E397" s="145" t="str">
        <f aca="false">ExportRaw!$D397</f>
        <v/>
      </c>
      <c r="F397" s="144" t="str">
        <f aca="false">ExportRaw!$H397</f>
        <v/>
      </c>
      <c r="G397" s="146" t="str">
        <f aca="false">ExportRaw!$I397</f>
        <v/>
      </c>
      <c r="H397" s="144" t="str">
        <f aca="false">ExportRaw!$A397</f>
        <v/>
      </c>
      <c r="I397" s="144" t="str">
        <f aca="false">ExportRaw!$B397</f>
        <v/>
      </c>
    </row>
    <row r="398" customFormat="false" ht="15.75" hidden="false" customHeight="false" outlineLevel="0" collapsed="false">
      <c r="A398" s="144" t="n">
        <f aca="false">ExportRaw!$F398</f>
        <v>0</v>
      </c>
      <c r="B398" s="144" t="n">
        <f aca="false">ExportRaw!$C398</f>
        <v>0</v>
      </c>
      <c r="C398" s="144" t="n">
        <f aca="false">ExportRaw!$G398</f>
        <v>0</v>
      </c>
      <c r="D398" s="144" t="str">
        <f aca="false">ExportRaw!$E398</f>
        <v/>
      </c>
      <c r="E398" s="145" t="str">
        <f aca="false">ExportRaw!$D398</f>
        <v/>
      </c>
      <c r="F398" s="144" t="str">
        <f aca="false">ExportRaw!$H398</f>
        <v/>
      </c>
      <c r="G398" s="146" t="str">
        <f aca="false">ExportRaw!$I398</f>
        <v/>
      </c>
      <c r="H398" s="144" t="str">
        <f aca="false">ExportRaw!$A398</f>
        <v/>
      </c>
      <c r="I398" s="144" t="str">
        <f aca="false">ExportRaw!$B398</f>
        <v/>
      </c>
    </row>
    <row r="399" customFormat="false" ht="15.75" hidden="false" customHeight="false" outlineLevel="0" collapsed="false">
      <c r="A399" s="144" t="n">
        <f aca="false">ExportRaw!$F399</f>
        <v>0</v>
      </c>
      <c r="B399" s="144" t="n">
        <f aca="false">ExportRaw!$C399</f>
        <v>0</v>
      </c>
      <c r="C399" s="144" t="n">
        <f aca="false">ExportRaw!$G399</f>
        <v>0</v>
      </c>
      <c r="D399" s="144" t="str">
        <f aca="false">ExportRaw!$E399</f>
        <v/>
      </c>
      <c r="E399" s="145" t="str">
        <f aca="false">ExportRaw!$D399</f>
        <v/>
      </c>
      <c r="F399" s="144" t="str">
        <f aca="false">ExportRaw!$H399</f>
        <v/>
      </c>
      <c r="G399" s="146" t="str">
        <f aca="false">ExportRaw!$I399</f>
        <v/>
      </c>
      <c r="H399" s="144" t="str">
        <f aca="false">ExportRaw!$A399</f>
        <v/>
      </c>
      <c r="I399" s="144" t="str">
        <f aca="false">ExportRaw!$B399</f>
        <v/>
      </c>
    </row>
    <row r="400" customFormat="false" ht="15.75" hidden="false" customHeight="false" outlineLevel="0" collapsed="false">
      <c r="A400" s="144" t="n">
        <f aca="false">ExportRaw!$F400</f>
        <v>0</v>
      </c>
      <c r="B400" s="144" t="n">
        <f aca="false">ExportRaw!$C400</f>
        <v>0</v>
      </c>
      <c r="C400" s="144" t="n">
        <f aca="false">ExportRaw!$G400</f>
        <v>0</v>
      </c>
      <c r="D400" s="144" t="str">
        <f aca="false">ExportRaw!$E400</f>
        <v/>
      </c>
      <c r="E400" s="145" t="str">
        <f aca="false">ExportRaw!$D400</f>
        <v/>
      </c>
      <c r="F400" s="144" t="str">
        <f aca="false">ExportRaw!$H400</f>
        <v/>
      </c>
      <c r="G400" s="146" t="str">
        <f aca="false">ExportRaw!$I400</f>
        <v/>
      </c>
      <c r="H400" s="144" t="str">
        <f aca="false">ExportRaw!$A400</f>
        <v/>
      </c>
      <c r="I400" s="144" t="str">
        <f aca="false">ExportRaw!$B400</f>
        <v/>
      </c>
    </row>
    <row r="401" customFormat="false" ht="15.75" hidden="false" customHeight="false" outlineLevel="0" collapsed="false">
      <c r="A401" s="144" t="n">
        <f aca="false">ExportRaw!$F401</f>
        <v>0</v>
      </c>
      <c r="B401" s="144" t="n">
        <f aca="false">ExportRaw!$C401</f>
        <v>0</v>
      </c>
      <c r="C401" s="144" t="n">
        <f aca="false">ExportRaw!$G401</f>
        <v>0</v>
      </c>
      <c r="D401" s="144" t="str">
        <f aca="false">ExportRaw!$E401</f>
        <v/>
      </c>
      <c r="E401" s="145" t="str">
        <f aca="false">ExportRaw!$D401</f>
        <v/>
      </c>
      <c r="F401" s="144" t="str">
        <f aca="false">ExportRaw!$H401</f>
        <v/>
      </c>
      <c r="G401" s="146" t="str">
        <f aca="false">ExportRaw!$I401</f>
        <v/>
      </c>
      <c r="H401" s="144" t="str">
        <f aca="false">ExportRaw!$A401</f>
        <v/>
      </c>
      <c r="I401" s="144" t="str">
        <f aca="false">ExportRaw!$B401</f>
        <v/>
      </c>
    </row>
    <row r="402" customFormat="false" ht="15.75" hidden="false" customHeight="false" outlineLevel="0" collapsed="false">
      <c r="A402" s="144" t="n">
        <f aca="false">ExportRaw!$F402</f>
        <v>0</v>
      </c>
      <c r="B402" s="144" t="n">
        <f aca="false">ExportRaw!$C402</f>
        <v>0</v>
      </c>
      <c r="C402" s="144" t="n">
        <f aca="false">ExportRaw!$G402</f>
        <v>0</v>
      </c>
      <c r="D402" s="144" t="str">
        <f aca="false">ExportRaw!$E402</f>
        <v/>
      </c>
      <c r="E402" s="145" t="str">
        <f aca="false">ExportRaw!$D402</f>
        <v/>
      </c>
      <c r="F402" s="144" t="str">
        <f aca="false">ExportRaw!$H402</f>
        <v/>
      </c>
      <c r="G402" s="146" t="str">
        <f aca="false">ExportRaw!$I402</f>
        <v/>
      </c>
      <c r="H402" s="144" t="str">
        <f aca="false">ExportRaw!$A402</f>
        <v/>
      </c>
      <c r="I402" s="144" t="str">
        <f aca="false">ExportRaw!$B402</f>
        <v/>
      </c>
    </row>
    <row r="403" customFormat="false" ht="15.75" hidden="false" customHeight="false" outlineLevel="0" collapsed="false">
      <c r="A403" s="144" t="n">
        <f aca="false">ExportRaw!$F403</f>
        <v>0</v>
      </c>
      <c r="B403" s="144" t="n">
        <f aca="false">ExportRaw!$C403</f>
        <v>0</v>
      </c>
      <c r="C403" s="144" t="n">
        <f aca="false">ExportRaw!$G403</f>
        <v>0</v>
      </c>
      <c r="D403" s="144" t="str">
        <f aca="false">ExportRaw!$E403</f>
        <v/>
      </c>
      <c r="E403" s="145" t="str">
        <f aca="false">ExportRaw!$D403</f>
        <v/>
      </c>
      <c r="F403" s="144" t="str">
        <f aca="false">ExportRaw!$H403</f>
        <v/>
      </c>
      <c r="G403" s="146" t="str">
        <f aca="false">ExportRaw!$I403</f>
        <v/>
      </c>
      <c r="H403" s="144" t="str">
        <f aca="false">ExportRaw!$A403</f>
        <v/>
      </c>
      <c r="I403" s="144" t="str">
        <f aca="false">ExportRaw!$B403</f>
        <v/>
      </c>
    </row>
    <row r="404" customFormat="false" ht="15.75" hidden="false" customHeight="false" outlineLevel="0" collapsed="false">
      <c r="A404" s="144" t="n">
        <f aca="false">ExportRaw!$F404</f>
        <v>0</v>
      </c>
      <c r="B404" s="144" t="n">
        <f aca="false">ExportRaw!$C404</f>
        <v>0</v>
      </c>
      <c r="C404" s="144" t="n">
        <f aca="false">ExportRaw!$G404</f>
        <v>0</v>
      </c>
      <c r="D404" s="144" t="str">
        <f aca="false">ExportRaw!$E404</f>
        <v/>
      </c>
      <c r="E404" s="145" t="str">
        <f aca="false">ExportRaw!$D404</f>
        <v/>
      </c>
      <c r="F404" s="144" t="str">
        <f aca="false">ExportRaw!$H404</f>
        <v/>
      </c>
      <c r="G404" s="146" t="str">
        <f aca="false">ExportRaw!$I404</f>
        <v/>
      </c>
      <c r="H404" s="144" t="str">
        <f aca="false">ExportRaw!$A404</f>
        <v/>
      </c>
      <c r="I404" s="144" t="str">
        <f aca="false">ExportRaw!$B404</f>
        <v/>
      </c>
    </row>
    <row r="405" customFormat="false" ht="15.75" hidden="false" customHeight="false" outlineLevel="0" collapsed="false">
      <c r="A405" s="144" t="n">
        <f aca="false">ExportRaw!$F405</f>
        <v>0</v>
      </c>
      <c r="B405" s="144" t="n">
        <f aca="false">ExportRaw!$C405</f>
        <v>0</v>
      </c>
      <c r="C405" s="144" t="n">
        <f aca="false">ExportRaw!$G405</f>
        <v>0</v>
      </c>
      <c r="D405" s="144" t="str">
        <f aca="false">ExportRaw!$E405</f>
        <v/>
      </c>
      <c r="E405" s="145" t="str">
        <f aca="false">ExportRaw!$D405</f>
        <v/>
      </c>
      <c r="F405" s="144" t="str">
        <f aca="false">ExportRaw!$H405</f>
        <v/>
      </c>
      <c r="G405" s="146" t="str">
        <f aca="false">ExportRaw!$I405</f>
        <v/>
      </c>
      <c r="H405" s="144" t="str">
        <f aca="false">ExportRaw!$A405</f>
        <v/>
      </c>
      <c r="I405" s="144" t="str">
        <f aca="false">ExportRaw!$B405</f>
        <v/>
      </c>
    </row>
    <row r="406" customFormat="false" ht="15.75" hidden="false" customHeight="false" outlineLevel="0" collapsed="false">
      <c r="A406" s="144" t="n">
        <f aca="false">ExportRaw!$F406</f>
        <v>0</v>
      </c>
      <c r="B406" s="144" t="n">
        <f aca="false">ExportRaw!$C406</f>
        <v>0</v>
      </c>
      <c r="C406" s="144" t="n">
        <f aca="false">ExportRaw!$G406</f>
        <v>0</v>
      </c>
      <c r="D406" s="144" t="str">
        <f aca="false">ExportRaw!$E406</f>
        <v/>
      </c>
      <c r="E406" s="145" t="str">
        <f aca="false">ExportRaw!$D406</f>
        <v/>
      </c>
      <c r="F406" s="144" t="str">
        <f aca="false">ExportRaw!$H406</f>
        <v/>
      </c>
      <c r="G406" s="146" t="str">
        <f aca="false">ExportRaw!$I406</f>
        <v/>
      </c>
      <c r="H406" s="144" t="str">
        <f aca="false">ExportRaw!$A406</f>
        <v/>
      </c>
      <c r="I406" s="144" t="str">
        <f aca="false">ExportRaw!$B406</f>
        <v/>
      </c>
    </row>
    <row r="407" customFormat="false" ht="15.75" hidden="false" customHeight="false" outlineLevel="0" collapsed="false">
      <c r="A407" s="144" t="n">
        <f aca="false">ExportRaw!$F407</f>
        <v>0</v>
      </c>
      <c r="B407" s="144" t="n">
        <f aca="false">ExportRaw!$C407</f>
        <v>0</v>
      </c>
      <c r="C407" s="144" t="n">
        <f aca="false">ExportRaw!$G407</f>
        <v>0</v>
      </c>
      <c r="D407" s="144" t="str">
        <f aca="false">ExportRaw!$E407</f>
        <v/>
      </c>
      <c r="E407" s="145" t="str">
        <f aca="false">ExportRaw!$D407</f>
        <v/>
      </c>
      <c r="F407" s="144" t="str">
        <f aca="false">ExportRaw!$H407</f>
        <v/>
      </c>
      <c r="G407" s="146" t="str">
        <f aca="false">ExportRaw!$I407</f>
        <v/>
      </c>
      <c r="H407" s="144" t="str">
        <f aca="false">ExportRaw!$A407</f>
        <v/>
      </c>
      <c r="I407" s="144" t="str">
        <f aca="false">ExportRaw!$B407</f>
        <v/>
      </c>
    </row>
    <row r="408" customFormat="false" ht="15.75" hidden="false" customHeight="false" outlineLevel="0" collapsed="false">
      <c r="A408" s="144" t="n">
        <f aca="false">ExportRaw!$F408</f>
        <v>0</v>
      </c>
      <c r="B408" s="144" t="n">
        <f aca="false">ExportRaw!$C408</f>
        <v>0</v>
      </c>
      <c r="C408" s="144" t="n">
        <f aca="false">ExportRaw!$G408</f>
        <v>0</v>
      </c>
      <c r="D408" s="144" t="str">
        <f aca="false">ExportRaw!$E408</f>
        <v/>
      </c>
      <c r="E408" s="145" t="str">
        <f aca="false">ExportRaw!$D408</f>
        <v/>
      </c>
      <c r="F408" s="144" t="str">
        <f aca="false">ExportRaw!$H408</f>
        <v/>
      </c>
      <c r="G408" s="146" t="str">
        <f aca="false">ExportRaw!$I408</f>
        <v/>
      </c>
      <c r="H408" s="144" t="str">
        <f aca="false">ExportRaw!$A408</f>
        <v/>
      </c>
      <c r="I408" s="144" t="str">
        <f aca="false">ExportRaw!$B408</f>
        <v/>
      </c>
    </row>
    <row r="409" customFormat="false" ht="15.75" hidden="false" customHeight="false" outlineLevel="0" collapsed="false">
      <c r="A409" s="144" t="n">
        <f aca="false">ExportRaw!$F409</f>
        <v>0</v>
      </c>
      <c r="B409" s="144" t="n">
        <f aca="false">ExportRaw!$C409</f>
        <v>0</v>
      </c>
      <c r="C409" s="144" t="n">
        <f aca="false">ExportRaw!$G409</f>
        <v>0</v>
      </c>
      <c r="D409" s="144" t="str">
        <f aca="false">ExportRaw!$E409</f>
        <v/>
      </c>
      <c r="E409" s="145" t="str">
        <f aca="false">ExportRaw!$D409</f>
        <v/>
      </c>
      <c r="F409" s="144" t="str">
        <f aca="false">ExportRaw!$H409</f>
        <v/>
      </c>
      <c r="G409" s="146" t="str">
        <f aca="false">ExportRaw!$I409</f>
        <v/>
      </c>
      <c r="H409" s="144" t="str">
        <f aca="false">ExportRaw!$A409</f>
        <v/>
      </c>
      <c r="I409" s="144" t="str">
        <f aca="false">ExportRaw!$B409</f>
        <v/>
      </c>
    </row>
    <row r="410" customFormat="false" ht="15.75" hidden="false" customHeight="false" outlineLevel="0" collapsed="false">
      <c r="A410" s="144" t="n">
        <f aca="false">ExportRaw!$F410</f>
        <v>0</v>
      </c>
      <c r="B410" s="144" t="n">
        <f aca="false">ExportRaw!$C410</f>
        <v>0</v>
      </c>
      <c r="C410" s="144" t="n">
        <f aca="false">ExportRaw!$G410</f>
        <v>0</v>
      </c>
      <c r="D410" s="144" t="str">
        <f aca="false">ExportRaw!$E410</f>
        <v/>
      </c>
      <c r="E410" s="145" t="str">
        <f aca="false">ExportRaw!$D410</f>
        <v/>
      </c>
      <c r="F410" s="144" t="str">
        <f aca="false">ExportRaw!$H410</f>
        <v/>
      </c>
      <c r="G410" s="146" t="str">
        <f aca="false">ExportRaw!$I410</f>
        <v/>
      </c>
      <c r="H410" s="144" t="str">
        <f aca="false">ExportRaw!$A410</f>
        <v/>
      </c>
      <c r="I410" s="144" t="str">
        <f aca="false">ExportRaw!$B410</f>
        <v/>
      </c>
    </row>
    <row r="411" customFormat="false" ht="15.75" hidden="false" customHeight="false" outlineLevel="0" collapsed="false">
      <c r="A411" s="144" t="n">
        <f aca="false">ExportRaw!$F411</f>
        <v>0</v>
      </c>
      <c r="B411" s="144" t="n">
        <f aca="false">ExportRaw!$C411</f>
        <v>0</v>
      </c>
      <c r="C411" s="144" t="n">
        <f aca="false">ExportRaw!$G411</f>
        <v>0</v>
      </c>
      <c r="D411" s="144" t="str">
        <f aca="false">ExportRaw!$E411</f>
        <v/>
      </c>
      <c r="E411" s="145" t="str">
        <f aca="false">ExportRaw!$D411</f>
        <v/>
      </c>
      <c r="F411" s="144" t="str">
        <f aca="false">ExportRaw!$H411</f>
        <v/>
      </c>
      <c r="G411" s="146" t="str">
        <f aca="false">ExportRaw!$I411</f>
        <v/>
      </c>
      <c r="H411" s="144" t="str">
        <f aca="false">ExportRaw!$A411</f>
        <v/>
      </c>
      <c r="I411" s="144" t="str">
        <f aca="false">ExportRaw!$B411</f>
        <v/>
      </c>
    </row>
    <row r="412" customFormat="false" ht="15.75" hidden="false" customHeight="false" outlineLevel="0" collapsed="false">
      <c r="A412" s="144" t="n">
        <f aca="false">ExportRaw!$F412</f>
        <v>0</v>
      </c>
      <c r="B412" s="144" t="n">
        <f aca="false">ExportRaw!$C412</f>
        <v>0</v>
      </c>
      <c r="C412" s="144" t="n">
        <f aca="false">ExportRaw!$G412</f>
        <v>0</v>
      </c>
      <c r="D412" s="144" t="str">
        <f aca="false">ExportRaw!$E412</f>
        <v/>
      </c>
      <c r="E412" s="145" t="str">
        <f aca="false">ExportRaw!$D412</f>
        <v/>
      </c>
      <c r="F412" s="144" t="str">
        <f aca="false">ExportRaw!$H412</f>
        <v/>
      </c>
      <c r="G412" s="146" t="str">
        <f aca="false">ExportRaw!$I412</f>
        <v/>
      </c>
      <c r="H412" s="144" t="str">
        <f aca="false">ExportRaw!$A412</f>
        <v/>
      </c>
      <c r="I412" s="144" t="str">
        <f aca="false">ExportRaw!$B412</f>
        <v/>
      </c>
    </row>
    <row r="413" customFormat="false" ht="15.75" hidden="false" customHeight="false" outlineLevel="0" collapsed="false">
      <c r="A413" s="144" t="n">
        <f aca="false">ExportRaw!$F413</f>
        <v>0</v>
      </c>
      <c r="B413" s="144" t="n">
        <f aca="false">ExportRaw!$C413</f>
        <v>0</v>
      </c>
      <c r="C413" s="144" t="n">
        <f aca="false">ExportRaw!$G413</f>
        <v>0</v>
      </c>
      <c r="D413" s="144" t="str">
        <f aca="false">ExportRaw!$E413</f>
        <v/>
      </c>
      <c r="E413" s="145" t="str">
        <f aca="false">ExportRaw!$D413</f>
        <v/>
      </c>
      <c r="F413" s="144" t="str">
        <f aca="false">ExportRaw!$H413</f>
        <v/>
      </c>
      <c r="G413" s="146" t="str">
        <f aca="false">ExportRaw!$I413</f>
        <v/>
      </c>
      <c r="H413" s="144" t="str">
        <f aca="false">ExportRaw!$A413</f>
        <v/>
      </c>
      <c r="I413" s="144" t="str">
        <f aca="false">ExportRaw!$B413</f>
        <v/>
      </c>
    </row>
    <row r="414" customFormat="false" ht="15.75" hidden="false" customHeight="false" outlineLevel="0" collapsed="false">
      <c r="A414" s="144" t="n">
        <f aca="false">ExportRaw!$F414</f>
        <v>0</v>
      </c>
      <c r="B414" s="144" t="n">
        <f aca="false">ExportRaw!$C414</f>
        <v>0</v>
      </c>
      <c r="C414" s="144" t="n">
        <f aca="false">ExportRaw!$G414</f>
        <v>0</v>
      </c>
      <c r="D414" s="144" t="str">
        <f aca="false">ExportRaw!$E414</f>
        <v/>
      </c>
      <c r="E414" s="145" t="str">
        <f aca="false">ExportRaw!$D414</f>
        <v/>
      </c>
      <c r="F414" s="144" t="str">
        <f aca="false">ExportRaw!$H414</f>
        <v/>
      </c>
      <c r="G414" s="146" t="str">
        <f aca="false">ExportRaw!$I414</f>
        <v/>
      </c>
      <c r="H414" s="144" t="str">
        <f aca="false">ExportRaw!$A414</f>
        <v/>
      </c>
      <c r="I414" s="144" t="str">
        <f aca="false">ExportRaw!$B414</f>
        <v/>
      </c>
    </row>
    <row r="415" customFormat="false" ht="15.75" hidden="false" customHeight="false" outlineLevel="0" collapsed="false">
      <c r="A415" s="144" t="n">
        <f aca="false">ExportRaw!$F415</f>
        <v>0</v>
      </c>
      <c r="B415" s="144" t="n">
        <f aca="false">ExportRaw!$C415</f>
        <v>0</v>
      </c>
      <c r="C415" s="144" t="n">
        <f aca="false">ExportRaw!$G415</f>
        <v>0</v>
      </c>
      <c r="D415" s="144" t="str">
        <f aca="false">ExportRaw!$E415</f>
        <v/>
      </c>
      <c r="E415" s="145" t="str">
        <f aca="false">ExportRaw!$D415</f>
        <v/>
      </c>
      <c r="F415" s="144" t="str">
        <f aca="false">ExportRaw!$H415</f>
        <v/>
      </c>
      <c r="G415" s="146" t="str">
        <f aca="false">ExportRaw!$I415</f>
        <v/>
      </c>
      <c r="H415" s="144" t="str">
        <f aca="false">ExportRaw!$A415</f>
        <v/>
      </c>
      <c r="I415" s="144" t="str">
        <f aca="false">ExportRaw!$B415</f>
        <v/>
      </c>
    </row>
    <row r="416" customFormat="false" ht="15.75" hidden="false" customHeight="false" outlineLevel="0" collapsed="false">
      <c r="A416" s="144" t="n">
        <f aca="false">ExportRaw!$F416</f>
        <v>0</v>
      </c>
      <c r="B416" s="144" t="n">
        <f aca="false">ExportRaw!$C416</f>
        <v>0</v>
      </c>
      <c r="C416" s="144" t="n">
        <f aca="false">ExportRaw!$G416</f>
        <v>0</v>
      </c>
      <c r="D416" s="144" t="str">
        <f aca="false">ExportRaw!$E416</f>
        <v/>
      </c>
      <c r="E416" s="145" t="str">
        <f aca="false">ExportRaw!$D416</f>
        <v/>
      </c>
      <c r="F416" s="144" t="str">
        <f aca="false">ExportRaw!$H416</f>
        <v/>
      </c>
      <c r="G416" s="146" t="str">
        <f aca="false">ExportRaw!$I416</f>
        <v/>
      </c>
      <c r="H416" s="144" t="str">
        <f aca="false">ExportRaw!$A416</f>
        <v/>
      </c>
      <c r="I416" s="144" t="str">
        <f aca="false">ExportRaw!$B416</f>
        <v/>
      </c>
    </row>
    <row r="417" customFormat="false" ht="15.75" hidden="false" customHeight="false" outlineLevel="0" collapsed="false">
      <c r="A417" s="144" t="n">
        <f aca="false">ExportRaw!$F417</f>
        <v>0</v>
      </c>
      <c r="B417" s="144" t="n">
        <f aca="false">ExportRaw!$C417</f>
        <v>0</v>
      </c>
      <c r="C417" s="144" t="n">
        <f aca="false">ExportRaw!$G417</f>
        <v>0</v>
      </c>
      <c r="D417" s="144" t="str">
        <f aca="false">ExportRaw!$E417</f>
        <v/>
      </c>
      <c r="E417" s="145" t="str">
        <f aca="false">ExportRaw!$D417</f>
        <v/>
      </c>
      <c r="F417" s="144" t="str">
        <f aca="false">ExportRaw!$H417</f>
        <v/>
      </c>
      <c r="G417" s="146" t="str">
        <f aca="false">ExportRaw!$I417</f>
        <v/>
      </c>
      <c r="H417" s="144" t="str">
        <f aca="false">ExportRaw!$A417</f>
        <v/>
      </c>
      <c r="I417" s="144" t="str">
        <f aca="false">ExportRaw!$B417</f>
        <v/>
      </c>
    </row>
    <row r="418" customFormat="false" ht="15.75" hidden="false" customHeight="false" outlineLevel="0" collapsed="false">
      <c r="A418" s="144" t="n">
        <f aca="false">ExportRaw!$F418</f>
        <v>0</v>
      </c>
      <c r="B418" s="144" t="n">
        <f aca="false">ExportRaw!$C418</f>
        <v>0</v>
      </c>
      <c r="C418" s="144" t="n">
        <f aca="false">ExportRaw!$G418</f>
        <v>0</v>
      </c>
      <c r="D418" s="144" t="str">
        <f aca="false">ExportRaw!$E418</f>
        <v/>
      </c>
      <c r="E418" s="145" t="str">
        <f aca="false">ExportRaw!$D418</f>
        <v/>
      </c>
      <c r="F418" s="144" t="str">
        <f aca="false">ExportRaw!$H418</f>
        <v/>
      </c>
      <c r="G418" s="146" t="str">
        <f aca="false">ExportRaw!$I418</f>
        <v/>
      </c>
      <c r="H418" s="144" t="str">
        <f aca="false">ExportRaw!$A418</f>
        <v/>
      </c>
      <c r="I418" s="144" t="str">
        <f aca="false">ExportRaw!$B418</f>
        <v/>
      </c>
    </row>
    <row r="419" customFormat="false" ht="15.75" hidden="false" customHeight="false" outlineLevel="0" collapsed="false">
      <c r="A419" s="144" t="n">
        <f aca="false">ExportRaw!$F419</f>
        <v>0</v>
      </c>
      <c r="B419" s="144" t="n">
        <f aca="false">ExportRaw!$C419</f>
        <v>0</v>
      </c>
      <c r="C419" s="144" t="n">
        <f aca="false">ExportRaw!$G419</f>
        <v>0</v>
      </c>
      <c r="D419" s="144" t="str">
        <f aca="false">ExportRaw!$E419</f>
        <v/>
      </c>
      <c r="E419" s="145" t="str">
        <f aca="false">ExportRaw!$D419</f>
        <v/>
      </c>
      <c r="F419" s="144" t="str">
        <f aca="false">ExportRaw!$H419</f>
        <v/>
      </c>
      <c r="G419" s="146" t="str">
        <f aca="false">ExportRaw!$I419</f>
        <v/>
      </c>
      <c r="H419" s="144" t="str">
        <f aca="false">ExportRaw!$A419</f>
        <v/>
      </c>
      <c r="I419" s="144" t="str">
        <f aca="false">ExportRaw!$B419</f>
        <v/>
      </c>
    </row>
    <row r="420" customFormat="false" ht="15.75" hidden="false" customHeight="false" outlineLevel="0" collapsed="false">
      <c r="A420" s="144" t="n">
        <f aca="false">ExportRaw!$F420</f>
        <v>0</v>
      </c>
      <c r="B420" s="144" t="n">
        <f aca="false">ExportRaw!$C420</f>
        <v>0</v>
      </c>
      <c r="C420" s="144" t="n">
        <f aca="false">ExportRaw!$G420</f>
        <v>0</v>
      </c>
      <c r="D420" s="144" t="str">
        <f aca="false">ExportRaw!$E420</f>
        <v/>
      </c>
      <c r="E420" s="145" t="str">
        <f aca="false">ExportRaw!$D420</f>
        <v/>
      </c>
      <c r="F420" s="144" t="str">
        <f aca="false">ExportRaw!$H420</f>
        <v/>
      </c>
      <c r="G420" s="146" t="str">
        <f aca="false">ExportRaw!$I420</f>
        <v/>
      </c>
      <c r="H420" s="144" t="str">
        <f aca="false">ExportRaw!$A420</f>
        <v/>
      </c>
      <c r="I420" s="144" t="str">
        <f aca="false">ExportRaw!$B420</f>
        <v/>
      </c>
    </row>
    <row r="421" customFormat="false" ht="15.75" hidden="false" customHeight="false" outlineLevel="0" collapsed="false">
      <c r="A421" s="144" t="n">
        <f aca="false">ExportRaw!$F421</f>
        <v>0</v>
      </c>
      <c r="B421" s="144" t="n">
        <f aca="false">ExportRaw!$C421</f>
        <v>0</v>
      </c>
      <c r="C421" s="144" t="n">
        <f aca="false">ExportRaw!$G421</f>
        <v>0</v>
      </c>
      <c r="D421" s="144" t="str">
        <f aca="false">ExportRaw!$E421</f>
        <v/>
      </c>
      <c r="E421" s="145" t="str">
        <f aca="false">ExportRaw!$D421</f>
        <v/>
      </c>
      <c r="F421" s="144" t="str">
        <f aca="false">ExportRaw!$H421</f>
        <v/>
      </c>
      <c r="G421" s="146" t="str">
        <f aca="false">ExportRaw!$I421</f>
        <v/>
      </c>
      <c r="H421" s="144" t="str">
        <f aca="false">ExportRaw!$A421</f>
        <v/>
      </c>
      <c r="I421" s="144" t="str">
        <f aca="false">ExportRaw!$B421</f>
        <v/>
      </c>
    </row>
    <row r="422" customFormat="false" ht="15.75" hidden="false" customHeight="false" outlineLevel="0" collapsed="false">
      <c r="A422" s="144" t="n">
        <f aca="false">ExportRaw!$F422</f>
        <v>0</v>
      </c>
      <c r="B422" s="144" t="n">
        <f aca="false">ExportRaw!$C422</f>
        <v>0</v>
      </c>
      <c r="C422" s="144" t="n">
        <f aca="false">ExportRaw!$G422</f>
        <v>0</v>
      </c>
      <c r="D422" s="144" t="str">
        <f aca="false">ExportRaw!$E422</f>
        <v/>
      </c>
      <c r="E422" s="145" t="str">
        <f aca="false">ExportRaw!$D422</f>
        <v/>
      </c>
      <c r="F422" s="144" t="str">
        <f aca="false">ExportRaw!$H422</f>
        <v/>
      </c>
      <c r="G422" s="146" t="str">
        <f aca="false">ExportRaw!$I422</f>
        <v/>
      </c>
      <c r="H422" s="144" t="str">
        <f aca="false">ExportRaw!$A422</f>
        <v/>
      </c>
      <c r="I422" s="144" t="str">
        <f aca="false">ExportRaw!$B422</f>
        <v/>
      </c>
    </row>
    <row r="423" customFormat="false" ht="15.75" hidden="false" customHeight="false" outlineLevel="0" collapsed="false">
      <c r="A423" s="144" t="n">
        <f aca="false">ExportRaw!$F423</f>
        <v>0</v>
      </c>
      <c r="B423" s="144" t="n">
        <f aca="false">ExportRaw!$C423</f>
        <v>0</v>
      </c>
      <c r="C423" s="144" t="n">
        <f aca="false">ExportRaw!$G423</f>
        <v>0</v>
      </c>
      <c r="D423" s="144" t="str">
        <f aca="false">ExportRaw!$E423</f>
        <v/>
      </c>
      <c r="E423" s="145" t="str">
        <f aca="false">ExportRaw!$D423</f>
        <v/>
      </c>
      <c r="F423" s="144" t="str">
        <f aca="false">ExportRaw!$H423</f>
        <v/>
      </c>
      <c r="G423" s="146" t="str">
        <f aca="false">ExportRaw!$I423</f>
        <v/>
      </c>
      <c r="H423" s="144" t="str">
        <f aca="false">ExportRaw!$A423</f>
        <v/>
      </c>
      <c r="I423" s="144" t="str">
        <f aca="false">ExportRaw!$B423</f>
        <v/>
      </c>
    </row>
    <row r="424" customFormat="false" ht="15.75" hidden="false" customHeight="false" outlineLevel="0" collapsed="false">
      <c r="A424" s="144" t="n">
        <f aca="false">ExportRaw!$F424</f>
        <v>0</v>
      </c>
      <c r="B424" s="144" t="n">
        <f aca="false">ExportRaw!$C424</f>
        <v>0</v>
      </c>
      <c r="C424" s="144" t="n">
        <f aca="false">ExportRaw!$G424</f>
        <v>0</v>
      </c>
      <c r="D424" s="144" t="str">
        <f aca="false">ExportRaw!$E424</f>
        <v/>
      </c>
      <c r="E424" s="145" t="str">
        <f aca="false">ExportRaw!$D424</f>
        <v/>
      </c>
      <c r="F424" s="144" t="str">
        <f aca="false">ExportRaw!$H424</f>
        <v/>
      </c>
      <c r="G424" s="146" t="str">
        <f aca="false">ExportRaw!$I424</f>
        <v/>
      </c>
      <c r="H424" s="144" t="str">
        <f aca="false">ExportRaw!$A424</f>
        <v/>
      </c>
      <c r="I424" s="144" t="str">
        <f aca="false">ExportRaw!$B424</f>
        <v/>
      </c>
    </row>
    <row r="425" customFormat="false" ht="15.75" hidden="false" customHeight="false" outlineLevel="0" collapsed="false">
      <c r="A425" s="144" t="n">
        <f aca="false">ExportRaw!$F425</f>
        <v>0</v>
      </c>
      <c r="B425" s="144" t="n">
        <f aca="false">ExportRaw!$C425</f>
        <v>0</v>
      </c>
      <c r="C425" s="144" t="n">
        <f aca="false">ExportRaw!$G425</f>
        <v>0</v>
      </c>
      <c r="D425" s="144" t="str">
        <f aca="false">ExportRaw!$E425</f>
        <v/>
      </c>
      <c r="E425" s="145" t="str">
        <f aca="false">ExportRaw!$D425</f>
        <v/>
      </c>
      <c r="F425" s="144" t="str">
        <f aca="false">ExportRaw!$H425</f>
        <v/>
      </c>
      <c r="G425" s="146" t="str">
        <f aca="false">ExportRaw!$I425</f>
        <v/>
      </c>
      <c r="H425" s="144" t="str">
        <f aca="false">ExportRaw!$A425</f>
        <v/>
      </c>
      <c r="I425" s="144" t="str">
        <f aca="false">ExportRaw!$B425</f>
        <v/>
      </c>
    </row>
    <row r="426" customFormat="false" ht="15.75" hidden="false" customHeight="false" outlineLevel="0" collapsed="false">
      <c r="A426" s="144" t="n">
        <f aca="false">ExportRaw!$F426</f>
        <v>0</v>
      </c>
      <c r="B426" s="144" t="n">
        <f aca="false">ExportRaw!$C426</f>
        <v>0</v>
      </c>
      <c r="C426" s="144" t="n">
        <f aca="false">ExportRaw!$G426</f>
        <v>0</v>
      </c>
      <c r="D426" s="144" t="str">
        <f aca="false">ExportRaw!$E426</f>
        <v/>
      </c>
      <c r="E426" s="145" t="str">
        <f aca="false">ExportRaw!$D426</f>
        <v/>
      </c>
      <c r="F426" s="144" t="str">
        <f aca="false">ExportRaw!$H426</f>
        <v/>
      </c>
      <c r="G426" s="146" t="str">
        <f aca="false">ExportRaw!$I426</f>
        <v/>
      </c>
      <c r="H426" s="144" t="str">
        <f aca="false">ExportRaw!$A426</f>
        <v/>
      </c>
      <c r="I426" s="144" t="str">
        <f aca="false">ExportRaw!$B426</f>
        <v/>
      </c>
    </row>
    <row r="427" customFormat="false" ht="15.75" hidden="false" customHeight="false" outlineLevel="0" collapsed="false">
      <c r="A427" s="144" t="n">
        <f aca="false">ExportRaw!$F427</f>
        <v>0</v>
      </c>
      <c r="B427" s="144" t="n">
        <f aca="false">ExportRaw!$C427</f>
        <v>0</v>
      </c>
      <c r="C427" s="144" t="n">
        <f aca="false">ExportRaw!$G427</f>
        <v>0</v>
      </c>
      <c r="D427" s="144" t="str">
        <f aca="false">ExportRaw!$E427</f>
        <v/>
      </c>
      <c r="E427" s="145" t="str">
        <f aca="false">ExportRaw!$D427</f>
        <v/>
      </c>
      <c r="F427" s="144" t="str">
        <f aca="false">ExportRaw!$H427</f>
        <v/>
      </c>
      <c r="G427" s="146" t="str">
        <f aca="false">ExportRaw!$I427</f>
        <v/>
      </c>
      <c r="H427" s="144" t="str">
        <f aca="false">ExportRaw!$A427</f>
        <v/>
      </c>
      <c r="I427" s="144" t="str">
        <f aca="false">ExportRaw!$B427</f>
        <v/>
      </c>
    </row>
    <row r="428" customFormat="false" ht="15.75" hidden="false" customHeight="false" outlineLevel="0" collapsed="false">
      <c r="A428" s="144" t="n">
        <f aca="false">ExportRaw!$F428</f>
        <v>0</v>
      </c>
      <c r="B428" s="144" t="n">
        <f aca="false">ExportRaw!$C428</f>
        <v>0</v>
      </c>
      <c r="C428" s="144" t="n">
        <f aca="false">ExportRaw!$G428</f>
        <v>0</v>
      </c>
      <c r="D428" s="144" t="str">
        <f aca="false">ExportRaw!$E428</f>
        <v/>
      </c>
      <c r="E428" s="145" t="str">
        <f aca="false">ExportRaw!$D428</f>
        <v/>
      </c>
      <c r="F428" s="144" t="str">
        <f aca="false">ExportRaw!$H428</f>
        <v/>
      </c>
      <c r="G428" s="146" t="str">
        <f aca="false">ExportRaw!$I428</f>
        <v/>
      </c>
      <c r="H428" s="144" t="str">
        <f aca="false">ExportRaw!$A428</f>
        <v/>
      </c>
      <c r="I428" s="144" t="str">
        <f aca="false">ExportRaw!$B428</f>
        <v/>
      </c>
    </row>
    <row r="429" customFormat="false" ht="15.75" hidden="false" customHeight="false" outlineLevel="0" collapsed="false">
      <c r="A429" s="144" t="n">
        <f aca="false">ExportRaw!$F429</f>
        <v>0</v>
      </c>
      <c r="B429" s="144" t="n">
        <f aca="false">ExportRaw!$C429</f>
        <v>0</v>
      </c>
      <c r="C429" s="144" t="n">
        <f aca="false">ExportRaw!$G429</f>
        <v>0</v>
      </c>
      <c r="D429" s="144" t="str">
        <f aca="false">ExportRaw!$E429</f>
        <v/>
      </c>
      <c r="E429" s="145" t="str">
        <f aca="false">ExportRaw!$D429</f>
        <v/>
      </c>
      <c r="F429" s="144" t="str">
        <f aca="false">ExportRaw!$H429</f>
        <v/>
      </c>
      <c r="G429" s="146" t="str">
        <f aca="false">ExportRaw!$I429</f>
        <v/>
      </c>
      <c r="H429" s="144" t="str">
        <f aca="false">ExportRaw!$A429</f>
        <v/>
      </c>
      <c r="I429" s="144" t="str">
        <f aca="false">ExportRaw!$B429</f>
        <v/>
      </c>
    </row>
    <row r="430" customFormat="false" ht="15.75" hidden="false" customHeight="false" outlineLevel="0" collapsed="false">
      <c r="A430" s="144" t="n">
        <f aca="false">ExportRaw!$F430</f>
        <v>0</v>
      </c>
      <c r="B430" s="144" t="n">
        <f aca="false">ExportRaw!$C430</f>
        <v>0</v>
      </c>
      <c r="C430" s="144" t="n">
        <f aca="false">ExportRaw!$G430</f>
        <v>0</v>
      </c>
      <c r="D430" s="144" t="str">
        <f aca="false">ExportRaw!$E430</f>
        <v/>
      </c>
      <c r="E430" s="145" t="str">
        <f aca="false">ExportRaw!$D430</f>
        <v/>
      </c>
      <c r="F430" s="144" t="str">
        <f aca="false">ExportRaw!$H430</f>
        <v/>
      </c>
      <c r="G430" s="146" t="str">
        <f aca="false">ExportRaw!$I430</f>
        <v/>
      </c>
      <c r="H430" s="144" t="str">
        <f aca="false">ExportRaw!$A430</f>
        <v/>
      </c>
      <c r="I430" s="144" t="str">
        <f aca="false">ExportRaw!$B430</f>
        <v/>
      </c>
    </row>
    <row r="431" customFormat="false" ht="15.75" hidden="false" customHeight="false" outlineLevel="0" collapsed="false">
      <c r="A431" s="144" t="n">
        <f aca="false">ExportRaw!$F431</f>
        <v>0</v>
      </c>
      <c r="B431" s="144" t="n">
        <f aca="false">ExportRaw!$C431</f>
        <v>0</v>
      </c>
      <c r="C431" s="144" t="n">
        <f aca="false">ExportRaw!$G431</f>
        <v>0</v>
      </c>
      <c r="D431" s="144" t="str">
        <f aca="false">ExportRaw!$E431</f>
        <v/>
      </c>
      <c r="E431" s="145" t="str">
        <f aca="false">ExportRaw!$D431</f>
        <v/>
      </c>
      <c r="F431" s="144" t="str">
        <f aca="false">ExportRaw!$H431</f>
        <v/>
      </c>
      <c r="G431" s="146" t="str">
        <f aca="false">ExportRaw!$I431</f>
        <v/>
      </c>
      <c r="H431" s="144" t="str">
        <f aca="false">ExportRaw!$A431</f>
        <v/>
      </c>
      <c r="I431" s="144" t="str">
        <f aca="false">ExportRaw!$B431</f>
        <v/>
      </c>
    </row>
    <row r="432" customFormat="false" ht="15.75" hidden="false" customHeight="false" outlineLevel="0" collapsed="false">
      <c r="A432" s="144" t="n">
        <f aca="false">ExportRaw!$F432</f>
        <v>0</v>
      </c>
      <c r="B432" s="144" t="n">
        <f aca="false">ExportRaw!$C432</f>
        <v>0</v>
      </c>
      <c r="C432" s="144" t="n">
        <f aca="false">ExportRaw!$G432</f>
        <v>0</v>
      </c>
      <c r="D432" s="144" t="str">
        <f aca="false">ExportRaw!$E432</f>
        <v/>
      </c>
      <c r="E432" s="145" t="str">
        <f aca="false">ExportRaw!$D432</f>
        <v/>
      </c>
      <c r="F432" s="144" t="str">
        <f aca="false">ExportRaw!$H432</f>
        <v/>
      </c>
      <c r="G432" s="146" t="str">
        <f aca="false">ExportRaw!$I432</f>
        <v/>
      </c>
      <c r="H432" s="144" t="str">
        <f aca="false">ExportRaw!$A432</f>
        <v/>
      </c>
      <c r="I432" s="144" t="str">
        <f aca="false">ExportRaw!$B432</f>
        <v/>
      </c>
    </row>
    <row r="433" customFormat="false" ht="15.75" hidden="false" customHeight="false" outlineLevel="0" collapsed="false">
      <c r="A433" s="144" t="n">
        <f aca="false">ExportRaw!$F433</f>
        <v>0</v>
      </c>
      <c r="B433" s="144" t="n">
        <f aca="false">ExportRaw!$C433</f>
        <v>0</v>
      </c>
      <c r="C433" s="144" t="n">
        <f aca="false">ExportRaw!$G433</f>
        <v>0</v>
      </c>
      <c r="D433" s="144" t="str">
        <f aca="false">ExportRaw!$E433</f>
        <v/>
      </c>
      <c r="E433" s="145" t="str">
        <f aca="false">ExportRaw!$D433</f>
        <v/>
      </c>
      <c r="F433" s="144" t="str">
        <f aca="false">ExportRaw!$H433</f>
        <v/>
      </c>
      <c r="G433" s="146" t="str">
        <f aca="false">ExportRaw!$I433</f>
        <v/>
      </c>
      <c r="H433" s="144" t="str">
        <f aca="false">ExportRaw!$A433</f>
        <v/>
      </c>
      <c r="I433" s="144" t="str">
        <f aca="false">ExportRaw!$B433</f>
        <v/>
      </c>
    </row>
    <row r="434" customFormat="false" ht="15.75" hidden="false" customHeight="false" outlineLevel="0" collapsed="false">
      <c r="A434" s="144" t="n">
        <f aca="false">ExportRaw!$F434</f>
        <v>0</v>
      </c>
      <c r="B434" s="144" t="n">
        <f aca="false">ExportRaw!$C434</f>
        <v>0</v>
      </c>
      <c r="C434" s="144" t="n">
        <f aca="false">ExportRaw!$G434</f>
        <v>0</v>
      </c>
      <c r="D434" s="144" t="str">
        <f aca="false">ExportRaw!$E434</f>
        <v/>
      </c>
      <c r="E434" s="145" t="str">
        <f aca="false">ExportRaw!$D434</f>
        <v/>
      </c>
      <c r="F434" s="144" t="str">
        <f aca="false">ExportRaw!$H434</f>
        <v/>
      </c>
      <c r="G434" s="146" t="str">
        <f aca="false">ExportRaw!$I434</f>
        <v/>
      </c>
      <c r="H434" s="144" t="str">
        <f aca="false">ExportRaw!$A434</f>
        <v/>
      </c>
      <c r="I434" s="144" t="str">
        <f aca="false">ExportRaw!$B434</f>
        <v/>
      </c>
    </row>
    <row r="435" customFormat="false" ht="15.75" hidden="false" customHeight="false" outlineLevel="0" collapsed="false">
      <c r="A435" s="144" t="n">
        <f aca="false">ExportRaw!$F435</f>
        <v>0</v>
      </c>
      <c r="B435" s="144" t="n">
        <f aca="false">ExportRaw!$C435</f>
        <v>0</v>
      </c>
      <c r="C435" s="144" t="n">
        <f aca="false">ExportRaw!$G435</f>
        <v>0</v>
      </c>
      <c r="D435" s="144" t="str">
        <f aca="false">ExportRaw!$E435</f>
        <v/>
      </c>
      <c r="E435" s="145" t="str">
        <f aca="false">ExportRaw!$D435</f>
        <v/>
      </c>
      <c r="F435" s="144" t="str">
        <f aca="false">ExportRaw!$H435</f>
        <v/>
      </c>
      <c r="G435" s="146" t="str">
        <f aca="false">ExportRaw!$I435</f>
        <v/>
      </c>
      <c r="H435" s="144" t="str">
        <f aca="false">ExportRaw!$A435</f>
        <v/>
      </c>
      <c r="I435" s="144" t="str">
        <f aca="false">ExportRaw!$B435</f>
        <v/>
      </c>
    </row>
    <row r="436" customFormat="false" ht="15.75" hidden="false" customHeight="false" outlineLevel="0" collapsed="false">
      <c r="A436" s="144" t="n">
        <f aca="false">ExportRaw!$F436</f>
        <v>0</v>
      </c>
      <c r="B436" s="144" t="n">
        <f aca="false">ExportRaw!$C436</f>
        <v>0</v>
      </c>
      <c r="C436" s="144" t="n">
        <f aca="false">ExportRaw!$G436</f>
        <v>0</v>
      </c>
      <c r="D436" s="144" t="str">
        <f aca="false">ExportRaw!$E436</f>
        <v/>
      </c>
      <c r="E436" s="145" t="str">
        <f aca="false">ExportRaw!$D436</f>
        <v/>
      </c>
      <c r="F436" s="144" t="str">
        <f aca="false">ExportRaw!$H436</f>
        <v/>
      </c>
      <c r="G436" s="146" t="str">
        <f aca="false">ExportRaw!$I436</f>
        <v/>
      </c>
      <c r="H436" s="144" t="str">
        <f aca="false">ExportRaw!$A436</f>
        <v/>
      </c>
      <c r="I436" s="144" t="str">
        <f aca="false">ExportRaw!$B436</f>
        <v/>
      </c>
    </row>
    <row r="437" customFormat="false" ht="15.75" hidden="false" customHeight="false" outlineLevel="0" collapsed="false">
      <c r="A437" s="144" t="n">
        <f aca="false">ExportRaw!$F437</f>
        <v>0</v>
      </c>
      <c r="B437" s="144" t="n">
        <f aca="false">ExportRaw!$C437</f>
        <v>0</v>
      </c>
      <c r="C437" s="144" t="n">
        <f aca="false">ExportRaw!$G437</f>
        <v>0</v>
      </c>
      <c r="D437" s="144" t="str">
        <f aca="false">ExportRaw!$E437</f>
        <v/>
      </c>
      <c r="E437" s="145" t="str">
        <f aca="false">ExportRaw!$D437</f>
        <v/>
      </c>
      <c r="F437" s="144" t="str">
        <f aca="false">ExportRaw!$H437</f>
        <v/>
      </c>
      <c r="G437" s="146" t="str">
        <f aca="false">ExportRaw!$I437</f>
        <v/>
      </c>
      <c r="H437" s="144" t="str">
        <f aca="false">ExportRaw!$A437</f>
        <v/>
      </c>
      <c r="I437" s="144" t="str">
        <f aca="false">ExportRaw!$B437</f>
        <v/>
      </c>
    </row>
    <row r="438" customFormat="false" ht="15.75" hidden="false" customHeight="false" outlineLevel="0" collapsed="false">
      <c r="A438" s="144" t="n">
        <f aca="false">ExportRaw!$F438</f>
        <v>0</v>
      </c>
      <c r="B438" s="144" t="n">
        <f aca="false">ExportRaw!$C438</f>
        <v>0</v>
      </c>
      <c r="C438" s="144" t="n">
        <f aca="false">ExportRaw!$G438</f>
        <v>0</v>
      </c>
      <c r="D438" s="144" t="str">
        <f aca="false">ExportRaw!$E438</f>
        <v/>
      </c>
      <c r="E438" s="145" t="str">
        <f aca="false">ExportRaw!$D438</f>
        <v/>
      </c>
      <c r="F438" s="144" t="str">
        <f aca="false">ExportRaw!$H438</f>
        <v/>
      </c>
      <c r="G438" s="146" t="str">
        <f aca="false">ExportRaw!$I438</f>
        <v/>
      </c>
      <c r="H438" s="144" t="str">
        <f aca="false">ExportRaw!$A438</f>
        <v/>
      </c>
      <c r="I438" s="144" t="str">
        <f aca="false">ExportRaw!$B438</f>
        <v/>
      </c>
    </row>
    <row r="439" customFormat="false" ht="15.75" hidden="false" customHeight="false" outlineLevel="0" collapsed="false">
      <c r="A439" s="144" t="n">
        <f aca="false">ExportRaw!$F439</f>
        <v>0</v>
      </c>
      <c r="B439" s="144" t="n">
        <f aca="false">ExportRaw!$C439</f>
        <v>0</v>
      </c>
      <c r="C439" s="144" t="n">
        <f aca="false">ExportRaw!$G439</f>
        <v>0</v>
      </c>
      <c r="D439" s="144" t="str">
        <f aca="false">ExportRaw!$E439</f>
        <v/>
      </c>
      <c r="E439" s="145" t="str">
        <f aca="false">ExportRaw!$D439</f>
        <v/>
      </c>
      <c r="F439" s="144" t="str">
        <f aca="false">ExportRaw!$H439</f>
        <v/>
      </c>
      <c r="G439" s="146" t="str">
        <f aca="false">ExportRaw!$I439</f>
        <v/>
      </c>
      <c r="H439" s="144" t="str">
        <f aca="false">ExportRaw!$A439</f>
        <v/>
      </c>
      <c r="I439" s="144" t="str">
        <f aca="false">ExportRaw!$B439</f>
        <v/>
      </c>
    </row>
    <row r="440" customFormat="false" ht="15.75" hidden="false" customHeight="false" outlineLevel="0" collapsed="false">
      <c r="A440" s="144" t="n">
        <f aca="false">ExportRaw!$F440</f>
        <v>0</v>
      </c>
      <c r="B440" s="144" t="n">
        <f aca="false">ExportRaw!$C440</f>
        <v>0</v>
      </c>
      <c r="C440" s="144" t="n">
        <f aca="false">ExportRaw!$G440</f>
        <v>0</v>
      </c>
      <c r="D440" s="144" t="str">
        <f aca="false">ExportRaw!$E440</f>
        <v/>
      </c>
      <c r="E440" s="145" t="str">
        <f aca="false">ExportRaw!$D440</f>
        <v/>
      </c>
      <c r="F440" s="144" t="str">
        <f aca="false">ExportRaw!$H440</f>
        <v/>
      </c>
      <c r="G440" s="146" t="str">
        <f aca="false">ExportRaw!$I440</f>
        <v/>
      </c>
      <c r="H440" s="144" t="str">
        <f aca="false">ExportRaw!$A440</f>
        <v/>
      </c>
      <c r="I440" s="144" t="str">
        <f aca="false">ExportRaw!$B440</f>
        <v/>
      </c>
    </row>
    <row r="441" customFormat="false" ht="15.75" hidden="false" customHeight="false" outlineLevel="0" collapsed="false">
      <c r="A441" s="144" t="n">
        <f aca="false">ExportRaw!$F441</f>
        <v>0</v>
      </c>
      <c r="B441" s="144" t="n">
        <f aca="false">ExportRaw!$C441</f>
        <v>0</v>
      </c>
      <c r="C441" s="144" t="n">
        <f aca="false">ExportRaw!$G441</f>
        <v>0</v>
      </c>
      <c r="D441" s="144" t="str">
        <f aca="false">ExportRaw!$E441</f>
        <v/>
      </c>
      <c r="E441" s="145" t="str">
        <f aca="false">ExportRaw!$D441</f>
        <v/>
      </c>
      <c r="F441" s="144" t="str">
        <f aca="false">ExportRaw!$H441</f>
        <v/>
      </c>
      <c r="G441" s="146" t="str">
        <f aca="false">ExportRaw!$I441</f>
        <v/>
      </c>
      <c r="H441" s="144" t="str">
        <f aca="false">ExportRaw!$A441</f>
        <v/>
      </c>
      <c r="I441" s="144" t="str">
        <f aca="false">ExportRaw!$B441</f>
        <v/>
      </c>
    </row>
    <row r="442" customFormat="false" ht="15.75" hidden="false" customHeight="false" outlineLevel="0" collapsed="false">
      <c r="A442" s="144" t="n">
        <f aca="false">ExportRaw!$F442</f>
        <v>0</v>
      </c>
      <c r="B442" s="144" t="n">
        <f aca="false">ExportRaw!$C442</f>
        <v>0</v>
      </c>
      <c r="C442" s="144" t="n">
        <f aca="false">ExportRaw!$G442</f>
        <v>0</v>
      </c>
      <c r="D442" s="144" t="str">
        <f aca="false">ExportRaw!$E442</f>
        <v/>
      </c>
      <c r="E442" s="145" t="str">
        <f aca="false">ExportRaw!$D442</f>
        <v/>
      </c>
      <c r="F442" s="144" t="str">
        <f aca="false">ExportRaw!$H442</f>
        <v/>
      </c>
      <c r="G442" s="146" t="str">
        <f aca="false">ExportRaw!$I442</f>
        <v/>
      </c>
      <c r="H442" s="144" t="str">
        <f aca="false">ExportRaw!$A442</f>
        <v/>
      </c>
      <c r="I442" s="144" t="str">
        <f aca="false">ExportRaw!$B442</f>
        <v/>
      </c>
    </row>
    <row r="443" customFormat="false" ht="15.75" hidden="false" customHeight="false" outlineLevel="0" collapsed="false">
      <c r="A443" s="144" t="n">
        <f aca="false">ExportRaw!$F443</f>
        <v>0</v>
      </c>
      <c r="B443" s="144" t="n">
        <f aca="false">ExportRaw!$C443</f>
        <v>0</v>
      </c>
      <c r="C443" s="144" t="n">
        <f aca="false">ExportRaw!$G443</f>
        <v>0</v>
      </c>
      <c r="D443" s="144" t="str">
        <f aca="false">ExportRaw!$E443</f>
        <v/>
      </c>
      <c r="E443" s="145" t="str">
        <f aca="false">ExportRaw!$D443</f>
        <v/>
      </c>
      <c r="F443" s="144" t="str">
        <f aca="false">ExportRaw!$H443</f>
        <v/>
      </c>
      <c r="G443" s="146" t="str">
        <f aca="false">ExportRaw!$I443</f>
        <v/>
      </c>
      <c r="H443" s="144" t="str">
        <f aca="false">ExportRaw!$A443</f>
        <v/>
      </c>
      <c r="I443" s="144" t="str">
        <f aca="false">ExportRaw!$B443</f>
        <v/>
      </c>
    </row>
    <row r="444" customFormat="false" ht="15.75" hidden="false" customHeight="false" outlineLevel="0" collapsed="false">
      <c r="A444" s="144" t="n">
        <f aca="false">ExportRaw!$F444</f>
        <v>0</v>
      </c>
      <c r="B444" s="144" t="n">
        <f aca="false">ExportRaw!$C444</f>
        <v>0</v>
      </c>
      <c r="C444" s="144" t="n">
        <f aca="false">ExportRaw!$G444</f>
        <v>0</v>
      </c>
      <c r="D444" s="144" t="str">
        <f aca="false">ExportRaw!$E444</f>
        <v/>
      </c>
      <c r="E444" s="145" t="str">
        <f aca="false">ExportRaw!$D444</f>
        <v/>
      </c>
      <c r="F444" s="144" t="str">
        <f aca="false">ExportRaw!$H444</f>
        <v/>
      </c>
      <c r="G444" s="146" t="str">
        <f aca="false">ExportRaw!$I444</f>
        <v/>
      </c>
      <c r="H444" s="144" t="str">
        <f aca="false">ExportRaw!$A444</f>
        <v/>
      </c>
      <c r="I444" s="144" t="str">
        <f aca="false">ExportRaw!$B444</f>
        <v/>
      </c>
    </row>
    <row r="445" customFormat="false" ht="15.75" hidden="false" customHeight="false" outlineLevel="0" collapsed="false">
      <c r="A445" s="144" t="n">
        <f aca="false">ExportRaw!$F445</f>
        <v>0</v>
      </c>
      <c r="B445" s="144" t="n">
        <f aca="false">ExportRaw!$C445</f>
        <v>0</v>
      </c>
      <c r="C445" s="144" t="n">
        <f aca="false">ExportRaw!$G445</f>
        <v>0</v>
      </c>
      <c r="D445" s="144" t="str">
        <f aca="false">ExportRaw!$E445</f>
        <v/>
      </c>
      <c r="E445" s="145" t="str">
        <f aca="false">ExportRaw!$D445</f>
        <v/>
      </c>
      <c r="F445" s="144" t="str">
        <f aca="false">ExportRaw!$H445</f>
        <v/>
      </c>
      <c r="G445" s="146" t="str">
        <f aca="false">ExportRaw!$I445</f>
        <v/>
      </c>
      <c r="H445" s="144" t="str">
        <f aca="false">ExportRaw!$A445</f>
        <v/>
      </c>
      <c r="I445" s="144" t="str">
        <f aca="false">ExportRaw!$B445</f>
        <v/>
      </c>
    </row>
    <row r="446" customFormat="false" ht="15.75" hidden="false" customHeight="false" outlineLevel="0" collapsed="false">
      <c r="A446" s="144" t="n">
        <f aca="false">ExportRaw!$F446</f>
        <v>0</v>
      </c>
      <c r="B446" s="144" t="n">
        <f aca="false">ExportRaw!$C446</f>
        <v>0</v>
      </c>
      <c r="C446" s="144" t="n">
        <f aca="false">ExportRaw!$G446</f>
        <v>0</v>
      </c>
      <c r="D446" s="144" t="str">
        <f aca="false">ExportRaw!$E446</f>
        <v/>
      </c>
      <c r="E446" s="145" t="str">
        <f aca="false">ExportRaw!$D446</f>
        <v/>
      </c>
      <c r="F446" s="144" t="str">
        <f aca="false">ExportRaw!$H446</f>
        <v/>
      </c>
      <c r="G446" s="146" t="str">
        <f aca="false">ExportRaw!$I446</f>
        <v/>
      </c>
      <c r="H446" s="144" t="str">
        <f aca="false">ExportRaw!$A446</f>
        <v/>
      </c>
      <c r="I446" s="144" t="str">
        <f aca="false">ExportRaw!$B446</f>
        <v/>
      </c>
    </row>
    <row r="447" customFormat="false" ht="15.75" hidden="false" customHeight="false" outlineLevel="0" collapsed="false">
      <c r="A447" s="144" t="n">
        <f aca="false">ExportRaw!$F447</f>
        <v>0</v>
      </c>
      <c r="B447" s="144" t="n">
        <f aca="false">ExportRaw!$C447</f>
        <v>0</v>
      </c>
      <c r="C447" s="144" t="n">
        <f aca="false">ExportRaw!$G447</f>
        <v>0</v>
      </c>
      <c r="D447" s="144" t="str">
        <f aca="false">ExportRaw!$E447</f>
        <v/>
      </c>
      <c r="E447" s="145" t="str">
        <f aca="false">ExportRaw!$D447</f>
        <v/>
      </c>
      <c r="F447" s="144" t="str">
        <f aca="false">ExportRaw!$H447</f>
        <v/>
      </c>
      <c r="G447" s="146" t="str">
        <f aca="false">ExportRaw!$I447</f>
        <v/>
      </c>
      <c r="H447" s="144" t="str">
        <f aca="false">ExportRaw!$A447</f>
        <v/>
      </c>
      <c r="I447" s="144" t="str">
        <f aca="false">ExportRaw!$B447</f>
        <v/>
      </c>
    </row>
    <row r="448" customFormat="false" ht="15.75" hidden="false" customHeight="false" outlineLevel="0" collapsed="false">
      <c r="A448" s="144" t="n">
        <f aca="false">ExportRaw!$F448</f>
        <v>0</v>
      </c>
      <c r="B448" s="144" t="n">
        <f aca="false">ExportRaw!$C448</f>
        <v>0</v>
      </c>
      <c r="C448" s="144" t="n">
        <f aca="false">ExportRaw!$G448</f>
        <v>0</v>
      </c>
      <c r="D448" s="144" t="str">
        <f aca="false">ExportRaw!$E448</f>
        <v/>
      </c>
      <c r="E448" s="145" t="str">
        <f aca="false">ExportRaw!$D448</f>
        <v/>
      </c>
      <c r="F448" s="144" t="str">
        <f aca="false">ExportRaw!$H448</f>
        <v/>
      </c>
      <c r="G448" s="146" t="str">
        <f aca="false">ExportRaw!$I448</f>
        <v/>
      </c>
      <c r="H448" s="144" t="str">
        <f aca="false">ExportRaw!$A448</f>
        <v/>
      </c>
      <c r="I448" s="144" t="str">
        <f aca="false">ExportRaw!$B448</f>
        <v/>
      </c>
    </row>
    <row r="449" customFormat="false" ht="15.75" hidden="false" customHeight="false" outlineLevel="0" collapsed="false">
      <c r="A449" s="144" t="n">
        <f aca="false">ExportRaw!$F449</f>
        <v>0</v>
      </c>
      <c r="B449" s="144" t="n">
        <f aca="false">ExportRaw!$C449</f>
        <v>0</v>
      </c>
      <c r="C449" s="144" t="n">
        <f aca="false">ExportRaw!$G449</f>
        <v>0</v>
      </c>
      <c r="D449" s="144" t="str">
        <f aca="false">ExportRaw!$E449</f>
        <v/>
      </c>
      <c r="E449" s="145" t="str">
        <f aca="false">ExportRaw!$D449</f>
        <v/>
      </c>
      <c r="F449" s="144" t="str">
        <f aca="false">ExportRaw!$H449</f>
        <v/>
      </c>
      <c r="G449" s="146" t="str">
        <f aca="false">ExportRaw!$I449</f>
        <v/>
      </c>
      <c r="H449" s="144" t="str">
        <f aca="false">ExportRaw!$A449</f>
        <v/>
      </c>
      <c r="I449" s="144" t="str">
        <f aca="false">ExportRaw!$B449</f>
        <v/>
      </c>
    </row>
    <row r="450" customFormat="false" ht="15.75" hidden="false" customHeight="false" outlineLevel="0" collapsed="false">
      <c r="A450" s="144" t="n">
        <f aca="false">ExportRaw!$F450</f>
        <v>0</v>
      </c>
      <c r="B450" s="144" t="n">
        <f aca="false">ExportRaw!$C450</f>
        <v>0</v>
      </c>
      <c r="C450" s="144" t="n">
        <f aca="false">ExportRaw!$G450</f>
        <v>0</v>
      </c>
      <c r="D450" s="144" t="str">
        <f aca="false">ExportRaw!$E450</f>
        <v/>
      </c>
      <c r="E450" s="145" t="str">
        <f aca="false">ExportRaw!$D450</f>
        <v/>
      </c>
      <c r="F450" s="144" t="str">
        <f aca="false">ExportRaw!$H450</f>
        <v/>
      </c>
      <c r="G450" s="146" t="str">
        <f aca="false">ExportRaw!$I450</f>
        <v/>
      </c>
      <c r="H450" s="144" t="str">
        <f aca="false">ExportRaw!$A450</f>
        <v/>
      </c>
      <c r="I450" s="144" t="str">
        <f aca="false">ExportRaw!$B450</f>
        <v/>
      </c>
    </row>
    <row r="451" customFormat="false" ht="15.75" hidden="false" customHeight="false" outlineLevel="0" collapsed="false">
      <c r="A451" s="144" t="n">
        <f aca="false">ExportRaw!$F451</f>
        <v>0</v>
      </c>
      <c r="B451" s="144" t="n">
        <f aca="false">ExportRaw!$C451</f>
        <v>0</v>
      </c>
      <c r="C451" s="144" t="n">
        <f aca="false">ExportRaw!$G451</f>
        <v>0</v>
      </c>
      <c r="D451" s="144" t="str">
        <f aca="false">ExportRaw!$E451</f>
        <v/>
      </c>
      <c r="E451" s="145" t="str">
        <f aca="false">ExportRaw!$D451</f>
        <v/>
      </c>
      <c r="F451" s="144" t="str">
        <f aca="false">ExportRaw!$H451</f>
        <v/>
      </c>
      <c r="G451" s="146" t="str">
        <f aca="false">ExportRaw!$I451</f>
        <v/>
      </c>
      <c r="H451" s="144" t="str">
        <f aca="false">ExportRaw!$A451</f>
        <v/>
      </c>
      <c r="I451" s="144" t="str">
        <f aca="false">ExportRaw!$B451</f>
        <v/>
      </c>
    </row>
    <row r="452" customFormat="false" ht="15.75" hidden="false" customHeight="false" outlineLevel="0" collapsed="false">
      <c r="A452" s="144" t="n">
        <f aca="false">ExportRaw!$F452</f>
        <v>0</v>
      </c>
      <c r="B452" s="144" t="n">
        <f aca="false">ExportRaw!$C452</f>
        <v>0</v>
      </c>
      <c r="C452" s="144" t="n">
        <f aca="false">ExportRaw!$G452</f>
        <v>0</v>
      </c>
      <c r="D452" s="144" t="str">
        <f aca="false">ExportRaw!$E452</f>
        <v/>
      </c>
      <c r="E452" s="145" t="str">
        <f aca="false">ExportRaw!$D452</f>
        <v/>
      </c>
      <c r="F452" s="144" t="str">
        <f aca="false">ExportRaw!$H452</f>
        <v/>
      </c>
      <c r="G452" s="146" t="str">
        <f aca="false">ExportRaw!$I452</f>
        <v/>
      </c>
      <c r="H452" s="144" t="str">
        <f aca="false">ExportRaw!$A452</f>
        <v/>
      </c>
      <c r="I452" s="144" t="str">
        <f aca="false">ExportRaw!$B452</f>
        <v/>
      </c>
    </row>
    <row r="453" customFormat="false" ht="15.75" hidden="false" customHeight="false" outlineLevel="0" collapsed="false">
      <c r="A453" s="144" t="n">
        <f aca="false">ExportRaw!$F453</f>
        <v>0</v>
      </c>
      <c r="B453" s="144" t="n">
        <f aca="false">ExportRaw!$C453</f>
        <v>0</v>
      </c>
      <c r="C453" s="144" t="n">
        <f aca="false">ExportRaw!$G453</f>
        <v>0</v>
      </c>
      <c r="D453" s="144" t="str">
        <f aca="false">ExportRaw!$E453</f>
        <v/>
      </c>
      <c r="E453" s="145" t="str">
        <f aca="false">ExportRaw!$D453</f>
        <v/>
      </c>
      <c r="F453" s="144" t="str">
        <f aca="false">ExportRaw!$H453</f>
        <v/>
      </c>
      <c r="G453" s="146" t="str">
        <f aca="false">ExportRaw!$I453</f>
        <v/>
      </c>
      <c r="H453" s="144" t="str">
        <f aca="false">ExportRaw!$A453</f>
        <v/>
      </c>
      <c r="I453" s="144" t="str">
        <f aca="false">ExportRaw!$B453</f>
        <v/>
      </c>
    </row>
    <row r="454" customFormat="false" ht="15.75" hidden="false" customHeight="false" outlineLevel="0" collapsed="false">
      <c r="A454" s="144" t="n">
        <f aca="false">ExportRaw!$F454</f>
        <v>0</v>
      </c>
      <c r="B454" s="144" t="n">
        <f aca="false">ExportRaw!$C454</f>
        <v>0</v>
      </c>
      <c r="C454" s="144" t="n">
        <f aca="false">ExportRaw!$G454</f>
        <v>0</v>
      </c>
      <c r="D454" s="144" t="str">
        <f aca="false">ExportRaw!$E454</f>
        <v/>
      </c>
      <c r="E454" s="145" t="str">
        <f aca="false">ExportRaw!$D454</f>
        <v/>
      </c>
      <c r="F454" s="144" t="str">
        <f aca="false">ExportRaw!$H454</f>
        <v/>
      </c>
      <c r="G454" s="146" t="str">
        <f aca="false">ExportRaw!$I454</f>
        <v/>
      </c>
      <c r="H454" s="144" t="str">
        <f aca="false">ExportRaw!$A454</f>
        <v/>
      </c>
      <c r="I454" s="144" t="str">
        <f aca="false">ExportRaw!$B454</f>
        <v/>
      </c>
    </row>
    <row r="455" customFormat="false" ht="15.75" hidden="false" customHeight="false" outlineLevel="0" collapsed="false">
      <c r="A455" s="144" t="n">
        <f aca="false">ExportRaw!$F455</f>
        <v>0</v>
      </c>
      <c r="B455" s="144" t="n">
        <f aca="false">ExportRaw!$C455</f>
        <v>0</v>
      </c>
      <c r="C455" s="144" t="n">
        <f aca="false">ExportRaw!$G455</f>
        <v>0</v>
      </c>
      <c r="D455" s="144" t="str">
        <f aca="false">ExportRaw!$E455</f>
        <v/>
      </c>
      <c r="E455" s="145" t="str">
        <f aca="false">ExportRaw!$D455</f>
        <v/>
      </c>
      <c r="F455" s="144" t="str">
        <f aca="false">ExportRaw!$H455</f>
        <v/>
      </c>
      <c r="G455" s="146" t="str">
        <f aca="false">ExportRaw!$I455</f>
        <v/>
      </c>
      <c r="H455" s="144" t="str">
        <f aca="false">ExportRaw!$A455</f>
        <v/>
      </c>
      <c r="I455" s="144" t="str">
        <f aca="false">ExportRaw!$B455</f>
        <v/>
      </c>
    </row>
    <row r="456" customFormat="false" ht="15.75" hidden="false" customHeight="false" outlineLevel="0" collapsed="false">
      <c r="A456" s="144" t="n">
        <f aca="false">ExportRaw!$F456</f>
        <v>0</v>
      </c>
      <c r="B456" s="144" t="n">
        <f aca="false">ExportRaw!$C456</f>
        <v>0</v>
      </c>
      <c r="C456" s="144" t="n">
        <f aca="false">ExportRaw!$G456</f>
        <v>0</v>
      </c>
      <c r="D456" s="144" t="str">
        <f aca="false">ExportRaw!$E456</f>
        <v/>
      </c>
      <c r="E456" s="145" t="str">
        <f aca="false">ExportRaw!$D456</f>
        <v/>
      </c>
      <c r="F456" s="144" t="str">
        <f aca="false">ExportRaw!$H456</f>
        <v/>
      </c>
      <c r="G456" s="146" t="str">
        <f aca="false">ExportRaw!$I456</f>
        <v/>
      </c>
      <c r="H456" s="144" t="str">
        <f aca="false">ExportRaw!$A456</f>
        <v/>
      </c>
      <c r="I456" s="144" t="str">
        <f aca="false">ExportRaw!$B456</f>
        <v/>
      </c>
    </row>
    <row r="457" customFormat="false" ht="15.75" hidden="false" customHeight="false" outlineLevel="0" collapsed="false">
      <c r="A457" s="144" t="n">
        <f aca="false">ExportRaw!$F457</f>
        <v>0</v>
      </c>
      <c r="B457" s="144" t="n">
        <f aca="false">ExportRaw!$C457</f>
        <v>0</v>
      </c>
      <c r="C457" s="144" t="n">
        <f aca="false">ExportRaw!$G457</f>
        <v>0</v>
      </c>
      <c r="D457" s="144" t="str">
        <f aca="false">ExportRaw!$E457</f>
        <v/>
      </c>
      <c r="E457" s="145" t="str">
        <f aca="false">ExportRaw!$D457</f>
        <v/>
      </c>
      <c r="F457" s="144" t="str">
        <f aca="false">ExportRaw!$H457</f>
        <v/>
      </c>
      <c r="G457" s="146" t="str">
        <f aca="false">ExportRaw!$I457</f>
        <v/>
      </c>
      <c r="H457" s="144" t="str">
        <f aca="false">ExportRaw!$A457</f>
        <v/>
      </c>
      <c r="I457" s="144" t="str">
        <f aca="false">ExportRaw!$B457</f>
        <v/>
      </c>
    </row>
    <row r="458" customFormat="false" ht="15.75" hidden="false" customHeight="false" outlineLevel="0" collapsed="false">
      <c r="A458" s="144" t="n">
        <f aca="false">ExportRaw!$F458</f>
        <v>0</v>
      </c>
      <c r="B458" s="144" t="n">
        <f aca="false">ExportRaw!$C458</f>
        <v>0</v>
      </c>
      <c r="C458" s="144" t="n">
        <f aca="false">ExportRaw!$G458</f>
        <v>0</v>
      </c>
      <c r="D458" s="144" t="str">
        <f aca="false">ExportRaw!$E458</f>
        <v/>
      </c>
      <c r="E458" s="145" t="str">
        <f aca="false">ExportRaw!$D458</f>
        <v/>
      </c>
      <c r="F458" s="144" t="str">
        <f aca="false">ExportRaw!$H458</f>
        <v/>
      </c>
      <c r="G458" s="146" t="str">
        <f aca="false">ExportRaw!$I458</f>
        <v/>
      </c>
      <c r="H458" s="144" t="str">
        <f aca="false">ExportRaw!$A458</f>
        <v/>
      </c>
      <c r="I458" s="144" t="str">
        <f aca="false">ExportRaw!$B458</f>
        <v/>
      </c>
    </row>
    <row r="459" customFormat="false" ht="15.75" hidden="false" customHeight="false" outlineLevel="0" collapsed="false">
      <c r="A459" s="144" t="n">
        <f aca="false">ExportRaw!$F459</f>
        <v>0</v>
      </c>
      <c r="B459" s="144" t="n">
        <f aca="false">ExportRaw!$C459</f>
        <v>0</v>
      </c>
      <c r="C459" s="144" t="n">
        <f aca="false">ExportRaw!$G459</f>
        <v>0</v>
      </c>
      <c r="D459" s="144" t="str">
        <f aca="false">ExportRaw!$E459</f>
        <v/>
      </c>
      <c r="E459" s="145" t="str">
        <f aca="false">ExportRaw!$D459</f>
        <v/>
      </c>
      <c r="F459" s="144" t="str">
        <f aca="false">ExportRaw!$H459</f>
        <v/>
      </c>
      <c r="G459" s="146" t="str">
        <f aca="false">ExportRaw!$I459</f>
        <v/>
      </c>
      <c r="H459" s="144" t="str">
        <f aca="false">ExportRaw!$A459</f>
        <v/>
      </c>
      <c r="I459" s="144" t="str">
        <f aca="false">ExportRaw!$B459</f>
        <v/>
      </c>
    </row>
    <row r="460" customFormat="false" ht="15.75" hidden="false" customHeight="false" outlineLevel="0" collapsed="false">
      <c r="A460" s="144" t="n">
        <f aca="false">ExportRaw!$F460</f>
        <v>0</v>
      </c>
      <c r="B460" s="144" t="n">
        <f aca="false">ExportRaw!$C460</f>
        <v>0</v>
      </c>
      <c r="C460" s="144" t="n">
        <f aca="false">ExportRaw!$G460</f>
        <v>0</v>
      </c>
      <c r="D460" s="144" t="str">
        <f aca="false">ExportRaw!$E460</f>
        <v/>
      </c>
      <c r="E460" s="145" t="str">
        <f aca="false">ExportRaw!$D460</f>
        <v/>
      </c>
      <c r="F460" s="144" t="str">
        <f aca="false">ExportRaw!$H460</f>
        <v/>
      </c>
      <c r="G460" s="146" t="str">
        <f aca="false">ExportRaw!$I460</f>
        <v/>
      </c>
      <c r="H460" s="144" t="str">
        <f aca="false">ExportRaw!$A460</f>
        <v/>
      </c>
      <c r="I460" s="144" t="str">
        <f aca="false">ExportRaw!$B460</f>
        <v/>
      </c>
    </row>
    <row r="461" customFormat="false" ht="15.75" hidden="false" customHeight="false" outlineLevel="0" collapsed="false">
      <c r="A461" s="144" t="n">
        <f aca="false">ExportRaw!$F461</f>
        <v>0</v>
      </c>
      <c r="B461" s="144" t="n">
        <f aca="false">ExportRaw!$C461</f>
        <v>0</v>
      </c>
      <c r="C461" s="144" t="n">
        <f aca="false">ExportRaw!$G461</f>
        <v>0</v>
      </c>
      <c r="D461" s="144" t="str">
        <f aca="false">ExportRaw!$E461</f>
        <v/>
      </c>
      <c r="E461" s="145" t="str">
        <f aca="false">ExportRaw!$D461</f>
        <v/>
      </c>
      <c r="F461" s="144" t="str">
        <f aca="false">ExportRaw!$H461</f>
        <v/>
      </c>
      <c r="G461" s="146" t="str">
        <f aca="false">ExportRaw!$I461</f>
        <v/>
      </c>
      <c r="H461" s="144" t="str">
        <f aca="false">ExportRaw!$A461</f>
        <v/>
      </c>
      <c r="I461" s="144" t="str">
        <f aca="false">ExportRaw!$B461</f>
        <v/>
      </c>
    </row>
    <row r="462" customFormat="false" ht="15.75" hidden="false" customHeight="false" outlineLevel="0" collapsed="false">
      <c r="A462" s="144" t="n">
        <f aca="false">ExportRaw!$F462</f>
        <v>0</v>
      </c>
      <c r="B462" s="144" t="n">
        <f aca="false">ExportRaw!$C462</f>
        <v>0</v>
      </c>
      <c r="C462" s="144" t="n">
        <f aca="false">ExportRaw!$G462</f>
        <v>0</v>
      </c>
      <c r="D462" s="144" t="str">
        <f aca="false">ExportRaw!$E462</f>
        <v/>
      </c>
      <c r="E462" s="145" t="str">
        <f aca="false">ExportRaw!$D462</f>
        <v/>
      </c>
      <c r="F462" s="144" t="str">
        <f aca="false">ExportRaw!$H462</f>
        <v/>
      </c>
      <c r="G462" s="146" t="str">
        <f aca="false">ExportRaw!$I462</f>
        <v/>
      </c>
      <c r="H462" s="144" t="str">
        <f aca="false">ExportRaw!$A462</f>
        <v/>
      </c>
      <c r="I462" s="144" t="str">
        <f aca="false">ExportRaw!$B462</f>
        <v/>
      </c>
    </row>
    <row r="463" customFormat="false" ht="15.75" hidden="false" customHeight="false" outlineLevel="0" collapsed="false">
      <c r="A463" s="144" t="n">
        <f aca="false">ExportRaw!$F463</f>
        <v>0</v>
      </c>
      <c r="B463" s="144" t="n">
        <f aca="false">ExportRaw!$C463</f>
        <v>0</v>
      </c>
      <c r="C463" s="144" t="n">
        <f aca="false">ExportRaw!$G463</f>
        <v>0</v>
      </c>
      <c r="D463" s="144" t="str">
        <f aca="false">ExportRaw!$E463</f>
        <v/>
      </c>
      <c r="E463" s="145" t="str">
        <f aca="false">ExportRaw!$D463</f>
        <v/>
      </c>
      <c r="F463" s="144" t="str">
        <f aca="false">ExportRaw!$H463</f>
        <v/>
      </c>
      <c r="G463" s="146" t="str">
        <f aca="false">ExportRaw!$I463</f>
        <v/>
      </c>
      <c r="H463" s="144" t="str">
        <f aca="false">ExportRaw!$A463</f>
        <v/>
      </c>
      <c r="I463" s="144" t="str">
        <f aca="false">ExportRaw!$B463</f>
        <v/>
      </c>
    </row>
    <row r="464" customFormat="false" ht="15.75" hidden="false" customHeight="false" outlineLevel="0" collapsed="false">
      <c r="A464" s="144" t="n">
        <f aca="false">ExportRaw!$F464</f>
        <v>0</v>
      </c>
      <c r="B464" s="144" t="n">
        <f aca="false">ExportRaw!$C464</f>
        <v>0</v>
      </c>
      <c r="C464" s="144" t="n">
        <f aca="false">ExportRaw!$G464</f>
        <v>0</v>
      </c>
      <c r="D464" s="144" t="str">
        <f aca="false">ExportRaw!$E464</f>
        <v/>
      </c>
      <c r="E464" s="145" t="str">
        <f aca="false">ExportRaw!$D464</f>
        <v/>
      </c>
      <c r="F464" s="144" t="str">
        <f aca="false">ExportRaw!$H464</f>
        <v/>
      </c>
      <c r="G464" s="146" t="str">
        <f aca="false">ExportRaw!$I464</f>
        <v/>
      </c>
      <c r="H464" s="144" t="str">
        <f aca="false">ExportRaw!$A464</f>
        <v/>
      </c>
      <c r="I464" s="144" t="str">
        <f aca="false">ExportRaw!$B464</f>
        <v/>
      </c>
    </row>
    <row r="465" customFormat="false" ht="15.75" hidden="false" customHeight="false" outlineLevel="0" collapsed="false">
      <c r="A465" s="144" t="n">
        <f aca="false">ExportRaw!$F465</f>
        <v>0</v>
      </c>
      <c r="B465" s="144" t="n">
        <f aca="false">ExportRaw!$C465</f>
        <v>0</v>
      </c>
      <c r="C465" s="144" t="n">
        <f aca="false">ExportRaw!$G465</f>
        <v>0</v>
      </c>
      <c r="D465" s="144" t="str">
        <f aca="false">ExportRaw!$E465</f>
        <v/>
      </c>
      <c r="E465" s="145" t="str">
        <f aca="false">ExportRaw!$D465</f>
        <v/>
      </c>
      <c r="F465" s="144" t="str">
        <f aca="false">ExportRaw!$H465</f>
        <v/>
      </c>
      <c r="G465" s="146" t="str">
        <f aca="false">ExportRaw!$I465</f>
        <v/>
      </c>
      <c r="H465" s="144" t="str">
        <f aca="false">ExportRaw!$A465</f>
        <v/>
      </c>
      <c r="I465" s="144" t="str">
        <f aca="false">ExportRaw!$B465</f>
        <v/>
      </c>
    </row>
    <row r="466" customFormat="false" ht="15.75" hidden="false" customHeight="false" outlineLevel="0" collapsed="false">
      <c r="A466" s="144" t="n">
        <f aca="false">ExportRaw!$F466</f>
        <v>0</v>
      </c>
      <c r="B466" s="144" t="n">
        <f aca="false">ExportRaw!$C466</f>
        <v>0</v>
      </c>
      <c r="C466" s="144" t="n">
        <f aca="false">ExportRaw!$G466</f>
        <v>0</v>
      </c>
      <c r="D466" s="144" t="str">
        <f aca="false">ExportRaw!$E466</f>
        <v/>
      </c>
      <c r="E466" s="145" t="str">
        <f aca="false">ExportRaw!$D466</f>
        <v/>
      </c>
      <c r="F466" s="144" t="str">
        <f aca="false">ExportRaw!$H466</f>
        <v/>
      </c>
      <c r="G466" s="146" t="str">
        <f aca="false">ExportRaw!$I466</f>
        <v/>
      </c>
      <c r="H466" s="144" t="str">
        <f aca="false">ExportRaw!$A466</f>
        <v/>
      </c>
      <c r="I466" s="144" t="str">
        <f aca="false">ExportRaw!$B466</f>
        <v/>
      </c>
    </row>
    <row r="467" customFormat="false" ht="15.75" hidden="false" customHeight="false" outlineLevel="0" collapsed="false">
      <c r="A467" s="144" t="n">
        <f aca="false">ExportRaw!$F467</f>
        <v>0</v>
      </c>
      <c r="B467" s="144" t="n">
        <f aca="false">ExportRaw!$C467</f>
        <v>0</v>
      </c>
      <c r="C467" s="144" t="n">
        <f aca="false">ExportRaw!$G467</f>
        <v>0</v>
      </c>
      <c r="D467" s="144" t="str">
        <f aca="false">ExportRaw!$E467</f>
        <v/>
      </c>
      <c r="E467" s="145" t="str">
        <f aca="false">ExportRaw!$D467</f>
        <v/>
      </c>
      <c r="F467" s="144" t="str">
        <f aca="false">ExportRaw!$H467</f>
        <v/>
      </c>
      <c r="G467" s="146" t="str">
        <f aca="false">ExportRaw!$I467</f>
        <v/>
      </c>
      <c r="H467" s="144" t="str">
        <f aca="false">ExportRaw!$A467</f>
        <v/>
      </c>
      <c r="I467" s="144" t="str">
        <f aca="false">ExportRaw!$B467</f>
        <v/>
      </c>
    </row>
    <row r="468" customFormat="false" ht="15.75" hidden="false" customHeight="false" outlineLevel="0" collapsed="false">
      <c r="A468" s="144" t="n">
        <f aca="false">ExportRaw!$F468</f>
        <v>0</v>
      </c>
      <c r="B468" s="144" t="n">
        <f aca="false">ExportRaw!$C468</f>
        <v>0</v>
      </c>
      <c r="C468" s="144" t="n">
        <f aca="false">ExportRaw!$G468</f>
        <v>0</v>
      </c>
      <c r="D468" s="144" t="str">
        <f aca="false">ExportRaw!$E468</f>
        <v/>
      </c>
      <c r="E468" s="145" t="str">
        <f aca="false">ExportRaw!$D468</f>
        <v/>
      </c>
      <c r="F468" s="144" t="str">
        <f aca="false">ExportRaw!$H468</f>
        <v/>
      </c>
      <c r="G468" s="146" t="str">
        <f aca="false">ExportRaw!$I468</f>
        <v/>
      </c>
      <c r="H468" s="144" t="str">
        <f aca="false">ExportRaw!$A468</f>
        <v/>
      </c>
      <c r="I468" s="144" t="str">
        <f aca="false">ExportRaw!$B468</f>
        <v/>
      </c>
    </row>
    <row r="469" customFormat="false" ht="15.75" hidden="false" customHeight="false" outlineLevel="0" collapsed="false">
      <c r="A469" s="144" t="n">
        <f aca="false">ExportRaw!$F469</f>
        <v>0</v>
      </c>
      <c r="B469" s="144" t="n">
        <f aca="false">ExportRaw!$C469</f>
        <v>0</v>
      </c>
      <c r="C469" s="144" t="n">
        <f aca="false">ExportRaw!$G469</f>
        <v>0</v>
      </c>
      <c r="D469" s="144" t="str">
        <f aca="false">ExportRaw!$E469</f>
        <v/>
      </c>
      <c r="E469" s="145" t="str">
        <f aca="false">ExportRaw!$D469</f>
        <v/>
      </c>
      <c r="F469" s="144" t="str">
        <f aca="false">ExportRaw!$H469</f>
        <v/>
      </c>
      <c r="G469" s="146" t="str">
        <f aca="false">ExportRaw!$I469</f>
        <v/>
      </c>
      <c r="H469" s="144" t="str">
        <f aca="false">ExportRaw!$A469</f>
        <v/>
      </c>
      <c r="I469" s="144" t="str">
        <f aca="false">ExportRaw!$B469</f>
        <v/>
      </c>
    </row>
    <row r="470" customFormat="false" ht="15.75" hidden="false" customHeight="false" outlineLevel="0" collapsed="false">
      <c r="A470" s="144" t="n">
        <f aca="false">ExportRaw!$F470</f>
        <v>0</v>
      </c>
      <c r="B470" s="144" t="n">
        <f aca="false">ExportRaw!$C470</f>
        <v>0</v>
      </c>
      <c r="C470" s="144" t="n">
        <f aca="false">ExportRaw!$G470</f>
        <v>0</v>
      </c>
      <c r="D470" s="144" t="str">
        <f aca="false">ExportRaw!$E470</f>
        <v/>
      </c>
      <c r="E470" s="145" t="str">
        <f aca="false">ExportRaw!$D470</f>
        <v/>
      </c>
      <c r="F470" s="144" t="str">
        <f aca="false">ExportRaw!$H470</f>
        <v/>
      </c>
      <c r="G470" s="146" t="str">
        <f aca="false">ExportRaw!$I470</f>
        <v/>
      </c>
      <c r="H470" s="144" t="str">
        <f aca="false">ExportRaw!$A470</f>
        <v/>
      </c>
      <c r="I470" s="144" t="str">
        <f aca="false">ExportRaw!$B470</f>
        <v/>
      </c>
    </row>
    <row r="471" customFormat="false" ht="15.75" hidden="false" customHeight="false" outlineLevel="0" collapsed="false">
      <c r="A471" s="144" t="n">
        <f aca="false">ExportRaw!$F471</f>
        <v>0</v>
      </c>
      <c r="B471" s="144" t="n">
        <f aca="false">ExportRaw!$C471</f>
        <v>0</v>
      </c>
      <c r="C471" s="144" t="n">
        <f aca="false">ExportRaw!$G471</f>
        <v>0</v>
      </c>
      <c r="D471" s="144" t="str">
        <f aca="false">ExportRaw!$E471</f>
        <v/>
      </c>
      <c r="E471" s="145" t="str">
        <f aca="false">ExportRaw!$D471</f>
        <v/>
      </c>
      <c r="F471" s="144" t="str">
        <f aca="false">ExportRaw!$H471</f>
        <v/>
      </c>
      <c r="G471" s="146" t="str">
        <f aca="false">ExportRaw!$I471</f>
        <v/>
      </c>
      <c r="H471" s="144" t="str">
        <f aca="false">ExportRaw!$A471</f>
        <v/>
      </c>
      <c r="I471" s="144" t="str">
        <f aca="false">ExportRaw!$B471</f>
        <v/>
      </c>
    </row>
    <row r="472" customFormat="false" ht="15.75" hidden="false" customHeight="false" outlineLevel="0" collapsed="false">
      <c r="A472" s="144" t="n">
        <f aca="false">ExportRaw!$F472</f>
        <v>0</v>
      </c>
      <c r="B472" s="144" t="n">
        <f aca="false">ExportRaw!$C472</f>
        <v>0</v>
      </c>
      <c r="C472" s="144" t="n">
        <f aca="false">ExportRaw!$G472</f>
        <v>0</v>
      </c>
      <c r="D472" s="144" t="str">
        <f aca="false">ExportRaw!$E472</f>
        <v/>
      </c>
      <c r="E472" s="145" t="str">
        <f aca="false">ExportRaw!$D472</f>
        <v/>
      </c>
      <c r="F472" s="144" t="str">
        <f aca="false">ExportRaw!$H472</f>
        <v/>
      </c>
      <c r="G472" s="146" t="str">
        <f aca="false">ExportRaw!$I472</f>
        <v/>
      </c>
      <c r="H472" s="144" t="str">
        <f aca="false">ExportRaw!$A472</f>
        <v/>
      </c>
      <c r="I472" s="144" t="str">
        <f aca="false">ExportRaw!$B472</f>
        <v/>
      </c>
    </row>
    <row r="473" customFormat="false" ht="15.75" hidden="false" customHeight="false" outlineLevel="0" collapsed="false">
      <c r="A473" s="144" t="n">
        <f aca="false">ExportRaw!$F473</f>
        <v>0</v>
      </c>
      <c r="B473" s="144" t="n">
        <f aca="false">ExportRaw!$C473</f>
        <v>0</v>
      </c>
      <c r="C473" s="144" t="n">
        <f aca="false">ExportRaw!$G473</f>
        <v>0</v>
      </c>
      <c r="D473" s="144" t="str">
        <f aca="false">ExportRaw!$E473</f>
        <v/>
      </c>
      <c r="E473" s="145" t="str">
        <f aca="false">ExportRaw!$D473</f>
        <v/>
      </c>
      <c r="F473" s="144" t="str">
        <f aca="false">ExportRaw!$H473</f>
        <v/>
      </c>
      <c r="G473" s="146" t="str">
        <f aca="false">ExportRaw!$I473</f>
        <v/>
      </c>
      <c r="H473" s="144" t="str">
        <f aca="false">ExportRaw!$A473</f>
        <v/>
      </c>
      <c r="I473" s="144" t="str">
        <f aca="false">ExportRaw!$B473</f>
        <v/>
      </c>
    </row>
    <row r="474" customFormat="false" ht="15.75" hidden="false" customHeight="false" outlineLevel="0" collapsed="false">
      <c r="A474" s="144" t="n">
        <f aca="false">ExportRaw!$F474</f>
        <v>0</v>
      </c>
      <c r="B474" s="144" t="n">
        <f aca="false">ExportRaw!$C474</f>
        <v>0</v>
      </c>
      <c r="C474" s="144" t="n">
        <f aca="false">ExportRaw!$G474</f>
        <v>0</v>
      </c>
      <c r="D474" s="144" t="str">
        <f aca="false">ExportRaw!$E474</f>
        <v/>
      </c>
      <c r="E474" s="145" t="str">
        <f aca="false">ExportRaw!$D474</f>
        <v/>
      </c>
      <c r="F474" s="144" t="str">
        <f aca="false">ExportRaw!$H474</f>
        <v/>
      </c>
      <c r="G474" s="146" t="str">
        <f aca="false">ExportRaw!$I474</f>
        <v/>
      </c>
      <c r="H474" s="144" t="str">
        <f aca="false">ExportRaw!$A474</f>
        <v/>
      </c>
      <c r="I474" s="144" t="str">
        <f aca="false">ExportRaw!$B474</f>
        <v/>
      </c>
    </row>
    <row r="475" customFormat="false" ht="15.75" hidden="false" customHeight="false" outlineLevel="0" collapsed="false">
      <c r="A475" s="144" t="n">
        <f aca="false">ExportRaw!$F475</f>
        <v>0</v>
      </c>
      <c r="B475" s="144" t="n">
        <f aca="false">ExportRaw!$C475</f>
        <v>0</v>
      </c>
      <c r="C475" s="144" t="n">
        <f aca="false">ExportRaw!$G475</f>
        <v>0</v>
      </c>
      <c r="D475" s="144" t="str">
        <f aca="false">ExportRaw!$E475</f>
        <v/>
      </c>
      <c r="E475" s="145" t="str">
        <f aca="false">ExportRaw!$D475</f>
        <v/>
      </c>
      <c r="F475" s="144" t="str">
        <f aca="false">ExportRaw!$H475</f>
        <v/>
      </c>
      <c r="G475" s="146" t="str">
        <f aca="false">ExportRaw!$I475</f>
        <v/>
      </c>
      <c r="H475" s="144" t="str">
        <f aca="false">ExportRaw!$A475</f>
        <v/>
      </c>
      <c r="I475" s="144" t="str">
        <f aca="false">ExportRaw!$B475</f>
        <v/>
      </c>
    </row>
    <row r="476" customFormat="false" ht="15.75" hidden="false" customHeight="false" outlineLevel="0" collapsed="false">
      <c r="A476" s="144" t="n">
        <f aca="false">ExportRaw!$F476</f>
        <v>0</v>
      </c>
      <c r="B476" s="144" t="n">
        <f aca="false">ExportRaw!$C476</f>
        <v>0</v>
      </c>
      <c r="C476" s="144" t="n">
        <f aca="false">ExportRaw!$G476</f>
        <v>0</v>
      </c>
      <c r="D476" s="144" t="str">
        <f aca="false">ExportRaw!$E476</f>
        <v/>
      </c>
      <c r="E476" s="145" t="str">
        <f aca="false">ExportRaw!$D476</f>
        <v/>
      </c>
      <c r="F476" s="144" t="str">
        <f aca="false">ExportRaw!$H476</f>
        <v/>
      </c>
      <c r="G476" s="146" t="str">
        <f aca="false">ExportRaw!$I476</f>
        <v/>
      </c>
      <c r="H476" s="144" t="str">
        <f aca="false">ExportRaw!$A476</f>
        <v/>
      </c>
      <c r="I476" s="144" t="str">
        <f aca="false">ExportRaw!$B476</f>
        <v/>
      </c>
    </row>
    <row r="477" customFormat="false" ht="15.75" hidden="false" customHeight="false" outlineLevel="0" collapsed="false">
      <c r="A477" s="144" t="n">
        <f aca="false">ExportRaw!$F477</f>
        <v>0</v>
      </c>
      <c r="B477" s="144" t="n">
        <f aca="false">ExportRaw!$C477</f>
        <v>0</v>
      </c>
      <c r="C477" s="144" t="n">
        <f aca="false">ExportRaw!$G477</f>
        <v>0</v>
      </c>
      <c r="D477" s="144" t="str">
        <f aca="false">ExportRaw!$E477</f>
        <v/>
      </c>
      <c r="E477" s="145" t="str">
        <f aca="false">ExportRaw!$D477</f>
        <v/>
      </c>
      <c r="F477" s="144" t="str">
        <f aca="false">ExportRaw!$H477</f>
        <v/>
      </c>
      <c r="G477" s="146" t="str">
        <f aca="false">ExportRaw!$I477</f>
        <v/>
      </c>
      <c r="H477" s="144" t="str">
        <f aca="false">ExportRaw!$A477</f>
        <v/>
      </c>
      <c r="I477" s="144" t="str">
        <f aca="false">ExportRaw!$B477</f>
        <v/>
      </c>
    </row>
    <row r="478" customFormat="false" ht="15.75" hidden="false" customHeight="false" outlineLevel="0" collapsed="false">
      <c r="A478" s="144" t="n">
        <f aca="false">ExportRaw!$F478</f>
        <v>0</v>
      </c>
      <c r="B478" s="144" t="n">
        <f aca="false">ExportRaw!$C478</f>
        <v>0</v>
      </c>
      <c r="C478" s="144" t="n">
        <f aca="false">ExportRaw!$G478</f>
        <v>0</v>
      </c>
      <c r="D478" s="144" t="str">
        <f aca="false">ExportRaw!$E478</f>
        <v/>
      </c>
      <c r="E478" s="145" t="str">
        <f aca="false">ExportRaw!$D478</f>
        <v/>
      </c>
      <c r="F478" s="144" t="str">
        <f aca="false">ExportRaw!$H478</f>
        <v/>
      </c>
      <c r="G478" s="146" t="str">
        <f aca="false">ExportRaw!$I478</f>
        <v/>
      </c>
      <c r="H478" s="144" t="str">
        <f aca="false">ExportRaw!$A478</f>
        <v/>
      </c>
      <c r="I478" s="144" t="str">
        <f aca="false">ExportRaw!$B478</f>
        <v/>
      </c>
    </row>
    <row r="479" customFormat="false" ht="15.75" hidden="false" customHeight="false" outlineLevel="0" collapsed="false">
      <c r="A479" s="144" t="n">
        <f aca="false">ExportRaw!$F479</f>
        <v>0</v>
      </c>
      <c r="B479" s="144" t="n">
        <f aca="false">ExportRaw!$C479</f>
        <v>0</v>
      </c>
      <c r="C479" s="144" t="n">
        <f aca="false">ExportRaw!$G479</f>
        <v>0</v>
      </c>
      <c r="D479" s="144" t="str">
        <f aca="false">ExportRaw!$E479</f>
        <v/>
      </c>
      <c r="E479" s="145" t="str">
        <f aca="false">ExportRaw!$D479</f>
        <v/>
      </c>
      <c r="F479" s="144" t="str">
        <f aca="false">ExportRaw!$H479</f>
        <v/>
      </c>
      <c r="G479" s="146" t="str">
        <f aca="false">ExportRaw!$I479</f>
        <v/>
      </c>
      <c r="H479" s="144" t="str">
        <f aca="false">ExportRaw!$A479</f>
        <v/>
      </c>
      <c r="I479" s="144" t="str">
        <f aca="false">ExportRaw!$B479</f>
        <v/>
      </c>
    </row>
    <row r="480" customFormat="false" ht="15.75" hidden="false" customHeight="false" outlineLevel="0" collapsed="false">
      <c r="A480" s="144" t="n">
        <f aca="false">ExportRaw!$F480</f>
        <v>0</v>
      </c>
      <c r="B480" s="144" t="n">
        <f aca="false">ExportRaw!$C480</f>
        <v>0</v>
      </c>
      <c r="C480" s="144" t="n">
        <f aca="false">ExportRaw!$G480</f>
        <v>0</v>
      </c>
      <c r="D480" s="144" t="str">
        <f aca="false">ExportRaw!$E480</f>
        <v/>
      </c>
      <c r="E480" s="145" t="str">
        <f aca="false">ExportRaw!$D480</f>
        <v/>
      </c>
      <c r="F480" s="144" t="str">
        <f aca="false">ExportRaw!$H480</f>
        <v/>
      </c>
      <c r="G480" s="146" t="str">
        <f aca="false">ExportRaw!$I480</f>
        <v/>
      </c>
      <c r="H480" s="144" t="str">
        <f aca="false">ExportRaw!$A480</f>
        <v/>
      </c>
      <c r="I480" s="144" t="str">
        <f aca="false">ExportRaw!$B480</f>
        <v/>
      </c>
    </row>
    <row r="481" customFormat="false" ht="15.75" hidden="false" customHeight="false" outlineLevel="0" collapsed="false">
      <c r="A481" s="144" t="n">
        <f aca="false">ExportRaw!$F481</f>
        <v>0</v>
      </c>
      <c r="B481" s="144" t="n">
        <f aca="false">ExportRaw!$C481</f>
        <v>0</v>
      </c>
      <c r="C481" s="144" t="n">
        <f aca="false">ExportRaw!$G481</f>
        <v>0</v>
      </c>
      <c r="D481" s="144" t="str">
        <f aca="false">ExportRaw!$E481</f>
        <v/>
      </c>
      <c r="E481" s="145" t="str">
        <f aca="false">ExportRaw!$D481</f>
        <v/>
      </c>
      <c r="F481" s="144" t="str">
        <f aca="false">ExportRaw!$H481</f>
        <v/>
      </c>
      <c r="G481" s="146" t="str">
        <f aca="false">ExportRaw!$I481</f>
        <v/>
      </c>
      <c r="H481" s="144" t="str">
        <f aca="false">ExportRaw!$A481</f>
        <v/>
      </c>
      <c r="I481" s="144" t="str">
        <f aca="false">ExportRaw!$B481</f>
        <v/>
      </c>
    </row>
    <row r="482" customFormat="false" ht="15.75" hidden="false" customHeight="false" outlineLevel="0" collapsed="false">
      <c r="A482" s="144" t="n">
        <f aca="false">ExportRaw!$F482</f>
        <v>0</v>
      </c>
      <c r="B482" s="144" t="n">
        <f aca="false">ExportRaw!$C482</f>
        <v>0</v>
      </c>
      <c r="C482" s="144" t="n">
        <f aca="false">ExportRaw!$G482</f>
        <v>0</v>
      </c>
      <c r="D482" s="144" t="str">
        <f aca="false">ExportRaw!$E482</f>
        <v/>
      </c>
      <c r="E482" s="145" t="str">
        <f aca="false">ExportRaw!$D482</f>
        <v/>
      </c>
      <c r="F482" s="144" t="str">
        <f aca="false">ExportRaw!$H482</f>
        <v/>
      </c>
      <c r="G482" s="146" t="str">
        <f aca="false">ExportRaw!$I482</f>
        <v/>
      </c>
      <c r="H482" s="144" t="str">
        <f aca="false">ExportRaw!$A482</f>
        <v/>
      </c>
      <c r="I482" s="144" t="str">
        <f aca="false">ExportRaw!$B482</f>
        <v/>
      </c>
    </row>
    <row r="483" customFormat="false" ht="15.75" hidden="false" customHeight="false" outlineLevel="0" collapsed="false">
      <c r="A483" s="144" t="n">
        <f aca="false">ExportRaw!$F483</f>
        <v>0</v>
      </c>
      <c r="B483" s="144" t="n">
        <f aca="false">ExportRaw!$C483</f>
        <v>0</v>
      </c>
      <c r="C483" s="144" t="n">
        <f aca="false">ExportRaw!$G483</f>
        <v>0</v>
      </c>
      <c r="D483" s="144" t="str">
        <f aca="false">ExportRaw!$E483</f>
        <v/>
      </c>
      <c r="E483" s="145" t="str">
        <f aca="false">ExportRaw!$D483</f>
        <v/>
      </c>
      <c r="F483" s="144" t="str">
        <f aca="false">ExportRaw!$H483</f>
        <v/>
      </c>
      <c r="G483" s="146" t="str">
        <f aca="false">ExportRaw!$I483</f>
        <v/>
      </c>
      <c r="H483" s="144" t="str">
        <f aca="false">ExportRaw!$A483</f>
        <v/>
      </c>
      <c r="I483" s="144" t="str">
        <f aca="false">ExportRaw!$B483</f>
        <v/>
      </c>
    </row>
    <row r="484" customFormat="false" ht="15.75" hidden="false" customHeight="false" outlineLevel="0" collapsed="false">
      <c r="A484" s="144" t="n">
        <f aca="false">ExportRaw!$F484</f>
        <v>0</v>
      </c>
      <c r="B484" s="144" t="n">
        <f aca="false">ExportRaw!$C484</f>
        <v>0</v>
      </c>
      <c r="C484" s="144" t="n">
        <f aca="false">ExportRaw!$G484</f>
        <v>0</v>
      </c>
      <c r="D484" s="144" t="str">
        <f aca="false">ExportRaw!$E484</f>
        <v/>
      </c>
      <c r="E484" s="145" t="str">
        <f aca="false">ExportRaw!$D484</f>
        <v/>
      </c>
      <c r="F484" s="144" t="str">
        <f aca="false">ExportRaw!$H484</f>
        <v/>
      </c>
      <c r="G484" s="146" t="str">
        <f aca="false">ExportRaw!$I484</f>
        <v/>
      </c>
      <c r="H484" s="144" t="str">
        <f aca="false">ExportRaw!$A484</f>
        <v/>
      </c>
      <c r="I484" s="144" t="str">
        <f aca="false">ExportRaw!$B484</f>
        <v/>
      </c>
    </row>
    <row r="485" customFormat="false" ht="15.75" hidden="false" customHeight="false" outlineLevel="0" collapsed="false">
      <c r="A485" s="144" t="n">
        <f aca="false">ExportRaw!$F485</f>
        <v>0</v>
      </c>
      <c r="B485" s="144" t="n">
        <f aca="false">ExportRaw!$C485</f>
        <v>0</v>
      </c>
      <c r="C485" s="144" t="n">
        <f aca="false">ExportRaw!$G485</f>
        <v>0</v>
      </c>
      <c r="D485" s="144" t="str">
        <f aca="false">ExportRaw!$E485</f>
        <v/>
      </c>
      <c r="E485" s="145" t="str">
        <f aca="false">ExportRaw!$D485</f>
        <v/>
      </c>
      <c r="F485" s="144" t="str">
        <f aca="false">ExportRaw!$H485</f>
        <v/>
      </c>
      <c r="G485" s="146" t="str">
        <f aca="false">ExportRaw!$I485</f>
        <v/>
      </c>
      <c r="H485" s="144" t="str">
        <f aca="false">ExportRaw!$A485</f>
        <v/>
      </c>
      <c r="I485" s="144" t="str">
        <f aca="false">ExportRaw!$B485</f>
        <v/>
      </c>
    </row>
    <row r="486" customFormat="false" ht="15.75" hidden="false" customHeight="false" outlineLevel="0" collapsed="false">
      <c r="A486" s="144" t="n">
        <f aca="false">ExportRaw!$F486</f>
        <v>0</v>
      </c>
      <c r="B486" s="144" t="n">
        <f aca="false">ExportRaw!$C486</f>
        <v>0</v>
      </c>
      <c r="C486" s="144" t="n">
        <f aca="false">ExportRaw!$G486</f>
        <v>0</v>
      </c>
      <c r="D486" s="144" t="str">
        <f aca="false">ExportRaw!$E486</f>
        <v/>
      </c>
      <c r="E486" s="145" t="str">
        <f aca="false">ExportRaw!$D486</f>
        <v/>
      </c>
      <c r="F486" s="144" t="str">
        <f aca="false">ExportRaw!$H486</f>
        <v/>
      </c>
      <c r="G486" s="146" t="str">
        <f aca="false">ExportRaw!$I486</f>
        <v/>
      </c>
      <c r="H486" s="144" t="str">
        <f aca="false">ExportRaw!$A486</f>
        <v/>
      </c>
      <c r="I486" s="144" t="str">
        <f aca="false">ExportRaw!$B486</f>
        <v/>
      </c>
    </row>
    <row r="487" customFormat="false" ht="15.75" hidden="false" customHeight="false" outlineLevel="0" collapsed="false">
      <c r="A487" s="144" t="n">
        <f aca="false">ExportRaw!$F487</f>
        <v>0</v>
      </c>
      <c r="B487" s="144" t="n">
        <f aca="false">ExportRaw!$C487</f>
        <v>0</v>
      </c>
      <c r="C487" s="144" t="n">
        <f aca="false">ExportRaw!$G487</f>
        <v>0</v>
      </c>
      <c r="D487" s="144" t="str">
        <f aca="false">ExportRaw!$E487</f>
        <v/>
      </c>
      <c r="E487" s="145" t="str">
        <f aca="false">ExportRaw!$D487</f>
        <v/>
      </c>
      <c r="F487" s="144" t="str">
        <f aca="false">ExportRaw!$H487</f>
        <v/>
      </c>
      <c r="G487" s="146" t="str">
        <f aca="false">ExportRaw!$I487</f>
        <v/>
      </c>
      <c r="H487" s="144" t="str">
        <f aca="false">ExportRaw!$A487</f>
        <v/>
      </c>
      <c r="I487" s="144" t="str">
        <f aca="false">ExportRaw!$B487</f>
        <v/>
      </c>
    </row>
    <row r="488" customFormat="false" ht="15.75" hidden="false" customHeight="false" outlineLevel="0" collapsed="false">
      <c r="A488" s="144" t="n">
        <f aca="false">ExportRaw!$F488</f>
        <v>0</v>
      </c>
      <c r="B488" s="144" t="n">
        <f aca="false">ExportRaw!$C488</f>
        <v>0</v>
      </c>
      <c r="C488" s="144" t="n">
        <f aca="false">ExportRaw!$G488</f>
        <v>0</v>
      </c>
      <c r="D488" s="144" t="str">
        <f aca="false">ExportRaw!$E488</f>
        <v/>
      </c>
      <c r="E488" s="145" t="str">
        <f aca="false">ExportRaw!$D488</f>
        <v/>
      </c>
      <c r="F488" s="144" t="str">
        <f aca="false">ExportRaw!$H488</f>
        <v/>
      </c>
      <c r="G488" s="146" t="str">
        <f aca="false">ExportRaw!$I488</f>
        <v/>
      </c>
      <c r="H488" s="144" t="str">
        <f aca="false">ExportRaw!$A488</f>
        <v/>
      </c>
      <c r="I488" s="144" t="str">
        <f aca="false">ExportRaw!$B488</f>
        <v/>
      </c>
    </row>
    <row r="489" customFormat="false" ht="15.75" hidden="false" customHeight="false" outlineLevel="0" collapsed="false">
      <c r="A489" s="144" t="n">
        <f aca="false">ExportRaw!$F489</f>
        <v>0</v>
      </c>
      <c r="B489" s="144" t="n">
        <f aca="false">ExportRaw!$C489</f>
        <v>0</v>
      </c>
      <c r="C489" s="144" t="n">
        <f aca="false">ExportRaw!$G489</f>
        <v>0</v>
      </c>
      <c r="D489" s="144" t="str">
        <f aca="false">ExportRaw!$E489</f>
        <v/>
      </c>
      <c r="E489" s="145" t="str">
        <f aca="false">ExportRaw!$D489</f>
        <v/>
      </c>
      <c r="F489" s="144" t="str">
        <f aca="false">ExportRaw!$H489</f>
        <v/>
      </c>
      <c r="G489" s="146" t="str">
        <f aca="false">ExportRaw!$I489</f>
        <v/>
      </c>
      <c r="H489" s="144" t="str">
        <f aca="false">ExportRaw!$A489</f>
        <v/>
      </c>
      <c r="I489" s="144" t="str">
        <f aca="false">ExportRaw!$B489</f>
        <v/>
      </c>
    </row>
    <row r="490" customFormat="false" ht="15.75" hidden="false" customHeight="false" outlineLevel="0" collapsed="false">
      <c r="A490" s="144" t="n">
        <f aca="false">ExportRaw!$F490</f>
        <v>0</v>
      </c>
      <c r="B490" s="144" t="n">
        <f aca="false">ExportRaw!$C490</f>
        <v>0</v>
      </c>
      <c r="C490" s="144" t="n">
        <f aca="false">ExportRaw!$G490</f>
        <v>0</v>
      </c>
      <c r="D490" s="144" t="str">
        <f aca="false">ExportRaw!$E490</f>
        <v/>
      </c>
      <c r="E490" s="145" t="str">
        <f aca="false">ExportRaw!$D490</f>
        <v/>
      </c>
      <c r="F490" s="144" t="str">
        <f aca="false">ExportRaw!$H490</f>
        <v/>
      </c>
      <c r="G490" s="146" t="str">
        <f aca="false">ExportRaw!$I490</f>
        <v/>
      </c>
      <c r="H490" s="144" t="str">
        <f aca="false">ExportRaw!$A490</f>
        <v/>
      </c>
      <c r="I490" s="144" t="str">
        <f aca="false">ExportRaw!$B490</f>
        <v/>
      </c>
    </row>
    <row r="491" customFormat="false" ht="15.75" hidden="false" customHeight="false" outlineLevel="0" collapsed="false">
      <c r="A491" s="144" t="n">
        <f aca="false">ExportRaw!$F491</f>
        <v>0</v>
      </c>
      <c r="B491" s="144" t="n">
        <f aca="false">ExportRaw!$C491</f>
        <v>0</v>
      </c>
      <c r="C491" s="144" t="n">
        <f aca="false">ExportRaw!$G491</f>
        <v>0</v>
      </c>
      <c r="D491" s="144" t="str">
        <f aca="false">ExportRaw!$E491</f>
        <v/>
      </c>
      <c r="E491" s="145" t="str">
        <f aca="false">ExportRaw!$D491</f>
        <v/>
      </c>
      <c r="F491" s="144" t="str">
        <f aca="false">ExportRaw!$H491</f>
        <v/>
      </c>
      <c r="G491" s="146" t="str">
        <f aca="false">ExportRaw!$I491</f>
        <v/>
      </c>
      <c r="H491" s="144" t="str">
        <f aca="false">ExportRaw!$A491</f>
        <v/>
      </c>
      <c r="I491" s="144" t="str">
        <f aca="false">ExportRaw!$B491</f>
        <v/>
      </c>
    </row>
    <row r="492" customFormat="false" ht="15.75" hidden="false" customHeight="false" outlineLevel="0" collapsed="false">
      <c r="A492" s="144" t="n">
        <f aca="false">ExportRaw!$F492</f>
        <v>0</v>
      </c>
      <c r="B492" s="144" t="n">
        <f aca="false">ExportRaw!$C492</f>
        <v>0</v>
      </c>
      <c r="C492" s="144" t="n">
        <f aca="false">ExportRaw!$G492</f>
        <v>0</v>
      </c>
      <c r="D492" s="144" t="str">
        <f aca="false">ExportRaw!$E492</f>
        <v/>
      </c>
      <c r="E492" s="145" t="str">
        <f aca="false">ExportRaw!$D492</f>
        <v/>
      </c>
      <c r="F492" s="144" t="str">
        <f aca="false">ExportRaw!$H492</f>
        <v/>
      </c>
      <c r="G492" s="146" t="str">
        <f aca="false">ExportRaw!$I492</f>
        <v/>
      </c>
      <c r="H492" s="144" t="str">
        <f aca="false">ExportRaw!$A492</f>
        <v/>
      </c>
      <c r="I492" s="144" t="str">
        <f aca="false">ExportRaw!$B492</f>
        <v/>
      </c>
    </row>
    <row r="493" customFormat="false" ht="15.75" hidden="false" customHeight="false" outlineLevel="0" collapsed="false">
      <c r="A493" s="144" t="n">
        <f aca="false">ExportRaw!$F493</f>
        <v>0</v>
      </c>
      <c r="B493" s="144" t="n">
        <f aca="false">ExportRaw!$C493</f>
        <v>0</v>
      </c>
      <c r="C493" s="144" t="n">
        <f aca="false">ExportRaw!$G493</f>
        <v>0</v>
      </c>
      <c r="D493" s="144" t="str">
        <f aca="false">ExportRaw!$E493</f>
        <v/>
      </c>
      <c r="E493" s="145" t="str">
        <f aca="false">ExportRaw!$D493</f>
        <v/>
      </c>
      <c r="F493" s="144" t="str">
        <f aca="false">ExportRaw!$H493</f>
        <v/>
      </c>
      <c r="G493" s="146" t="str">
        <f aca="false">ExportRaw!$I493</f>
        <v/>
      </c>
      <c r="H493" s="144" t="str">
        <f aca="false">ExportRaw!$A493</f>
        <v/>
      </c>
      <c r="I493" s="144" t="str">
        <f aca="false">ExportRaw!$B493</f>
        <v/>
      </c>
    </row>
    <row r="494" customFormat="false" ht="15.75" hidden="false" customHeight="false" outlineLevel="0" collapsed="false">
      <c r="A494" s="144" t="n">
        <f aca="false">ExportRaw!$F494</f>
        <v>0</v>
      </c>
      <c r="B494" s="144" t="n">
        <f aca="false">ExportRaw!$C494</f>
        <v>0</v>
      </c>
      <c r="C494" s="144" t="n">
        <f aca="false">ExportRaw!$G494</f>
        <v>0</v>
      </c>
      <c r="D494" s="144" t="str">
        <f aca="false">ExportRaw!$E494</f>
        <v/>
      </c>
      <c r="E494" s="145" t="str">
        <f aca="false">ExportRaw!$D494</f>
        <v/>
      </c>
      <c r="F494" s="144" t="str">
        <f aca="false">ExportRaw!$H494</f>
        <v/>
      </c>
      <c r="G494" s="146" t="str">
        <f aca="false">ExportRaw!$I494</f>
        <v/>
      </c>
      <c r="H494" s="144" t="str">
        <f aca="false">ExportRaw!$A494</f>
        <v/>
      </c>
      <c r="I494" s="144" t="str">
        <f aca="false">ExportRaw!$B494</f>
        <v/>
      </c>
    </row>
    <row r="495" customFormat="false" ht="15.75" hidden="false" customHeight="false" outlineLevel="0" collapsed="false">
      <c r="A495" s="144" t="n">
        <f aca="false">ExportRaw!$F495</f>
        <v>0</v>
      </c>
      <c r="B495" s="144" t="n">
        <f aca="false">ExportRaw!$C495</f>
        <v>0</v>
      </c>
      <c r="C495" s="144" t="n">
        <f aca="false">ExportRaw!$G495</f>
        <v>0</v>
      </c>
      <c r="D495" s="144" t="str">
        <f aca="false">ExportRaw!$E495</f>
        <v/>
      </c>
      <c r="E495" s="145" t="str">
        <f aca="false">ExportRaw!$D495</f>
        <v/>
      </c>
      <c r="F495" s="144" t="str">
        <f aca="false">ExportRaw!$H495</f>
        <v/>
      </c>
      <c r="G495" s="146" t="str">
        <f aca="false">ExportRaw!$I495</f>
        <v/>
      </c>
      <c r="H495" s="144" t="str">
        <f aca="false">ExportRaw!$A495</f>
        <v/>
      </c>
      <c r="I495" s="144" t="str">
        <f aca="false">ExportRaw!$B495</f>
        <v/>
      </c>
    </row>
    <row r="496" customFormat="false" ht="15.75" hidden="false" customHeight="false" outlineLevel="0" collapsed="false">
      <c r="A496" s="144" t="n">
        <f aca="false">ExportRaw!$F496</f>
        <v>0</v>
      </c>
      <c r="B496" s="144" t="n">
        <f aca="false">ExportRaw!$C496</f>
        <v>0</v>
      </c>
      <c r="C496" s="144" t="n">
        <f aca="false">ExportRaw!$G496</f>
        <v>0</v>
      </c>
      <c r="D496" s="144" t="str">
        <f aca="false">ExportRaw!$E496</f>
        <v/>
      </c>
      <c r="E496" s="145" t="str">
        <f aca="false">ExportRaw!$D496</f>
        <v/>
      </c>
      <c r="F496" s="144" t="str">
        <f aca="false">ExportRaw!$H496</f>
        <v/>
      </c>
      <c r="G496" s="146" t="str">
        <f aca="false">ExportRaw!$I496</f>
        <v/>
      </c>
      <c r="H496" s="144" t="str">
        <f aca="false">ExportRaw!$A496</f>
        <v/>
      </c>
      <c r="I496" s="144" t="str">
        <f aca="false">ExportRaw!$B496</f>
        <v/>
      </c>
    </row>
    <row r="497" customFormat="false" ht="15.75" hidden="false" customHeight="false" outlineLevel="0" collapsed="false">
      <c r="A497" s="144" t="n">
        <f aca="false">ExportRaw!$F497</f>
        <v>0</v>
      </c>
      <c r="B497" s="144" t="n">
        <f aca="false">ExportRaw!$C497</f>
        <v>0</v>
      </c>
      <c r="C497" s="144" t="n">
        <f aca="false">ExportRaw!$G497</f>
        <v>0</v>
      </c>
      <c r="D497" s="144" t="str">
        <f aca="false">ExportRaw!$E497</f>
        <v/>
      </c>
      <c r="E497" s="145" t="str">
        <f aca="false">ExportRaw!$D497</f>
        <v/>
      </c>
      <c r="F497" s="144" t="str">
        <f aca="false">ExportRaw!$H497</f>
        <v/>
      </c>
      <c r="G497" s="146" t="str">
        <f aca="false">ExportRaw!$I497</f>
        <v/>
      </c>
      <c r="H497" s="144" t="str">
        <f aca="false">ExportRaw!$A497</f>
        <v/>
      </c>
      <c r="I497" s="144" t="str">
        <f aca="false">ExportRaw!$B497</f>
        <v/>
      </c>
    </row>
    <row r="498" customFormat="false" ht="15.75" hidden="false" customHeight="false" outlineLevel="0" collapsed="false">
      <c r="A498" s="144" t="n">
        <f aca="false">ExportRaw!$F498</f>
        <v>0</v>
      </c>
      <c r="B498" s="144" t="n">
        <f aca="false">ExportRaw!$C498</f>
        <v>0</v>
      </c>
      <c r="C498" s="144" t="n">
        <f aca="false">ExportRaw!$G498</f>
        <v>0</v>
      </c>
      <c r="D498" s="144" t="str">
        <f aca="false">ExportRaw!$E498</f>
        <v/>
      </c>
      <c r="E498" s="145" t="str">
        <f aca="false">ExportRaw!$D498</f>
        <v/>
      </c>
      <c r="F498" s="144" t="str">
        <f aca="false">ExportRaw!$H498</f>
        <v/>
      </c>
      <c r="G498" s="146" t="str">
        <f aca="false">ExportRaw!$I498</f>
        <v/>
      </c>
      <c r="H498" s="144" t="str">
        <f aca="false">ExportRaw!$A498</f>
        <v/>
      </c>
      <c r="I498" s="144" t="str">
        <f aca="false">ExportRaw!$B498</f>
        <v/>
      </c>
    </row>
    <row r="499" customFormat="false" ht="15.75" hidden="false" customHeight="false" outlineLevel="0" collapsed="false">
      <c r="A499" s="144" t="n">
        <f aca="false">ExportRaw!$F499</f>
        <v>0</v>
      </c>
      <c r="B499" s="144" t="n">
        <f aca="false">ExportRaw!$C499</f>
        <v>0</v>
      </c>
      <c r="C499" s="144" t="n">
        <f aca="false">ExportRaw!$G499</f>
        <v>0</v>
      </c>
      <c r="D499" s="144" t="str">
        <f aca="false">ExportRaw!$E499</f>
        <v/>
      </c>
      <c r="E499" s="145" t="str">
        <f aca="false">ExportRaw!$D499</f>
        <v/>
      </c>
      <c r="F499" s="144" t="str">
        <f aca="false">ExportRaw!$H499</f>
        <v/>
      </c>
      <c r="G499" s="146" t="str">
        <f aca="false">ExportRaw!$I499</f>
        <v/>
      </c>
      <c r="H499" s="144" t="str">
        <f aca="false">ExportRaw!$A499</f>
        <v/>
      </c>
      <c r="I499" s="144" t="str">
        <f aca="false">ExportRaw!$B499</f>
        <v/>
      </c>
    </row>
    <row r="500" customFormat="false" ht="15.75" hidden="false" customHeight="false" outlineLevel="0" collapsed="false">
      <c r="A500" s="144" t="n">
        <f aca="false">ExportRaw!$F500</f>
        <v>0</v>
      </c>
      <c r="B500" s="144" t="n">
        <f aca="false">ExportRaw!$C500</f>
        <v>0</v>
      </c>
      <c r="C500" s="144" t="n">
        <f aca="false">ExportRaw!$G500</f>
        <v>0</v>
      </c>
      <c r="D500" s="144" t="str">
        <f aca="false">ExportRaw!$E500</f>
        <v/>
      </c>
      <c r="E500" s="145" t="str">
        <f aca="false">ExportRaw!$D500</f>
        <v/>
      </c>
      <c r="F500" s="144" t="str">
        <f aca="false">ExportRaw!$H500</f>
        <v/>
      </c>
      <c r="G500" s="146" t="str">
        <f aca="false">ExportRaw!$I500</f>
        <v/>
      </c>
      <c r="H500" s="144" t="str">
        <f aca="false">ExportRaw!$A500</f>
        <v/>
      </c>
      <c r="I500" s="144" t="str">
        <f aca="false">ExportRaw!$B500</f>
        <v/>
      </c>
    </row>
    <row r="501" customFormat="false" ht="15.75" hidden="false" customHeight="false" outlineLevel="0" collapsed="false">
      <c r="A501" s="144" t="n">
        <f aca="false">ExportRaw!$F501</f>
        <v>0</v>
      </c>
      <c r="B501" s="144" t="n">
        <f aca="false">ExportRaw!$C501</f>
        <v>0</v>
      </c>
      <c r="C501" s="144" t="n">
        <f aca="false">ExportRaw!$G501</f>
        <v>0</v>
      </c>
      <c r="D501" s="144" t="str">
        <f aca="false">ExportRaw!$E501</f>
        <v/>
      </c>
      <c r="E501" s="145" t="str">
        <f aca="false">ExportRaw!$D501</f>
        <v/>
      </c>
      <c r="F501" s="144" t="str">
        <f aca="false">ExportRaw!$H501</f>
        <v/>
      </c>
      <c r="G501" s="146" t="str">
        <f aca="false">ExportRaw!$I501</f>
        <v/>
      </c>
      <c r="H501" s="144" t="str">
        <f aca="false">ExportRaw!$A501</f>
        <v/>
      </c>
      <c r="I501" s="144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27"/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43" t="s">
        <v>84</v>
      </c>
      <c r="B1" s="143" t="s">
        <v>85</v>
      </c>
      <c r="C1" s="143" t="s">
        <v>86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customFormat="false" ht="15.75" hidden="false" customHeight="false" outlineLevel="0" collapsed="false">
      <c r="A2" s="147" t="n">
        <v>46288</v>
      </c>
      <c r="B2" s="144" t="s">
        <v>87</v>
      </c>
      <c r="C2" s="144" t="s">
        <v>88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customFormat="false" ht="15.75" hidden="false" customHeight="false" outlineLevel="0" collapsed="false">
      <c r="A3" s="147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customFormat="false" ht="15.75" hidden="false" customHeight="false" outlineLevel="0" collapsed="false">
      <c r="A4" s="147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customFormat="false" ht="15.75" hidden="false" customHeight="false" outlineLevel="0" collapsed="false">
      <c r="A5" s="148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customFormat="false" ht="15.75" hidden="false" customHeight="false" outlineLevel="0" collapsed="false">
      <c r="A6" s="148"/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customFormat="false" ht="15.75" hidden="false" customHeight="false" outlineLevel="0" collapsed="false">
      <c r="A7" s="148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customFormat="false" ht="15.75" hidden="false" customHeight="false" outlineLevel="0" collapsed="false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customFormat="false" ht="15.75" hidden="false" customHeight="false" outlineLevel="0" collapsed="false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customFormat="false" ht="15.75" hidden="false" customHeight="false" outlineLevel="0" collapsed="false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customFormat="false" ht="15.75" hidden="false" customHeight="false" outlineLevel="0" collapsed="false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customFormat="false" ht="15.75" hidden="false" customHeight="false" outlineLevel="0" collapsed="false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customFormat="false" ht="15.75" hidden="false" customHeight="false" outlineLevel="0" collapsed="false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customFormat="false" ht="15.75" hidden="false" customHeight="false" outlineLevel="0" collapsed="false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customFormat="false" ht="15.75" hidden="false" customHeight="false" outlineLevel="0" collapsed="false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customFormat="false" ht="15.75" hidden="false" customHeight="false" outlineLevel="0" collapsed="false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customFormat="false" ht="15.75" hidden="false" customHeight="false" outlineLevel="0" collapsed="false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customFormat="false" ht="15.75" hidden="false" customHeight="false" outlineLevel="0" collapsed="false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customFormat="false" ht="15.75" hidden="false" customHeight="false" outlineLevel="0" collapsed="false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customFormat="false" ht="15.75" hidden="false" customHeight="false" outlineLevel="0" collapsed="false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 customFormat="false" ht="15.75" hidden="false" customHeight="false" outlineLevel="0" collapsed="false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customFormat="false" ht="15.75" hidden="false" customHeight="false" outlineLevel="0" collapsed="false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customFormat="false" ht="15.75" hidden="false" customHeight="false" outlineLevel="0" collapsed="false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customFormat="false" ht="15.75" hidden="false" customHeight="false" outlineLevel="0" collapsed="false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customFormat="false" ht="15.75" hidden="false" customHeight="false" outlineLevel="0" collapsed="false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customFormat="false" ht="15.75" hidden="false" customHeight="false" outlineLevel="0" collapsed="false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customFormat="false" ht="15.75" hidden="false" customHeight="false" outlineLevel="0" collapsed="false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customFormat="false" ht="15.75" hidden="false" customHeight="false" outlineLevel="0" collapsed="false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customFormat="false" ht="15.75" hidden="false" customHeight="false" outlineLevel="0" collapsed="false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customFormat="false" ht="15.75" hidden="false" customHeight="false" outlineLevel="0" collapsed="false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customFormat="false" ht="15.75" hidden="false" customHeight="false" outlineLevel="0" collapsed="false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customFormat="false" ht="15.75" hidden="false" customHeight="false" outlineLevel="0" collapsed="false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customFormat="false" ht="15.75" hidden="false" customHeight="false" outlineLevel="0" collapsed="false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customFormat="false" ht="15.75" hidden="false" customHeight="false" outlineLevel="0" collapsed="false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customFormat="false" ht="15.75" hidden="false" customHeight="false" outlineLevel="0" collapsed="false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customFormat="false" ht="15.75" hidden="false" customHeight="false" outlineLevel="0" collapsed="false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customFormat="false" ht="15.75" hidden="false" customHeight="false" outlineLevel="0" collapsed="false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customFormat="false" ht="15.75" hidden="false" customHeight="false" outlineLevel="0" collapsed="false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customFormat="false" ht="15.75" hidden="false" customHeight="false" outlineLevel="0" collapsed="false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customFormat="false" ht="15.75" hidden="false" customHeight="false" outlineLevel="0" collapsed="false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customFormat="false" ht="15.75" hidden="false" customHeight="false" outlineLevel="0" collapsed="false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customFormat="false" ht="15.75" hidden="false" customHeight="false" outlineLevel="0" collapsed="false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customFormat="false" ht="15.75" hidden="false" customHeight="false" outlineLevel="0" collapsed="false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customFormat="false" ht="15.75" hidden="false" customHeight="false" outlineLevel="0" collapsed="false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customFormat="false" ht="15.75" hidden="false" customHeight="false" outlineLevel="0" collapsed="false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customFormat="false" ht="15.75" hidden="false" customHeight="false" outlineLevel="0" collapsed="false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customFormat="false" ht="15.75" hidden="false" customHeight="false" outlineLevel="0" collapsed="false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customFormat="false" ht="15.75" hidden="false" customHeight="false" outlineLevel="0" collapsed="false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customFormat="false" ht="15.75" hidden="false" customHeight="false" outlineLevel="0" collapsed="false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customFormat="false" ht="15.75" hidden="false" customHeight="false" outlineLevel="0" collapsed="false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customFormat="false" ht="15.75" hidden="false" customHeight="false" outlineLevel="0" collapsed="false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customFormat="false" ht="15.75" hidden="false" customHeight="false" outlineLevel="0" collapsed="false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customFormat="false" ht="15.75" hidden="false" customHeight="false" outlineLevel="0" collapsed="false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customFormat="false" ht="15.75" hidden="false" customHeight="false" outlineLevel="0" collapsed="false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customFormat="false" ht="15.75" hidden="false" customHeight="false" outlineLevel="0" collapsed="false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customFormat="false" ht="15.75" hidden="false" customHeight="false" outlineLevel="0" collapsed="false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customFormat="false" ht="15.75" hidden="false" customHeight="false" outlineLevel="0" collapsed="false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customFormat="false" ht="15.75" hidden="false" customHeight="false" outlineLevel="0" collapsed="false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customFormat="false" ht="15.75" hidden="false" customHeight="false" outlineLevel="0" collapsed="false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customFormat="false" ht="15.75" hidden="false" customHeight="false" outlineLevel="0" collapsed="false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customFormat="false" ht="15.75" hidden="false" customHeight="false" outlineLevel="0" collapsed="false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customFormat="false" ht="15.75" hidden="false" customHeight="false" outlineLevel="0" collapsed="false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customFormat="false" ht="15.75" hidden="false" customHeight="false" outlineLevel="0" collapsed="false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customFormat="false" ht="15.75" hidden="false" customHeight="false" outlineLevel="0" collapsed="false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customFormat="false" ht="15.75" hidden="false" customHeight="false" outlineLevel="0" collapsed="false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customFormat="false" ht="15.75" hidden="false" customHeight="false" outlineLevel="0" collapsed="false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customFormat="false" ht="15.75" hidden="false" customHeight="false" outlineLevel="0" collapsed="false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customFormat="false" ht="15.75" hidden="false" customHeight="false" outlineLevel="0" collapsed="false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customFormat="false" ht="15.75" hidden="false" customHeight="false" outlineLevel="0" collapsed="false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customFormat="false" ht="15.75" hidden="false" customHeight="false" outlineLevel="0" collapsed="false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customFormat="false" ht="15.75" hidden="false" customHeight="false" outlineLevel="0" collapsed="false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customFormat="false" ht="15.75" hidden="false" customHeight="false" outlineLevel="0" collapsed="false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customFormat="false" ht="15.75" hidden="false" customHeight="false" outlineLevel="0" collapsed="false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customFormat="false" ht="15.75" hidden="false" customHeight="false" outlineLevel="0" collapsed="false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customFormat="false" ht="15.75" hidden="false" customHeight="false" outlineLevel="0" collapsed="false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customFormat="false" ht="15.75" hidden="false" customHeight="false" outlineLevel="0" collapsed="false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customFormat="false" ht="15.75" hidden="false" customHeight="false" outlineLevel="0" collapsed="false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customFormat="false" ht="15.75" hidden="false" customHeight="false" outlineLevel="0" collapsed="false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customFormat="false" ht="15.75" hidden="false" customHeight="false" outlineLevel="0" collapsed="false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customFormat="false" ht="15.75" hidden="false" customHeight="false" outlineLevel="0" collapsed="false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customFormat="false" ht="15.75" hidden="false" customHeight="false" outlineLevel="0" collapsed="false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customFormat="false" ht="15.75" hidden="false" customHeight="false" outlineLevel="0" collapsed="false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customFormat="false" ht="15.75" hidden="false" customHeight="false" outlineLevel="0" collapsed="false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customFormat="false" ht="15.75" hidden="false" customHeight="false" outlineLevel="0" collapsed="false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customFormat="false" ht="15.75" hidden="false" customHeight="false" outlineLevel="0" collapsed="false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customFormat="false" ht="15.75" hidden="false" customHeight="false" outlineLevel="0" collapsed="false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customFormat="false" ht="15.75" hidden="false" customHeight="false" outlineLevel="0" collapsed="false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customFormat="false" ht="15.75" hidden="false" customHeight="false" outlineLevel="0" collapsed="false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customFormat="false" ht="15.75" hidden="false" customHeight="false" outlineLevel="0" collapsed="false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customFormat="false" ht="15.75" hidden="false" customHeight="false" outlineLevel="0" collapsed="false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customFormat="false" ht="15.75" hidden="false" customHeight="false" outlineLevel="0" collapsed="false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customFormat="false" ht="15.75" hidden="false" customHeight="false" outlineLevel="0" collapsed="false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customFormat="false" ht="15.75" hidden="false" customHeight="false" outlineLevel="0" collapsed="false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customFormat="false" ht="15.75" hidden="false" customHeight="false" outlineLevel="0" collapsed="false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customFormat="false" ht="15.75" hidden="false" customHeight="false" outlineLevel="0" collapsed="false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customFormat="false" ht="15.75" hidden="false" customHeight="false" outlineLevel="0" collapsed="false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customFormat="false" ht="15.75" hidden="false" customHeight="false" outlineLevel="0" collapsed="false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customFormat="false" ht="15.75" hidden="false" customHeight="false" outlineLevel="0" collapsed="false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customFormat="false" ht="15.75" hidden="false" customHeight="false" outlineLevel="0" collapsed="false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customFormat="false" ht="15.75" hidden="false" customHeight="false" outlineLevel="0" collapsed="false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customFormat="false" ht="15.75" hidden="false" customHeight="false" outlineLevel="0" collapsed="false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customFormat="false" ht="15.75" hidden="false" customHeight="false" outlineLevel="0" collapsed="false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customFormat="false" ht="15.75" hidden="false" customHeight="false" outlineLevel="0" collapsed="false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customFormat="false" ht="15.75" hidden="false" customHeight="false" outlineLevel="0" collapsed="false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customFormat="false" ht="15.75" hidden="false" customHeight="false" outlineLevel="0" collapsed="false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customFormat="false" ht="15.75" hidden="false" customHeight="false" outlineLevel="0" collapsed="false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customFormat="false" ht="15.75" hidden="false" customHeight="false" outlineLevel="0" collapsed="false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customFormat="false" ht="15.75" hidden="false" customHeight="false" outlineLevel="0" collapsed="false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customFormat="false" ht="15.75" hidden="false" customHeight="false" outlineLevel="0" collapsed="false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customFormat="false" ht="15.75" hidden="false" customHeight="false" outlineLevel="0" collapsed="false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customFormat="false" ht="15.75" hidden="false" customHeight="false" outlineLevel="0" collapsed="false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customFormat="false" ht="15.75" hidden="false" customHeight="false" outlineLevel="0" collapsed="false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customFormat="false" ht="15.75" hidden="false" customHeight="false" outlineLevel="0" collapsed="false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customFormat="false" ht="15.75" hidden="false" customHeight="false" outlineLevel="0" collapsed="false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customFormat="false" ht="15.75" hidden="false" customHeight="false" outlineLevel="0" collapsed="false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customFormat="false" ht="15.75" hidden="false" customHeight="false" outlineLevel="0" collapsed="false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customFormat="false" ht="15.75" hidden="false" customHeight="false" outlineLevel="0" collapsed="false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customFormat="false" ht="15.75" hidden="false" customHeight="false" outlineLevel="0" collapsed="false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customFormat="false" ht="15.75" hidden="false" customHeight="false" outlineLevel="0" collapsed="false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customFormat="false" ht="15.75" hidden="false" customHeight="false" outlineLevel="0" collapsed="false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customFormat="false" ht="15.75" hidden="false" customHeight="false" outlineLevel="0" collapsed="false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customFormat="false" ht="15.75" hidden="false" customHeight="false" outlineLevel="0" collapsed="false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customFormat="false" ht="15.75" hidden="false" customHeight="false" outlineLevel="0" collapsed="false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customFormat="false" ht="15.75" hidden="false" customHeight="false" outlineLevel="0" collapsed="false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customFormat="false" ht="15.75" hidden="false" customHeight="false" outlineLevel="0" collapsed="false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customFormat="false" ht="15.75" hidden="false" customHeight="false" outlineLevel="0" collapsed="false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customFormat="false" ht="15.75" hidden="false" customHeight="false" outlineLevel="0" collapsed="false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customFormat="false" ht="15.75" hidden="false" customHeight="false" outlineLevel="0" collapsed="false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customFormat="false" ht="15.75" hidden="false" customHeight="false" outlineLevel="0" collapsed="false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customFormat="false" ht="15.75" hidden="false" customHeight="false" outlineLevel="0" collapsed="false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customFormat="false" ht="15.75" hidden="false" customHeight="false" outlineLevel="0" collapsed="false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customFormat="false" ht="15.75" hidden="false" customHeight="false" outlineLevel="0" collapsed="false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customFormat="false" ht="15.75" hidden="false" customHeight="false" outlineLevel="0" collapsed="false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customFormat="false" ht="15.75" hidden="false" customHeight="false" outlineLevel="0" collapsed="false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customFormat="false" ht="15.75" hidden="false" customHeight="false" outlineLevel="0" collapsed="false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customFormat="false" ht="15.75" hidden="false" customHeight="false" outlineLevel="0" collapsed="false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customFormat="false" ht="15.75" hidden="false" customHeight="false" outlineLevel="0" collapsed="false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customFormat="false" ht="15.75" hidden="false" customHeight="false" outlineLevel="0" collapsed="false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customFormat="false" ht="15.75" hidden="false" customHeight="false" outlineLevel="0" collapsed="false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customFormat="false" ht="15.75" hidden="false" customHeight="false" outlineLevel="0" collapsed="false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customFormat="false" ht="15.75" hidden="false" customHeight="false" outlineLevel="0" collapsed="false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customFormat="false" ht="15.75" hidden="false" customHeight="false" outlineLevel="0" collapsed="false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customFormat="false" ht="15.75" hidden="false" customHeight="false" outlineLevel="0" collapsed="false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customFormat="false" ht="15.75" hidden="false" customHeight="false" outlineLevel="0" collapsed="false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customFormat="false" ht="15.75" hidden="false" customHeight="false" outlineLevel="0" collapsed="false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customFormat="false" ht="15.75" hidden="false" customHeight="false" outlineLevel="0" collapsed="false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customFormat="false" ht="15.75" hidden="false" customHeight="false" outlineLevel="0" collapsed="false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customFormat="false" ht="15.75" hidden="false" customHeight="false" outlineLevel="0" collapsed="false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customFormat="false" ht="15.75" hidden="false" customHeight="false" outlineLevel="0" collapsed="false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customFormat="false" ht="15.75" hidden="false" customHeight="false" outlineLevel="0" collapsed="false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customFormat="false" ht="15.75" hidden="false" customHeight="false" outlineLevel="0" collapsed="false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customFormat="false" ht="15.75" hidden="false" customHeight="false" outlineLevel="0" collapsed="false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customFormat="false" ht="15.75" hidden="false" customHeight="false" outlineLevel="0" collapsed="false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customFormat="false" ht="15.75" hidden="false" customHeight="false" outlineLevel="0" collapsed="false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customFormat="false" ht="15.75" hidden="false" customHeight="false" outlineLevel="0" collapsed="false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customFormat="false" ht="15.75" hidden="false" customHeight="false" outlineLevel="0" collapsed="false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customFormat="false" ht="15.75" hidden="false" customHeight="false" outlineLevel="0" collapsed="false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customFormat="false" ht="15.75" hidden="false" customHeight="false" outlineLevel="0" collapsed="false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customFormat="false" ht="15.75" hidden="false" customHeight="false" outlineLevel="0" collapsed="false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customFormat="false" ht="15.75" hidden="false" customHeight="false" outlineLevel="0" collapsed="false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customFormat="false" ht="15.75" hidden="false" customHeight="false" outlineLevel="0" collapsed="false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customFormat="false" ht="15.75" hidden="false" customHeight="false" outlineLevel="0" collapsed="false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customFormat="false" ht="15.75" hidden="false" customHeight="false" outlineLevel="0" collapsed="false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customFormat="false" ht="15.75" hidden="false" customHeight="false" outlineLevel="0" collapsed="false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customFormat="false" ht="15.75" hidden="false" customHeight="false" outlineLevel="0" collapsed="false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customFormat="false" ht="15.75" hidden="false" customHeight="false" outlineLevel="0" collapsed="false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customFormat="false" ht="15.75" hidden="false" customHeight="false" outlineLevel="0" collapsed="false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customFormat="false" ht="15.75" hidden="false" customHeight="false" outlineLevel="0" collapsed="false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customFormat="false" ht="15.75" hidden="false" customHeight="false" outlineLevel="0" collapsed="false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customFormat="false" ht="15.75" hidden="false" customHeight="false" outlineLevel="0" collapsed="false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customFormat="false" ht="15.75" hidden="false" customHeight="false" outlineLevel="0" collapsed="false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customFormat="false" ht="15.75" hidden="false" customHeight="false" outlineLevel="0" collapsed="false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customFormat="false" ht="15.75" hidden="false" customHeight="false" outlineLevel="0" collapsed="false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customFormat="false" ht="15.75" hidden="false" customHeight="false" outlineLevel="0" collapsed="false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customFormat="false" ht="15.75" hidden="false" customHeight="false" outlineLevel="0" collapsed="false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customFormat="false" ht="15.75" hidden="false" customHeight="false" outlineLevel="0" collapsed="false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customFormat="false" ht="15.75" hidden="false" customHeight="false" outlineLevel="0" collapsed="false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customFormat="false" ht="15.75" hidden="false" customHeight="false" outlineLevel="0" collapsed="false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customFormat="false" ht="15.75" hidden="false" customHeight="false" outlineLevel="0" collapsed="false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customFormat="false" ht="15.75" hidden="false" customHeight="false" outlineLevel="0" collapsed="false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customFormat="false" ht="15.75" hidden="false" customHeight="false" outlineLevel="0" collapsed="false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customFormat="false" ht="15.75" hidden="false" customHeight="false" outlineLevel="0" collapsed="false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customFormat="false" ht="15.75" hidden="false" customHeight="false" outlineLevel="0" collapsed="false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customFormat="false" ht="15.75" hidden="false" customHeight="false" outlineLevel="0" collapsed="false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customFormat="false" ht="15.75" hidden="false" customHeight="false" outlineLevel="0" collapsed="false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customFormat="false" ht="15.75" hidden="false" customHeight="false" outlineLevel="0" collapsed="false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customFormat="false" ht="15.75" hidden="false" customHeight="false" outlineLevel="0" collapsed="false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customFormat="false" ht="15.75" hidden="false" customHeight="false" outlineLevel="0" collapsed="false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customFormat="false" ht="15.75" hidden="false" customHeight="false" outlineLevel="0" collapsed="false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customFormat="false" ht="15.75" hidden="false" customHeight="false" outlineLevel="0" collapsed="false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customFormat="false" ht="15.75" hidden="false" customHeight="false" outlineLevel="0" collapsed="false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customFormat="false" ht="15.75" hidden="false" customHeight="false" outlineLevel="0" collapsed="false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customFormat="false" ht="15.75" hidden="false" customHeight="false" outlineLevel="0" collapsed="false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customFormat="false" ht="15.75" hidden="false" customHeight="false" outlineLevel="0" collapsed="false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customFormat="false" ht="15.75" hidden="false" customHeight="false" outlineLevel="0" collapsed="false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customFormat="false" ht="15.75" hidden="false" customHeight="false" outlineLevel="0" collapsed="false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customFormat="false" ht="15.75" hidden="false" customHeight="false" outlineLevel="0" collapsed="false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customFormat="false" ht="15.75" hidden="false" customHeight="false" outlineLevel="0" collapsed="false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customFormat="false" ht="15.75" hidden="false" customHeight="false" outlineLevel="0" collapsed="false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customFormat="false" ht="15.75" hidden="false" customHeight="false" outlineLevel="0" collapsed="false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customFormat="false" ht="15.75" hidden="false" customHeight="false" outlineLevel="0" collapsed="false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customFormat="false" ht="15.75" hidden="false" customHeight="false" outlineLevel="0" collapsed="false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customFormat="false" ht="15.75" hidden="false" customHeight="false" outlineLevel="0" collapsed="false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customFormat="false" ht="15.75" hidden="false" customHeight="false" outlineLevel="0" collapsed="false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customFormat="false" ht="15.75" hidden="false" customHeight="false" outlineLevel="0" collapsed="false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customFormat="false" ht="15.75" hidden="false" customHeight="false" outlineLevel="0" collapsed="false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customFormat="false" ht="15.75" hidden="false" customHeight="false" outlineLevel="0" collapsed="false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customFormat="false" ht="15.75" hidden="false" customHeight="false" outlineLevel="0" collapsed="false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customFormat="false" ht="15.75" hidden="false" customHeight="false" outlineLevel="0" collapsed="false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customFormat="false" ht="15.75" hidden="false" customHeight="false" outlineLevel="0" collapsed="false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customFormat="false" ht="15.75" hidden="false" customHeight="false" outlineLevel="0" collapsed="false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customFormat="false" ht="15.75" hidden="false" customHeight="false" outlineLevel="0" collapsed="false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customFormat="false" ht="15.75" hidden="false" customHeight="false" outlineLevel="0" collapsed="false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customFormat="false" ht="15.75" hidden="false" customHeight="false" outlineLevel="0" collapsed="false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customFormat="false" ht="15.75" hidden="false" customHeight="false" outlineLevel="0" collapsed="false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customFormat="false" ht="15.75" hidden="false" customHeight="false" outlineLevel="0" collapsed="false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customFormat="false" ht="15.75" hidden="false" customHeight="false" outlineLevel="0" collapsed="false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customFormat="false" ht="15.75" hidden="false" customHeight="false" outlineLevel="0" collapsed="false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customFormat="false" ht="15.75" hidden="false" customHeight="false" outlineLevel="0" collapsed="false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customFormat="false" ht="15.75" hidden="false" customHeight="false" outlineLevel="0" collapsed="false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customFormat="false" ht="15.75" hidden="false" customHeight="false" outlineLevel="0" collapsed="false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customFormat="false" ht="15.75" hidden="false" customHeight="false" outlineLevel="0" collapsed="false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customFormat="false" ht="15.75" hidden="false" customHeight="false" outlineLevel="0" collapsed="false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 customFormat="false" ht="15.75" hidden="false" customHeight="false" outlineLevel="0" collapsed="false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 customFormat="false" ht="15.75" hidden="false" customHeight="false" outlineLevel="0" collapsed="false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 customFormat="false" ht="15.75" hidden="false" customHeight="false" outlineLevel="0" collapsed="false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 customFormat="false" ht="15.75" hidden="false" customHeight="false" outlineLevel="0" collapsed="false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 customFormat="false" ht="15.75" hidden="false" customHeight="false" outlineLevel="0" collapsed="false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customFormat="false" ht="15.75" hidden="false" customHeight="false" outlineLevel="0" collapsed="false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customFormat="false" ht="15.75" hidden="false" customHeight="false" outlineLevel="0" collapsed="false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customFormat="false" ht="15.75" hidden="false" customHeight="false" outlineLevel="0" collapsed="false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customFormat="false" ht="15.75" hidden="false" customHeight="false" outlineLevel="0" collapsed="false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customFormat="false" ht="15.75" hidden="false" customHeight="false" outlineLevel="0" collapsed="false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customFormat="false" ht="15.75" hidden="false" customHeight="false" outlineLevel="0" collapsed="false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 customFormat="false" ht="15.75" hidden="false" customHeight="false" outlineLevel="0" collapsed="false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 customFormat="false" ht="15.75" hidden="false" customHeight="false" outlineLevel="0" collapsed="false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 customFormat="false" ht="15.75" hidden="false" customHeight="false" outlineLevel="0" collapsed="false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 customFormat="false" ht="15.75" hidden="false" customHeight="false" outlineLevel="0" collapsed="false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 customFormat="false" ht="15.75" hidden="false" customHeight="false" outlineLevel="0" collapsed="false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 customFormat="false" ht="15.75" hidden="false" customHeight="false" outlineLevel="0" collapsed="false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 customFormat="false" ht="15.75" hidden="false" customHeight="false" outlineLevel="0" collapsed="false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 customFormat="false" ht="15.75" hidden="false" customHeight="false" outlineLevel="0" collapsed="false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 customFormat="false" ht="15.75" hidden="false" customHeight="false" outlineLevel="0" collapsed="false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customFormat="false" ht="15.75" hidden="false" customHeight="false" outlineLevel="0" collapsed="false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customFormat="false" ht="15.75" hidden="false" customHeight="false" outlineLevel="0" collapsed="false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customFormat="false" ht="15.75" hidden="false" customHeight="false" outlineLevel="0" collapsed="false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customFormat="false" ht="15.75" hidden="false" customHeight="false" outlineLevel="0" collapsed="false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customFormat="false" ht="15.75" hidden="false" customHeight="false" outlineLevel="0" collapsed="false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customFormat="false" ht="15.75" hidden="false" customHeight="false" outlineLevel="0" collapsed="false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customFormat="false" ht="15.75" hidden="false" customHeight="false" outlineLevel="0" collapsed="false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customFormat="false" ht="15.75" hidden="false" customHeight="false" outlineLevel="0" collapsed="false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customFormat="false" ht="15.75" hidden="false" customHeight="false" outlineLevel="0" collapsed="false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customFormat="false" ht="15.75" hidden="false" customHeight="false" outlineLevel="0" collapsed="false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customFormat="false" ht="15.75" hidden="false" customHeight="false" outlineLevel="0" collapsed="false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customFormat="false" ht="15.75" hidden="false" customHeight="false" outlineLevel="0" collapsed="false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customFormat="false" ht="15.75" hidden="false" customHeight="false" outlineLevel="0" collapsed="false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customFormat="false" ht="15.75" hidden="false" customHeight="false" outlineLevel="0" collapsed="false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customFormat="false" ht="15.75" hidden="false" customHeight="false" outlineLevel="0" collapsed="false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customFormat="false" ht="15.75" hidden="false" customHeight="false" outlineLevel="0" collapsed="false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customFormat="false" ht="15.75" hidden="false" customHeight="false" outlineLevel="0" collapsed="false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customFormat="false" ht="15.75" hidden="false" customHeight="false" outlineLevel="0" collapsed="false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customFormat="false" ht="15.75" hidden="false" customHeight="false" outlineLevel="0" collapsed="false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customFormat="false" ht="15.75" hidden="false" customHeight="false" outlineLevel="0" collapsed="false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customFormat="false" ht="15.75" hidden="false" customHeight="false" outlineLevel="0" collapsed="false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customFormat="false" ht="15.75" hidden="false" customHeight="false" outlineLevel="0" collapsed="false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customFormat="false" ht="15.75" hidden="false" customHeight="false" outlineLevel="0" collapsed="false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customFormat="false" ht="15.75" hidden="false" customHeight="false" outlineLevel="0" collapsed="false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customFormat="false" ht="15.75" hidden="false" customHeight="false" outlineLevel="0" collapsed="false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customFormat="false" ht="15.75" hidden="false" customHeight="false" outlineLevel="0" collapsed="false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customFormat="false" ht="15.75" hidden="false" customHeight="false" outlineLevel="0" collapsed="false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customFormat="false" ht="15.75" hidden="false" customHeight="false" outlineLevel="0" collapsed="false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customFormat="false" ht="15.75" hidden="false" customHeight="false" outlineLevel="0" collapsed="false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customFormat="false" ht="15.75" hidden="false" customHeight="false" outlineLevel="0" collapsed="false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customFormat="false" ht="15.75" hidden="false" customHeight="false" outlineLevel="0" collapsed="false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customFormat="false" ht="15.75" hidden="false" customHeight="false" outlineLevel="0" collapsed="false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customFormat="false" ht="15.75" hidden="false" customHeight="false" outlineLevel="0" collapsed="false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customFormat="false" ht="15.75" hidden="false" customHeight="false" outlineLevel="0" collapsed="false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customFormat="false" ht="15.75" hidden="false" customHeight="false" outlineLevel="0" collapsed="false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customFormat="false" ht="15.75" hidden="false" customHeight="false" outlineLevel="0" collapsed="false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customFormat="false" ht="15.75" hidden="false" customHeight="false" outlineLevel="0" collapsed="false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customFormat="false" ht="15.75" hidden="false" customHeight="false" outlineLevel="0" collapsed="false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customFormat="false" ht="15.75" hidden="false" customHeight="false" outlineLevel="0" collapsed="false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customFormat="false" ht="15.75" hidden="false" customHeight="false" outlineLevel="0" collapsed="false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customFormat="false" ht="15.75" hidden="false" customHeight="false" outlineLevel="0" collapsed="false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customFormat="false" ht="15.75" hidden="false" customHeight="false" outlineLevel="0" collapsed="false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customFormat="false" ht="15.75" hidden="false" customHeight="false" outlineLevel="0" collapsed="false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customFormat="false" ht="15.75" hidden="false" customHeight="false" outlineLevel="0" collapsed="false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customFormat="false" ht="15.75" hidden="false" customHeight="false" outlineLevel="0" collapsed="false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customFormat="false" ht="15.75" hidden="false" customHeight="false" outlineLevel="0" collapsed="false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customFormat="false" ht="15.75" hidden="false" customHeight="false" outlineLevel="0" collapsed="false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customFormat="false" ht="15.75" hidden="false" customHeight="false" outlineLevel="0" collapsed="false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customFormat="false" ht="15.75" hidden="false" customHeight="false" outlineLevel="0" collapsed="false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customFormat="false" ht="15.75" hidden="false" customHeight="false" outlineLevel="0" collapsed="false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customFormat="false" ht="15.75" hidden="false" customHeight="false" outlineLevel="0" collapsed="false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customFormat="false" ht="15.75" hidden="false" customHeight="false" outlineLevel="0" collapsed="false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customFormat="false" ht="15.75" hidden="false" customHeight="false" outlineLevel="0" collapsed="false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customFormat="false" ht="15.75" hidden="false" customHeight="false" outlineLevel="0" collapsed="false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customFormat="false" ht="15.75" hidden="false" customHeight="false" outlineLevel="0" collapsed="false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customFormat="false" ht="15.75" hidden="false" customHeight="false" outlineLevel="0" collapsed="false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customFormat="false" ht="15.75" hidden="false" customHeight="false" outlineLevel="0" collapsed="false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customFormat="false" ht="15.75" hidden="false" customHeight="false" outlineLevel="0" collapsed="false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customFormat="false" ht="15.75" hidden="false" customHeight="false" outlineLevel="0" collapsed="false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customFormat="false" ht="15.75" hidden="false" customHeight="false" outlineLevel="0" collapsed="false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customFormat="false" ht="15.75" hidden="false" customHeight="false" outlineLevel="0" collapsed="false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customFormat="false" ht="15.75" hidden="false" customHeight="false" outlineLevel="0" collapsed="false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customFormat="false" ht="15.75" hidden="false" customHeight="false" outlineLevel="0" collapsed="false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customFormat="false" ht="15.75" hidden="false" customHeight="false" outlineLevel="0" collapsed="false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customFormat="false" ht="15.75" hidden="false" customHeight="false" outlineLevel="0" collapsed="false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customFormat="false" ht="15.75" hidden="false" customHeight="false" outlineLevel="0" collapsed="false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customFormat="false" ht="15.75" hidden="false" customHeight="false" outlineLevel="0" collapsed="false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customFormat="false" ht="15.75" hidden="false" customHeight="false" outlineLevel="0" collapsed="false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customFormat="false" ht="15.75" hidden="false" customHeight="false" outlineLevel="0" collapsed="false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customFormat="false" ht="15.75" hidden="false" customHeight="false" outlineLevel="0" collapsed="false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customFormat="false" ht="15.75" hidden="false" customHeight="false" outlineLevel="0" collapsed="false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customFormat="false" ht="15.75" hidden="false" customHeight="false" outlineLevel="0" collapsed="false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customFormat="false" ht="15.75" hidden="false" customHeight="false" outlineLevel="0" collapsed="false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customFormat="false" ht="15.75" hidden="false" customHeight="false" outlineLevel="0" collapsed="false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customFormat="false" ht="15.75" hidden="false" customHeight="false" outlineLevel="0" collapsed="false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customFormat="false" ht="15.75" hidden="false" customHeight="false" outlineLevel="0" collapsed="false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customFormat="false" ht="15.75" hidden="false" customHeight="false" outlineLevel="0" collapsed="false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customFormat="false" ht="15.75" hidden="false" customHeight="false" outlineLevel="0" collapsed="false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customFormat="false" ht="15.75" hidden="false" customHeight="false" outlineLevel="0" collapsed="false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customFormat="false" ht="15.75" hidden="false" customHeight="false" outlineLevel="0" collapsed="false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customFormat="false" ht="15.75" hidden="false" customHeight="false" outlineLevel="0" collapsed="false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customFormat="false" ht="15.75" hidden="false" customHeight="false" outlineLevel="0" collapsed="false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customFormat="false" ht="15.75" hidden="false" customHeight="false" outlineLevel="0" collapsed="false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customFormat="false" ht="15.75" hidden="false" customHeight="false" outlineLevel="0" collapsed="false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customFormat="false" ht="15.75" hidden="false" customHeight="false" outlineLevel="0" collapsed="false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customFormat="false" ht="15.75" hidden="false" customHeight="false" outlineLevel="0" collapsed="false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customFormat="false" ht="15.75" hidden="false" customHeight="false" outlineLevel="0" collapsed="false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customFormat="false" ht="15.75" hidden="false" customHeight="false" outlineLevel="0" collapsed="false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customFormat="false" ht="15.75" hidden="false" customHeight="false" outlineLevel="0" collapsed="false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customFormat="false" ht="15.75" hidden="false" customHeight="false" outlineLevel="0" collapsed="false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customFormat="false" ht="15.75" hidden="false" customHeight="false" outlineLevel="0" collapsed="false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customFormat="false" ht="15.75" hidden="false" customHeight="false" outlineLevel="0" collapsed="false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customFormat="false" ht="15.75" hidden="false" customHeight="false" outlineLevel="0" collapsed="false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customFormat="false" ht="15.75" hidden="false" customHeight="false" outlineLevel="0" collapsed="false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customFormat="false" ht="15.75" hidden="false" customHeight="false" outlineLevel="0" collapsed="false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customFormat="false" ht="15.75" hidden="false" customHeight="false" outlineLevel="0" collapsed="false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customFormat="false" ht="15.75" hidden="false" customHeight="false" outlineLevel="0" collapsed="false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customFormat="false" ht="15.75" hidden="false" customHeight="false" outlineLevel="0" collapsed="false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customFormat="false" ht="15.75" hidden="false" customHeight="false" outlineLevel="0" collapsed="false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customFormat="false" ht="15.75" hidden="false" customHeight="false" outlineLevel="0" collapsed="false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customFormat="false" ht="15.75" hidden="false" customHeight="false" outlineLevel="0" collapsed="false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customFormat="false" ht="15.75" hidden="false" customHeight="false" outlineLevel="0" collapsed="false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customFormat="false" ht="15.75" hidden="false" customHeight="false" outlineLevel="0" collapsed="false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customFormat="false" ht="15.75" hidden="false" customHeight="false" outlineLevel="0" collapsed="false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customFormat="false" ht="15.75" hidden="false" customHeight="false" outlineLevel="0" collapsed="false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customFormat="false" ht="15.75" hidden="false" customHeight="false" outlineLevel="0" collapsed="false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customFormat="false" ht="15.75" hidden="false" customHeight="false" outlineLevel="0" collapsed="false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customFormat="false" ht="15.75" hidden="false" customHeight="false" outlineLevel="0" collapsed="false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customFormat="false" ht="15.75" hidden="false" customHeight="false" outlineLevel="0" collapsed="false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customFormat="false" ht="15.75" hidden="false" customHeight="false" outlineLevel="0" collapsed="false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customFormat="false" ht="15.75" hidden="false" customHeight="false" outlineLevel="0" collapsed="false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customFormat="false" ht="15.75" hidden="false" customHeight="false" outlineLevel="0" collapsed="false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customFormat="false" ht="15.75" hidden="false" customHeight="false" outlineLevel="0" collapsed="false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customFormat="false" ht="15.75" hidden="false" customHeight="false" outlineLevel="0" collapsed="false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customFormat="false" ht="15.75" hidden="false" customHeight="false" outlineLevel="0" collapsed="false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customFormat="false" ht="15.75" hidden="false" customHeight="false" outlineLevel="0" collapsed="false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customFormat="false" ht="15.75" hidden="false" customHeight="false" outlineLevel="0" collapsed="false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customFormat="false" ht="15.75" hidden="false" customHeight="false" outlineLevel="0" collapsed="false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customFormat="false" ht="15.75" hidden="false" customHeight="false" outlineLevel="0" collapsed="false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customFormat="false" ht="15.75" hidden="false" customHeight="false" outlineLevel="0" collapsed="false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customFormat="false" ht="15.75" hidden="false" customHeight="false" outlineLevel="0" collapsed="false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customFormat="false" ht="15.75" hidden="false" customHeight="false" outlineLevel="0" collapsed="false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customFormat="false" ht="15.75" hidden="false" customHeight="false" outlineLevel="0" collapsed="false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customFormat="false" ht="15.75" hidden="false" customHeight="false" outlineLevel="0" collapsed="false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customFormat="false" ht="15.75" hidden="false" customHeight="false" outlineLevel="0" collapsed="false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customFormat="false" ht="15.75" hidden="false" customHeight="false" outlineLevel="0" collapsed="false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customFormat="false" ht="15.75" hidden="false" customHeight="false" outlineLevel="0" collapsed="false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customFormat="false" ht="15.75" hidden="false" customHeight="false" outlineLevel="0" collapsed="false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customFormat="false" ht="15.75" hidden="false" customHeight="false" outlineLevel="0" collapsed="false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customFormat="false" ht="15.75" hidden="false" customHeight="false" outlineLevel="0" collapsed="false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customFormat="false" ht="15.75" hidden="false" customHeight="false" outlineLevel="0" collapsed="false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customFormat="false" ht="15.75" hidden="false" customHeight="false" outlineLevel="0" collapsed="false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customFormat="false" ht="15.75" hidden="false" customHeight="false" outlineLevel="0" collapsed="false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customFormat="false" ht="15.75" hidden="false" customHeight="false" outlineLevel="0" collapsed="false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customFormat="false" ht="15.75" hidden="false" customHeight="false" outlineLevel="0" collapsed="false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customFormat="false" ht="15.75" hidden="false" customHeight="false" outlineLevel="0" collapsed="false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customFormat="false" ht="15.75" hidden="false" customHeight="false" outlineLevel="0" collapsed="false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customFormat="false" ht="15.75" hidden="false" customHeight="false" outlineLevel="0" collapsed="false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customFormat="false" ht="15.75" hidden="false" customHeight="false" outlineLevel="0" collapsed="false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customFormat="false" ht="15.75" hidden="false" customHeight="false" outlineLevel="0" collapsed="false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customFormat="false" ht="15.75" hidden="false" customHeight="false" outlineLevel="0" collapsed="false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customFormat="false" ht="15.75" hidden="false" customHeight="false" outlineLevel="0" collapsed="false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customFormat="false" ht="15.75" hidden="false" customHeight="false" outlineLevel="0" collapsed="false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customFormat="false" ht="15.75" hidden="false" customHeight="false" outlineLevel="0" collapsed="false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customFormat="false" ht="15.75" hidden="false" customHeight="false" outlineLevel="0" collapsed="false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customFormat="false" ht="15.75" hidden="false" customHeight="false" outlineLevel="0" collapsed="false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customFormat="false" ht="15.75" hidden="false" customHeight="false" outlineLevel="0" collapsed="false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customFormat="false" ht="15.75" hidden="false" customHeight="false" outlineLevel="0" collapsed="false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customFormat="false" ht="15.75" hidden="false" customHeight="false" outlineLevel="0" collapsed="false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customFormat="false" ht="15.75" hidden="false" customHeight="false" outlineLevel="0" collapsed="false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customFormat="false" ht="15.75" hidden="false" customHeight="false" outlineLevel="0" collapsed="false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customFormat="false" ht="15.75" hidden="false" customHeight="false" outlineLevel="0" collapsed="false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customFormat="false" ht="15.75" hidden="false" customHeight="false" outlineLevel="0" collapsed="false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customFormat="false" ht="15.75" hidden="false" customHeight="false" outlineLevel="0" collapsed="false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customFormat="false" ht="15.75" hidden="false" customHeight="false" outlineLevel="0" collapsed="false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customFormat="false" ht="15.75" hidden="false" customHeight="false" outlineLevel="0" collapsed="false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customFormat="false" ht="15.75" hidden="false" customHeight="false" outlineLevel="0" collapsed="false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customFormat="false" ht="15.75" hidden="false" customHeight="false" outlineLevel="0" collapsed="false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customFormat="false" ht="15.75" hidden="false" customHeight="false" outlineLevel="0" collapsed="false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customFormat="false" ht="15.75" hidden="false" customHeight="false" outlineLevel="0" collapsed="false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customFormat="false" ht="15.75" hidden="false" customHeight="false" outlineLevel="0" collapsed="false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customFormat="false" ht="15.75" hidden="false" customHeight="false" outlineLevel="0" collapsed="false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customFormat="false" ht="15.75" hidden="false" customHeight="false" outlineLevel="0" collapsed="false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customFormat="false" ht="15.75" hidden="false" customHeight="false" outlineLevel="0" collapsed="false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customFormat="false" ht="15.75" hidden="false" customHeight="false" outlineLevel="0" collapsed="false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customFormat="false" ht="15.75" hidden="false" customHeight="false" outlineLevel="0" collapsed="false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customFormat="false" ht="15.75" hidden="false" customHeight="false" outlineLevel="0" collapsed="false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customFormat="false" ht="15.75" hidden="false" customHeight="false" outlineLevel="0" collapsed="false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customFormat="false" ht="15.75" hidden="false" customHeight="false" outlineLevel="0" collapsed="false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customFormat="false" ht="15.75" hidden="false" customHeight="false" outlineLevel="0" collapsed="false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customFormat="false" ht="15.75" hidden="false" customHeight="false" outlineLevel="0" collapsed="false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customFormat="false" ht="15.75" hidden="false" customHeight="false" outlineLevel="0" collapsed="false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customFormat="false" ht="15.75" hidden="false" customHeight="false" outlineLevel="0" collapsed="false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customFormat="false" ht="15.75" hidden="false" customHeight="false" outlineLevel="0" collapsed="false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customFormat="false" ht="15.75" hidden="false" customHeight="false" outlineLevel="0" collapsed="false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customFormat="false" ht="15.75" hidden="false" customHeight="false" outlineLevel="0" collapsed="false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customFormat="false" ht="15.75" hidden="false" customHeight="false" outlineLevel="0" collapsed="false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customFormat="false" ht="15.75" hidden="false" customHeight="false" outlineLevel="0" collapsed="false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customFormat="false" ht="15.75" hidden="false" customHeight="false" outlineLevel="0" collapsed="false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customFormat="false" ht="15.75" hidden="false" customHeight="false" outlineLevel="0" collapsed="false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customFormat="false" ht="15.75" hidden="false" customHeight="false" outlineLevel="0" collapsed="false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customFormat="false" ht="15.75" hidden="false" customHeight="false" outlineLevel="0" collapsed="false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customFormat="false" ht="15.75" hidden="false" customHeight="false" outlineLevel="0" collapsed="false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customFormat="false" ht="15.75" hidden="false" customHeight="false" outlineLevel="0" collapsed="false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customFormat="false" ht="15.75" hidden="false" customHeight="false" outlineLevel="0" collapsed="false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customFormat="false" ht="15.75" hidden="false" customHeight="false" outlineLevel="0" collapsed="false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customFormat="false" ht="15.75" hidden="false" customHeight="false" outlineLevel="0" collapsed="false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customFormat="false" ht="15.75" hidden="false" customHeight="false" outlineLevel="0" collapsed="false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customFormat="false" ht="15.75" hidden="false" customHeight="false" outlineLevel="0" collapsed="false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customFormat="false" ht="15.75" hidden="false" customHeight="false" outlineLevel="0" collapsed="false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customFormat="false" ht="15.75" hidden="false" customHeight="false" outlineLevel="0" collapsed="false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customFormat="false" ht="15.75" hidden="false" customHeight="false" outlineLevel="0" collapsed="false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customFormat="false" ht="15.75" hidden="false" customHeight="false" outlineLevel="0" collapsed="false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customFormat="false" ht="15.75" hidden="false" customHeight="false" outlineLevel="0" collapsed="false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customFormat="false" ht="15.75" hidden="false" customHeight="false" outlineLevel="0" collapsed="false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customFormat="false" ht="15.75" hidden="false" customHeight="false" outlineLevel="0" collapsed="false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customFormat="false" ht="15.75" hidden="false" customHeight="false" outlineLevel="0" collapsed="false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customFormat="false" ht="15.75" hidden="false" customHeight="false" outlineLevel="0" collapsed="false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customFormat="false" ht="15.75" hidden="false" customHeight="false" outlineLevel="0" collapsed="false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customFormat="false" ht="15.75" hidden="false" customHeight="false" outlineLevel="0" collapsed="false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customFormat="false" ht="15.75" hidden="false" customHeight="false" outlineLevel="0" collapsed="false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customFormat="false" ht="15.75" hidden="false" customHeight="false" outlineLevel="0" collapsed="false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customFormat="false" ht="15.75" hidden="false" customHeight="false" outlineLevel="0" collapsed="false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customFormat="false" ht="15.75" hidden="false" customHeight="false" outlineLevel="0" collapsed="false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customFormat="false" ht="15.75" hidden="false" customHeight="false" outlineLevel="0" collapsed="false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customFormat="false" ht="15.75" hidden="false" customHeight="false" outlineLevel="0" collapsed="false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customFormat="false" ht="15.75" hidden="false" customHeight="false" outlineLevel="0" collapsed="false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customFormat="false" ht="15.75" hidden="false" customHeight="false" outlineLevel="0" collapsed="false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customFormat="false" ht="15.75" hidden="false" customHeight="false" outlineLevel="0" collapsed="false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customFormat="false" ht="15.75" hidden="false" customHeight="false" outlineLevel="0" collapsed="false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customFormat="false" ht="15.75" hidden="false" customHeight="false" outlineLevel="0" collapsed="false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customFormat="false" ht="15.75" hidden="false" customHeight="false" outlineLevel="0" collapsed="false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customFormat="false" ht="15.75" hidden="false" customHeight="false" outlineLevel="0" collapsed="false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customFormat="false" ht="15.75" hidden="false" customHeight="false" outlineLevel="0" collapsed="false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customFormat="false" ht="15.75" hidden="false" customHeight="false" outlineLevel="0" collapsed="false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customFormat="false" ht="15.75" hidden="false" customHeight="false" outlineLevel="0" collapsed="false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customFormat="false" ht="15.75" hidden="false" customHeight="false" outlineLevel="0" collapsed="false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customFormat="false" ht="15.75" hidden="false" customHeight="false" outlineLevel="0" collapsed="false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customFormat="false" ht="15.75" hidden="false" customHeight="false" outlineLevel="0" collapsed="false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customFormat="false" ht="15.75" hidden="false" customHeight="false" outlineLevel="0" collapsed="false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customFormat="false" ht="15.75" hidden="false" customHeight="false" outlineLevel="0" collapsed="false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customFormat="false" ht="15.75" hidden="false" customHeight="false" outlineLevel="0" collapsed="false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customFormat="false" ht="15.75" hidden="false" customHeight="false" outlineLevel="0" collapsed="false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customFormat="false" ht="15.75" hidden="false" customHeight="false" outlineLevel="0" collapsed="false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customFormat="false" ht="15.75" hidden="false" customHeight="false" outlineLevel="0" collapsed="false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customFormat="false" ht="15.75" hidden="false" customHeight="false" outlineLevel="0" collapsed="false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customFormat="false" ht="15.75" hidden="false" customHeight="false" outlineLevel="0" collapsed="false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customFormat="false" ht="15.75" hidden="false" customHeight="false" outlineLevel="0" collapsed="false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customFormat="false" ht="15.75" hidden="false" customHeight="false" outlineLevel="0" collapsed="false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customFormat="false" ht="15.75" hidden="false" customHeight="false" outlineLevel="0" collapsed="false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customFormat="false" ht="15.75" hidden="false" customHeight="false" outlineLevel="0" collapsed="false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customFormat="false" ht="15.75" hidden="false" customHeight="false" outlineLevel="0" collapsed="false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customFormat="false" ht="15.75" hidden="false" customHeight="false" outlineLevel="0" collapsed="false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customFormat="false" ht="15.75" hidden="false" customHeight="false" outlineLevel="0" collapsed="false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customFormat="false" ht="15.75" hidden="false" customHeight="false" outlineLevel="0" collapsed="false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customFormat="false" ht="15.75" hidden="false" customHeight="false" outlineLevel="0" collapsed="false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customFormat="false" ht="15.75" hidden="false" customHeight="false" outlineLevel="0" collapsed="false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customFormat="false" ht="15.75" hidden="false" customHeight="false" outlineLevel="0" collapsed="false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customFormat="false" ht="15.75" hidden="false" customHeight="false" outlineLevel="0" collapsed="false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customFormat="false" ht="15.75" hidden="false" customHeight="false" outlineLevel="0" collapsed="false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customFormat="false" ht="15.75" hidden="false" customHeight="false" outlineLevel="0" collapsed="false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customFormat="false" ht="15.75" hidden="false" customHeight="false" outlineLevel="0" collapsed="false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customFormat="false" ht="15.75" hidden="false" customHeight="false" outlineLevel="0" collapsed="false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customFormat="false" ht="15.75" hidden="false" customHeight="false" outlineLevel="0" collapsed="false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customFormat="false" ht="15.75" hidden="false" customHeight="false" outlineLevel="0" collapsed="false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customFormat="false" ht="15.75" hidden="false" customHeight="false" outlineLevel="0" collapsed="false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customFormat="false" ht="15.75" hidden="false" customHeight="false" outlineLevel="0" collapsed="false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customFormat="false" ht="15.75" hidden="false" customHeight="false" outlineLevel="0" collapsed="false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customFormat="false" ht="15.75" hidden="false" customHeight="false" outlineLevel="0" collapsed="false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customFormat="false" ht="15.75" hidden="false" customHeight="false" outlineLevel="0" collapsed="false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customFormat="false" ht="15.75" hidden="false" customHeight="false" outlineLevel="0" collapsed="false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customFormat="false" ht="15.75" hidden="false" customHeight="false" outlineLevel="0" collapsed="false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customFormat="false" ht="15.75" hidden="false" customHeight="false" outlineLevel="0" collapsed="false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customFormat="false" ht="15.75" hidden="false" customHeight="false" outlineLevel="0" collapsed="false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customFormat="false" ht="15.75" hidden="false" customHeight="false" outlineLevel="0" collapsed="false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customFormat="false" ht="15.75" hidden="false" customHeight="false" outlineLevel="0" collapsed="false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customFormat="false" ht="15.75" hidden="false" customHeight="false" outlineLevel="0" collapsed="false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customFormat="false" ht="15.75" hidden="false" customHeight="false" outlineLevel="0" collapsed="false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customFormat="false" ht="15.75" hidden="false" customHeight="false" outlineLevel="0" collapsed="false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customFormat="false" ht="15.75" hidden="false" customHeight="false" outlineLevel="0" collapsed="false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customFormat="false" ht="15.75" hidden="false" customHeight="false" outlineLevel="0" collapsed="false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customFormat="false" ht="15.75" hidden="false" customHeight="false" outlineLevel="0" collapsed="false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customFormat="false" ht="15.75" hidden="false" customHeight="false" outlineLevel="0" collapsed="false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customFormat="false" ht="15.75" hidden="false" customHeight="false" outlineLevel="0" collapsed="false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customFormat="false" ht="15.75" hidden="false" customHeight="false" outlineLevel="0" collapsed="false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customFormat="false" ht="15.75" hidden="false" customHeight="false" outlineLevel="0" collapsed="false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customFormat="false" ht="15.75" hidden="false" customHeight="false" outlineLevel="0" collapsed="false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customFormat="false" ht="15.75" hidden="false" customHeight="false" outlineLevel="0" collapsed="false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customFormat="false" ht="15.75" hidden="false" customHeight="false" outlineLevel="0" collapsed="false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customFormat="false" ht="15.75" hidden="false" customHeight="false" outlineLevel="0" collapsed="false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customFormat="false" ht="15.75" hidden="false" customHeight="false" outlineLevel="0" collapsed="false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customFormat="false" ht="15.75" hidden="false" customHeight="false" outlineLevel="0" collapsed="false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customFormat="false" ht="15.75" hidden="false" customHeight="false" outlineLevel="0" collapsed="false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customFormat="false" ht="15.75" hidden="false" customHeight="false" outlineLevel="0" collapsed="false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customFormat="false" ht="15.75" hidden="false" customHeight="false" outlineLevel="0" collapsed="false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customFormat="false" ht="15.75" hidden="false" customHeight="false" outlineLevel="0" collapsed="false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customFormat="false" ht="15.75" hidden="false" customHeight="false" outlineLevel="0" collapsed="false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customFormat="false" ht="15.75" hidden="false" customHeight="false" outlineLevel="0" collapsed="false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customFormat="false" ht="15.75" hidden="false" customHeight="false" outlineLevel="0" collapsed="false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customFormat="false" ht="15.75" hidden="false" customHeight="false" outlineLevel="0" collapsed="false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customFormat="false" ht="15.75" hidden="false" customHeight="false" outlineLevel="0" collapsed="false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customFormat="false" ht="15.75" hidden="false" customHeight="false" outlineLevel="0" collapsed="false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customFormat="false" ht="15.75" hidden="false" customHeight="false" outlineLevel="0" collapsed="false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customFormat="false" ht="15.75" hidden="false" customHeight="false" outlineLevel="0" collapsed="false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customFormat="false" ht="15.75" hidden="false" customHeight="false" outlineLevel="0" collapsed="false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customFormat="false" ht="15.75" hidden="false" customHeight="false" outlineLevel="0" collapsed="false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customFormat="false" ht="15.75" hidden="false" customHeight="false" outlineLevel="0" collapsed="false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customFormat="false" ht="15.75" hidden="false" customHeight="false" outlineLevel="0" collapsed="false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customFormat="false" ht="15.75" hidden="false" customHeight="false" outlineLevel="0" collapsed="false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customFormat="false" ht="15.75" hidden="false" customHeight="false" outlineLevel="0" collapsed="false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customFormat="false" ht="15.75" hidden="false" customHeight="false" outlineLevel="0" collapsed="false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customFormat="false" ht="15.75" hidden="false" customHeight="false" outlineLevel="0" collapsed="false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customFormat="false" ht="15.75" hidden="false" customHeight="false" outlineLevel="0" collapsed="false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customFormat="false" ht="15.75" hidden="false" customHeight="false" outlineLevel="0" collapsed="false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customFormat="false" ht="15.75" hidden="false" customHeight="false" outlineLevel="0" collapsed="false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customFormat="false" ht="15.75" hidden="false" customHeight="false" outlineLevel="0" collapsed="false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customFormat="false" ht="15.75" hidden="false" customHeight="false" outlineLevel="0" collapsed="false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customFormat="false" ht="15.75" hidden="false" customHeight="false" outlineLevel="0" collapsed="false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customFormat="false" ht="15.75" hidden="false" customHeight="false" outlineLevel="0" collapsed="false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customFormat="false" ht="15.75" hidden="false" customHeight="false" outlineLevel="0" collapsed="false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customFormat="false" ht="15.75" hidden="false" customHeight="false" outlineLevel="0" collapsed="false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customFormat="false" ht="15.75" hidden="false" customHeight="false" outlineLevel="0" collapsed="false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customFormat="false" ht="15.75" hidden="false" customHeight="false" outlineLevel="0" collapsed="false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customFormat="false" ht="15.75" hidden="false" customHeight="false" outlineLevel="0" collapsed="false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customFormat="false" ht="15.75" hidden="false" customHeight="false" outlineLevel="0" collapsed="false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customFormat="false" ht="15.75" hidden="false" customHeight="false" outlineLevel="0" collapsed="false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customFormat="false" ht="15.75" hidden="false" customHeight="false" outlineLevel="0" collapsed="false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customFormat="false" ht="15.75" hidden="false" customHeight="false" outlineLevel="0" collapsed="false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customFormat="false" ht="15.75" hidden="false" customHeight="false" outlineLevel="0" collapsed="false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customFormat="false" ht="15.75" hidden="false" customHeight="false" outlineLevel="0" collapsed="false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customFormat="false" ht="15.75" hidden="false" customHeight="false" outlineLevel="0" collapsed="false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customFormat="false" ht="15.75" hidden="false" customHeight="false" outlineLevel="0" collapsed="false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customFormat="false" ht="15.75" hidden="false" customHeight="false" outlineLevel="0" collapsed="false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customFormat="false" ht="15.75" hidden="false" customHeight="false" outlineLevel="0" collapsed="false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customFormat="false" ht="15.75" hidden="false" customHeight="false" outlineLevel="0" collapsed="false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customFormat="false" ht="15.75" hidden="false" customHeight="false" outlineLevel="0" collapsed="false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customFormat="false" ht="15.75" hidden="false" customHeight="false" outlineLevel="0" collapsed="false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customFormat="false" ht="15.75" hidden="false" customHeight="false" outlineLevel="0" collapsed="false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customFormat="false" ht="15.75" hidden="false" customHeight="false" outlineLevel="0" collapsed="false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customFormat="false" ht="15.75" hidden="false" customHeight="false" outlineLevel="0" collapsed="false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customFormat="false" ht="15.75" hidden="false" customHeight="false" outlineLevel="0" collapsed="false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customFormat="false" ht="15.75" hidden="false" customHeight="false" outlineLevel="0" collapsed="false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customFormat="false" ht="15.75" hidden="false" customHeight="false" outlineLevel="0" collapsed="false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customFormat="false" ht="15.75" hidden="false" customHeight="false" outlineLevel="0" collapsed="false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customFormat="false" ht="15.75" hidden="false" customHeight="false" outlineLevel="0" collapsed="false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customFormat="false" ht="15.75" hidden="false" customHeight="false" outlineLevel="0" collapsed="false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customFormat="false" ht="15.75" hidden="false" customHeight="false" outlineLevel="0" collapsed="false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customFormat="false" ht="15.75" hidden="false" customHeight="false" outlineLevel="0" collapsed="false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customFormat="false" ht="15.75" hidden="false" customHeight="false" outlineLevel="0" collapsed="false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customFormat="false" ht="15.75" hidden="false" customHeight="false" outlineLevel="0" collapsed="false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customFormat="false" ht="15.75" hidden="false" customHeight="false" outlineLevel="0" collapsed="false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customFormat="false" ht="15.75" hidden="false" customHeight="false" outlineLevel="0" collapsed="false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customFormat="false" ht="15.75" hidden="false" customHeight="false" outlineLevel="0" collapsed="false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customFormat="false" ht="15.75" hidden="false" customHeight="false" outlineLevel="0" collapsed="false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customFormat="false" ht="15.75" hidden="false" customHeight="false" outlineLevel="0" collapsed="false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customFormat="false" ht="15.75" hidden="false" customHeight="false" outlineLevel="0" collapsed="false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customFormat="false" ht="15.75" hidden="false" customHeight="false" outlineLevel="0" collapsed="false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customFormat="false" ht="15.75" hidden="false" customHeight="false" outlineLevel="0" collapsed="false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customFormat="false" ht="15.75" hidden="false" customHeight="false" outlineLevel="0" collapsed="false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customFormat="false" ht="15.75" hidden="false" customHeight="false" outlineLevel="0" collapsed="false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customFormat="false" ht="15.75" hidden="false" customHeight="false" outlineLevel="0" collapsed="false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customFormat="false" ht="15.75" hidden="false" customHeight="false" outlineLevel="0" collapsed="false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customFormat="false" ht="15.75" hidden="false" customHeight="false" outlineLevel="0" collapsed="false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customFormat="false" ht="15.75" hidden="false" customHeight="false" outlineLevel="0" collapsed="false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customFormat="false" ht="15.75" hidden="false" customHeight="false" outlineLevel="0" collapsed="false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customFormat="false" ht="15.75" hidden="false" customHeight="false" outlineLevel="0" collapsed="false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customFormat="false" ht="15.75" hidden="false" customHeight="false" outlineLevel="0" collapsed="false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customFormat="false" ht="15.75" hidden="false" customHeight="false" outlineLevel="0" collapsed="false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customFormat="false" ht="15.75" hidden="false" customHeight="false" outlineLevel="0" collapsed="false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customFormat="false" ht="15.75" hidden="false" customHeight="false" outlineLevel="0" collapsed="false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customFormat="false" ht="15.75" hidden="false" customHeight="false" outlineLevel="0" collapsed="false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customFormat="false" ht="15.75" hidden="false" customHeight="false" outlineLevel="0" collapsed="false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customFormat="false" ht="15.75" hidden="false" customHeight="false" outlineLevel="0" collapsed="false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customFormat="false" ht="15.75" hidden="false" customHeight="false" outlineLevel="0" collapsed="false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customFormat="false" ht="15.75" hidden="false" customHeight="false" outlineLevel="0" collapsed="false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customFormat="false" ht="15.75" hidden="false" customHeight="false" outlineLevel="0" collapsed="false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customFormat="false" ht="15.75" hidden="false" customHeight="false" outlineLevel="0" collapsed="false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customFormat="false" ht="15.75" hidden="false" customHeight="false" outlineLevel="0" collapsed="false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customFormat="false" ht="15.75" hidden="false" customHeight="false" outlineLevel="0" collapsed="false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customFormat="false" ht="15.75" hidden="false" customHeight="false" outlineLevel="0" collapsed="false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customFormat="false" ht="15.75" hidden="false" customHeight="false" outlineLevel="0" collapsed="false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customFormat="false" ht="15.75" hidden="false" customHeight="false" outlineLevel="0" collapsed="false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customFormat="false" ht="15.75" hidden="false" customHeight="false" outlineLevel="0" collapsed="false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customFormat="false" ht="15.75" hidden="false" customHeight="false" outlineLevel="0" collapsed="false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customFormat="false" ht="15.75" hidden="false" customHeight="false" outlineLevel="0" collapsed="false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customFormat="false" ht="15.75" hidden="false" customHeight="false" outlineLevel="0" collapsed="false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customFormat="false" ht="15.75" hidden="false" customHeight="false" outlineLevel="0" collapsed="false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customFormat="false" ht="15.75" hidden="false" customHeight="false" outlineLevel="0" collapsed="false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customFormat="false" ht="15.75" hidden="false" customHeight="false" outlineLevel="0" collapsed="false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customFormat="false" ht="15.75" hidden="false" customHeight="false" outlineLevel="0" collapsed="false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customFormat="false" ht="15.75" hidden="false" customHeight="false" outlineLevel="0" collapsed="false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customFormat="false" ht="15.75" hidden="false" customHeight="false" outlineLevel="0" collapsed="false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customFormat="false" ht="15.75" hidden="false" customHeight="false" outlineLevel="0" collapsed="false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customFormat="false" ht="15.75" hidden="false" customHeight="false" outlineLevel="0" collapsed="false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customFormat="false" ht="15.75" hidden="false" customHeight="false" outlineLevel="0" collapsed="false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customFormat="false" ht="15.75" hidden="false" customHeight="false" outlineLevel="0" collapsed="false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customFormat="false" ht="15.75" hidden="false" customHeight="false" outlineLevel="0" collapsed="false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customFormat="false" ht="15.75" hidden="false" customHeight="false" outlineLevel="0" collapsed="false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customFormat="false" ht="15.75" hidden="false" customHeight="false" outlineLevel="0" collapsed="false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customFormat="false" ht="15.75" hidden="false" customHeight="false" outlineLevel="0" collapsed="false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customFormat="false" ht="15.75" hidden="false" customHeight="false" outlineLevel="0" collapsed="false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customFormat="false" ht="15.75" hidden="false" customHeight="false" outlineLevel="0" collapsed="false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customFormat="false" ht="15.75" hidden="false" customHeight="false" outlineLevel="0" collapsed="false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customFormat="false" ht="15.75" hidden="false" customHeight="false" outlineLevel="0" collapsed="false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customFormat="false" ht="15.75" hidden="false" customHeight="false" outlineLevel="0" collapsed="false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customFormat="false" ht="15.75" hidden="false" customHeight="false" outlineLevel="0" collapsed="false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customFormat="false" ht="15.75" hidden="false" customHeight="false" outlineLevel="0" collapsed="false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customFormat="false" ht="15.75" hidden="false" customHeight="false" outlineLevel="0" collapsed="false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customFormat="false" ht="15.75" hidden="false" customHeight="false" outlineLevel="0" collapsed="false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customFormat="false" ht="15.75" hidden="false" customHeight="false" outlineLevel="0" collapsed="false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customFormat="false" ht="15.75" hidden="false" customHeight="false" outlineLevel="0" collapsed="false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customFormat="false" ht="15.75" hidden="false" customHeight="false" outlineLevel="0" collapsed="false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customFormat="false" ht="15.75" hidden="false" customHeight="false" outlineLevel="0" collapsed="false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customFormat="false" ht="15.75" hidden="false" customHeight="false" outlineLevel="0" collapsed="false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customFormat="false" ht="15.75" hidden="false" customHeight="false" outlineLevel="0" collapsed="false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customFormat="false" ht="15.75" hidden="false" customHeight="false" outlineLevel="0" collapsed="false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customFormat="false" ht="15.75" hidden="false" customHeight="false" outlineLevel="0" collapsed="false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customFormat="false" ht="15.75" hidden="false" customHeight="false" outlineLevel="0" collapsed="false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customFormat="false" ht="15.75" hidden="false" customHeight="false" outlineLevel="0" collapsed="false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customFormat="false" ht="15.75" hidden="false" customHeight="false" outlineLevel="0" collapsed="false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customFormat="false" ht="15.75" hidden="false" customHeight="false" outlineLevel="0" collapsed="false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customFormat="false" ht="15.75" hidden="false" customHeight="false" outlineLevel="0" collapsed="false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customFormat="false" ht="15.75" hidden="false" customHeight="false" outlineLevel="0" collapsed="false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customFormat="false" ht="15.75" hidden="false" customHeight="false" outlineLevel="0" collapsed="false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customFormat="false" ht="15.75" hidden="false" customHeight="false" outlineLevel="0" collapsed="false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customFormat="false" ht="15.75" hidden="false" customHeight="false" outlineLevel="0" collapsed="false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customFormat="false" ht="15.75" hidden="false" customHeight="false" outlineLevel="0" collapsed="false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customFormat="false" ht="15.75" hidden="false" customHeight="false" outlineLevel="0" collapsed="false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customFormat="false" ht="15.75" hidden="false" customHeight="false" outlineLevel="0" collapsed="false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customFormat="false" ht="15.75" hidden="false" customHeight="false" outlineLevel="0" collapsed="false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customFormat="false" ht="15.75" hidden="false" customHeight="false" outlineLevel="0" collapsed="false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customFormat="false" ht="15.75" hidden="false" customHeight="false" outlineLevel="0" collapsed="false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customFormat="false" ht="15.75" hidden="false" customHeight="false" outlineLevel="0" collapsed="false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customFormat="false" ht="15.75" hidden="false" customHeight="false" outlineLevel="0" collapsed="false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customFormat="false" ht="15.75" hidden="false" customHeight="false" outlineLevel="0" collapsed="false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customFormat="false" ht="15.75" hidden="false" customHeight="false" outlineLevel="0" collapsed="false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customFormat="false" ht="15.75" hidden="false" customHeight="false" outlineLevel="0" collapsed="false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customFormat="false" ht="15.75" hidden="false" customHeight="false" outlineLevel="0" collapsed="false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customFormat="false" ht="15.75" hidden="false" customHeight="false" outlineLevel="0" collapsed="false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customFormat="false" ht="15.75" hidden="false" customHeight="false" outlineLevel="0" collapsed="false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customFormat="false" ht="15.75" hidden="false" customHeight="false" outlineLevel="0" collapsed="false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customFormat="false" ht="15.75" hidden="false" customHeight="false" outlineLevel="0" collapsed="false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customFormat="false" ht="15.75" hidden="false" customHeight="false" outlineLevel="0" collapsed="false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customFormat="false" ht="15.75" hidden="false" customHeight="false" outlineLevel="0" collapsed="false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customFormat="false" ht="15.75" hidden="false" customHeight="false" outlineLevel="0" collapsed="false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customFormat="false" ht="15.75" hidden="false" customHeight="false" outlineLevel="0" collapsed="false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customFormat="false" ht="15.75" hidden="false" customHeight="false" outlineLevel="0" collapsed="false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customFormat="false" ht="15.75" hidden="false" customHeight="false" outlineLevel="0" collapsed="false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customFormat="false" ht="15.75" hidden="false" customHeight="false" outlineLevel="0" collapsed="false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customFormat="false" ht="15.75" hidden="false" customHeight="false" outlineLevel="0" collapsed="false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customFormat="false" ht="15.75" hidden="false" customHeight="false" outlineLevel="0" collapsed="false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customFormat="false" ht="15.75" hidden="false" customHeight="false" outlineLevel="0" collapsed="false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customFormat="false" ht="15.75" hidden="false" customHeight="false" outlineLevel="0" collapsed="false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customFormat="false" ht="15.75" hidden="false" customHeight="false" outlineLevel="0" collapsed="false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customFormat="false" ht="15.75" hidden="false" customHeight="false" outlineLevel="0" collapsed="false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customFormat="false" ht="15.75" hidden="false" customHeight="false" outlineLevel="0" collapsed="false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customFormat="false" ht="15.75" hidden="false" customHeight="false" outlineLevel="0" collapsed="false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customFormat="false" ht="15.75" hidden="false" customHeight="false" outlineLevel="0" collapsed="false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customFormat="false" ht="15.75" hidden="false" customHeight="false" outlineLevel="0" collapsed="false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customFormat="false" ht="15.75" hidden="false" customHeight="false" outlineLevel="0" collapsed="false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customFormat="false" ht="15.75" hidden="false" customHeight="false" outlineLevel="0" collapsed="false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customFormat="false" ht="15.75" hidden="false" customHeight="false" outlineLevel="0" collapsed="false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customFormat="false" ht="15.75" hidden="false" customHeight="false" outlineLevel="0" collapsed="false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customFormat="false" ht="15.75" hidden="false" customHeight="false" outlineLevel="0" collapsed="false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customFormat="false" ht="15.75" hidden="false" customHeight="false" outlineLevel="0" collapsed="false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customFormat="false" ht="15.75" hidden="false" customHeight="false" outlineLevel="0" collapsed="false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customFormat="false" ht="15.75" hidden="false" customHeight="false" outlineLevel="0" collapsed="false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customFormat="false" ht="15.75" hidden="false" customHeight="false" outlineLevel="0" collapsed="false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customFormat="false" ht="15.75" hidden="false" customHeight="false" outlineLevel="0" collapsed="false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customFormat="false" ht="15.75" hidden="false" customHeight="false" outlineLevel="0" collapsed="false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customFormat="false" ht="15.75" hidden="false" customHeight="false" outlineLevel="0" collapsed="false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customFormat="false" ht="15.75" hidden="false" customHeight="false" outlineLevel="0" collapsed="false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customFormat="false" ht="15.75" hidden="false" customHeight="false" outlineLevel="0" collapsed="false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customFormat="false" ht="15.75" hidden="false" customHeight="false" outlineLevel="0" collapsed="false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customFormat="false" ht="15.75" hidden="false" customHeight="false" outlineLevel="0" collapsed="false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customFormat="false" ht="15.75" hidden="false" customHeight="false" outlineLevel="0" collapsed="false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customFormat="false" ht="15.75" hidden="false" customHeight="false" outlineLevel="0" collapsed="false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customFormat="false" ht="15.75" hidden="false" customHeight="false" outlineLevel="0" collapsed="false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customFormat="false" ht="15.75" hidden="false" customHeight="false" outlineLevel="0" collapsed="false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customFormat="false" ht="15.75" hidden="false" customHeight="false" outlineLevel="0" collapsed="false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customFormat="false" ht="15.75" hidden="false" customHeight="false" outlineLevel="0" collapsed="false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customFormat="false" ht="15.75" hidden="false" customHeight="false" outlineLevel="0" collapsed="false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customFormat="false" ht="15.75" hidden="false" customHeight="false" outlineLevel="0" collapsed="false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customFormat="false" ht="15.75" hidden="false" customHeight="false" outlineLevel="0" collapsed="false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customFormat="false" ht="15.75" hidden="false" customHeight="false" outlineLevel="0" collapsed="false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customFormat="false" ht="15.75" hidden="false" customHeight="false" outlineLevel="0" collapsed="false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customFormat="false" ht="15.75" hidden="false" customHeight="false" outlineLevel="0" collapsed="false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customFormat="false" ht="15.75" hidden="false" customHeight="false" outlineLevel="0" collapsed="false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customFormat="false" ht="15.75" hidden="false" customHeight="false" outlineLevel="0" collapsed="false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customFormat="false" ht="15.75" hidden="false" customHeight="false" outlineLevel="0" collapsed="false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customFormat="false" ht="15.75" hidden="false" customHeight="false" outlineLevel="0" collapsed="false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customFormat="false" ht="15.75" hidden="false" customHeight="false" outlineLevel="0" collapsed="false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customFormat="false" ht="15.75" hidden="false" customHeight="false" outlineLevel="0" collapsed="false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customFormat="false" ht="15.75" hidden="false" customHeight="false" outlineLevel="0" collapsed="false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customFormat="false" ht="15.75" hidden="false" customHeight="false" outlineLevel="0" collapsed="false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customFormat="false" ht="15.75" hidden="false" customHeight="false" outlineLevel="0" collapsed="false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customFormat="false" ht="15.75" hidden="false" customHeight="false" outlineLevel="0" collapsed="false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customFormat="false" ht="15.75" hidden="false" customHeight="false" outlineLevel="0" collapsed="false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customFormat="false" ht="15.75" hidden="false" customHeight="false" outlineLevel="0" collapsed="false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customFormat="false" ht="15.75" hidden="false" customHeight="false" outlineLevel="0" collapsed="false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customFormat="false" ht="15.75" hidden="false" customHeight="false" outlineLevel="0" collapsed="false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customFormat="false" ht="15.75" hidden="false" customHeight="false" outlineLevel="0" collapsed="false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customFormat="false" ht="15.75" hidden="false" customHeight="false" outlineLevel="0" collapsed="false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customFormat="false" ht="15.75" hidden="false" customHeight="false" outlineLevel="0" collapsed="false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customFormat="false" ht="15.75" hidden="false" customHeight="false" outlineLevel="0" collapsed="false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customFormat="false" ht="15.75" hidden="false" customHeight="false" outlineLevel="0" collapsed="false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customFormat="false" ht="15.75" hidden="false" customHeight="false" outlineLevel="0" collapsed="false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customFormat="false" ht="15.75" hidden="false" customHeight="false" outlineLevel="0" collapsed="false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customFormat="false" ht="15.75" hidden="false" customHeight="false" outlineLevel="0" collapsed="false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customFormat="false" ht="15.75" hidden="false" customHeight="false" outlineLevel="0" collapsed="false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customFormat="false" ht="15.75" hidden="false" customHeight="false" outlineLevel="0" collapsed="false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customFormat="false" ht="15.75" hidden="false" customHeight="false" outlineLevel="0" collapsed="false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customFormat="false" ht="15.75" hidden="false" customHeight="false" outlineLevel="0" collapsed="false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customFormat="false" ht="15.75" hidden="false" customHeight="false" outlineLevel="0" collapsed="false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customFormat="false" ht="15.75" hidden="false" customHeight="false" outlineLevel="0" collapsed="false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customFormat="false" ht="15.75" hidden="false" customHeight="false" outlineLevel="0" collapsed="false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customFormat="false" ht="15.75" hidden="false" customHeight="false" outlineLevel="0" collapsed="false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customFormat="false" ht="15.75" hidden="false" customHeight="false" outlineLevel="0" collapsed="false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customFormat="false" ht="15.75" hidden="false" customHeight="false" outlineLevel="0" collapsed="false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customFormat="false" ht="15.75" hidden="false" customHeight="false" outlineLevel="0" collapsed="false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customFormat="false" ht="15.75" hidden="false" customHeight="false" outlineLevel="0" collapsed="false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customFormat="false" ht="15.75" hidden="false" customHeight="false" outlineLevel="0" collapsed="false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customFormat="false" ht="15.75" hidden="false" customHeight="false" outlineLevel="0" collapsed="false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customFormat="false" ht="15.75" hidden="false" customHeight="false" outlineLevel="0" collapsed="false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customFormat="false" ht="15.75" hidden="false" customHeight="false" outlineLevel="0" collapsed="false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customFormat="false" ht="15.75" hidden="false" customHeight="false" outlineLevel="0" collapsed="false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customFormat="false" ht="15.75" hidden="false" customHeight="false" outlineLevel="0" collapsed="false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customFormat="false" ht="15.75" hidden="false" customHeight="false" outlineLevel="0" collapsed="false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customFormat="false" ht="15.75" hidden="false" customHeight="false" outlineLevel="0" collapsed="false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customFormat="false" ht="15.75" hidden="false" customHeight="false" outlineLevel="0" collapsed="false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customFormat="false" ht="15.75" hidden="false" customHeight="false" outlineLevel="0" collapsed="false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customFormat="false" ht="15.75" hidden="false" customHeight="false" outlineLevel="0" collapsed="false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customFormat="false" ht="15.75" hidden="false" customHeight="false" outlineLevel="0" collapsed="false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customFormat="false" ht="15.75" hidden="false" customHeight="false" outlineLevel="0" collapsed="false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customFormat="false" ht="15.75" hidden="false" customHeight="false" outlineLevel="0" collapsed="false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customFormat="false" ht="15.75" hidden="false" customHeight="false" outlineLevel="0" collapsed="false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customFormat="false" ht="15.75" hidden="false" customHeight="false" outlineLevel="0" collapsed="false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customFormat="false" ht="15.75" hidden="false" customHeight="false" outlineLevel="0" collapsed="false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customFormat="false" ht="15.75" hidden="false" customHeight="false" outlineLevel="0" collapsed="false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customFormat="false" ht="15.75" hidden="false" customHeight="false" outlineLevel="0" collapsed="false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customFormat="false" ht="15.75" hidden="false" customHeight="false" outlineLevel="0" collapsed="false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customFormat="false" ht="15.75" hidden="false" customHeight="false" outlineLevel="0" collapsed="false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customFormat="false" ht="15.75" hidden="false" customHeight="false" outlineLevel="0" collapsed="false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customFormat="false" ht="15.75" hidden="false" customHeight="false" outlineLevel="0" collapsed="false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customFormat="false" ht="15.75" hidden="false" customHeight="false" outlineLevel="0" collapsed="false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customFormat="false" ht="15.75" hidden="false" customHeight="false" outlineLevel="0" collapsed="false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customFormat="false" ht="15.75" hidden="false" customHeight="false" outlineLevel="0" collapsed="false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customFormat="false" ht="15.75" hidden="false" customHeight="false" outlineLevel="0" collapsed="false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customFormat="false" ht="15.75" hidden="false" customHeight="false" outlineLevel="0" collapsed="false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customFormat="false" ht="15.75" hidden="false" customHeight="false" outlineLevel="0" collapsed="false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customFormat="false" ht="15.75" hidden="false" customHeight="false" outlineLevel="0" collapsed="false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customFormat="false" ht="15.75" hidden="false" customHeight="false" outlineLevel="0" collapsed="false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customFormat="false" ht="15.75" hidden="false" customHeight="false" outlineLevel="0" collapsed="false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customFormat="false" ht="15.75" hidden="false" customHeight="false" outlineLevel="0" collapsed="false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customFormat="false" ht="15.75" hidden="false" customHeight="false" outlineLevel="0" collapsed="false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customFormat="false" ht="15.75" hidden="false" customHeight="false" outlineLevel="0" collapsed="false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customFormat="false" ht="15.75" hidden="false" customHeight="false" outlineLevel="0" collapsed="false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customFormat="false" ht="15.75" hidden="false" customHeight="false" outlineLevel="0" collapsed="false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customFormat="false" ht="15.75" hidden="false" customHeight="false" outlineLevel="0" collapsed="false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customFormat="false" ht="15.75" hidden="false" customHeight="false" outlineLevel="0" collapsed="false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customFormat="false" ht="15.75" hidden="false" customHeight="false" outlineLevel="0" collapsed="false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customFormat="false" ht="15.75" hidden="false" customHeight="false" outlineLevel="0" collapsed="false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customFormat="false" ht="15.75" hidden="false" customHeight="false" outlineLevel="0" collapsed="false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customFormat="false" ht="15.75" hidden="false" customHeight="false" outlineLevel="0" collapsed="false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customFormat="false" ht="15.75" hidden="false" customHeight="false" outlineLevel="0" collapsed="false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customFormat="false" ht="15.75" hidden="false" customHeight="false" outlineLevel="0" collapsed="false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customFormat="false" ht="15.75" hidden="false" customHeight="false" outlineLevel="0" collapsed="false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customFormat="false" ht="15.75" hidden="false" customHeight="false" outlineLevel="0" collapsed="false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customFormat="false" ht="15.75" hidden="false" customHeight="false" outlineLevel="0" collapsed="false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customFormat="false" ht="15.75" hidden="false" customHeight="false" outlineLevel="0" collapsed="false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customFormat="false" ht="15.75" hidden="false" customHeight="false" outlineLevel="0" collapsed="false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customFormat="false" ht="15.75" hidden="false" customHeight="false" outlineLevel="0" collapsed="false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customFormat="false" ht="15.75" hidden="false" customHeight="false" outlineLevel="0" collapsed="false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customFormat="false" ht="15.75" hidden="false" customHeight="false" outlineLevel="0" collapsed="false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customFormat="false" ht="15.75" hidden="false" customHeight="false" outlineLevel="0" collapsed="false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customFormat="false" ht="15.75" hidden="false" customHeight="false" outlineLevel="0" collapsed="false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customFormat="false" ht="15.75" hidden="false" customHeight="false" outlineLevel="0" collapsed="false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customFormat="false" ht="15.75" hidden="false" customHeight="false" outlineLevel="0" collapsed="false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customFormat="false" ht="15.75" hidden="false" customHeight="false" outlineLevel="0" collapsed="false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customFormat="false" ht="15.75" hidden="false" customHeight="false" outlineLevel="0" collapsed="false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customFormat="false" ht="15.75" hidden="false" customHeight="false" outlineLevel="0" collapsed="false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customFormat="false" ht="15.75" hidden="false" customHeight="false" outlineLevel="0" collapsed="false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customFormat="false" ht="15.75" hidden="false" customHeight="false" outlineLevel="0" collapsed="false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customFormat="false" ht="15.75" hidden="false" customHeight="false" outlineLevel="0" collapsed="false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customFormat="false" ht="15.75" hidden="false" customHeight="false" outlineLevel="0" collapsed="false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customFormat="false" ht="15.75" hidden="false" customHeight="false" outlineLevel="0" collapsed="false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customFormat="false" ht="15.75" hidden="false" customHeight="false" outlineLevel="0" collapsed="false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customFormat="false" ht="15.75" hidden="false" customHeight="false" outlineLevel="0" collapsed="false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customFormat="false" ht="15.75" hidden="false" customHeight="false" outlineLevel="0" collapsed="false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customFormat="false" ht="15.75" hidden="false" customHeight="false" outlineLevel="0" collapsed="false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customFormat="false" ht="15.75" hidden="false" customHeight="false" outlineLevel="0" collapsed="false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customFormat="false" ht="15.75" hidden="false" customHeight="false" outlineLevel="0" collapsed="false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customFormat="false" ht="15.75" hidden="false" customHeight="false" outlineLevel="0" collapsed="false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customFormat="false" ht="15.75" hidden="false" customHeight="false" outlineLevel="0" collapsed="false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customFormat="false" ht="15.75" hidden="false" customHeight="false" outlineLevel="0" collapsed="false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customFormat="false" ht="15.75" hidden="false" customHeight="false" outlineLevel="0" collapsed="false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customFormat="false" ht="15.75" hidden="false" customHeight="false" outlineLevel="0" collapsed="false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customFormat="false" ht="15.75" hidden="false" customHeight="false" outlineLevel="0" collapsed="false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customFormat="false" ht="15.75" hidden="false" customHeight="false" outlineLevel="0" collapsed="false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customFormat="false" ht="15.75" hidden="false" customHeight="false" outlineLevel="0" collapsed="false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customFormat="false" ht="15.75" hidden="false" customHeight="false" outlineLevel="0" collapsed="false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customFormat="false" ht="15.75" hidden="false" customHeight="false" outlineLevel="0" collapsed="false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customFormat="false" ht="15.75" hidden="false" customHeight="false" outlineLevel="0" collapsed="false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customFormat="false" ht="15.75" hidden="false" customHeight="false" outlineLevel="0" collapsed="false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customFormat="false" ht="15.75" hidden="false" customHeight="false" outlineLevel="0" collapsed="false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customFormat="false" ht="15.75" hidden="false" customHeight="false" outlineLevel="0" collapsed="false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customFormat="false" ht="15.75" hidden="false" customHeight="false" outlineLevel="0" collapsed="false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customFormat="false" ht="15.75" hidden="false" customHeight="false" outlineLevel="0" collapsed="false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customFormat="false" ht="15.75" hidden="false" customHeight="false" outlineLevel="0" collapsed="false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customFormat="false" ht="15.75" hidden="false" customHeight="false" outlineLevel="0" collapsed="false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customFormat="false" ht="15.75" hidden="false" customHeight="false" outlineLevel="0" collapsed="false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customFormat="false" ht="15.75" hidden="false" customHeight="false" outlineLevel="0" collapsed="false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customFormat="false" ht="15.75" hidden="false" customHeight="false" outlineLevel="0" collapsed="false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customFormat="false" ht="15.75" hidden="false" customHeight="false" outlineLevel="0" collapsed="false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customFormat="false" ht="15.75" hidden="false" customHeight="false" outlineLevel="0" collapsed="false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customFormat="false" ht="15.75" hidden="false" customHeight="false" outlineLevel="0" collapsed="false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customFormat="false" ht="15.75" hidden="false" customHeight="false" outlineLevel="0" collapsed="false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customFormat="false" ht="15.75" hidden="false" customHeight="false" outlineLevel="0" collapsed="false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customFormat="false" ht="15.75" hidden="false" customHeight="false" outlineLevel="0" collapsed="false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customFormat="false" ht="15.75" hidden="false" customHeight="false" outlineLevel="0" collapsed="false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customFormat="false" ht="15.75" hidden="false" customHeight="false" outlineLevel="0" collapsed="false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customFormat="false" ht="15.75" hidden="false" customHeight="false" outlineLevel="0" collapsed="false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customFormat="false" ht="15.75" hidden="false" customHeight="false" outlineLevel="0" collapsed="false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customFormat="false" ht="15.75" hidden="false" customHeight="false" outlineLevel="0" collapsed="false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customFormat="false" ht="15.75" hidden="false" customHeight="false" outlineLevel="0" collapsed="false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customFormat="false" ht="15.75" hidden="false" customHeight="false" outlineLevel="0" collapsed="false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customFormat="false" ht="15.75" hidden="false" customHeight="false" outlineLevel="0" collapsed="false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customFormat="false" ht="15.75" hidden="false" customHeight="false" outlineLevel="0" collapsed="false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customFormat="false" ht="15.75" hidden="false" customHeight="false" outlineLevel="0" collapsed="false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customFormat="false" ht="15.75" hidden="false" customHeight="false" outlineLevel="0" collapsed="false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customFormat="false" ht="15.75" hidden="false" customHeight="false" outlineLevel="0" collapsed="false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customFormat="false" ht="15.75" hidden="false" customHeight="false" outlineLevel="0" collapsed="false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customFormat="false" ht="15.75" hidden="false" customHeight="false" outlineLevel="0" collapsed="false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customFormat="false" ht="15.75" hidden="false" customHeight="false" outlineLevel="0" collapsed="false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customFormat="false" ht="15.75" hidden="false" customHeight="false" outlineLevel="0" collapsed="false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customFormat="false" ht="15.75" hidden="false" customHeight="false" outlineLevel="0" collapsed="false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customFormat="false" ht="15.75" hidden="false" customHeight="false" outlineLevel="0" collapsed="false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customFormat="false" ht="15.75" hidden="false" customHeight="false" outlineLevel="0" collapsed="false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customFormat="false" ht="15.75" hidden="false" customHeight="false" outlineLevel="0" collapsed="false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customFormat="false" ht="15.75" hidden="false" customHeight="false" outlineLevel="0" collapsed="false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customFormat="false" ht="15.75" hidden="false" customHeight="false" outlineLevel="0" collapsed="false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customFormat="false" ht="15.75" hidden="false" customHeight="false" outlineLevel="0" collapsed="false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customFormat="false" ht="15.75" hidden="false" customHeight="false" outlineLevel="0" collapsed="false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customFormat="false" ht="15.75" hidden="false" customHeight="false" outlineLevel="0" collapsed="false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customFormat="false" ht="15.75" hidden="false" customHeight="false" outlineLevel="0" collapsed="false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customFormat="false" ht="15.75" hidden="false" customHeight="false" outlineLevel="0" collapsed="false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customFormat="false" ht="15.75" hidden="false" customHeight="false" outlineLevel="0" collapsed="false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customFormat="false" ht="15.75" hidden="false" customHeight="false" outlineLevel="0" collapsed="false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customFormat="false" ht="15.75" hidden="false" customHeight="false" outlineLevel="0" collapsed="false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customFormat="false" ht="15.75" hidden="false" customHeight="false" outlineLevel="0" collapsed="false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customFormat="false" ht="15.75" hidden="false" customHeight="false" outlineLevel="0" collapsed="false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customFormat="false" ht="15.75" hidden="false" customHeight="false" outlineLevel="0" collapsed="false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customFormat="false" ht="15.75" hidden="false" customHeight="false" outlineLevel="0" collapsed="false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customFormat="false" ht="15.75" hidden="false" customHeight="false" outlineLevel="0" collapsed="false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customFormat="false" ht="15.75" hidden="false" customHeight="false" outlineLevel="0" collapsed="false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customFormat="false" ht="15.75" hidden="false" customHeight="false" outlineLevel="0" collapsed="false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customFormat="false" ht="15.75" hidden="false" customHeight="false" outlineLevel="0" collapsed="false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customFormat="false" ht="15.75" hidden="false" customHeight="false" outlineLevel="0" collapsed="false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customFormat="false" ht="15.75" hidden="false" customHeight="false" outlineLevel="0" collapsed="false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customFormat="false" ht="15.75" hidden="false" customHeight="false" outlineLevel="0" collapsed="false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customFormat="false" ht="15.75" hidden="false" customHeight="false" outlineLevel="0" collapsed="false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customFormat="false" ht="15.75" hidden="false" customHeight="false" outlineLevel="0" collapsed="false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customFormat="false" ht="15.75" hidden="false" customHeight="false" outlineLevel="0" collapsed="false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customFormat="false" ht="15.75" hidden="false" customHeight="false" outlineLevel="0" collapsed="false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customFormat="false" ht="15.75" hidden="false" customHeight="false" outlineLevel="0" collapsed="false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customFormat="false" ht="15.75" hidden="false" customHeight="false" outlineLevel="0" collapsed="false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customFormat="false" ht="15.75" hidden="false" customHeight="false" outlineLevel="0" collapsed="false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customFormat="false" ht="15.75" hidden="false" customHeight="false" outlineLevel="0" collapsed="false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customFormat="false" ht="15.75" hidden="false" customHeight="false" outlineLevel="0" collapsed="false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customFormat="false" ht="15.75" hidden="false" customHeight="false" outlineLevel="0" collapsed="false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customFormat="false" ht="15.75" hidden="false" customHeight="false" outlineLevel="0" collapsed="false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customFormat="false" ht="15.75" hidden="false" customHeight="false" outlineLevel="0" collapsed="false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customFormat="false" ht="15.75" hidden="false" customHeight="false" outlineLevel="0" collapsed="false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customFormat="false" ht="15.75" hidden="false" customHeight="false" outlineLevel="0" collapsed="false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customFormat="false" ht="15.75" hidden="false" customHeight="false" outlineLevel="0" collapsed="false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customFormat="false" ht="15.75" hidden="false" customHeight="false" outlineLevel="0" collapsed="false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customFormat="false" ht="15.75" hidden="false" customHeight="false" outlineLevel="0" collapsed="false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customFormat="false" ht="15.75" hidden="false" customHeight="false" outlineLevel="0" collapsed="false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customFormat="false" ht="15.75" hidden="false" customHeight="false" outlineLevel="0" collapsed="false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customFormat="false" ht="15.75" hidden="false" customHeight="false" outlineLevel="0" collapsed="false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customFormat="false" ht="15.75" hidden="false" customHeight="false" outlineLevel="0" collapsed="false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customFormat="false" ht="15.75" hidden="false" customHeight="false" outlineLevel="0" collapsed="false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customFormat="false" ht="15.75" hidden="false" customHeight="false" outlineLevel="0" collapsed="false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customFormat="false" ht="15.75" hidden="false" customHeight="false" outlineLevel="0" collapsed="false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customFormat="false" ht="15.75" hidden="false" customHeight="false" outlineLevel="0" collapsed="false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customFormat="false" ht="15.75" hidden="false" customHeight="false" outlineLevel="0" collapsed="false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customFormat="false" ht="15.75" hidden="false" customHeight="false" outlineLevel="0" collapsed="false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customFormat="false" ht="15.75" hidden="false" customHeight="false" outlineLevel="0" collapsed="false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customFormat="false" ht="15.75" hidden="false" customHeight="false" outlineLevel="0" collapsed="false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customFormat="false" ht="15.75" hidden="false" customHeight="false" outlineLevel="0" collapsed="false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customFormat="false" ht="15.75" hidden="false" customHeight="false" outlineLevel="0" collapsed="false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customFormat="false" ht="15.75" hidden="false" customHeight="false" outlineLevel="0" collapsed="false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customFormat="false" ht="15.75" hidden="false" customHeight="false" outlineLevel="0" collapsed="false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customFormat="false" ht="15.75" hidden="false" customHeight="false" outlineLevel="0" collapsed="false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customFormat="false" ht="15.75" hidden="false" customHeight="false" outlineLevel="0" collapsed="false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customFormat="false" ht="15.75" hidden="false" customHeight="false" outlineLevel="0" collapsed="false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customFormat="false" ht="15.75" hidden="false" customHeight="false" outlineLevel="0" collapsed="false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customFormat="false" ht="15.75" hidden="false" customHeight="false" outlineLevel="0" collapsed="false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customFormat="false" ht="15.75" hidden="false" customHeight="false" outlineLevel="0" collapsed="false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customFormat="false" ht="15.75" hidden="false" customHeight="false" outlineLevel="0" collapsed="false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customFormat="false" ht="15.75" hidden="false" customHeight="false" outlineLevel="0" collapsed="false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customFormat="false" ht="15.75" hidden="false" customHeight="false" outlineLevel="0" collapsed="false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customFormat="false" ht="15.75" hidden="false" customHeight="false" outlineLevel="0" collapsed="false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customFormat="false" ht="15.75" hidden="false" customHeight="false" outlineLevel="0" collapsed="false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customFormat="false" ht="15.75" hidden="false" customHeight="false" outlineLevel="0" collapsed="false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customFormat="false" ht="15.75" hidden="false" customHeight="false" outlineLevel="0" collapsed="false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customFormat="false" ht="15.75" hidden="false" customHeight="false" outlineLevel="0" collapsed="false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customFormat="false" ht="15.75" hidden="false" customHeight="false" outlineLevel="0" collapsed="false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customFormat="false" ht="15.75" hidden="false" customHeight="false" outlineLevel="0" collapsed="false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customFormat="false" ht="15.75" hidden="false" customHeight="false" outlineLevel="0" collapsed="false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customFormat="false" ht="15.75" hidden="false" customHeight="false" outlineLevel="0" collapsed="false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customFormat="false" ht="15.75" hidden="false" customHeight="false" outlineLevel="0" collapsed="false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customFormat="false" ht="15.75" hidden="false" customHeight="false" outlineLevel="0" collapsed="false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customFormat="false" ht="15.75" hidden="false" customHeight="false" outlineLevel="0" collapsed="false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customFormat="false" ht="15.75" hidden="false" customHeight="false" outlineLevel="0" collapsed="false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customFormat="false" ht="15.75" hidden="false" customHeight="false" outlineLevel="0" collapsed="false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customFormat="false" ht="15.75" hidden="false" customHeight="false" outlineLevel="0" collapsed="false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customFormat="false" ht="15.75" hidden="false" customHeight="false" outlineLevel="0" collapsed="false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customFormat="false" ht="15.75" hidden="false" customHeight="false" outlineLevel="0" collapsed="false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customFormat="false" ht="15.75" hidden="false" customHeight="false" outlineLevel="0" collapsed="false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customFormat="false" ht="15.75" hidden="false" customHeight="false" outlineLevel="0" collapsed="false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customFormat="false" ht="15.75" hidden="false" customHeight="false" outlineLevel="0" collapsed="false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customFormat="false" ht="15.75" hidden="false" customHeight="false" outlineLevel="0" collapsed="false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customFormat="false" ht="15.75" hidden="false" customHeight="false" outlineLevel="0" collapsed="false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customFormat="false" ht="15.75" hidden="false" customHeight="false" outlineLevel="0" collapsed="false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customFormat="false" ht="15.75" hidden="false" customHeight="false" outlineLevel="0" collapsed="false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customFormat="false" ht="15.75" hidden="false" customHeight="false" outlineLevel="0" collapsed="false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customFormat="false" ht="15.75" hidden="false" customHeight="false" outlineLevel="0" collapsed="false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customFormat="false" ht="15.75" hidden="false" customHeight="false" outlineLevel="0" collapsed="false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customFormat="false" ht="15.75" hidden="false" customHeight="false" outlineLevel="0" collapsed="false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customFormat="false" ht="15.75" hidden="false" customHeight="false" outlineLevel="0" collapsed="false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customFormat="false" ht="15.75" hidden="false" customHeight="false" outlineLevel="0" collapsed="false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customFormat="false" ht="15.75" hidden="false" customHeight="false" outlineLevel="0" collapsed="false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customFormat="false" ht="15.75" hidden="false" customHeight="false" outlineLevel="0" collapsed="false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customFormat="false" ht="15.75" hidden="false" customHeight="false" outlineLevel="0" collapsed="false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customFormat="false" ht="15.75" hidden="false" customHeight="false" outlineLevel="0" collapsed="false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customFormat="false" ht="15.75" hidden="false" customHeight="false" outlineLevel="0" collapsed="false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customFormat="false" ht="15.75" hidden="false" customHeight="false" outlineLevel="0" collapsed="false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customFormat="false" ht="15.75" hidden="false" customHeight="false" outlineLevel="0" collapsed="false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customFormat="false" ht="15.75" hidden="false" customHeight="false" outlineLevel="0" collapsed="false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customFormat="false" ht="15.75" hidden="false" customHeight="false" outlineLevel="0" collapsed="false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customFormat="false" ht="15.75" hidden="false" customHeight="false" outlineLevel="0" collapsed="false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customFormat="false" ht="15.75" hidden="false" customHeight="false" outlineLevel="0" collapsed="false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customFormat="false" ht="15.75" hidden="false" customHeight="false" outlineLevel="0" collapsed="false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customFormat="false" ht="15.75" hidden="false" customHeight="false" outlineLevel="0" collapsed="false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customFormat="false" ht="15.75" hidden="false" customHeight="false" outlineLevel="0" collapsed="false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customFormat="false" ht="15.75" hidden="false" customHeight="false" outlineLevel="0" collapsed="false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customFormat="false" ht="15.75" hidden="false" customHeight="false" outlineLevel="0" collapsed="false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customFormat="false" ht="15.75" hidden="false" customHeight="false" outlineLevel="0" collapsed="false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customFormat="false" ht="15.75" hidden="false" customHeight="false" outlineLevel="0" collapsed="false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customFormat="false" ht="15.75" hidden="false" customHeight="false" outlineLevel="0" collapsed="false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customFormat="false" ht="15.75" hidden="false" customHeight="false" outlineLevel="0" collapsed="false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customFormat="false" ht="15.75" hidden="false" customHeight="false" outlineLevel="0" collapsed="false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customFormat="false" ht="15.75" hidden="false" customHeight="false" outlineLevel="0" collapsed="false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customFormat="false" ht="15.75" hidden="false" customHeight="false" outlineLevel="0" collapsed="false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customFormat="false" ht="15.75" hidden="false" customHeight="false" outlineLevel="0" collapsed="false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customFormat="false" ht="15.75" hidden="false" customHeight="false" outlineLevel="0" collapsed="false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customFormat="false" ht="15.75" hidden="false" customHeight="false" outlineLevel="0" collapsed="false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customFormat="false" ht="15.75" hidden="false" customHeight="false" outlineLevel="0" collapsed="false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customFormat="false" ht="15.75" hidden="false" customHeight="false" outlineLevel="0" collapsed="false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customFormat="false" ht="15.75" hidden="false" customHeight="false" outlineLevel="0" collapsed="false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customFormat="false" ht="15.75" hidden="false" customHeight="false" outlineLevel="0" collapsed="false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customFormat="false" ht="15.75" hidden="false" customHeight="false" outlineLevel="0" collapsed="false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customFormat="false" ht="15.75" hidden="false" customHeight="false" outlineLevel="0" collapsed="false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customFormat="false" ht="15.75" hidden="false" customHeight="false" outlineLevel="0" collapsed="false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customFormat="false" ht="15.75" hidden="false" customHeight="false" outlineLevel="0" collapsed="false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customFormat="false" ht="15.75" hidden="false" customHeight="false" outlineLevel="0" collapsed="false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customFormat="false" ht="15.75" hidden="false" customHeight="false" outlineLevel="0" collapsed="false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customFormat="false" ht="15.75" hidden="false" customHeight="false" outlineLevel="0" collapsed="false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customFormat="false" ht="15.75" hidden="false" customHeight="false" outlineLevel="0" collapsed="false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customFormat="false" ht="15.75" hidden="false" customHeight="false" outlineLevel="0" collapsed="false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customFormat="false" ht="15.75" hidden="false" customHeight="false" outlineLevel="0" collapsed="false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customFormat="false" ht="15.75" hidden="false" customHeight="false" outlineLevel="0" collapsed="false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customFormat="false" ht="15.75" hidden="false" customHeight="false" outlineLevel="0" collapsed="false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customFormat="false" ht="15.75" hidden="false" customHeight="false" outlineLevel="0" collapsed="false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customFormat="false" ht="15.75" hidden="false" customHeight="false" outlineLevel="0" collapsed="false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44"/>
      <c r="B1" s="149"/>
      <c r="C1" s="144"/>
      <c r="D1" s="144"/>
      <c r="E1" s="150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</row>
    <row r="2" customFormat="false" ht="15.75" hidden="false" customHeight="false" outlineLevel="0" collapsed="false">
      <c r="A2" s="144"/>
      <c r="B2" s="144"/>
      <c r="C2" s="144"/>
      <c r="D2" s="144"/>
      <c r="E2" s="150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</row>
    <row r="3" customFormat="false" ht="15.75" hidden="false" customHeight="false" outlineLevel="0" collapsed="false">
      <c r="A3" s="144"/>
      <c r="B3" s="144"/>
      <c r="C3" s="144"/>
      <c r="D3" s="144"/>
      <c r="E3" s="150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</row>
    <row r="4" customFormat="false" ht="15.75" hidden="false" customHeight="false" outlineLevel="0" collapsed="false">
      <c r="A4" s="144"/>
      <c r="B4" s="144"/>
      <c r="C4" s="144"/>
      <c r="D4" s="144"/>
      <c r="E4" s="150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</row>
    <row r="5" customFormat="false" ht="15.75" hidden="false" customHeight="false" outlineLevel="0" collapsed="false">
      <c r="A5" s="144"/>
      <c r="B5" s="144"/>
      <c r="C5" s="144"/>
      <c r="D5" s="144"/>
      <c r="E5" s="150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</row>
    <row r="6" customFormat="false" ht="15.75" hidden="false" customHeight="false" outlineLevel="0" collapsed="false">
      <c r="A6" s="144"/>
      <c r="B6" s="144"/>
      <c r="C6" s="144"/>
      <c r="D6" s="144"/>
      <c r="E6" s="150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</row>
    <row r="7" customFormat="false" ht="15.75" hidden="false" customHeight="false" outlineLevel="0" collapsed="false">
      <c r="A7" s="144"/>
      <c r="B7" s="144"/>
      <c r="C7" s="144"/>
      <c r="D7" s="144"/>
      <c r="E7" s="150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</row>
    <row r="8" customFormat="false" ht="15.75" hidden="false" customHeight="false" outlineLevel="0" collapsed="false">
      <c r="A8" s="144"/>
      <c r="B8" s="144"/>
      <c r="C8" s="144"/>
      <c r="D8" s="144"/>
      <c r="E8" s="150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</row>
    <row r="9" customFormat="false" ht="15.75" hidden="false" customHeight="false" outlineLevel="0" collapsed="false">
      <c r="A9" s="144"/>
      <c r="B9" s="144"/>
      <c r="C9" s="144"/>
      <c r="D9" s="144"/>
      <c r="E9" s="150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</row>
    <row r="10" customFormat="false" ht="15.75" hidden="false" customHeight="false" outlineLevel="0" collapsed="false">
      <c r="A10" s="144"/>
      <c r="B10" s="144"/>
      <c r="C10" s="144"/>
      <c r="D10" s="144"/>
      <c r="E10" s="150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</row>
    <row r="11" customFormat="false" ht="15.75" hidden="false" customHeight="false" outlineLevel="0" collapsed="false">
      <c r="A11" s="144"/>
      <c r="B11" s="144"/>
      <c r="C11" s="144"/>
      <c r="D11" s="144"/>
      <c r="E11" s="150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</row>
    <row r="12" customFormat="false" ht="15.75" hidden="false" customHeight="false" outlineLevel="0" collapsed="false">
      <c r="A12" s="144"/>
      <c r="B12" s="144"/>
      <c r="C12" s="144"/>
      <c r="D12" s="144"/>
      <c r="E12" s="150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</row>
    <row r="13" customFormat="false" ht="15.75" hidden="false" customHeight="false" outlineLevel="0" collapsed="false">
      <c r="A13" s="144"/>
      <c r="B13" s="144"/>
      <c r="C13" s="144"/>
      <c r="D13" s="144"/>
      <c r="E13" s="150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</row>
    <row r="14" customFormat="false" ht="15.75" hidden="false" customHeight="false" outlineLevel="0" collapsed="false">
      <c r="A14" s="144"/>
      <c r="B14" s="144"/>
      <c r="C14" s="144"/>
      <c r="D14" s="144"/>
      <c r="E14" s="150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</row>
    <row r="15" customFormat="false" ht="15.75" hidden="false" customHeight="false" outlineLevel="0" collapsed="false">
      <c r="A15" s="144"/>
      <c r="B15" s="144"/>
      <c r="C15" s="144"/>
      <c r="D15" s="144"/>
      <c r="E15" s="150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</row>
    <row r="16" customFormat="false" ht="15.75" hidden="false" customHeight="false" outlineLevel="0" collapsed="false">
      <c r="A16" s="144"/>
      <c r="B16" s="144"/>
      <c r="C16" s="144"/>
      <c r="D16" s="144"/>
      <c r="E16" s="150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</row>
    <row r="17" customFormat="false" ht="15.75" hidden="false" customHeight="false" outlineLevel="0" collapsed="false">
      <c r="A17" s="144"/>
      <c r="B17" s="144"/>
      <c r="C17" s="144"/>
      <c r="D17" s="144"/>
      <c r="E17" s="150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</row>
    <row r="18" customFormat="false" ht="15.75" hidden="false" customHeight="false" outlineLevel="0" collapsed="false">
      <c r="A18" s="144"/>
      <c r="B18" s="144"/>
      <c r="C18" s="144"/>
      <c r="D18" s="144"/>
      <c r="E18" s="150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</row>
    <row r="19" customFormat="false" ht="15.75" hidden="false" customHeight="false" outlineLevel="0" collapsed="false">
      <c r="A19" s="144"/>
      <c r="B19" s="144"/>
      <c r="C19" s="144"/>
      <c r="D19" s="144"/>
      <c r="E19" s="150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</row>
    <row r="20" customFormat="false" ht="15.75" hidden="false" customHeight="false" outlineLevel="0" collapsed="false">
      <c r="A20" s="144"/>
      <c r="B20" s="144"/>
      <c r="C20" s="144"/>
      <c r="D20" s="144"/>
      <c r="E20" s="150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</row>
    <row r="21" customFormat="false" ht="15.75" hidden="false" customHeight="false" outlineLevel="0" collapsed="false">
      <c r="A21" s="144" t="str">
        <f aca="false">IF(ISBLANK(B21),"",B21&amp;"|"&amp;C21)</f>
        <v/>
      </c>
      <c r="B21" s="144"/>
      <c r="C21" s="144"/>
      <c r="D21" s="144"/>
      <c r="E21" s="150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</row>
    <row r="22" customFormat="false" ht="15.75" hidden="false" customHeight="false" outlineLevel="0" collapsed="false">
      <c r="A22" s="144" t="str">
        <f aca="false">IF(ISBLANK(B22),"",B22&amp;"|"&amp;C22)</f>
        <v/>
      </c>
      <c r="B22" s="144"/>
      <c r="C22" s="144"/>
      <c r="D22" s="144"/>
      <c r="E22" s="150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</row>
    <row r="23" customFormat="false" ht="15.75" hidden="false" customHeight="false" outlineLevel="0" collapsed="false">
      <c r="A23" s="144" t="str">
        <f aca="false">IF(ISBLANK(B23),"",B23&amp;"|"&amp;C23)</f>
        <v/>
      </c>
      <c r="B23" s="144"/>
      <c r="C23" s="144"/>
      <c r="D23" s="144"/>
      <c r="E23" s="150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</row>
    <row r="24" customFormat="false" ht="15.75" hidden="false" customHeight="false" outlineLevel="0" collapsed="false">
      <c r="A24" s="144" t="str">
        <f aca="false">IF(ISBLANK(B24),"",B24&amp;"|"&amp;C24)</f>
        <v/>
      </c>
      <c r="B24" s="144"/>
      <c r="C24" s="144"/>
      <c r="D24" s="144"/>
      <c r="E24" s="150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</row>
    <row r="25" customFormat="false" ht="15.75" hidden="false" customHeight="false" outlineLevel="0" collapsed="false">
      <c r="A25" s="144" t="str">
        <f aca="false">IF(ISBLANK(B25),"",B25&amp;"|"&amp;C25)</f>
        <v/>
      </c>
      <c r="B25" s="144"/>
      <c r="C25" s="144"/>
      <c r="D25" s="144"/>
      <c r="E25" s="150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</row>
    <row r="26" customFormat="false" ht="15.75" hidden="false" customHeight="false" outlineLevel="0" collapsed="false">
      <c r="A26" s="144" t="str">
        <f aca="false">IF(ISBLANK(B26),"",B26&amp;"|"&amp;C26)</f>
        <v/>
      </c>
      <c r="B26" s="144"/>
      <c r="C26" s="144"/>
      <c r="D26" s="144"/>
      <c r="E26" s="150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</row>
    <row r="27" customFormat="false" ht="15.75" hidden="false" customHeight="false" outlineLevel="0" collapsed="false">
      <c r="A27" s="144" t="str">
        <f aca="false">IF(ISBLANK(B27),"",B27&amp;"|"&amp;C27)</f>
        <v/>
      </c>
      <c r="B27" s="144"/>
      <c r="C27" s="144"/>
      <c r="D27" s="144"/>
      <c r="E27" s="150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</row>
    <row r="28" customFormat="false" ht="15.75" hidden="false" customHeight="false" outlineLevel="0" collapsed="false">
      <c r="A28" s="144" t="str">
        <f aca="false">IF(ISBLANK(B28),"",B28&amp;"|"&amp;C28)</f>
        <v/>
      </c>
      <c r="B28" s="144"/>
      <c r="C28" s="144"/>
      <c r="D28" s="144"/>
      <c r="E28" s="150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</row>
    <row r="29" customFormat="false" ht="15.75" hidden="false" customHeight="false" outlineLevel="0" collapsed="false">
      <c r="A29" s="144" t="str">
        <f aca="false">IF(ISBLANK(B29),"",B29&amp;"|"&amp;C29)</f>
        <v/>
      </c>
      <c r="B29" s="144"/>
      <c r="C29" s="144"/>
      <c r="D29" s="144"/>
      <c r="E29" s="150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</row>
    <row r="30" customFormat="false" ht="15.75" hidden="false" customHeight="false" outlineLevel="0" collapsed="false">
      <c r="A30" s="144" t="str">
        <f aca="false">IF(ISBLANK(B30),"",B30&amp;"|"&amp;C30)</f>
        <v/>
      </c>
      <c r="B30" s="144"/>
      <c r="C30" s="144"/>
      <c r="D30" s="144"/>
      <c r="E30" s="150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</row>
    <row r="31" customFormat="false" ht="15.75" hidden="false" customHeight="false" outlineLevel="0" collapsed="false">
      <c r="A31" s="144" t="str">
        <f aca="false">IF(ISBLANK(B31),"",B31&amp;"|"&amp;C31)</f>
        <v/>
      </c>
      <c r="B31" s="144"/>
      <c r="C31" s="144"/>
      <c r="D31" s="144"/>
      <c r="E31" s="150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</row>
    <row r="32" customFormat="false" ht="15.75" hidden="false" customHeight="false" outlineLevel="0" collapsed="false">
      <c r="A32" s="144" t="str">
        <f aca="false">IF(ISBLANK(B32),"",B32&amp;"|"&amp;C32)</f>
        <v/>
      </c>
      <c r="B32" s="144"/>
      <c r="C32" s="144"/>
      <c r="D32" s="144"/>
      <c r="E32" s="150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</row>
    <row r="33" customFormat="false" ht="15.75" hidden="false" customHeight="false" outlineLevel="0" collapsed="false">
      <c r="A33" s="144" t="str">
        <f aca="false">IF(ISBLANK(B33),"",B33&amp;"|"&amp;C33)</f>
        <v/>
      </c>
      <c r="B33" s="144"/>
      <c r="C33" s="144"/>
      <c r="D33" s="144"/>
      <c r="E33" s="150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</row>
    <row r="34" customFormat="false" ht="15.75" hidden="false" customHeight="false" outlineLevel="0" collapsed="false">
      <c r="A34" s="144" t="str">
        <f aca="false">IF(ISBLANK(B34),"",B34&amp;"|"&amp;C34)</f>
        <v/>
      </c>
      <c r="B34" s="144"/>
      <c r="C34" s="144"/>
      <c r="D34" s="144"/>
      <c r="E34" s="150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</row>
    <row r="35" customFormat="false" ht="15.75" hidden="false" customHeight="false" outlineLevel="0" collapsed="false">
      <c r="A35" s="144" t="str">
        <f aca="false">IF(ISBLANK(B35),"",B35&amp;"|"&amp;C35)</f>
        <v/>
      </c>
      <c r="B35" s="144"/>
      <c r="C35" s="144"/>
      <c r="D35" s="144"/>
      <c r="E35" s="150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</row>
    <row r="36" customFormat="false" ht="15.75" hidden="false" customHeight="false" outlineLevel="0" collapsed="false">
      <c r="A36" s="144" t="str">
        <f aca="false">IF(ISBLANK(B36),"",B36&amp;"|"&amp;C36)</f>
        <v/>
      </c>
      <c r="B36" s="144"/>
      <c r="C36" s="144"/>
      <c r="D36" s="144"/>
      <c r="E36" s="150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</row>
    <row r="37" customFormat="false" ht="15.75" hidden="false" customHeight="false" outlineLevel="0" collapsed="false">
      <c r="A37" s="144" t="str">
        <f aca="false">IF(ISBLANK(B37),"",B37&amp;"|"&amp;C37)</f>
        <v/>
      </c>
      <c r="B37" s="144"/>
      <c r="C37" s="144"/>
      <c r="D37" s="144"/>
      <c r="E37" s="150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</row>
    <row r="38" customFormat="false" ht="15.75" hidden="false" customHeight="false" outlineLevel="0" collapsed="false">
      <c r="A38" s="144" t="str">
        <f aca="false">IF(ISBLANK(B38),"",B38&amp;"|"&amp;C38)</f>
        <v/>
      </c>
      <c r="B38" s="144"/>
      <c r="C38" s="144"/>
      <c r="D38" s="144"/>
      <c r="E38" s="150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</row>
    <row r="39" customFormat="false" ht="15.75" hidden="false" customHeight="false" outlineLevel="0" collapsed="false">
      <c r="A39" s="144" t="str">
        <f aca="false">IF(ISBLANK(B39),"",B39&amp;"|"&amp;C39)</f>
        <v/>
      </c>
      <c r="B39" s="144"/>
      <c r="C39" s="144"/>
      <c r="D39" s="144"/>
      <c r="E39" s="150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</row>
    <row r="40" customFormat="false" ht="15.75" hidden="false" customHeight="false" outlineLevel="0" collapsed="false">
      <c r="A40" s="144" t="str">
        <f aca="false">IF(ISBLANK(B40),"",B40&amp;"|"&amp;C40)</f>
        <v/>
      </c>
      <c r="B40" s="144"/>
      <c r="C40" s="144"/>
      <c r="D40" s="144"/>
      <c r="E40" s="150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</row>
    <row r="41" customFormat="false" ht="15.75" hidden="false" customHeight="false" outlineLevel="0" collapsed="false">
      <c r="A41" s="144" t="str">
        <f aca="false">IF(ISBLANK(B41),"",B41&amp;"|"&amp;C41)</f>
        <v/>
      </c>
      <c r="B41" s="144"/>
      <c r="C41" s="144"/>
      <c r="D41" s="144"/>
      <c r="E41" s="150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</row>
    <row r="42" customFormat="false" ht="15.75" hidden="false" customHeight="false" outlineLevel="0" collapsed="false">
      <c r="A42" s="144" t="str">
        <f aca="false">IF(ISBLANK(B42),"",B42&amp;"|"&amp;C42)</f>
        <v/>
      </c>
      <c r="B42" s="144"/>
      <c r="C42" s="144"/>
      <c r="D42" s="144"/>
      <c r="E42" s="150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</row>
    <row r="43" customFormat="false" ht="15.75" hidden="false" customHeight="false" outlineLevel="0" collapsed="false">
      <c r="A43" s="144" t="str">
        <f aca="false">IF(ISBLANK(B43),"",B43&amp;"|"&amp;C43)</f>
        <v/>
      </c>
      <c r="B43" s="144"/>
      <c r="C43" s="144"/>
      <c r="D43" s="144"/>
      <c r="E43" s="150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</row>
    <row r="44" customFormat="false" ht="15.75" hidden="false" customHeight="false" outlineLevel="0" collapsed="false">
      <c r="A44" s="144" t="str">
        <f aca="false">IF(ISBLANK(B44),"",B44&amp;"|"&amp;C44)</f>
        <v/>
      </c>
      <c r="B44" s="144"/>
      <c r="C44" s="144"/>
      <c r="D44" s="144"/>
      <c r="E44" s="150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 customFormat="false" ht="15.75" hidden="false" customHeight="false" outlineLevel="0" collapsed="false">
      <c r="A45" s="144" t="str">
        <f aca="false">IF(ISBLANK(B45),"",B45&amp;"|"&amp;C45)</f>
        <v/>
      </c>
      <c r="B45" s="144"/>
      <c r="C45" s="144"/>
      <c r="D45" s="144"/>
      <c r="E45" s="150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</row>
    <row r="46" customFormat="false" ht="15.75" hidden="false" customHeight="false" outlineLevel="0" collapsed="false">
      <c r="A46" s="144" t="str">
        <f aca="false">IF(ISBLANK(B46),"",B46&amp;"|"&amp;C46)</f>
        <v/>
      </c>
      <c r="B46" s="144"/>
      <c r="C46" s="144"/>
      <c r="D46" s="144"/>
      <c r="E46" s="150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 customFormat="false" ht="15.75" hidden="false" customHeight="false" outlineLevel="0" collapsed="false">
      <c r="A47" s="144" t="str">
        <f aca="false">IF(ISBLANK(B47),"",B47&amp;"|"&amp;C47)</f>
        <v/>
      </c>
      <c r="B47" s="144"/>
      <c r="C47" s="144"/>
      <c r="D47" s="144"/>
      <c r="E47" s="150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</row>
    <row r="48" customFormat="false" ht="15.75" hidden="false" customHeight="false" outlineLevel="0" collapsed="false">
      <c r="A48" s="144" t="str">
        <f aca="false">IF(ISBLANK(B48),"",B48&amp;"|"&amp;C48)</f>
        <v/>
      </c>
      <c r="B48" s="144"/>
      <c r="C48" s="144"/>
      <c r="D48" s="144"/>
      <c r="E48" s="150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 customFormat="false" ht="15.75" hidden="false" customHeight="false" outlineLevel="0" collapsed="false">
      <c r="A49" s="144" t="str">
        <f aca="false">IF(ISBLANK(B49),"",B49&amp;"|"&amp;C49)</f>
        <v/>
      </c>
      <c r="B49" s="144"/>
      <c r="C49" s="144"/>
      <c r="D49" s="144"/>
      <c r="E49" s="150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</row>
    <row r="50" customFormat="false" ht="15.75" hidden="false" customHeight="false" outlineLevel="0" collapsed="false">
      <c r="A50" s="144" t="str">
        <f aca="false">IF(ISBLANK(B50),"",B50&amp;"|"&amp;C50)</f>
        <v/>
      </c>
      <c r="B50" s="144"/>
      <c r="C50" s="144"/>
      <c r="D50" s="144"/>
      <c r="E50" s="150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 customFormat="false" ht="15.75" hidden="false" customHeight="false" outlineLevel="0" collapsed="false">
      <c r="A51" s="144" t="str">
        <f aca="false">IF(ISBLANK(B51),"",B51&amp;"|"&amp;C51)</f>
        <v/>
      </c>
      <c r="B51" s="144"/>
      <c r="C51" s="144"/>
      <c r="D51" s="144"/>
      <c r="E51" s="150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</row>
    <row r="52" customFormat="false" ht="15.75" hidden="false" customHeight="false" outlineLevel="0" collapsed="false">
      <c r="A52" s="144" t="str">
        <f aca="false">IF(ISBLANK(B52),"",B52&amp;"|"&amp;C52)</f>
        <v/>
      </c>
      <c r="B52" s="144"/>
      <c r="C52" s="144"/>
      <c r="D52" s="144"/>
      <c r="E52" s="150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 customFormat="false" ht="15.75" hidden="false" customHeight="false" outlineLevel="0" collapsed="false">
      <c r="A53" s="144" t="str">
        <f aca="false">IF(ISBLANK(B53),"",B53&amp;"|"&amp;C53)</f>
        <v/>
      </c>
      <c r="B53" s="144"/>
      <c r="C53" s="144"/>
      <c r="D53" s="144"/>
      <c r="E53" s="150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</row>
    <row r="54" customFormat="false" ht="15.75" hidden="false" customHeight="false" outlineLevel="0" collapsed="false">
      <c r="A54" s="144" t="str">
        <f aca="false">IF(ISBLANK(B54),"",B54&amp;"|"&amp;C54)</f>
        <v/>
      </c>
      <c r="B54" s="144"/>
      <c r="C54" s="144"/>
      <c r="D54" s="144"/>
      <c r="E54" s="150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</row>
    <row r="55" customFormat="false" ht="15.75" hidden="false" customHeight="false" outlineLevel="0" collapsed="false">
      <c r="A55" s="144" t="str">
        <f aca="false">IF(ISBLANK(B55),"",B55&amp;"|"&amp;C55)</f>
        <v/>
      </c>
      <c r="B55" s="144"/>
      <c r="C55" s="144"/>
      <c r="D55" s="144"/>
      <c r="E55" s="150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</row>
    <row r="56" customFormat="false" ht="15.75" hidden="false" customHeight="false" outlineLevel="0" collapsed="false">
      <c r="A56" s="144" t="str">
        <f aca="false">IF(ISBLANK(B56),"",B56&amp;"|"&amp;C56)</f>
        <v/>
      </c>
      <c r="B56" s="144"/>
      <c r="C56" s="144"/>
      <c r="D56" s="144"/>
      <c r="E56" s="150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 customFormat="false" ht="15.75" hidden="false" customHeight="false" outlineLevel="0" collapsed="false">
      <c r="A57" s="144" t="str">
        <f aca="false">IF(ISBLANK(B57),"",B57&amp;"|"&amp;C57)</f>
        <v/>
      </c>
      <c r="B57" s="144"/>
      <c r="C57" s="144"/>
      <c r="D57" s="144"/>
      <c r="E57" s="150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</row>
    <row r="58" customFormat="false" ht="15.75" hidden="false" customHeight="false" outlineLevel="0" collapsed="false">
      <c r="A58" s="144" t="str">
        <f aca="false">IF(ISBLANK(B58),"",B58&amp;"|"&amp;C58)</f>
        <v/>
      </c>
      <c r="B58" s="144"/>
      <c r="C58" s="144"/>
      <c r="D58" s="144"/>
      <c r="E58" s="150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 customFormat="false" ht="15.75" hidden="false" customHeight="false" outlineLevel="0" collapsed="false">
      <c r="A59" s="144" t="str">
        <f aca="false">IF(ISBLANK(B59),"",B59&amp;"|"&amp;C59)</f>
        <v/>
      </c>
      <c r="B59" s="144"/>
      <c r="C59" s="144"/>
      <c r="D59" s="144"/>
      <c r="E59" s="150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</row>
    <row r="60" customFormat="false" ht="15.75" hidden="false" customHeight="false" outlineLevel="0" collapsed="false">
      <c r="A60" s="144" t="str">
        <f aca="false">IF(ISBLANK(B60),"",B60&amp;"|"&amp;C60)</f>
        <v/>
      </c>
      <c r="B60" s="144"/>
      <c r="C60" s="144"/>
      <c r="D60" s="144"/>
      <c r="E60" s="150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 customFormat="false" ht="15.75" hidden="false" customHeight="false" outlineLevel="0" collapsed="false">
      <c r="A61" s="144" t="str">
        <f aca="false">IF(ISBLANK(B61),"",B61&amp;"|"&amp;C61)</f>
        <v/>
      </c>
      <c r="B61" s="144"/>
      <c r="C61" s="144"/>
      <c r="D61" s="144"/>
      <c r="E61" s="150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</row>
    <row r="62" customFormat="false" ht="15.75" hidden="false" customHeight="false" outlineLevel="0" collapsed="false">
      <c r="A62" s="144" t="str">
        <f aca="false">IF(ISBLANK(B62),"",B62&amp;"|"&amp;C62)</f>
        <v/>
      </c>
      <c r="B62" s="144"/>
      <c r="C62" s="144"/>
      <c r="D62" s="144"/>
      <c r="E62" s="150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 customFormat="false" ht="15.75" hidden="false" customHeight="false" outlineLevel="0" collapsed="false">
      <c r="A63" s="144" t="str">
        <f aca="false">IF(ISBLANK(B63),"",B63&amp;"|"&amp;C63)</f>
        <v/>
      </c>
      <c r="B63" s="144"/>
      <c r="C63" s="144"/>
      <c r="D63" s="144"/>
      <c r="E63" s="150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</row>
    <row r="64" customFormat="false" ht="15.75" hidden="false" customHeight="false" outlineLevel="0" collapsed="false">
      <c r="A64" s="144" t="str">
        <f aca="false">IF(ISBLANK(B64),"",B64&amp;"|"&amp;C64)</f>
        <v/>
      </c>
      <c r="B64" s="144"/>
      <c r="C64" s="144"/>
      <c r="D64" s="144"/>
      <c r="E64" s="150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 customFormat="false" ht="15.75" hidden="false" customHeight="false" outlineLevel="0" collapsed="false">
      <c r="A65" s="144" t="str">
        <f aca="false">IF(ISBLANK(B65),"",B65&amp;"|"&amp;C65)</f>
        <v/>
      </c>
      <c r="B65" s="144"/>
      <c r="C65" s="144"/>
      <c r="D65" s="144"/>
      <c r="E65" s="150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</row>
    <row r="66" customFormat="false" ht="15.75" hidden="false" customHeight="false" outlineLevel="0" collapsed="false">
      <c r="A66" s="144" t="str">
        <f aca="false">IF(ISBLANK(B66),"",B66&amp;"|"&amp;C66)</f>
        <v/>
      </c>
      <c r="B66" s="144"/>
      <c r="C66" s="144"/>
      <c r="D66" s="144"/>
      <c r="E66" s="150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 customFormat="false" ht="15.75" hidden="false" customHeight="false" outlineLevel="0" collapsed="false">
      <c r="A67" s="144" t="str">
        <f aca="false">IF(ISBLANK(B67),"",B67&amp;"|"&amp;C67)</f>
        <v/>
      </c>
      <c r="B67" s="144"/>
      <c r="C67" s="144"/>
      <c r="D67" s="144"/>
      <c r="E67" s="150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</row>
    <row r="68" customFormat="false" ht="15.75" hidden="false" customHeight="false" outlineLevel="0" collapsed="false">
      <c r="A68" s="144" t="str">
        <f aca="false">IF(ISBLANK(B68),"",B68&amp;"|"&amp;C68)</f>
        <v/>
      </c>
      <c r="B68" s="144"/>
      <c r="C68" s="144"/>
      <c r="D68" s="144"/>
      <c r="E68" s="150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</row>
    <row r="69" customFormat="false" ht="15.75" hidden="false" customHeight="false" outlineLevel="0" collapsed="false">
      <c r="A69" s="144" t="str">
        <f aca="false">IF(ISBLANK(B69),"",B69&amp;"|"&amp;C69)</f>
        <v/>
      </c>
      <c r="B69" s="144"/>
      <c r="C69" s="144"/>
      <c r="D69" s="144"/>
      <c r="E69" s="150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</row>
    <row r="70" customFormat="false" ht="15.75" hidden="false" customHeight="false" outlineLevel="0" collapsed="false">
      <c r="A70" s="144" t="str">
        <f aca="false">IF(ISBLANK(B70),"",B70&amp;"|"&amp;C70)</f>
        <v/>
      </c>
      <c r="B70" s="144"/>
      <c r="C70" s="144"/>
      <c r="D70" s="144"/>
      <c r="E70" s="150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</row>
    <row r="71" customFormat="false" ht="15.75" hidden="false" customHeight="false" outlineLevel="0" collapsed="false">
      <c r="A71" s="144" t="str">
        <f aca="false">IF(ISBLANK(B71),"",B71&amp;"|"&amp;C71)</f>
        <v/>
      </c>
      <c r="B71" s="144"/>
      <c r="C71" s="144"/>
      <c r="D71" s="144"/>
      <c r="E71" s="150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</row>
    <row r="72" customFormat="false" ht="15.75" hidden="false" customHeight="false" outlineLevel="0" collapsed="false">
      <c r="A72" s="144" t="str">
        <f aca="false">IF(ISBLANK(B72),"",B72&amp;"|"&amp;C72)</f>
        <v/>
      </c>
      <c r="B72" s="144"/>
      <c r="C72" s="144"/>
      <c r="D72" s="144"/>
      <c r="E72" s="150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 customFormat="false" ht="15.75" hidden="false" customHeight="false" outlineLevel="0" collapsed="false">
      <c r="A73" s="144" t="str">
        <f aca="false">IF(ISBLANK(B73),"",B73&amp;"|"&amp;C73)</f>
        <v/>
      </c>
      <c r="B73" s="144"/>
      <c r="C73" s="144"/>
      <c r="D73" s="144"/>
      <c r="E73" s="150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</row>
    <row r="74" customFormat="false" ht="15.75" hidden="false" customHeight="false" outlineLevel="0" collapsed="false">
      <c r="A74" s="144" t="str">
        <f aca="false">IF(ISBLANK(B74),"",B74&amp;"|"&amp;C74)</f>
        <v/>
      </c>
      <c r="B74" s="144"/>
      <c r="C74" s="144"/>
      <c r="D74" s="144"/>
      <c r="E74" s="150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</row>
    <row r="75" customFormat="false" ht="15.75" hidden="false" customHeight="false" outlineLevel="0" collapsed="false">
      <c r="A75" s="144" t="str">
        <f aca="false">IF(ISBLANK(B75),"",B75&amp;"|"&amp;C75)</f>
        <v/>
      </c>
      <c r="B75" s="144"/>
      <c r="C75" s="144"/>
      <c r="D75" s="144"/>
      <c r="E75" s="150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</row>
    <row r="76" customFormat="false" ht="15.75" hidden="false" customHeight="false" outlineLevel="0" collapsed="false">
      <c r="A76" s="144" t="str">
        <f aca="false">IF(ISBLANK(B76),"",B76&amp;"|"&amp;C76)</f>
        <v/>
      </c>
      <c r="B76" s="144"/>
      <c r="C76" s="144"/>
      <c r="D76" s="144"/>
      <c r="E76" s="150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 customFormat="false" ht="15.75" hidden="false" customHeight="false" outlineLevel="0" collapsed="false">
      <c r="A77" s="144" t="str">
        <f aca="false">IF(ISBLANK(B77),"",B77&amp;"|"&amp;C77)</f>
        <v/>
      </c>
      <c r="B77" s="144"/>
      <c r="C77" s="144"/>
      <c r="D77" s="144"/>
      <c r="E77" s="150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</row>
    <row r="78" customFormat="false" ht="15.75" hidden="false" customHeight="false" outlineLevel="0" collapsed="false">
      <c r="A78" s="144" t="str">
        <f aca="false">IF(ISBLANK(B78),"",B78&amp;"|"&amp;C78)</f>
        <v/>
      </c>
      <c r="B78" s="144"/>
      <c r="C78" s="144"/>
      <c r="D78" s="144"/>
      <c r="E78" s="150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 customFormat="false" ht="15.75" hidden="false" customHeight="false" outlineLevel="0" collapsed="false">
      <c r="A79" s="144" t="str">
        <f aca="false">IF(ISBLANK(B79),"",B79&amp;"|"&amp;C79)</f>
        <v/>
      </c>
      <c r="B79" s="144"/>
      <c r="C79" s="144"/>
      <c r="D79" s="144"/>
      <c r="E79" s="150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</row>
    <row r="80" customFormat="false" ht="15.75" hidden="false" customHeight="false" outlineLevel="0" collapsed="false">
      <c r="A80" s="144" t="str">
        <f aca="false">IF(ISBLANK(B80),"",B80&amp;"|"&amp;C80)</f>
        <v/>
      </c>
      <c r="B80" s="144"/>
      <c r="C80" s="144"/>
      <c r="D80" s="144"/>
      <c r="E80" s="150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</row>
    <row r="81" customFormat="false" ht="15.75" hidden="false" customHeight="false" outlineLevel="0" collapsed="false">
      <c r="A81" s="144" t="str">
        <f aca="false">IF(ISBLANK(B81),"",B81&amp;"|"&amp;C81)</f>
        <v/>
      </c>
      <c r="B81" s="144"/>
      <c r="C81" s="144"/>
      <c r="D81" s="144"/>
      <c r="E81" s="150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</row>
    <row r="82" customFormat="false" ht="15.75" hidden="false" customHeight="false" outlineLevel="0" collapsed="false">
      <c r="A82" s="144" t="str">
        <f aca="false">IF(ISBLANK(B82),"",B82&amp;"|"&amp;C82)</f>
        <v/>
      </c>
      <c r="B82" s="144"/>
      <c r="C82" s="144"/>
      <c r="D82" s="144"/>
      <c r="E82" s="150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</row>
    <row r="83" customFormat="false" ht="15.75" hidden="false" customHeight="false" outlineLevel="0" collapsed="false">
      <c r="A83" s="144" t="str">
        <f aca="false">IF(ISBLANK(B83),"",B83&amp;"|"&amp;C83)</f>
        <v/>
      </c>
      <c r="B83" s="144"/>
      <c r="C83" s="144"/>
      <c r="D83" s="144"/>
      <c r="E83" s="150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</row>
    <row r="84" customFormat="false" ht="15.75" hidden="false" customHeight="false" outlineLevel="0" collapsed="false">
      <c r="A84" s="144" t="str">
        <f aca="false">IF(ISBLANK(B84),"",B84&amp;"|"&amp;C84)</f>
        <v/>
      </c>
      <c r="B84" s="144"/>
      <c r="C84" s="144"/>
      <c r="D84" s="144"/>
      <c r="E84" s="150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</row>
    <row r="85" customFormat="false" ht="15.75" hidden="false" customHeight="false" outlineLevel="0" collapsed="false">
      <c r="A85" s="144" t="str">
        <f aca="false">IF(ISBLANK(B85),"",B85&amp;"|"&amp;C85)</f>
        <v/>
      </c>
      <c r="B85" s="144"/>
      <c r="C85" s="144"/>
      <c r="D85" s="144"/>
      <c r="E85" s="150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</row>
    <row r="86" customFormat="false" ht="15.75" hidden="false" customHeight="false" outlineLevel="0" collapsed="false">
      <c r="A86" s="144" t="str">
        <f aca="false">IF(ISBLANK(B86),"",B86&amp;"|"&amp;C86)</f>
        <v/>
      </c>
      <c r="B86" s="144"/>
      <c r="C86" s="144"/>
      <c r="D86" s="144"/>
      <c r="E86" s="150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 customFormat="false" ht="15.75" hidden="false" customHeight="false" outlineLevel="0" collapsed="false">
      <c r="A87" s="144" t="str">
        <f aca="false">IF(ISBLANK(B87),"",B87&amp;"|"&amp;C87)</f>
        <v/>
      </c>
      <c r="B87" s="144"/>
      <c r="C87" s="144"/>
      <c r="D87" s="144"/>
      <c r="E87" s="150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</row>
    <row r="88" customFormat="false" ht="15.75" hidden="false" customHeight="false" outlineLevel="0" collapsed="false">
      <c r="A88" s="144" t="str">
        <f aca="false">IF(ISBLANK(B88),"",B88&amp;"|"&amp;C88)</f>
        <v/>
      </c>
      <c r="B88" s="144"/>
      <c r="C88" s="144"/>
      <c r="D88" s="144"/>
      <c r="E88" s="150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 customFormat="false" ht="15.75" hidden="false" customHeight="false" outlineLevel="0" collapsed="false">
      <c r="A89" s="144" t="str">
        <f aca="false">IF(ISBLANK(B89),"",B89&amp;"|"&amp;C89)</f>
        <v/>
      </c>
      <c r="B89" s="144"/>
      <c r="C89" s="144"/>
      <c r="D89" s="144"/>
      <c r="E89" s="150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</row>
    <row r="90" customFormat="false" ht="15.75" hidden="false" customHeight="false" outlineLevel="0" collapsed="false">
      <c r="A90" s="144" t="str">
        <f aca="false">IF(ISBLANK(B90),"",B90&amp;"|"&amp;C90)</f>
        <v/>
      </c>
      <c r="B90" s="144"/>
      <c r="C90" s="144"/>
      <c r="D90" s="144"/>
      <c r="E90" s="150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</row>
    <row r="91" customFormat="false" ht="15.75" hidden="false" customHeight="false" outlineLevel="0" collapsed="false">
      <c r="A91" s="144" t="str">
        <f aca="false">IF(ISBLANK(B91),"",B91&amp;"|"&amp;C91)</f>
        <v/>
      </c>
      <c r="B91" s="144"/>
      <c r="C91" s="144"/>
      <c r="D91" s="144"/>
      <c r="E91" s="150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</row>
    <row r="92" customFormat="false" ht="15.75" hidden="false" customHeight="false" outlineLevel="0" collapsed="false">
      <c r="A92" s="144" t="str">
        <f aca="false">IF(ISBLANK(B92),"",B92&amp;"|"&amp;C92)</f>
        <v/>
      </c>
      <c r="B92" s="144"/>
      <c r="C92" s="144"/>
      <c r="D92" s="144"/>
      <c r="E92" s="150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 customFormat="false" ht="15.75" hidden="false" customHeight="false" outlineLevel="0" collapsed="false">
      <c r="A93" s="144" t="str">
        <f aca="false">IF(ISBLANK(B93),"",B93&amp;"|"&amp;C93)</f>
        <v/>
      </c>
      <c r="B93" s="144"/>
      <c r="C93" s="144"/>
      <c r="D93" s="144"/>
      <c r="E93" s="150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</row>
    <row r="94" customFormat="false" ht="15.75" hidden="false" customHeight="false" outlineLevel="0" collapsed="false">
      <c r="A94" s="144" t="str">
        <f aca="false">IF(ISBLANK(B94),"",B94&amp;"|"&amp;C94)</f>
        <v/>
      </c>
      <c r="B94" s="144"/>
      <c r="C94" s="144"/>
      <c r="D94" s="144"/>
      <c r="E94" s="150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 customFormat="false" ht="15.75" hidden="false" customHeight="false" outlineLevel="0" collapsed="false">
      <c r="A95" s="144" t="str">
        <f aca="false">IF(ISBLANK(B95),"",B95&amp;"|"&amp;C95)</f>
        <v/>
      </c>
      <c r="B95" s="144"/>
      <c r="C95" s="144"/>
      <c r="D95" s="144"/>
      <c r="E95" s="150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</row>
    <row r="96" customFormat="false" ht="15.75" hidden="false" customHeight="false" outlineLevel="0" collapsed="false">
      <c r="A96" s="144" t="str">
        <f aca="false">IF(ISBLANK(B96),"",B96&amp;"|"&amp;C96)</f>
        <v/>
      </c>
      <c r="B96" s="144"/>
      <c r="C96" s="144"/>
      <c r="D96" s="144"/>
      <c r="E96" s="150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 customFormat="false" ht="15.75" hidden="false" customHeight="false" outlineLevel="0" collapsed="false">
      <c r="A97" s="144" t="str">
        <f aca="false">IF(ISBLANK(B97),"",B97&amp;"|"&amp;C97)</f>
        <v/>
      </c>
      <c r="B97" s="144"/>
      <c r="C97" s="144"/>
      <c r="D97" s="144"/>
      <c r="E97" s="150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</row>
    <row r="98" customFormat="false" ht="15.75" hidden="false" customHeight="false" outlineLevel="0" collapsed="false">
      <c r="A98" s="144" t="str">
        <f aca="false">IF(ISBLANK(B98),"",B98&amp;"|"&amp;C98)</f>
        <v/>
      </c>
      <c r="B98" s="144"/>
      <c r="C98" s="144"/>
      <c r="D98" s="144"/>
      <c r="E98" s="150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 customFormat="false" ht="15.75" hidden="false" customHeight="false" outlineLevel="0" collapsed="false">
      <c r="A99" s="144" t="str">
        <f aca="false">IF(ISBLANK(B99),"",B99&amp;"|"&amp;C99)</f>
        <v/>
      </c>
      <c r="B99" s="144"/>
      <c r="C99" s="144"/>
      <c r="D99" s="144"/>
      <c r="E99" s="150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</row>
    <row r="100" customFormat="false" ht="15.75" hidden="false" customHeight="false" outlineLevel="0" collapsed="false">
      <c r="A100" s="144" t="str">
        <f aca="false">IF(ISBLANK(B100),"",B100&amp;"|"&amp;C100)</f>
        <v/>
      </c>
      <c r="B100" s="144"/>
      <c r="C100" s="144"/>
      <c r="D100" s="144"/>
      <c r="E100" s="150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 customFormat="false" ht="15.75" hidden="false" customHeight="false" outlineLevel="0" collapsed="false">
      <c r="A101" s="144" t="str">
        <f aca="false">IF(ISBLANK(B101),"",B101&amp;"|"&amp;C101)</f>
        <v/>
      </c>
      <c r="B101" s="144"/>
      <c r="C101" s="144"/>
      <c r="D101" s="144"/>
      <c r="E101" s="150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</row>
    <row r="102" customFormat="false" ht="15.75" hidden="false" customHeight="false" outlineLevel="0" collapsed="false">
      <c r="A102" s="144" t="str">
        <f aca="false">IF(ISBLANK(B102),"",B102&amp;"|"&amp;C102)</f>
        <v/>
      </c>
      <c r="B102" s="144"/>
      <c r="C102" s="144"/>
      <c r="D102" s="144"/>
      <c r="E102" s="150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</row>
    <row r="103" customFormat="false" ht="15.75" hidden="false" customHeight="false" outlineLevel="0" collapsed="false">
      <c r="A103" s="144" t="str">
        <f aca="false">IF(ISBLANK(B103),"",B103&amp;"|"&amp;C103)</f>
        <v/>
      </c>
      <c r="B103" s="144"/>
      <c r="C103" s="144"/>
      <c r="D103" s="144"/>
      <c r="E103" s="150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</row>
    <row r="104" customFormat="false" ht="15.75" hidden="false" customHeight="false" outlineLevel="0" collapsed="false">
      <c r="A104" s="144" t="str">
        <f aca="false">IF(ISBLANK(B104),"",B104&amp;"|"&amp;C104)</f>
        <v/>
      </c>
      <c r="B104" s="144"/>
      <c r="C104" s="144"/>
      <c r="D104" s="144"/>
      <c r="E104" s="150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 customFormat="false" ht="15.75" hidden="false" customHeight="false" outlineLevel="0" collapsed="false">
      <c r="A105" s="144" t="str">
        <f aca="false">IF(ISBLANK(B105),"",B105&amp;"|"&amp;C105)</f>
        <v/>
      </c>
      <c r="B105" s="144"/>
      <c r="C105" s="144"/>
      <c r="D105" s="144"/>
      <c r="E105" s="150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</row>
    <row r="106" customFormat="false" ht="15.75" hidden="false" customHeight="false" outlineLevel="0" collapsed="false">
      <c r="A106" s="144" t="str">
        <f aca="false">IF(ISBLANK(B106),"",B106&amp;"|"&amp;C106)</f>
        <v/>
      </c>
      <c r="B106" s="144"/>
      <c r="C106" s="144"/>
      <c r="D106" s="144"/>
      <c r="E106" s="150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</row>
    <row r="107" customFormat="false" ht="15.75" hidden="false" customHeight="false" outlineLevel="0" collapsed="false">
      <c r="A107" s="144" t="str">
        <f aca="false">IF(ISBLANK(B107),"",B107&amp;"|"&amp;C107)</f>
        <v/>
      </c>
      <c r="B107" s="144"/>
      <c r="C107" s="144"/>
      <c r="D107" s="144"/>
      <c r="E107" s="150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</row>
    <row r="108" customFormat="false" ht="15.75" hidden="false" customHeight="false" outlineLevel="0" collapsed="false">
      <c r="A108" s="144" t="str">
        <f aca="false">IF(ISBLANK(B108),"",B108&amp;"|"&amp;C108)</f>
        <v/>
      </c>
      <c r="B108" s="144"/>
      <c r="C108" s="144"/>
      <c r="D108" s="144"/>
      <c r="E108" s="150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</row>
    <row r="109" customFormat="false" ht="15.75" hidden="false" customHeight="false" outlineLevel="0" collapsed="false">
      <c r="A109" s="144" t="str">
        <f aca="false">IF(ISBLANK(B109),"",B109&amp;"|"&amp;C109)</f>
        <v/>
      </c>
      <c r="B109" s="144"/>
      <c r="C109" s="144"/>
      <c r="D109" s="144"/>
      <c r="E109" s="150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</row>
    <row r="110" customFormat="false" ht="15.75" hidden="false" customHeight="false" outlineLevel="0" collapsed="false">
      <c r="A110" s="144" t="str">
        <f aca="false">IF(ISBLANK(B110),"",B110&amp;"|"&amp;C110)</f>
        <v/>
      </c>
      <c r="B110" s="144"/>
      <c r="C110" s="144"/>
      <c r="D110" s="144"/>
      <c r="E110" s="150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 customFormat="false" ht="15.75" hidden="false" customHeight="false" outlineLevel="0" collapsed="false">
      <c r="A111" s="144" t="str">
        <f aca="false">IF(ISBLANK(B111),"",B111&amp;"|"&amp;C111)</f>
        <v/>
      </c>
      <c r="B111" s="144"/>
      <c r="C111" s="144"/>
      <c r="D111" s="144"/>
      <c r="E111" s="150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</row>
    <row r="112" customFormat="false" ht="15.75" hidden="false" customHeight="false" outlineLevel="0" collapsed="false">
      <c r="A112" s="144" t="str">
        <f aca="false">IF(ISBLANK(B112),"",B112&amp;"|"&amp;C112)</f>
        <v/>
      </c>
      <c r="B112" s="144"/>
      <c r="C112" s="144"/>
      <c r="D112" s="144"/>
      <c r="E112" s="150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 customFormat="false" ht="15.75" hidden="false" customHeight="false" outlineLevel="0" collapsed="false">
      <c r="A113" s="144" t="str">
        <f aca="false">IF(ISBLANK(B113),"",B113&amp;"|"&amp;C113)</f>
        <v/>
      </c>
      <c r="B113" s="144"/>
      <c r="C113" s="144"/>
      <c r="D113" s="144"/>
      <c r="E113" s="150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</row>
    <row r="114" customFormat="false" ht="15.75" hidden="false" customHeight="false" outlineLevel="0" collapsed="false">
      <c r="A114" s="144" t="str">
        <f aca="false">IF(ISBLANK(B114),"",B114&amp;"|"&amp;C114)</f>
        <v/>
      </c>
      <c r="B114" s="144"/>
      <c r="C114" s="144"/>
      <c r="D114" s="144"/>
      <c r="E114" s="150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</row>
    <row r="115" customFormat="false" ht="15.75" hidden="false" customHeight="false" outlineLevel="0" collapsed="false">
      <c r="A115" s="144" t="str">
        <f aca="false">IF(ISBLANK(B115),"",B115&amp;"|"&amp;C115)</f>
        <v/>
      </c>
      <c r="B115" s="144"/>
      <c r="C115" s="144"/>
      <c r="D115" s="144"/>
      <c r="E115" s="150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</row>
    <row r="116" customFormat="false" ht="15.75" hidden="false" customHeight="false" outlineLevel="0" collapsed="false">
      <c r="A116" s="144" t="str">
        <f aca="false">IF(ISBLANK(B116),"",B116&amp;"|"&amp;C116)</f>
        <v/>
      </c>
      <c r="B116" s="144"/>
      <c r="C116" s="144"/>
      <c r="D116" s="144"/>
      <c r="E116" s="150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</row>
    <row r="117" customFormat="false" ht="15.75" hidden="false" customHeight="false" outlineLevel="0" collapsed="false">
      <c r="A117" s="144" t="str">
        <f aca="false">IF(ISBLANK(B117),"",B117&amp;"|"&amp;C117)</f>
        <v/>
      </c>
      <c r="B117" s="144"/>
      <c r="C117" s="144"/>
      <c r="D117" s="144"/>
      <c r="E117" s="150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</row>
    <row r="118" customFormat="false" ht="15.75" hidden="false" customHeight="false" outlineLevel="0" collapsed="false">
      <c r="A118" s="144" t="str">
        <f aca="false">IF(ISBLANK(B118),"",B118&amp;"|"&amp;C118)</f>
        <v/>
      </c>
      <c r="B118" s="144"/>
      <c r="C118" s="144"/>
      <c r="D118" s="144"/>
      <c r="E118" s="150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</row>
    <row r="119" customFormat="false" ht="15.75" hidden="false" customHeight="false" outlineLevel="0" collapsed="false">
      <c r="A119" s="144" t="str">
        <f aca="false">IF(ISBLANK(B119),"",B119&amp;"|"&amp;C119)</f>
        <v/>
      </c>
      <c r="B119" s="144"/>
      <c r="C119" s="144"/>
      <c r="D119" s="144"/>
      <c r="E119" s="150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</row>
    <row r="120" customFormat="false" ht="15.75" hidden="false" customHeight="false" outlineLevel="0" collapsed="false">
      <c r="A120" s="144" t="str">
        <f aca="false">IF(ISBLANK(B120),"",B120&amp;"|"&amp;C120)</f>
        <v/>
      </c>
      <c r="B120" s="144"/>
      <c r="C120" s="144"/>
      <c r="D120" s="144"/>
      <c r="E120" s="150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</row>
    <row r="121" customFormat="false" ht="15.75" hidden="false" customHeight="false" outlineLevel="0" collapsed="false">
      <c r="A121" s="144" t="str">
        <f aca="false">IF(ISBLANK(B121),"",B121&amp;"|"&amp;C121)</f>
        <v/>
      </c>
      <c r="B121" s="144"/>
      <c r="C121" s="144"/>
      <c r="D121" s="144"/>
      <c r="E121" s="150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</row>
    <row r="122" customFormat="false" ht="15.75" hidden="false" customHeight="false" outlineLevel="0" collapsed="false">
      <c r="A122" s="144" t="str">
        <f aca="false">IF(ISBLANK(B122),"",B122&amp;"|"&amp;C122)</f>
        <v/>
      </c>
      <c r="B122" s="144"/>
      <c r="C122" s="144"/>
      <c r="D122" s="144"/>
      <c r="E122" s="150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</row>
    <row r="123" customFormat="false" ht="15.75" hidden="false" customHeight="false" outlineLevel="0" collapsed="false">
      <c r="A123" s="144" t="str">
        <f aca="false">IF(ISBLANK(B123),"",B123&amp;"|"&amp;C123)</f>
        <v/>
      </c>
      <c r="B123" s="144"/>
      <c r="C123" s="144"/>
      <c r="D123" s="144"/>
      <c r="E123" s="150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</row>
    <row r="124" customFormat="false" ht="15.75" hidden="false" customHeight="false" outlineLevel="0" collapsed="false">
      <c r="A124" s="144" t="str">
        <f aca="false">IF(ISBLANK(B124),"",B124&amp;"|"&amp;C124)</f>
        <v/>
      </c>
      <c r="B124" s="144"/>
      <c r="C124" s="144"/>
      <c r="D124" s="144"/>
      <c r="E124" s="150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</row>
    <row r="125" customFormat="false" ht="15.75" hidden="false" customHeight="false" outlineLevel="0" collapsed="false">
      <c r="A125" s="144" t="str">
        <f aca="false">IF(ISBLANK(B125),"",B125&amp;"|"&amp;C125)</f>
        <v/>
      </c>
      <c r="B125" s="144"/>
      <c r="C125" s="144"/>
      <c r="D125" s="144"/>
      <c r="E125" s="150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</row>
    <row r="126" customFormat="false" ht="15.75" hidden="false" customHeight="false" outlineLevel="0" collapsed="false">
      <c r="A126" s="144" t="str">
        <f aca="false">IF(ISBLANK(B126),"",B126&amp;"|"&amp;C126)</f>
        <v/>
      </c>
      <c r="B126" s="144"/>
      <c r="C126" s="144"/>
      <c r="D126" s="144"/>
      <c r="E126" s="150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</row>
    <row r="127" customFormat="false" ht="15.75" hidden="false" customHeight="false" outlineLevel="0" collapsed="false">
      <c r="A127" s="144" t="str">
        <f aca="false">IF(ISBLANK(B127),"",B127&amp;"|"&amp;C127)</f>
        <v/>
      </c>
      <c r="B127" s="144"/>
      <c r="C127" s="144"/>
      <c r="D127" s="144"/>
      <c r="E127" s="150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</row>
    <row r="128" customFormat="false" ht="15.75" hidden="false" customHeight="false" outlineLevel="0" collapsed="false">
      <c r="A128" s="144" t="str">
        <f aca="false">IF(ISBLANK(B128),"",B128&amp;"|"&amp;C128)</f>
        <v/>
      </c>
      <c r="B128" s="144"/>
      <c r="C128" s="144"/>
      <c r="D128" s="144"/>
      <c r="E128" s="150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</row>
    <row r="129" customFormat="false" ht="15.75" hidden="false" customHeight="false" outlineLevel="0" collapsed="false">
      <c r="A129" s="144" t="str">
        <f aca="false">IF(ISBLANK(B129),"",B129&amp;"|"&amp;C129)</f>
        <v/>
      </c>
      <c r="B129" s="144"/>
      <c r="C129" s="144"/>
      <c r="D129" s="144"/>
      <c r="E129" s="150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</row>
    <row r="130" customFormat="false" ht="15.75" hidden="false" customHeight="false" outlineLevel="0" collapsed="false">
      <c r="A130" s="144" t="str">
        <f aca="false">IF(ISBLANK(B130),"",B130&amp;"|"&amp;C130)</f>
        <v/>
      </c>
      <c r="B130" s="144"/>
      <c r="C130" s="144"/>
      <c r="D130" s="144"/>
      <c r="E130" s="150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</row>
    <row r="131" customFormat="false" ht="15.75" hidden="false" customHeight="false" outlineLevel="0" collapsed="false">
      <c r="A131" s="144" t="str">
        <f aca="false">IF(ISBLANK(B131),"",B131&amp;"|"&amp;C131)</f>
        <v/>
      </c>
      <c r="B131" s="144"/>
      <c r="C131" s="144"/>
      <c r="D131" s="144"/>
      <c r="E131" s="150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</row>
    <row r="132" customFormat="false" ht="15.75" hidden="false" customHeight="false" outlineLevel="0" collapsed="false">
      <c r="A132" s="144" t="str">
        <f aca="false">IF(ISBLANK(B132),"",B132&amp;"|"&amp;C132)</f>
        <v/>
      </c>
      <c r="B132" s="144"/>
      <c r="C132" s="144"/>
      <c r="D132" s="144"/>
      <c r="E132" s="150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</row>
    <row r="133" customFormat="false" ht="15.75" hidden="false" customHeight="false" outlineLevel="0" collapsed="false">
      <c r="A133" s="144" t="str">
        <f aca="false">IF(ISBLANK(B133),"",B133&amp;"|"&amp;C133)</f>
        <v/>
      </c>
      <c r="B133" s="144"/>
      <c r="C133" s="144"/>
      <c r="D133" s="144"/>
      <c r="E133" s="150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</row>
    <row r="134" customFormat="false" ht="15.75" hidden="false" customHeight="false" outlineLevel="0" collapsed="false">
      <c r="A134" s="144" t="str">
        <f aca="false">IF(ISBLANK(B134),"",B134&amp;"|"&amp;C134)</f>
        <v/>
      </c>
      <c r="B134" s="144"/>
      <c r="C134" s="144"/>
      <c r="D134" s="144"/>
      <c r="E134" s="150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</row>
    <row r="135" customFormat="false" ht="15.75" hidden="false" customHeight="false" outlineLevel="0" collapsed="false">
      <c r="A135" s="144" t="str">
        <f aca="false">IF(ISBLANK(B135),"",B135&amp;"|"&amp;C135)</f>
        <v/>
      </c>
      <c r="B135" s="144"/>
      <c r="C135" s="144"/>
      <c r="D135" s="144"/>
      <c r="E135" s="150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</row>
    <row r="136" customFormat="false" ht="15.75" hidden="false" customHeight="false" outlineLevel="0" collapsed="false">
      <c r="A136" s="144" t="str">
        <f aca="false">IF(ISBLANK(B136),"",B136&amp;"|"&amp;C136)</f>
        <v/>
      </c>
      <c r="B136" s="144"/>
      <c r="C136" s="144"/>
      <c r="D136" s="144"/>
      <c r="E136" s="150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</row>
    <row r="137" customFormat="false" ht="15.75" hidden="false" customHeight="false" outlineLevel="0" collapsed="false">
      <c r="A137" s="144" t="str">
        <f aca="false">IF(ISBLANK(B137),"",B137&amp;"|"&amp;C137)</f>
        <v/>
      </c>
      <c r="B137" s="144"/>
      <c r="C137" s="144"/>
      <c r="D137" s="144"/>
      <c r="E137" s="150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</row>
    <row r="138" customFormat="false" ht="15.75" hidden="false" customHeight="false" outlineLevel="0" collapsed="false">
      <c r="A138" s="144" t="str">
        <f aca="false">IF(ISBLANK(B138),"",B138&amp;"|"&amp;C138)</f>
        <v/>
      </c>
      <c r="B138" s="144"/>
      <c r="C138" s="144"/>
      <c r="D138" s="144"/>
      <c r="E138" s="150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</row>
    <row r="139" customFormat="false" ht="15.75" hidden="false" customHeight="false" outlineLevel="0" collapsed="false">
      <c r="A139" s="144" t="str">
        <f aca="false">IF(ISBLANK(B139),"",B139&amp;"|"&amp;C139)</f>
        <v/>
      </c>
      <c r="B139" s="144"/>
      <c r="C139" s="144"/>
      <c r="D139" s="144"/>
      <c r="E139" s="150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</row>
    <row r="140" customFormat="false" ht="15.75" hidden="false" customHeight="false" outlineLevel="0" collapsed="false">
      <c r="A140" s="144" t="str">
        <f aca="false">IF(ISBLANK(B140),"",B140&amp;"|"&amp;C140)</f>
        <v/>
      </c>
      <c r="B140" s="144"/>
      <c r="C140" s="144"/>
      <c r="D140" s="144"/>
      <c r="E140" s="150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</row>
    <row r="141" customFormat="false" ht="15.75" hidden="false" customHeight="false" outlineLevel="0" collapsed="false">
      <c r="A141" s="144" t="str">
        <f aca="false">IF(ISBLANK(B141),"",B141&amp;"|"&amp;C141)</f>
        <v/>
      </c>
      <c r="B141" s="144"/>
      <c r="C141" s="144"/>
      <c r="D141" s="144"/>
      <c r="E141" s="150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</row>
    <row r="142" customFormat="false" ht="15.75" hidden="false" customHeight="false" outlineLevel="0" collapsed="false">
      <c r="A142" s="144" t="str">
        <f aca="false">IF(ISBLANK(B142),"",B142&amp;"|"&amp;C142)</f>
        <v/>
      </c>
      <c r="B142" s="144"/>
      <c r="C142" s="144"/>
      <c r="D142" s="144"/>
      <c r="E142" s="150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</row>
    <row r="143" customFormat="false" ht="15.75" hidden="false" customHeight="false" outlineLevel="0" collapsed="false">
      <c r="A143" s="144" t="str">
        <f aca="false">IF(ISBLANK(B143),"",B143&amp;"|"&amp;C143)</f>
        <v/>
      </c>
      <c r="B143" s="144"/>
      <c r="C143" s="144"/>
      <c r="D143" s="144"/>
      <c r="E143" s="150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</row>
    <row r="144" customFormat="false" ht="15.75" hidden="false" customHeight="false" outlineLevel="0" collapsed="false">
      <c r="A144" s="144" t="str">
        <f aca="false">IF(ISBLANK(B144),"",B144&amp;"|"&amp;C144)</f>
        <v/>
      </c>
      <c r="B144" s="144"/>
      <c r="C144" s="144"/>
      <c r="D144" s="144"/>
      <c r="E144" s="150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</row>
    <row r="145" customFormat="false" ht="15.75" hidden="false" customHeight="false" outlineLevel="0" collapsed="false">
      <c r="A145" s="144" t="str">
        <f aca="false">IF(ISBLANK(B145),"",B145&amp;"|"&amp;C145)</f>
        <v/>
      </c>
      <c r="B145" s="144"/>
      <c r="C145" s="144"/>
      <c r="D145" s="144"/>
      <c r="E145" s="150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</row>
    <row r="146" customFormat="false" ht="15.75" hidden="false" customHeight="false" outlineLevel="0" collapsed="false">
      <c r="A146" s="144" t="str">
        <f aca="false">IF(ISBLANK(B146),"",B146&amp;"|"&amp;C146)</f>
        <v/>
      </c>
      <c r="B146" s="144"/>
      <c r="C146" s="144"/>
      <c r="D146" s="144"/>
      <c r="E146" s="150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</row>
    <row r="147" customFormat="false" ht="15.75" hidden="false" customHeight="false" outlineLevel="0" collapsed="false">
      <c r="A147" s="144" t="str">
        <f aca="false">IF(ISBLANK(B147),"",B147&amp;"|"&amp;C147)</f>
        <v/>
      </c>
      <c r="B147" s="144"/>
      <c r="C147" s="144"/>
      <c r="D147" s="144"/>
      <c r="E147" s="150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</row>
    <row r="148" customFormat="false" ht="15.75" hidden="false" customHeight="false" outlineLevel="0" collapsed="false">
      <c r="A148" s="144" t="str">
        <f aca="false">IF(ISBLANK(B148),"",B148&amp;"|"&amp;C148)</f>
        <v/>
      </c>
      <c r="B148" s="144"/>
      <c r="C148" s="144"/>
      <c r="D148" s="144"/>
      <c r="E148" s="150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</row>
    <row r="149" customFormat="false" ht="15.75" hidden="false" customHeight="false" outlineLevel="0" collapsed="false">
      <c r="A149" s="144" t="str">
        <f aca="false">IF(ISBLANK(B149),"",B149&amp;"|"&amp;C149)</f>
        <v/>
      </c>
      <c r="B149" s="144"/>
      <c r="C149" s="144"/>
      <c r="D149" s="144"/>
      <c r="E149" s="150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</row>
    <row r="150" customFormat="false" ht="15.75" hidden="false" customHeight="false" outlineLevel="0" collapsed="false">
      <c r="A150" s="144" t="str">
        <f aca="false">IF(ISBLANK(B150),"",B150&amp;"|"&amp;C150)</f>
        <v/>
      </c>
      <c r="B150" s="144"/>
      <c r="C150" s="144"/>
      <c r="D150" s="144"/>
      <c r="E150" s="150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</row>
    <row r="151" customFormat="false" ht="15.75" hidden="false" customHeight="false" outlineLevel="0" collapsed="false">
      <c r="A151" s="144" t="str">
        <f aca="false">IF(ISBLANK(B151),"",B151&amp;"|"&amp;C151)</f>
        <v/>
      </c>
      <c r="B151" s="144"/>
      <c r="C151" s="144"/>
      <c r="D151" s="144"/>
      <c r="E151" s="150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</row>
    <row r="152" customFormat="false" ht="15.75" hidden="false" customHeight="false" outlineLevel="0" collapsed="false">
      <c r="A152" s="144" t="str">
        <f aca="false">IF(ISBLANK(B152),"",B152&amp;"|"&amp;C152)</f>
        <v/>
      </c>
      <c r="B152" s="144"/>
      <c r="C152" s="144"/>
      <c r="D152" s="144"/>
      <c r="E152" s="150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</row>
    <row r="153" customFormat="false" ht="15.75" hidden="false" customHeight="false" outlineLevel="0" collapsed="false">
      <c r="A153" s="144" t="str">
        <f aca="false">IF(ISBLANK(B153),"",B153&amp;"|"&amp;C153)</f>
        <v/>
      </c>
      <c r="B153" s="144"/>
      <c r="C153" s="144"/>
      <c r="D153" s="144"/>
      <c r="E153" s="150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</row>
    <row r="154" customFormat="false" ht="15.75" hidden="false" customHeight="false" outlineLevel="0" collapsed="false">
      <c r="A154" s="144" t="str">
        <f aca="false">IF(ISBLANK(B154),"",B154&amp;"|"&amp;C154)</f>
        <v/>
      </c>
      <c r="B154" s="144"/>
      <c r="C154" s="144"/>
      <c r="D154" s="144"/>
      <c r="E154" s="150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</row>
    <row r="155" customFormat="false" ht="15.75" hidden="false" customHeight="false" outlineLevel="0" collapsed="false">
      <c r="A155" s="144" t="str">
        <f aca="false">IF(ISBLANK(B155),"",B155&amp;"|"&amp;C155)</f>
        <v/>
      </c>
      <c r="B155" s="144"/>
      <c r="C155" s="144"/>
      <c r="D155" s="144"/>
      <c r="E155" s="150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</row>
    <row r="156" customFormat="false" ht="15.75" hidden="false" customHeight="false" outlineLevel="0" collapsed="false">
      <c r="A156" s="144" t="str">
        <f aca="false">IF(ISBLANK(B156),"",B156&amp;"|"&amp;C156)</f>
        <v/>
      </c>
      <c r="B156" s="144"/>
      <c r="C156" s="144"/>
      <c r="D156" s="144"/>
      <c r="E156" s="150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</row>
    <row r="157" customFormat="false" ht="15.75" hidden="false" customHeight="false" outlineLevel="0" collapsed="false">
      <c r="A157" s="144" t="str">
        <f aca="false">IF(ISBLANK(B157),"",B157&amp;"|"&amp;C157)</f>
        <v/>
      </c>
      <c r="B157" s="144"/>
      <c r="C157" s="144"/>
      <c r="D157" s="144"/>
      <c r="E157" s="150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</row>
    <row r="158" customFormat="false" ht="15.75" hidden="false" customHeight="false" outlineLevel="0" collapsed="false">
      <c r="A158" s="144" t="str">
        <f aca="false">IF(ISBLANK(B158),"",B158&amp;"|"&amp;C158)</f>
        <v/>
      </c>
      <c r="B158" s="144"/>
      <c r="C158" s="144"/>
      <c r="D158" s="144"/>
      <c r="E158" s="150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</row>
    <row r="159" customFormat="false" ht="15.75" hidden="false" customHeight="false" outlineLevel="0" collapsed="false">
      <c r="A159" s="144" t="str">
        <f aca="false">IF(ISBLANK(B159),"",B159&amp;"|"&amp;C159)</f>
        <v/>
      </c>
      <c r="B159" s="144"/>
      <c r="C159" s="144"/>
      <c r="D159" s="144"/>
      <c r="E159" s="150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</row>
    <row r="160" customFormat="false" ht="15.75" hidden="false" customHeight="false" outlineLevel="0" collapsed="false">
      <c r="A160" s="144" t="str">
        <f aca="false">IF(ISBLANK(B160),"",B160&amp;"|"&amp;C160)</f>
        <v/>
      </c>
      <c r="B160" s="144"/>
      <c r="C160" s="144"/>
      <c r="D160" s="144"/>
      <c r="E160" s="150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</row>
    <row r="161" customFormat="false" ht="15.75" hidden="false" customHeight="false" outlineLevel="0" collapsed="false">
      <c r="A161" s="144" t="str">
        <f aca="false">IF(ISBLANK(B161),"",B161&amp;"|"&amp;C161)</f>
        <v/>
      </c>
      <c r="B161" s="144"/>
      <c r="C161" s="144"/>
      <c r="D161" s="144"/>
      <c r="E161" s="150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</row>
    <row r="162" customFormat="false" ht="15.75" hidden="false" customHeight="false" outlineLevel="0" collapsed="false">
      <c r="A162" s="144" t="str">
        <f aca="false">IF(ISBLANK(B162),"",B162&amp;"|"&amp;C162)</f>
        <v/>
      </c>
      <c r="B162" s="144"/>
      <c r="C162" s="144"/>
      <c r="D162" s="144"/>
      <c r="E162" s="150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</row>
    <row r="163" customFormat="false" ht="15.75" hidden="false" customHeight="false" outlineLevel="0" collapsed="false">
      <c r="A163" s="144" t="str">
        <f aca="false">IF(ISBLANK(B163),"",B163&amp;"|"&amp;C163)</f>
        <v/>
      </c>
      <c r="B163" s="144"/>
      <c r="C163" s="144"/>
      <c r="D163" s="144"/>
      <c r="E163" s="150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</row>
    <row r="164" customFormat="false" ht="15.75" hidden="false" customHeight="false" outlineLevel="0" collapsed="false">
      <c r="A164" s="144" t="str">
        <f aca="false">IF(ISBLANK(B164),"",B164&amp;"|"&amp;C164)</f>
        <v/>
      </c>
      <c r="B164" s="144"/>
      <c r="C164" s="144"/>
      <c r="D164" s="144"/>
      <c r="E164" s="150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</row>
    <row r="165" customFormat="false" ht="15.75" hidden="false" customHeight="false" outlineLevel="0" collapsed="false">
      <c r="A165" s="144" t="str">
        <f aca="false">IF(ISBLANK(B165),"",B165&amp;"|"&amp;C165)</f>
        <v/>
      </c>
      <c r="B165" s="144"/>
      <c r="C165" s="144"/>
      <c r="D165" s="144"/>
      <c r="E165" s="150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</row>
    <row r="166" customFormat="false" ht="15.75" hidden="false" customHeight="false" outlineLevel="0" collapsed="false">
      <c r="A166" s="144" t="str">
        <f aca="false">IF(ISBLANK(B166),"",B166&amp;"|"&amp;C166)</f>
        <v/>
      </c>
      <c r="B166" s="144"/>
      <c r="C166" s="144"/>
      <c r="D166" s="144"/>
      <c r="E166" s="150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</row>
    <row r="167" customFormat="false" ht="15.75" hidden="false" customHeight="false" outlineLevel="0" collapsed="false">
      <c r="A167" s="144" t="str">
        <f aca="false">IF(ISBLANK(B167),"",B167&amp;"|"&amp;C167)</f>
        <v/>
      </c>
      <c r="B167" s="144"/>
      <c r="C167" s="144"/>
      <c r="D167" s="144"/>
      <c r="E167" s="150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</row>
    <row r="168" customFormat="false" ht="15.75" hidden="false" customHeight="false" outlineLevel="0" collapsed="false">
      <c r="A168" s="144" t="str">
        <f aca="false">IF(ISBLANK(B168),"",B168&amp;"|"&amp;C168)</f>
        <v/>
      </c>
      <c r="B168" s="144"/>
      <c r="C168" s="144"/>
      <c r="D168" s="144"/>
      <c r="E168" s="150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</row>
    <row r="169" customFormat="false" ht="15.75" hidden="false" customHeight="false" outlineLevel="0" collapsed="false">
      <c r="A169" s="144" t="str">
        <f aca="false">IF(ISBLANK(B169),"",B169&amp;"|"&amp;C169)</f>
        <v/>
      </c>
      <c r="B169" s="144"/>
      <c r="C169" s="144"/>
      <c r="D169" s="144"/>
      <c r="E169" s="150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</row>
    <row r="170" customFormat="false" ht="15.75" hidden="false" customHeight="false" outlineLevel="0" collapsed="false">
      <c r="A170" s="144" t="str">
        <f aca="false">IF(ISBLANK(B170),"",B170&amp;"|"&amp;C170)</f>
        <v/>
      </c>
      <c r="B170" s="144"/>
      <c r="C170" s="144"/>
      <c r="D170" s="144"/>
      <c r="E170" s="150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</row>
    <row r="171" customFormat="false" ht="15.75" hidden="false" customHeight="false" outlineLevel="0" collapsed="false">
      <c r="A171" s="144" t="str">
        <f aca="false">IF(ISBLANK(B171),"",B171&amp;"|"&amp;C171)</f>
        <v/>
      </c>
      <c r="B171" s="144"/>
      <c r="C171" s="144"/>
      <c r="D171" s="144"/>
      <c r="E171" s="150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</row>
    <row r="172" customFormat="false" ht="15.75" hidden="false" customHeight="false" outlineLevel="0" collapsed="false">
      <c r="A172" s="144" t="str">
        <f aca="false">IF(ISBLANK(B172),"",B172&amp;"|"&amp;C172)</f>
        <v/>
      </c>
      <c r="B172" s="144"/>
      <c r="C172" s="144"/>
      <c r="D172" s="144"/>
      <c r="E172" s="150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</row>
    <row r="173" customFormat="false" ht="15.75" hidden="false" customHeight="false" outlineLevel="0" collapsed="false">
      <c r="A173" s="144" t="str">
        <f aca="false">IF(ISBLANK(B173),"",B173&amp;"|"&amp;C173)</f>
        <v/>
      </c>
      <c r="B173" s="144"/>
      <c r="C173" s="144"/>
      <c r="D173" s="144"/>
      <c r="E173" s="150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</row>
    <row r="174" customFormat="false" ht="15.75" hidden="false" customHeight="false" outlineLevel="0" collapsed="false">
      <c r="A174" s="144" t="str">
        <f aca="false">IF(ISBLANK(B174),"",B174&amp;"|"&amp;C174)</f>
        <v/>
      </c>
      <c r="B174" s="144"/>
      <c r="C174" s="144"/>
      <c r="D174" s="144"/>
      <c r="E174" s="150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</row>
    <row r="175" customFormat="false" ht="15.75" hidden="false" customHeight="false" outlineLevel="0" collapsed="false">
      <c r="A175" s="144" t="str">
        <f aca="false">IF(ISBLANK(B175),"",B175&amp;"|"&amp;C175)</f>
        <v/>
      </c>
      <c r="B175" s="144"/>
      <c r="C175" s="144"/>
      <c r="D175" s="144"/>
      <c r="E175" s="150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</row>
    <row r="176" customFormat="false" ht="15.75" hidden="false" customHeight="false" outlineLevel="0" collapsed="false">
      <c r="A176" s="144" t="str">
        <f aca="false">IF(ISBLANK(B176),"",B176&amp;"|"&amp;C176)</f>
        <v/>
      </c>
      <c r="B176" s="144"/>
      <c r="C176" s="144"/>
      <c r="D176" s="144"/>
      <c r="E176" s="150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</row>
    <row r="177" customFormat="false" ht="15.75" hidden="false" customHeight="false" outlineLevel="0" collapsed="false">
      <c r="A177" s="144" t="str">
        <f aca="false">IF(ISBLANK(B177),"",B177&amp;"|"&amp;C177)</f>
        <v/>
      </c>
      <c r="B177" s="144"/>
      <c r="C177" s="144"/>
      <c r="D177" s="144"/>
      <c r="E177" s="150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</row>
    <row r="178" customFormat="false" ht="15.75" hidden="false" customHeight="false" outlineLevel="0" collapsed="false">
      <c r="A178" s="144" t="str">
        <f aca="false">IF(ISBLANK(B178),"",B178&amp;"|"&amp;C178)</f>
        <v/>
      </c>
      <c r="B178" s="144"/>
      <c r="C178" s="144"/>
      <c r="D178" s="144"/>
      <c r="E178" s="150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</row>
    <row r="179" customFormat="false" ht="15.75" hidden="false" customHeight="false" outlineLevel="0" collapsed="false">
      <c r="A179" s="144" t="str">
        <f aca="false">IF(ISBLANK(B179),"",B179&amp;"|"&amp;C179)</f>
        <v/>
      </c>
      <c r="B179" s="144"/>
      <c r="C179" s="144"/>
      <c r="D179" s="144"/>
      <c r="E179" s="150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</row>
    <row r="180" customFormat="false" ht="15.75" hidden="false" customHeight="false" outlineLevel="0" collapsed="false">
      <c r="A180" s="144" t="str">
        <f aca="false">IF(ISBLANK(B180),"",B180&amp;"|"&amp;C180)</f>
        <v/>
      </c>
      <c r="B180" s="144"/>
      <c r="C180" s="144"/>
      <c r="D180" s="144"/>
      <c r="E180" s="150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</row>
    <row r="181" customFormat="false" ht="15.75" hidden="false" customHeight="false" outlineLevel="0" collapsed="false">
      <c r="A181" s="144" t="str">
        <f aca="false">IF(ISBLANK(B181),"",B181&amp;"|"&amp;C181)</f>
        <v/>
      </c>
      <c r="B181" s="144"/>
      <c r="C181" s="144"/>
      <c r="D181" s="144"/>
      <c r="E181" s="150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</row>
    <row r="182" customFormat="false" ht="15.75" hidden="false" customHeight="false" outlineLevel="0" collapsed="false">
      <c r="A182" s="144" t="str">
        <f aca="false">IF(ISBLANK(B182),"",B182&amp;"|"&amp;C182)</f>
        <v/>
      </c>
      <c r="B182" s="144"/>
      <c r="C182" s="144"/>
      <c r="D182" s="144"/>
      <c r="E182" s="150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</row>
    <row r="183" customFormat="false" ht="15.75" hidden="false" customHeight="false" outlineLevel="0" collapsed="false">
      <c r="A183" s="144" t="str">
        <f aca="false">IF(ISBLANK(B183),"",B183&amp;"|"&amp;C183)</f>
        <v/>
      </c>
      <c r="B183" s="144"/>
      <c r="C183" s="144"/>
      <c r="D183" s="144"/>
      <c r="E183" s="150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</row>
    <row r="184" customFormat="false" ht="15.75" hidden="false" customHeight="false" outlineLevel="0" collapsed="false">
      <c r="A184" s="144" t="str">
        <f aca="false">IF(ISBLANK(B184),"",B184&amp;"|"&amp;C184)</f>
        <v/>
      </c>
      <c r="B184" s="144"/>
      <c r="C184" s="144"/>
      <c r="D184" s="144"/>
      <c r="E184" s="150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</row>
    <row r="185" customFormat="false" ht="15.75" hidden="false" customHeight="false" outlineLevel="0" collapsed="false">
      <c r="A185" s="144" t="str">
        <f aca="false">IF(ISBLANK(B185),"",B185&amp;"|"&amp;C185)</f>
        <v/>
      </c>
      <c r="B185" s="144"/>
      <c r="C185" s="144"/>
      <c r="D185" s="144"/>
      <c r="E185" s="150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</row>
    <row r="186" customFormat="false" ht="15.75" hidden="false" customHeight="false" outlineLevel="0" collapsed="false">
      <c r="A186" s="144" t="str">
        <f aca="false">IF(ISBLANK(B186),"",B186&amp;"|"&amp;C186)</f>
        <v/>
      </c>
      <c r="B186" s="144"/>
      <c r="C186" s="144"/>
      <c r="D186" s="144"/>
      <c r="E186" s="150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</row>
    <row r="187" customFormat="false" ht="15.75" hidden="false" customHeight="false" outlineLevel="0" collapsed="false">
      <c r="A187" s="144" t="str">
        <f aca="false">IF(ISBLANK(B187),"",B187&amp;"|"&amp;C187)</f>
        <v/>
      </c>
      <c r="B187" s="144"/>
      <c r="C187" s="144"/>
      <c r="D187" s="144"/>
      <c r="E187" s="150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</row>
    <row r="188" customFormat="false" ht="15.75" hidden="false" customHeight="false" outlineLevel="0" collapsed="false">
      <c r="A188" s="144" t="str">
        <f aca="false">IF(ISBLANK(B188),"",B188&amp;"|"&amp;C188)</f>
        <v/>
      </c>
      <c r="B188" s="144"/>
      <c r="C188" s="144"/>
      <c r="D188" s="144"/>
      <c r="E188" s="150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</row>
    <row r="189" customFormat="false" ht="15.75" hidden="false" customHeight="false" outlineLevel="0" collapsed="false">
      <c r="A189" s="144" t="str">
        <f aca="false">IF(ISBLANK(B189),"",B189&amp;"|"&amp;C189)</f>
        <v/>
      </c>
      <c r="B189" s="144"/>
      <c r="C189" s="144"/>
      <c r="D189" s="144"/>
      <c r="E189" s="150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</row>
    <row r="190" customFormat="false" ht="15.75" hidden="false" customHeight="false" outlineLevel="0" collapsed="false">
      <c r="A190" s="144" t="str">
        <f aca="false">IF(ISBLANK(B190),"",B190&amp;"|"&amp;C190)</f>
        <v/>
      </c>
      <c r="B190" s="144"/>
      <c r="C190" s="144"/>
      <c r="D190" s="144"/>
      <c r="E190" s="150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</row>
    <row r="191" customFormat="false" ht="15.75" hidden="false" customHeight="false" outlineLevel="0" collapsed="false">
      <c r="A191" s="144" t="str">
        <f aca="false">IF(ISBLANK(B191),"",B191&amp;"|"&amp;C191)</f>
        <v/>
      </c>
      <c r="B191" s="144"/>
      <c r="C191" s="144"/>
      <c r="D191" s="144"/>
      <c r="E191" s="150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</row>
    <row r="192" customFormat="false" ht="15.75" hidden="false" customHeight="false" outlineLevel="0" collapsed="false">
      <c r="A192" s="144" t="str">
        <f aca="false">IF(ISBLANK(B192),"",B192&amp;"|"&amp;C192)</f>
        <v/>
      </c>
      <c r="B192" s="144"/>
      <c r="C192" s="144"/>
      <c r="D192" s="144"/>
      <c r="E192" s="150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</row>
    <row r="193" customFormat="false" ht="15.75" hidden="false" customHeight="false" outlineLevel="0" collapsed="false">
      <c r="A193" s="144" t="str">
        <f aca="false">IF(ISBLANK(B193),"",B193&amp;"|"&amp;C193)</f>
        <v/>
      </c>
      <c r="B193" s="144"/>
      <c r="C193" s="144"/>
      <c r="D193" s="144"/>
      <c r="E193" s="150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</row>
    <row r="194" customFormat="false" ht="15.75" hidden="false" customHeight="false" outlineLevel="0" collapsed="false">
      <c r="A194" s="144" t="str">
        <f aca="false">IF(ISBLANK(B194),"",B194&amp;"|"&amp;C194)</f>
        <v/>
      </c>
      <c r="B194" s="144"/>
      <c r="C194" s="144"/>
      <c r="D194" s="144"/>
      <c r="E194" s="150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</row>
    <row r="195" customFormat="false" ht="15.75" hidden="false" customHeight="false" outlineLevel="0" collapsed="false">
      <c r="A195" s="144" t="str">
        <f aca="false">IF(ISBLANK(B195),"",B195&amp;"|"&amp;C195)</f>
        <v/>
      </c>
      <c r="B195" s="144"/>
      <c r="C195" s="144"/>
      <c r="D195" s="144"/>
      <c r="E195" s="150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</row>
    <row r="196" customFormat="false" ht="15.75" hidden="false" customHeight="false" outlineLevel="0" collapsed="false">
      <c r="A196" s="144" t="str">
        <f aca="false">IF(ISBLANK(B196),"",B196&amp;"|"&amp;C196)</f>
        <v/>
      </c>
      <c r="B196" s="144"/>
      <c r="C196" s="144"/>
      <c r="D196" s="144"/>
      <c r="E196" s="150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</row>
    <row r="197" customFormat="false" ht="15.75" hidden="false" customHeight="false" outlineLevel="0" collapsed="false">
      <c r="A197" s="144" t="str">
        <f aca="false">IF(ISBLANK(B197),"",B197&amp;"|"&amp;C197)</f>
        <v/>
      </c>
      <c r="B197" s="144"/>
      <c r="C197" s="144"/>
      <c r="D197" s="144"/>
      <c r="E197" s="150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</row>
    <row r="198" customFormat="false" ht="15.75" hidden="false" customHeight="false" outlineLevel="0" collapsed="false">
      <c r="A198" s="144" t="str">
        <f aca="false">IF(ISBLANK(B198),"",B198&amp;"|"&amp;C198)</f>
        <v/>
      </c>
      <c r="B198" s="144"/>
      <c r="C198" s="144"/>
      <c r="D198" s="144"/>
      <c r="E198" s="150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</row>
    <row r="199" customFormat="false" ht="15.75" hidden="false" customHeight="false" outlineLevel="0" collapsed="false">
      <c r="A199" s="144" t="str">
        <f aca="false">IF(ISBLANK(B199),"",B199&amp;"|"&amp;C199)</f>
        <v/>
      </c>
      <c r="B199" s="144"/>
      <c r="C199" s="144"/>
      <c r="D199" s="144"/>
      <c r="E199" s="150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</row>
    <row r="200" customFormat="false" ht="15.75" hidden="false" customHeight="false" outlineLevel="0" collapsed="false">
      <c r="A200" s="144" t="str">
        <f aca="false">IF(ISBLANK(B200),"",B200&amp;"|"&amp;C200)</f>
        <v/>
      </c>
      <c r="B200" s="144"/>
      <c r="C200" s="144"/>
      <c r="D200" s="144"/>
      <c r="E200" s="150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</row>
    <row r="201" customFormat="false" ht="15.75" hidden="false" customHeight="false" outlineLevel="0" collapsed="false">
      <c r="A201" s="144" t="str">
        <f aca="false">IF(ISBLANK(B201),"",B201&amp;"|"&amp;C201)</f>
        <v/>
      </c>
      <c r="B201" s="144"/>
      <c r="C201" s="144"/>
      <c r="D201" s="144"/>
      <c r="E201" s="150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</row>
    <row r="202" customFormat="false" ht="15.75" hidden="false" customHeight="false" outlineLevel="0" collapsed="false">
      <c r="A202" s="144" t="str">
        <f aca="false">IF(ISBLANK(B202),"",B202&amp;"|"&amp;C202)</f>
        <v/>
      </c>
      <c r="B202" s="144"/>
      <c r="C202" s="144"/>
      <c r="D202" s="144"/>
      <c r="E202" s="150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</row>
    <row r="203" customFormat="false" ht="15.75" hidden="false" customHeight="false" outlineLevel="0" collapsed="false">
      <c r="A203" s="144" t="str">
        <f aca="false">IF(ISBLANK(B203),"",B203&amp;"|"&amp;C203)</f>
        <v/>
      </c>
      <c r="B203" s="144"/>
      <c r="C203" s="144"/>
      <c r="D203" s="144"/>
      <c r="E203" s="150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</row>
    <row r="204" customFormat="false" ht="15.75" hidden="false" customHeight="false" outlineLevel="0" collapsed="false">
      <c r="A204" s="144" t="str">
        <f aca="false">IF(ISBLANK(B204),"",B204&amp;"|"&amp;C204)</f>
        <v/>
      </c>
      <c r="B204" s="144"/>
      <c r="C204" s="144"/>
      <c r="D204" s="144"/>
      <c r="E204" s="150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</row>
    <row r="205" customFormat="false" ht="15.75" hidden="false" customHeight="false" outlineLevel="0" collapsed="false">
      <c r="A205" s="144" t="str">
        <f aca="false">IF(ISBLANK(B205),"",B205&amp;"|"&amp;C205)</f>
        <v/>
      </c>
      <c r="B205" s="144"/>
      <c r="C205" s="144"/>
      <c r="D205" s="144"/>
      <c r="E205" s="150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</row>
    <row r="206" customFormat="false" ht="15.75" hidden="false" customHeight="false" outlineLevel="0" collapsed="false">
      <c r="A206" s="144" t="str">
        <f aca="false">IF(ISBLANK(B206),"",B206&amp;"|"&amp;C206)</f>
        <v/>
      </c>
      <c r="B206" s="144"/>
      <c r="C206" s="144"/>
      <c r="D206" s="144"/>
      <c r="E206" s="150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</row>
    <row r="207" customFormat="false" ht="15.75" hidden="false" customHeight="false" outlineLevel="0" collapsed="false">
      <c r="A207" s="144" t="str">
        <f aca="false">IF(ISBLANK(B207),"",B207&amp;"|"&amp;C207)</f>
        <v/>
      </c>
      <c r="B207" s="144"/>
      <c r="C207" s="144"/>
      <c r="D207" s="144"/>
      <c r="E207" s="150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</row>
    <row r="208" customFormat="false" ht="15.75" hidden="false" customHeight="false" outlineLevel="0" collapsed="false">
      <c r="A208" s="144" t="str">
        <f aca="false">IF(ISBLANK(B208),"",B208&amp;"|"&amp;C208)</f>
        <v/>
      </c>
      <c r="B208" s="144"/>
      <c r="C208" s="144"/>
      <c r="D208" s="144"/>
      <c r="E208" s="150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</row>
    <row r="209" customFormat="false" ht="15.75" hidden="false" customHeight="false" outlineLevel="0" collapsed="false">
      <c r="A209" s="144" t="str">
        <f aca="false">IF(ISBLANK(B209),"",B209&amp;"|"&amp;C209)</f>
        <v/>
      </c>
      <c r="B209" s="144"/>
      <c r="C209" s="144"/>
      <c r="D209" s="144"/>
      <c r="E209" s="150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</row>
    <row r="210" customFormat="false" ht="15.75" hidden="false" customHeight="false" outlineLevel="0" collapsed="false">
      <c r="A210" s="144" t="str">
        <f aca="false">IF(ISBLANK(B210),"",B210&amp;"|"&amp;C210)</f>
        <v/>
      </c>
      <c r="B210" s="144"/>
      <c r="C210" s="144"/>
      <c r="D210" s="144"/>
      <c r="E210" s="150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</row>
    <row r="211" customFormat="false" ht="15.75" hidden="false" customHeight="false" outlineLevel="0" collapsed="false">
      <c r="A211" s="144" t="str">
        <f aca="false">IF(ISBLANK(B211),"",B211&amp;"|"&amp;C211)</f>
        <v/>
      </c>
      <c r="B211" s="144"/>
      <c r="C211" s="144"/>
      <c r="D211" s="144"/>
      <c r="E211" s="150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</row>
    <row r="212" customFormat="false" ht="15.75" hidden="false" customHeight="false" outlineLevel="0" collapsed="false">
      <c r="A212" s="144" t="str">
        <f aca="false">IF(ISBLANK(B212),"",B212&amp;"|"&amp;C212)</f>
        <v/>
      </c>
      <c r="B212" s="144"/>
      <c r="C212" s="144"/>
      <c r="D212" s="144"/>
      <c r="E212" s="150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</row>
    <row r="213" customFormat="false" ht="15.75" hidden="false" customHeight="false" outlineLevel="0" collapsed="false">
      <c r="A213" s="144" t="str">
        <f aca="false">IF(ISBLANK(B213),"",B213&amp;"|"&amp;C213)</f>
        <v/>
      </c>
      <c r="B213" s="144"/>
      <c r="C213" s="144"/>
      <c r="D213" s="144"/>
      <c r="E213" s="150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</row>
    <row r="214" customFormat="false" ht="15.75" hidden="false" customHeight="false" outlineLevel="0" collapsed="false">
      <c r="A214" s="144" t="str">
        <f aca="false">IF(ISBLANK(B214),"",B214&amp;"|"&amp;C214)</f>
        <v/>
      </c>
      <c r="B214" s="144"/>
      <c r="C214" s="144"/>
      <c r="D214" s="144"/>
      <c r="E214" s="150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</row>
    <row r="215" customFormat="false" ht="15.75" hidden="false" customHeight="false" outlineLevel="0" collapsed="false">
      <c r="A215" s="144" t="str">
        <f aca="false">IF(ISBLANK(B215),"",B215&amp;"|"&amp;C215)</f>
        <v/>
      </c>
      <c r="B215" s="144"/>
      <c r="C215" s="144"/>
      <c r="D215" s="144"/>
      <c r="E215" s="150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</row>
    <row r="216" customFormat="false" ht="15.75" hidden="false" customHeight="false" outlineLevel="0" collapsed="false">
      <c r="A216" s="144" t="str">
        <f aca="false">IF(ISBLANK(B216),"",B216&amp;"|"&amp;C216)</f>
        <v/>
      </c>
      <c r="B216" s="144"/>
      <c r="C216" s="144"/>
      <c r="D216" s="144"/>
      <c r="E216" s="150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</row>
    <row r="217" customFormat="false" ht="15.75" hidden="false" customHeight="false" outlineLevel="0" collapsed="false">
      <c r="A217" s="144" t="str">
        <f aca="false">IF(ISBLANK(B217),"",B217&amp;"|"&amp;C217)</f>
        <v/>
      </c>
      <c r="B217" s="144"/>
      <c r="C217" s="144"/>
      <c r="D217" s="144"/>
      <c r="E217" s="150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</row>
    <row r="218" customFormat="false" ht="15.75" hidden="false" customHeight="false" outlineLevel="0" collapsed="false">
      <c r="A218" s="144" t="str">
        <f aca="false">IF(ISBLANK(B218),"",B218&amp;"|"&amp;C218)</f>
        <v/>
      </c>
      <c r="B218" s="144"/>
      <c r="C218" s="144"/>
      <c r="D218" s="144"/>
      <c r="E218" s="150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</row>
    <row r="219" customFormat="false" ht="15.75" hidden="false" customHeight="false" outlineLevel="0" collapsed="false">
      <c r="A219" s="144" t="str">
        <f aca="false">IF(ISBLANK(B219),"",B219&amp;"|"&amp;C219)</f>
        <v/>
      </c>
      <c r="B219" s="144"/>
      <c r="C219" s="144"/>
      <c r="D219" s="144"/>
      <c r="E219" s="150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</row>
    <row r="220" customFormat="false" ht="15.75" hidden="false" customHeight="false" outlineLevel="0" collapsed="false">
      <c r="A220" s="144" t="str">
        <f aca="false">IF(ISBLANK(B220),"",B220&amp;"|"&amp;C220)</f>
        <v/>
      </c>
      <c r="B220" s="144"/>
      <c r="C220" s="144"/>
      <c r="D220" s="144"/>
      <c r="E220" s="150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</row>
    <row r="221" customFormat="false" ht="15.75" hidden="false" customHeight="false" outlineLevel="0" collapsed="false">
      <c r="A221" s="144" t="str">
        <f aca="false">IF(ISBLANK(B221),"",B221&amp;"|"&amp;C221)</f>
        <v/>
      </c>
      <c r="B221" s="144"/>
      <c r="C221" s="144"/>
      <c r="D221" s="144"/>
      <c r="E221" s="150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</row>
    <row r="222" customFormat="false" ht="15.75" hidden="false" customHeight="false" outlineLevel="0" collapsed="false">
      <c r="A222" s="144" t="str">
        <f aca="false">IF(ISBLANK(B222),"",B222&amp;"|"&amp;C222)</f>
        <v/>
      </c>
      <c r="B222" s="144"/>
      <c r="C222" s="144"/>
      <c r="D222" s="144"/>
      <c r="E222" s="150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</row>
    <row r="223" customFormat="false" ht="15.75" hidden="false" customHeight="false" outlineLevel="0" collapsed="false">
      <c r="A223" s="144" t="str">
        <f aca="false">IF(ISBLANK(B223),"",B223&amp;"|"&amp;C223)</f>
        <v/>
      </c>
      <c r="B223" s="144"/>
      <c r="C223" s="144"/>
      <c r="D223" s="144"/>
      <c r="E223" s="150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</row>
    <row r="224" customFormat="false" ht="15.75" hidden="false" customHeight="false" outlineLevel="0" collapsed="false">
      <c r="A224" s="144" t="str">
        <f aca="false">IF(ISBLANK(B224),"",B224&amp;"|"&amp;C224)</f>
        <v/>
      </c>
      <c r="B224" s="144"/>
      <c r="C224" s="144"/>
      <c r="D224" s="144"/>
      <c r="E224" s="150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</row>
    <row r="225" customFormat="false" ht="15.75" hidden="false" customHeight="false" outlineLevel="0" collapsed="false">
      <c r="A225" s="144" t="str">
        <f aca="false">IF(ISBLANK(B225),"",B225&amp;"|"&amp;C225)</f>
        <v/>
      </c>
      <c r="B225" s="144"/>
      <c r="C225" s="144"/>
      <c r="D225" s="144"/>
      <c r="E225" s="150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</row>
    <row r="226" customFormat="false" ht="15.75" hidden="false" customHeight="false" outlineLevel="0" collapsed="false">
      <c r="A226" s="144" t="str">
        <f aca="false">IF(ISBLANK(B226),"",B226&amp;"|"&amp;C226)</f>
        <v/>
      </c>
      <c r="B226" s="144"/>
      <c r="C226" s="144"/>
      <c r="D226" s="144"/>
      <c r="E226" s="150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</row>
    <row r="227" customFormat="false" ht="15.75" hidden="false" customHeight="false" outlineLevel="0" collapsed="false">
      <c r="A227" s="144" t="str">
        <f aca="false">IF(ISBLANK(B227),"",B227&amp;"|"&amp;C227)</f>
        <v/>
      </c>
      <c r="B227" s="144"/>
      <c r="C227" s="144"/>
      <c r="D227" s="144"/>
      <c r="E227" s="150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</row>
    <row r="228" customFormat="false" ht="15.75" hidden="false" customHeight="false" outlineLevel="0" collapsed="false">
      <c r="A228" s="144" t="str">
        <f aca="false">IF(ISBLANK(B228),"",B228&amp;"|"&amp;C228)</f>
        <v/>
      </c>
      <c r="B228" s="144"/>
      <c r="C228" s="144"/>
      <c r="D228" s="144"/>
      <c r="E228" s="150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</row>
    <row r="229" customFormat="false" ht="15.75" hidden="false" customHeight="false" outlineLevel="0" collapsed="false">
      <c r="A229" s="144" t="str">
        <f aca="false">IF(ISBLANK(B229),"",B229&amp;"|"&amp;C229)</f>
        <v/>
      </c>
      <c r="B229" s="144"/>
      <c r="C229" s="144"/>
      <c r="D229" s="144"/>
      <c r="E229" s="150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</row>
    <row r="230" customFormat="false" ht="15.75" hidden="false" customHeight="false" outlineLevel="0" collapsed="false">
      <c r="A230" s="144" t="str">
        <f aca="false">IF(ISBLANK(B230),"",B230&amp;"|"&amp;C230)</f>
        <v/>
      </c>
      <c r="B230" s="144"/>
      <c r="C230" s="144"/>
      <c r="D230" s="144"/>
      <c r="E230" s="150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</row>
    <row r="231" customFormat="false" ht="15.75" hidden="false" customHeight="false" outlineLevel="0" collapsed="false">
      <c r="A231" s="144" t="str">
        <f aca="false">IF(ISBLANK(B231),"",B231&amp;"|"&amp;C231)</f>
        <v/>
      </c>
      <c r="B231" s="144"/>
      <c r="C231" s="144"/>
      <c r="D231" s="144"/>
      <c r="E231" s="150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</row>
    <row r="232" customFormat="false" ht="15.75" hidden="false" customHeight="false" outlineLevel="0" collapsed="false">
      <c r="A232" s="144" t="str">
        <f aca="false">IF(ISBLANK(B232),"",B232&amp;"|"&amp;C232)</f>
        <v/>
      </c>
      <c r="B232" s="144"/>
      <c r="C232" s="144"/>
      <c r="D232" s="144"/>
      <c r="E232" s="150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</row>
    <row r="233" customFormat="false" ht="15.75" hidden="false" customHeight="false" outlineLevel="0" collapsed="false">
      <c r="A233" s="144" t="str">
        <f aca="false">IF(ISBLANK(B233),"",B233&amp;"|"&amp;C233)</f>
        <v/>
      </c>
      <c r="B233" s="144"/>
      <c r="C233" s="144"/>
      <c r="D233" s="144"/>
      <c r="E233" s="150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</row>
    <row r="234" customFormat="false" ht="15.75" hidden="false" customHeight="false" outlineLevel="0" collapsed="false">
      <c r="A234" s="144" t="str">
        <f aca="false">IF(ISBLANK(B234),"",B234&amp;"|"&amp;C234)</f>
        <v/>
      </c>
      <c r="B234" s="144"/>
      <c r="C234" s="144"/>
      <c r="D234" s="144"/>
      <c r="E234" s="150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</row>
    <row r="235" customFormat="false" ht="15.75" hidden="false" customHeight="false" outlineLevel="0" collapsed="false">
      <c r="A235" s="144" t="str">
        <f aca="false">IF(ISBLANK(B235),"",B235&amp;"|"&amp;C235)</f>
        <v/>
      </c>
      <c r="B235" s="144"/>
      <c r="C235" s="144"/>
      <c r="D235" s="144"/>
      <c r="E235" s="150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</row>
    <row r="236" customFormat="false" ht="15.75" hidden="false" customHeight="false" outlineLevel="0" collapsed="false">
      <c r="A236" s="144" t="str">
        <f aca="false">IF(ISBLANK(B236),"",B236&amp;"|"&amp;C236)</f>
        <v/>
      </c>
      <c r="B236" s="144"/>
      <c r="C236" s="144"/>
      <c r="D236" s="144"/>
      <c r="E236" s="150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</row>
    <row r="237" customFormat="false" ht="15.75" hidden="false" customHeight="false" outlineLevel="0" collapsed="false">
      <c r="A237" s="144" t="str">
        <f aca="false">IF(ISBLANK(B237),"",B237&amp;"|"&amp;C237)</f>
        <v/>
      </c>
      <c r="B237" s="144"/>
      <c r="C237" s="144"/>
      <c r="D237" s="144"/>
      <c r="E237" s="150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</row>
    <row r="238" customFormat="false" ht="15.75" hidden="false" customHeight="false" outlineLevel="0" collapsed="false">
      <c r="A238" s="144" t="str">
        <f aca="false">IF(ISBLANK(B238),"",B238&amp;"|"&amp;C238)</f>
        <v/>
      </c>
      <c r="B238" s="144"/>
      <c r="C238" s="144"/>
      <c r="D238" s="144"/>
      <c r="E238" s="150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</row>
    <row r="239" customFormat="false" ht="15.75" hidden="false" customHeight="false" outlineLevel="0" collapsed="false">
      <c r="A239" s="144" t="str">
        <f aca="false">IF(ISBLANK(B239),"",B239&amp;"|"&amp;C239)</f>
        <v/>
      </c>
      <c r="B239" s="144"/>
      <c r="C239" s="144"/>
      <c r="D239" s="144"/>
      <c r="E239" s="150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</row>
    <row r="240" customFormat="false" ht="15.75" hidden="false" customHeight="false" outlineLevel="0" collapsed="false">
      <c r="A240" s="144" t="str">
        <f aca="false">IF(ISBLANK(B240),"",B240&amp;"|"&amp;C240)</f>
        <v/>
      </c>
      <c r="B240" s="144"/>
      <c r="C240" s="144"/>
      <c r="D240" s="144"/>
      <c r="E240" s="150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</row>
    <row r="241" customFormat="false" ht="15.75" hidden="false" customHeight="false" outlineLevel="0" collapsed="false">
      <c r="A241" s="144" t="str">
        <f aca="false">IF(ISBLANK(B241),"",B241&amp;"|"&amp;C241)</f>
        <v/>
      </c>
      <c r="B241" s="144"/>
      <c r="C241" s="144"/>
      <c r="D241" s="144"/>
      <c r="E241" s="150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</row>
    <row r="242" customFormat="false" ht="15.75" hidden="false" customHeight="false" outlineLevel="0" collapsed="false">
      <c r="A242" s="144" t="str">
        <f aca="false">IF(ISBLANK(B242),"",B242&amp;"|"&amp;C242)</f>
        <v/>
      </c>
      <c r="B242" s="144"/>
      <c r="C242" s="144"/>
      <c r="D242" s="144"/>
      <c r="E242" s="150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</row>
    <row r="243" customFormat="false" ht="15.75" hidden="false" customHeight="false" outlineLevel="0" collapsed="false">
      <c r="A243" s="144" t="str">
        <f aca="false">IF(ISBLANK(B243),"",B243&amp;"|"&amp;C243)</f>
        <v/>
      </c>
      <c r="B243" s="144"/>
      <c r="C243" s="144"/>
      <c r="D243" s="144"/>
      <c r="E243" s="150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</row>
    <row r="244" customFormat="false" ht="15.75" hidden="false" customHeight="false" outlineLevel="0" collapsed="false">
      <c r="A244" s="144" t="str">
        <f aca="false">IF(ISBLANK(B244),"",B244&amp;"|"&amp;C244)</f>
        <v/>
      </c>
      <c r="B244" s="144"/>
      <c r="C244" s="144"/>
      <c r="D244" s="144"/>
      <c r="E244" s="150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</row>
    <row r="245" customFormat="false" ht="15.75" hidden="false" customHeight="false" outlineLevel="0" collapsed="false">
      <c r="A245" s="144" t="str">
        <f aca="false">IF(ISBLANK(B245),"",B245&amp;"|"&amp;C245)</f>
        <v/>
      </c>
      <c r="B245" s="144"/>
      <c r="C245" s="144"/>
      <c r="D245" s="144"/>
      <c r="E245" s="150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</row>
    <row r="246" customFormat="false" ht="15.75" hidden="false" customHeight="false" outlineLevel="0" collapsed="false">
      <c r="A246" s="144" t="str">
        <f aca="false">IF(ISBLANK(B246),"",B246&amp;"|"&amp;C246)</f>
        <v/>
      </c>
      <c r="B246" s="144"/>
      <c r="C246" s="144"/>
      <c r="D246" s="144"/>
      <c r="E246" s="150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</row>
    <row r="247" customFormat="false" ht="15.75" hidden="false" customHeight="false" outlineLevel="0" collapsed="false">
      <c r="A247" s="144" t="str">
        <f aca="false">IF(ISBLANK(B247),"",B247&amp;"|"&amp;C247)</f>
        <v/>
      </c>
      <c r="B247" s="144"/>
      <c r="C247" s="144"/>
      <c r="D247" s="144"/>
      <c r="E247" s="150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</row>
    <row r="248" customFormat="false" ht="15.75" hidden="false" customHeight="false" outlineLevel="0" collapsed="false">
      <c r="A248" s="144" t="str">
        <f aca="false">IF(ISBLANK(B248),"",B248&amp;"|"&amp;C248)</f>
        <v/>
      </c>
      <c r="B248" s="144"/>
      <c r="C248" s="144"/>
      <c r="D248" s="144"/>
      <c r="E248" s="150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</row>
    <row r="249" customFormat="false" ht="15.75" hidden="false" customHeight="false" outlineLevel="0" collapsed="false">
      <c r="A249" s="144" t="str">
        <f aca="false">IF(ISBLANK(B249),"",B249&amp;"|"&amp;C249)</f>
        <v/>
      </c>
      <c r="B249" s="144"/>
      <c r="C249" s="144"/>
      <c r="D249" s="144"/>
      <c r="E249" s="150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</row>
    <row r="250" customFormat="false" ht="15.75" hidden="false" customHeight="false" outlineLevel="0" collapsed="false">
      <c r="A250" s="144" t="str">
        <f aca="false">IF(ISBLANK(B250),"",B250&amp;"|"&amp;C250)</f>
        <v/>
      </c>
      <c r="B250" s="144"/>
      <c r="C250" s="144"/>
      <c r="D250" s="144"/>
      <c r="E250" s="150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</row>
    <row r="251" customFormat="false" ht="15.75" hidden="false" customHeight="false" outlineLevel="0" collapsed="false">
      <c r="A251" s="144" t="str">
        <f aca="false">IF(ISBLANK(B251),"",B251&amp;"|"&amp;C251)</f>
        <v/>
      </c>
      <c r="B251" s="144"/>
      <c r="C251" s="144"/>
      <c r="D251" s="144"/>
      <c r="E251" s="150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</row>
    <row r="252" customFormat="false" ht="15.75" hidden="false" customHeight="false" outlineLevel="0" collapsed="false">
      <c r="A252" s="144" t="str">
        <f aca="false">IF(ISBLANK(B252),"",B252&amp;"|"&amp;C252)</f>
        <v/>
      </c>
      <c r="B252" s="144"/>
      <c r="C252" s="144"/>
      <c r="D252" s="144"/>
      <c r="E252" s="150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</row>
    <row r="253" customFormat="false" ht="15.75" hidden="false" customHeight="false" outlineLevel="0" collapsed="false">
      <c r="A253" s="144" t="str">
        <f aca="false">IF(ISBLANK(B253),"",B253&amp;"|"&amp;C253)</f>
        <v/>
      </c>
      <c r="B253" s="144"/>
      <c r="C253" s="144"/>
      <c r="D253" s="144"/>
      <c r="E253" s="150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</row>
    <row r="254" customFormat="false" ht="15.75" hidden="false" customHeight="false" outlineLevel="0" collapsed="false">
      <c r="A254" s="144" t="str">
        <f aca="false">IF(ISBLANK(B254),"",B254&amp;"|"&amp;C254)</f>
        <v/>
      </c>
      <c r="B254" s="144"/>
      <c r="C254" s="144"/>
      <c r="D254" s="144"/>
      <c r="E254" s="150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</row>
    <row r="255" customFormat="false" ht="15.75" hidden="false" customHeight="false" outlineLevel="0" collapsed="false">
      <c r="A255" s="144" t="str">
        <f aca="false">IF(ISBLANK(B255),"",B255&amp;"|"&amp;C255)</f>
        <v/>
      </c>
      <c r="B255" s="144"/>
      <c r="C255" s="144"/>
      <c r="D255" s="144"/>
      <c r="E255" s="150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</row>
    <row r="256" customFormat="false" ht="15.75" hidden="false" customHeight="false" outlineLevel="0" collapsed="false">
      <c r="A256" s="144" t="str">
        <f aca="false">IF(ISBLANK(B256),"",B256&amp;"|"&amp;C256)</f>
        <v/>
      </c>
      <c r="B256" s="144"/>
      <c r="C256" s="144"/>
      <c r="D256" s="144"/>
      <c r="E256" s="150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</row>
    <row r="257" customFormat="false" ht="15.75" hidden="false" customHeight="false" outlineLevel="0" collapsed="false">
      <c r="A257" s="144" t="str">
        <f aca="false">IF(ISBLANK(B257),"",B257&amp;"|"&amp;C257)</f>
        <v/>
      </c>
      <c r="B257" s="144"/>
      <c r="C257" s="144"/>
      <c r="D257" s="144"/>
      <c r="E257" s="150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</row>
    <row r="258" customFormat="false" ht="15.75" hidden="false" customHeight="false" outlineLevel="0" collapsed="false">
      <c r="A258" s="144" t="str">
        <f aca="false">IF(ISBLANK(B258),"",B258&amp;"|"&amp;C258)</f>
        <v/>
      </c>
      <c r="B258" s="144"/>
      <c r="C258" s="144"/>
      <c r="D258" s="144"/>
      <c r="E258" s="150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</row>
    <row r="259" customFormat="false" ht="15.75" hidden="false" customHeight="false" outlineLevel="0" collapsed="false">
      <c r="A259" s="144" t="str">
        <f aca="false">IF(ISBLANK(B259),"",B259&amp;"|"&amp;C259)</f>
        <v/>
      </c>
      <c r="B259" s="144"/>
      <c r="C259" s="144"/>
      <c r="D259" s="144"/>
      <c r="E259" s="150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</row>
    <row r="260" customFormat="false" ht="15.75" hidden="false" customHeight="false" outlineLevel="0" collapsed="false">
      <c r="A260" s="144" t="str">
        <f aca="false">IF(ISBLANK(B260),"",B260&amp;"|"&amp;C260)</f>
        <v/>
      </c>
      <c r="B260" s="144"/>
      <c r="C260" s="144"/>
      <c r="D260" s="144"/>
      <c r="E260" s="150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</row>
    <row r="261" customFormat="false" ht="15.75" hidden="false" customHeight="false" outlineLevel="0" collapsed="false">
      <c r="A261" s="144" t="str">
        <f aca="false">IF(ISBLANK(B261),"",B261&amp;"|"&amp;C261)</f>
        <v/>
      </c>
      <c r="B261" s="144"/>
      <c r="C261" s="144"/>
      <c r="D261" s="144"/>
      <c r="E261" s="150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</row>
    <row r="262" customFormat="false" ht="15.75" hidden="false" customHeight="false" outlineLevel="0" collapsed="false">
      <c r="A262" s="144" t="str">
        <f aca="false">IF(ISBLANK(B262),"",B262&amp;"|"&amp;C262)</f>
        <v/>
      </c>
      <c r="B262" s="144"/>
      <c r="C262" s="144"/>
      <c r="D262" s="144"/>
      <c r="E262" s="150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</row>
    <row r="263" customFormat="false" ht="15.75" hidden="false" customHeight="false" outlineLevel="0" collapsed="false">
      <c r="A263" s="144" t="str">
        <f aca="false">IF(ISBLANK(B263),"",B263&amp;"|"&amp;C263)</f>
        <v/>
      </c>
      <c r="B263" s="144"/>
      <c r="C263" s="144"/>
      <c r="D263" s="144"/>
      <c r="E263" s="150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</row>
    <row r="264" customFormat="false" ht="15.75" hidden="false" customHeight="false" outlineLevel="0" collapsed="false">
      <c r="A264" s="144" t="str">
        <f aca="false">IF(ISBLANK(B264),"",B264&amp;"|"&amp;C264)</f>
        <v/>
      </c>
      <c r="B264" s="144"/>
      <c r="C264" s="144"/>
      <c r="D264" s="144"/>
      <c r="E264" s="150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</row>
    <row r="265" customFormat="false" ht="15.75" hidden="false" customHeight="false" outlineLevel="0" collapsed="false">
      <c r="A265" s="144" t="str">
        <f aca="false">IF(ISBLANK(B265),"",B265&amp;"|"&amp;C265)</f>
        <v/>
      </c>
      <c r="B265" s="144"/>
      <c r="C265" s="144"/>
      <c r="D265" s="144"/>
      <c r="E265" s="150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</row>
    <row r="266" customFormat="false" ht="15.75" hidden="false" customHeight="false" outlineLevel="0" collapsed="false">
      <c r="A266" s="144" t="str">
        <f aca="false">IF(ISBLANK(B266),"",B266&amp;"|"&amp;C266)</f>
        <v/>
      </c>
      <c r="B266" s="144"/>
      <c r="C266" s="144"/>
      <c r="D266" s="144"/>
      <c r="E266" s="150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</row>
    <row r="267" customFormat="false" ht="15.75" hidden="false" customHeight="false" outlineLevel="0" collapsed="false">
      <c r="A267" s="144" t="str">
        <f aca="false">IF(ISBLANK(B267),"",B267&amp;"|"&amp;C267)</f>
        <v/>
      </c>
      <c r="B267" s="144"/>
      <c r="C267" s="144"/>
      <c r="D267" s="144"/>
      <c r="E267" s="150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</row>
    <row r="268" customFormat="false" ht="15.75" hidden="false" customHeight="false" outlineLevel="0" collapsed="false">
      <c r="A268" s="144" t="str">
        <f aca="false">IF(ISBLANK(B268),"",B268&amp;"|"&amp;C268)</f>
        <v/>
      </c>
      <c r="B268" s="144"/>
      <c r="C268" s="144"/>
      <c r="D268" s="144"/>
      <c r="E268" s="150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</row>
    <row r="269" customFormat="false" ht="15.75" hidden="false" customHeight="false" outlineLevel="0" collapsed="false">
      <c r="A269" s="144" t="str">
        <f aca="false">IF(ISBLANK(B269),"",B269&amp;"|"&amp;C269)</f>
        <v/>
      </c>
      <c r="B269" s="144"/>
      <c r="C269" s="144"/>
      <c r="D269" s="144"/>
      <c r="E269" s="150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</row>
    <row r="270" customFormat="false" ht="15.75" hidden="false" customHeight="false" outlineLevel="0" collapsed="false">
      <c r="A270" s="144" t="str">
        <f aca="false">IF(ISBLANK(B270),"",B270&amp;"|"&amp;C270)</f>
        <v/>
      </c>
      <c r="B270" s="144"/>
      <c r="C270" s="144"/>
      <c r="D270" s="144"/>
      <c r="E270" s="150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</row>
    <row r="271" customFormat="false" ht="15.75" hidden="false" customHeight="false" outlineLevel="0" collapsed="false">
      <c r="A271" s="144" t="str">
        <f aca="false">IF(ISBLANK(B271),"",B271&amp;"|"&amp;C271)</f>
        <v/>
      </c>
      <c r="B271" s="144"/>
      <c r="C271" s="144"/>
      <c r="D271" s="144"/>
      <c r="E271" s="150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</row>
    <row r="272" customFormat="false" ht="15.75" hidden="false" customHeight="false" outlineLevel="0" collapsed="false">
      <c r="A272" s="144" t="str">
        <f aca="false">IF(ISBLANK(B272),"",B272&amp;"|"&amp;C272)</f>
        <v/>
      </c>
      <c r="B272" s="144"/>
      <c r="C272" s="144"/>
      <c r="D272" s="144"/>
      <c r="E272" s="150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</row>
    <row r="273" customFormat="false" ht="15.75" hidden="false" customHeight="false" outlineLevel="0" collapsed="false">
      <c r="A273" s="144" t="str">
        <f aca="false">IF(ISBLANK(B273),"",B273&amp;"|"&amp;C273)</f>
        <v/>
      </c>
      <c r="B273" s="144"/>
      <c r="C273" s="144"/>
      <c r="D273" s="144"/>
      <c r="E273" s="150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</row>
    <row r="274" customFormat="false" ht="15.75" hidden="false" customHeight="false" outlineLevel="0" collapsed="false">
      <c r="A274" s="144" t="str">
        <f aca="false">IF(ISBLANK(B274),"",B274&amp;"|"&amp;C274)</f>
        <v/>
      </c>
      <c r="B274" s="144"/>
      <c r="C274" s="144"/>
      <c r="D274" s="144"/>
      <c r="E274" s="150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</row>
    <row r="275" customFormat="false" ht="15.75" hidden="false" customHeight="false" outlineLevel="0" collapsed="false">
      <c r="A275" s="144" t="str">
        <f aca="false">IF(ISBLANK(B275),"",B275&amp;"|"&amp;C275)</f>
        <v/>
      </c>
      <c r="B275" s="144"/>
      <c r="C275" s="144"/>
      <c r="D275" s="144"/>
      <c r="E275" s="150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</row>
    <row r="276" customFormat="false" ht="15.75" hidden="false" customHeight="false" outlineLevel="0" collapsed="false">
      <c r="A276" s="144" t="str">
        <f aca="false">IF(ISBLANK(B276),"",B276&amp;"|"&amp;C276)</f>
        <v/>
      </c>
      <c r="B276" s="144"/>
      <c r="C276" s="144"/>
      <c r="D276" s="144"/>
      <c r="E276" s="150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</row>
    <row r="277" customFormat="false" ht="15.75" hidden="false" customHeight="false" outlineLevel="0" collapsed="false">
      <c r="A277" s="144" t="str">
        <f aca="false">IF(ISBLANK(B277),"",B277&amp;"|"&amp;C277)</f>
        <v/>
      </c>
      <c r="B277" s="144"/>
      <c r="C277" s="144"/>
      <c r="D277" s="144"/>
      <c r="E277" s="150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</row>
    <row r="278" customFormat="false" ht="15.75" hidden="false" customHeight="false" outlineLevel="0" collapsed="false">
      <c r="A278" s="144" t="str">
        <f aca="false">IF(ISBLANK(B278),"",B278&amp;"|"&amp;C278)</f>
        <v/>
      </c>
      <c r="B278" s="144"/>
      <c r="C278" s="144"/>
      <c r="D278" s="144"/>
      <c r="E278" s="150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</row>
    <row r="279" customFormat="false" ht="15.75" hidden="false" customHeight="false" outlineLevel="0" collapsed="false">
      <c r="A279" s="144" t="str">
        <f aca="false">IF(ISBLANK(B279),"",B279&amp;"|"&amp;C279)</f>
        <v/>
      </c>
      <c r="B279" s="144"/>
      <c r="C279" s="144"/>
      <c r="D279" s="144"/>
      <c r="E279" s="150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</row>
    <row r="280" customFormat="false" ht="15.75" hidden="false" customHeight="false" outlineLevel="0" collapsed="false">
      <c r="A280" s="144" t="str">
        <f aca="false">IF(ISBLANK(B280),"",B280&amp;"|"&amp;C280)</f>
        <v/>
      </c>
      <c r="B280" s="144"/>
      <c r="C280" s="144"/>
      <c r="D280" s="144"/>
      <c r="E280" s="150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</row>
    <row r="281" customFormat="false" ht="15.75" hidden="false" customHeight="false" outlineLevel="0" collapsed="false">
      <c r="A281" s="144" t="str">
        <f aca="false">IF(ISBLANK(B281),"",B281&amp;"|"&amp;C281)</f>
        <v/>
      </c>
      <c r="B281" s="144"/>
      <c r="C281" s="144"/>
      <c r="D281" s="144"/>
      <c r="E281" s="150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</row>
    <row r="282" customFormat="false" ht="15.75" hidden="false" customHeight="false" outlineLevel="0" collapsed="false">
      <c r="A282" s="144" t="str">
        <f aca="false">IF(ISBLANK(B282),"",B282&amp;"|"&amp;C282)</f>
        <v/>
      </c>
      <c r="B282" s="144"/>
      <c r="C282" s="144"/>
      <c r="D282" s="144"/>
      <c r="E282" s="150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</row>
    <row r="283" customFormat="false" ht="15.75" hidden="false" customHeight="false" outlineLevel="0" collapsed="false">
      <c r="A283" s="144" t="str">
        <f aca="false">IF(ISBLANK(B283),"",B283&amp;"|"&amp;C283)</f>
        <v/>
      </c>
      <c r="B283" s="144"/>
      <c r="C283" s="144"/>
      <c r="D283" s="144"/>
      <c r="E283" s="150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</row>
    <row r="284" customFormat="false" ht="15.75" hidden="false" customHeight="false" outlineLevel="0" collapsed="false">
      <c r="A284" s="144" t="str">
        <f aca="false">IF(ISBLANK(B284),"",B284&amp;"|"&amp;C284)</f>
        <v/>
      </c>
      <c r="B284" s="144"/>
      <c r="C284" s="144"/>
      <c r="D284" s="144"/>
      <c r="E284" s="150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</row>
    <row r="285" customFormat="false" ht="15.75" hidden="false" customHeight="false" outlineLevel="0" collapsed="false">
      <c r="A285" s="144" t="str">
        <f aca="false">IF(ISBLANK(B285),"",B285&amp;"|"&amp;C285)</f>
        <v/>
      </c>
      <c r="B285" s="144"/>
      <c r="C285" s="144"/>
      <c r="D285" s="144"/>
      <c r="E285" s="150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</row>
    <row r="286" customFormat="false" ht="15.75" hidden="false" customHeight="false" outlineLevel="0" collapsed="false">
      <c r="A286" s="144" t="str">
        <f aca="false">IF(ISBLANK(B286),"",B286&amp;"|"&amp;C286)</f>
        <v/>
      </c>
      <c r="B286" s="144"/>
      <c r="C286" s="144"/>
      <c r="D286" s="144"/>
      <c r="E286" s="150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</row>
    <row r="287" customFormat="false" ht="15.75" hidden="false" customHeight="false" outlineLevel="0" collapsed="false">
      <c r="A287" s="144" t="str">
        <f aca="false">IF(ISBLANK(B287),"",B287&amp;"|"&amp;C287)</f>
        <v/>
      </c>
      <c r="B287" s="144"/>
      <c r="C287" s="144"/>
      <c r="D287" s="144"/>
      <c r="E287" s="150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</row>
    <row r="288" customFormat="false" ht="15.75" hidden="false" customHeight="false" outlineLevel="0" collapsed="false">
      <c r="A288" s="144" t="str">
        <f aca="false">IF(ISBLANK(B288),"",B288&amp;"|"&amp;C288)</f>
        <v/>
      </c>
      <c r="B288" s="144"/>
      <c r="C288" s="144"/>
      <c r="D288" s="144"/>
      <c r="E288" s="150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</row>
    <row r="289" customFormat="false" ht="15.75" hidden="false" customHeight="false" outlineLevel="0" collapsed="false">
      <c r="A289" s="144" t="str">
        <f aca="false">IF(ISBLANK(B289),"",B289&amp;"|"&amp;C289)</f>
        <v/>
      </c>
      <c r="B289" s="144"/>
      <c r="C289" s="144"/>
      <c r="D289" s="144"/>
      <c r="E289" s="150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</row>
    <row r="290" customFormat="false" ht="15.75" hidden="false" customHeight="false" outlineLevel="0" collapsed="false">
      <c r="A290" s="144" t="str">
        <f aca="false">IF(ISBLANK(B290),"",B290&amp;"|"&amp;C290)</f>
        <v/>
      </c>
      <c r="B290" s="144"/>
      <c r="C290" s="144"/>
      <c r="D290" s="144"/>
      <c r="E290" s="150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</row>
    <row r="291" customFormat="false" ht="15.75" hidden="false" customHeight="false" outlineLevel="0" collapsed="false">
      <c r="A291" s="144" t="str">
        <f aca="false">IF(ISBLANK(B291),"",B291&amp;"|"&amp;C291)</f>
        <v/>
      </c>
      <c r="B291" s="144"/>
      <c r="C291" s="144"/>
      <c r="D291" s="144"/>
      <c r="E291" s="150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</row>
    <row r="292" customFormat="false" ht="15.75" hidden="false" customHeight="false" outlineLevel="0" collapsed="false">
      <c r="A292" s="144" t="str">
        <f aca="false">IF(ISBLANK(B292),"",B292&amp;"|"&amp;C292)</f>
        <v/>
      </c>
      <c r="B292" s="144"/>
      <c r="C292" s="144"/>
      <c r="D292" s="144"/>
      <c r="E292" s="150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</row>
    <row r="293" customFormat="false" ht="15.75" hidden="false" customHeight="false" outlineLevel="0" collapsed="false">
      <c r="A293" s="144" t="str">
        <f aca="false">IF(ISBLANK(B293),"",B293&amp;"|"&amp;C293)</f>
        <v/>
      </c>
      <c r="B293" s="144"/>
      <c r="C293" s="144"/>
      <c r="D293" s="144"/>
      <c r="E293" s="150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</row>
    <row r="294" customFormat="false" ht="15.75" hidden="false" customHeight="false" outlineLevel="0" collapsed="false">
      <c r="A294" s="144" t="str">
        <f aca="false">IF(ISBLANK(B294),"",B294&amp;"|"&amp;C294)</f>
        <v/>
      </c>
      <c r="B294" s="144"/>
      <c r="C294" s="144"/>
      <c r="D294" s="144"/>
      <c r="E294" s="150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</row>
    <row r="295" customFormat="false" ht="15.75" hidden="false" customHeight="false" outlineLevel="0" collapsed="false">
      <c r="A295" s="144" t="str">
        <f aca="false">IF(ISBLANK(B295),"",B295&amp;"|"&amp;C295)</f>
        <v/>
      </c>
      <c r="B295" s="144"/>
      <c r="C295" s="144"/>
      <c r="D295" s="144"/>
      <c r="E295" s="150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</row>
    <row r="296" customFormat="false" ht="15.75" hidden="false" customHeight="false" outlineLevel="0" collapsed="false">
      <c r="A296" s="144" t="str">
        <f aca="false">IF(ISBLANK(B296),"",B296&amp;"|"&amp;C296)</f>
        <v/>
      </c>
      <c r="B296" s="144"/>
      <c r="C296" s="144"/>
      <c r="D296" s="144"/>
      <c r="E296" s="150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</row>
    <row r="297" customFormat="false" ht="15.75" hidden="false" customHeight="false" outlineLevel="0" collapsed="false">
      <c r="A297" s="144" t="str">
        <f aca="false">IF(ISBLANK(B297),"",B297&amp;"|"&amp;C297)</f>
        <v/>
      </c>
      <c r="B297" s="144"/>
      <c r="C297" s="144"/>
      <c r="D297" s="144"/>
      <c r="E297" s="150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</row>
    <row r="298" customFormat="false" ht="15.75" hidden="false" customHeight="false" outlineLevel="0" collapsed="false">
      <c r="A298" s="144" t="str">
        <f aca="false">IF(ISBLANK(B298),"",B298&amp;"|"&amp;C298)</f>
        <v/>
      </c>
      <c r="B298" s="144"/>
      <c r="C298" s="144"/>
      <c r="D298" s="144"/>
      <c r="E298" s="150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</row>
    <row r="299" customFormat="false" ht="15.75" hidden="false" customHeight="false" outlineLevel="0" collapsed="false">
      <c r="A299" s="144" t="str">
        <f aca="false">IF(ISBLANK(B299),"",B299&amp;"|"&amp;C299)</f>
        <v/>
      </c>
      <c r="B299" s="144"/>
      <c r="C299" s="144"/>
      <c r="D299" s="144"/>
      <c r="E299" s="150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</row>
    <row r="300" customFormat="false" ht="15.75" hidden="false" customHeight="false" outlineLevel="0" collapsed="false">
      <c r="A300" s="144" t="str">
        <f aca="false">IF(ISBLANK(B300),"",B300&amp;"|"&amp;C300)</f>
        <v/>
      </c>
      <c r="B300" s="144"/>
      <c r="C300" s="144"/>
      <c r="D300" s="144"/>
      <c r="E300" s="150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</row>
    <row r="301" customFormat="false" ht="15.75" hidden="false" customHeight="false" outlineLevel="0" collapsed="false">
      <c r="A301" s="144" t="str">
        <f aca="false">IF(ISBLANK(B301),"",B301&amp;"|"&amp;C301)</f>
        <v/>
      </c>
      <c r="B301" s="144"/>
      <c r="C301" s="144"/>
      <c r="D301" s="144"/>
      <c r="E301" s="150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</row>
    <row r="302" customFormat="false" ht="15.75" hidden="false" customHeight="false" outlineLevel="0" collapsed="false">
      <c r="A302" s="144" t="str">
        <f aca="false">IF(ISBLANK(B302),"",B302&amp;"|"&amp;C302)</f>
        <v/>
      </c>
      <c r="B302" s="144"/>
      <c r="C302" s="144"/>
      <c r="D302" s="144"/>
      <c r="E302" s="150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</row>
    <row r="303" customFormat="false" ht="15.75" hidden="false" customHeight="false" outlineLevel="0" collapsed="false">
      <c r="A303" s="144" t="str">
        <f aca="false">IF(ISBLANK(B303),"",B303&amp;"|"&amp;C303)</f>
        <v/>
      </c>
      <c r="B303" s="144"/>
      <c r="C303" s="144"/>
      <c r="D303" s="144"/>
      <c r="E303" s="150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</row>
    <row r="304" customFormat="false" ht="15.75" hidden="false" customHeight="false" outlineLevel="0" collapsed="false">
      <c r="A304" s="144" t="str">
        <f aca="false">IF(ISBLANK(B304),"",B304&amp;"|"&amp;C304)</f>
        <v/>
      </c>
      <c r="B304" s="144"/>
      <c r="C304" s="144"/>
      <c r="D304" s="144"/>
      <c r="E304" s="150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</row>
    <row r="305" customFormat="false" ht="15.75" hidden="false" customHeight="false" outlineLevel="0" collapsed="false">
      <c r="A305" s="144" t="str">
        <f aca="false">IF(ISBLANK(B305),"",B305&amp;"|"&amp;C305)</f>
        <v/>
      </c>
      <c r="B305" s="144"/>
      <c r="C305" s="144"/>
      <c r="D305" s="144"/>
      <c r="E305" s="150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</row>
    <row r="306" customFormat="false" ht="15.75" hidden="false" customHeight="false" outlineLevel="0" collapsed="false">
      <c r="A306" s="144" t="str">
        <f aca="false">IF(ISBLANK(B306),"",B306&amp;"|"&amp;C306)</f>
        <v/>
      </c>
      <c r="B306" s="144"/>
      <c r="C306" s="144"/>
      <c r="D306" s="144"/>
      <c r="E306" s="150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</row>
    <row r="307" customFormat="false" ht="15.75" hidden="false" customHeight="false" outlineLevel="0" collapsed="false">
      <c r="A307" s="144" t="str">
        <f aca="false">IF(ISBLANK(B307),"",B307&amp;"|"&amp;C307)</f>
        <v/>
      </c>
      <c r="B307" s="144"/>
      <c r="C307" s="144"/>
      <c r="D307" s="144"/>
      <c r="E307" s="150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</row>
    <row r="308" customFormat="false" ht="15.75" hidden="false" customHeight="false" outlineLevel="0" collapsed="false">
      <c r="A308" s="144" t="str">
        <f aca="false">IF(ISBLANK(B308),"",B308&amp;"|"&amp;C308)</f>
        <v/>
      </c>
      <c r="B308" s="144"/>
      <c r="C308" s="144"/>
      <c r="D308" s="144"/>
      <c r="E308" s="150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</row>
    <row r="309" customFormat="false" ht="15.75" hidden="false" customHeight="false" outlineLevel="0" collapsed="false">
      <c r="A309" s="144" t="str">
        <f aca="false">IF(ISBLANK(B309),"",B309&amp;"|"&amp;C309)</f>
        <v/>
      </c>
      <c r="B309" s="144"/>
      <c r="C309" s="144"/>
      <c r="D309" s="144"/>
      <c r="E309" s="150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</row>
    <row r="310" customFormat="false" ht="15.75" hidden="false" customHeight="false" outlineLevel="0" collapsed="false">
      <c r="A310" s="144" t="str">
        <f aca="false">IF(ISBLANK(B310),"",B310&amp;"|"&amp;C310)</f>
        <v/>
      </c>
      <c r="B310" s="144"/>
      <c r="C310" s="144"/>
      <c r="D310" s="144"/>
      <c r="E310" s="150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</row>
    <row r="311" customFormat="false" ht="15.75" hidden="false" customHeight="false" outlineLevel="0" collapsed="false">
      <c r="A311" s="144" t="str">
        <f aca="false">IF(ISBLANK(B311),"",B311&amp;"|"&amp;C311)</f>
        <v/>
      </c>
      <c r="B311" s="144"/>
      <c r="C311" s="144"/>
      <c r="D311" s="144"/>
      <c r="E311" s="150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</row>
    <row r="312" customFormat="false" ht="15.75" hidden="false" customHeight="false" outlineLevel="0" collapsed="false">
      <c r="A312" s="144" t="str">
        <f aca="false">IF(ISBLANK(B312),"",B312&amp;"|"&amp;C312)</f>
        <v/>
      </c>
      <c r="B312" s="144"/>
      <c r="C312" s="144"/>
      <c r="D312" s="144"/>
      <c r="E312" s="150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</row>
    <row r="313" customFormat="false" ht="15.75" hidden="false" customHeight="false" outlineLevel="0" collapsed="false">
      <c r="A313" s="144" t="str">
        <f aca="false">IF(ISBLANK(B313),"",B313&amp;"|"&amp;C313)</f>
        <v/>
      </c>
      <c r="B313" s="144"/>
      <c r="C313" s="144"/>
      <c r="D313" s="144"/>
      <c r="E313" s="150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</row>
    <row r="314" customFormat="false" ht="15.75" hidden="false" customHeight="false" outlineLevel="0" collapsed="false">
      <c r="A314" s="144" t="str">
        <f aca="false">IF(ISBLANK(B314),"",B314&amp;"|"&amp;C314)</f>
        <v/>
      </c>
      <c r="B314" s="144"/>
      <c r="C314" s="144"/>
      <c r="D314" s="144"/>
      <c r="E314" s="150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</row>
    <row r="315" customFormat="false" ht="15.75" hidden="false" customHeight="false" outlineLevel="0" collapsed="false">
      <c r="A315" s="144" t="str">
        <f aca="false">IF(ISBLANK(B315),"",B315&amp;"|"&amp;C315)</f>
        <v/>
      </c>
      <c r="B315" s="144"/>
      <c r="C315" s="144"/>
      <c r="D315" s="144"/>
      <c r="E315" s="150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</row>
    <row r="316" customFormat="false" ht="15.75" hidden="false" customHeight="false" outlineLevel="0" collapsed="false">
      <c r="A316" s="144" t="str">
        <f aca="false">IF(ISBLANK(B316),"",B316&amp;"|"&amp;C316)</f>
        <v/>
      </c>
      <c r="B316" s="144"/>
      <c r="C316" s="144"/>
      <c r="D316" s="144"/>
      <c r="E316" s="150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</row>
    <row r="317" customFormat="false" ht="15.75" hidden="false" customHeight="false" outlineLevel="0" collapsed="false">
      <c r="A317" s="144" t="str">
        <f aca="false">IF(ISBLANK(B317),"",B317&amp;"|"&amp;C317)</f>
        <v/>
      </c>
      <c r="B317" s="144"/>
      <c r="C317" s="144"/>
      <c r="D317" s="144"/>
      <c r="E317" s="150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</row>
    <row r="318" customFormat="false" ht="15.75" hidden="false" customHeight="false" outlineLevel="0" collapsed="false">
      <c r="A318" s="144" t="str">
        <f aca="false">IF(ISBLANK(B318),"",B318&amp;"|"&amp;C318)</f>
        <v/>
      </c>
      <c r="B318" s="144"/>
      <c r="C318" s="144"/>
      <c r="D318" s="144"/>
      <c r="E318" s="150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</row>
    <row r="319" customFormat="false" ht="15.75" hidden="false" customHeight="false" outlineLevel="0" collapsed="false">
      <c r="A319" s="144" t="str">
        <f aca="false">IF(ISBLANK(B319),"",B319&amp;"|"&amp;C319)</f>
        <v/>
      </c>
      <c r="B319" s="144"/>
      <c r="C319" s="144"/>
      <c r="D319" s="144"/>
      <c r="E319" s="150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</row>
    <row r="320" customFormat="false" ht="15.75" hidden="false" customHeight="false" outlineLevel="0" collapsed="false">
      <c r="A320" s="144" t="str">
        <f aca="false">IF(ISBLANK(B320),"",B320&amp;"|"&amp;C320)</f>
        <v/>
      </c>
      <c r="B320" s="144"/>
      <c r="C320" s="144"/>
      <c r="D320" s="144"/>
      <c r="E320" s="150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</row>
    <row r="321" customFormat="false" ht="15.75" hidden="false" customHeight="false" outlineLevel="0" collapsed="false">
      <c r="A321" s="144" t="str">
        <f aca="false">IF(ISBLANK(B321),"",B321&amp;"|"&amp;C321)</f>
        <v/>
      </c>
      <c r="B321" s="144"/>
      <c r="C321" s="144"/>
      <c r="D321" s="144"/>
      <c r="E321" s="150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</row>
    <row r="322" customFormat="false" ht="15.75" hidden="false" customHeight="false" outlineLevel="0" collapsed="false">
      <c r="A322" s="144" t="str">
        <f aca="false">IF(ISBLANK(B322),"",B322&amp;"|"&amp;C322)</f>
        <v/>
      </c>
      <c r="B322" s="144"/>
      <c r="C322" s="144"/>
      <c r="D322" s="144"/>
      <c r="E322" s="150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</row>
    <row r="323" customFormat="false" ht="15.75" hidden="false" customHeight="false" outlineLevel="0" collapsed="false">
      <c r="A323" s="144" t="str">
        <f aca="false">IF(ISBLANK(B323),"",B323&amp;"|"&amp;C323)</f>
        <v/>
      </c>
      <c r="B323" s="144"/>
      <c r="C323" s="144"/>
      <c r="D323" s="144"/>
      <c r="E323" s="150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</row>
    <row r="324" customFormat="false" ht="15.75" hidden="false" customHeight="false" outlineLevel="0" collapsed="false">
      <c r="A324" s="144" t="str">
        <f aca="false">IF(ISBLANK(B324),"",B324&amp;"|"&amp;C324)</f>
        <v/>
      </c>
      <c r="B324" s="144"/>
      <c r="C324" s="144"/>
      <c r="D324" s="144"/>
      <c r="E324" s="150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</row>
    <row r="325" customFormat="false" ht="15.75" hidden="false" customHeight="false" outlineLevel="0" collapsed="false">
      <c r="A325" s="144" t="str">
        <f aca="false">IF(ISBLANK(B325),"",B325&amp;"|"&amp;C325)</f>
        <v/>
      </c>
      <c r="B325" s="144"/>
      <c r="C325" s="144"/>
      <c r="D325" s="144"/>
      <c r="E325" s="150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</row>
    <row r="326" customFormat="false" ht="15.75" hidden="false" customHeight="false" outlineLevel="0" collapsed="false">
      <c r="A326" s="144" t="str">
        <f aca="false">IF(ISBLANK(B326),"",B326&amp;"|"&amp;C326)</f>
        <v/>
      </c>
      <c r="B326" s="144"/>
      <c r="C326" s="144"/>
      <c r="D326" s="144"/>
      <c r="E326" s="150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</row>
    <row r="327" customFormat="false" ht="15.75" hidden="false" customHeight="false" outlineLevel="0" collapsed="false">
      <c r="A327" s="144" t="str">
        <f aca="false">IF(ISBLANK(B327),"",B327&amp;"|"&amp;C327)</f>
        <v/>
      </c>
      <c r="B327" s="144"/>
      <c r="C327" s="144"/>
      <c r="D327" s="144"/>
      <c r="E327" s="150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</row>
    <row r="328" customFormat="false" ht="15.75" hidden="false" customHeight="false" outlineLevel="0" collapsed="false">
      <c r="A328" s="144" t="str">
        <f aca="false">IF(ISBLANK(B328),"",B328&amp;"|"&amp;C328)</f>
        <v/>
      </c>
      <c r="B328" s="144"/>
      <c r="C328" s="144"/>
      <c r="D328" s="144"/>
      <c r="E328" s="150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</row>
    <row r="329" customFormat="false" ht="15.75" hidden="false" customHeight="false" outlineLevel="0" collapsed="false">
      <c r="A329" s="144" t="str">
        <f aca="false">IF(ISBLANK(B329),"",B329&amp;"|"&amp;C329)</f>
        <v/>
      </c>
      <c r="B329" s="144"/>
      <c r="C329" s="144"/>
      <c r="D329" s="144"/>
      <c r="E329" s="150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</row>
    <row r="330" customFormat="false" ht="15.75" hidden="false" customHeight="false" outlineLevel="0" collapsed="false">
      <c r="A330" s="144" t="str">
        <f aca="false">IF(ISBLANK(B330),"",B330&amp;"|"&amp;C330)</f>
        <v/>
      </c>
      <c r="B330" s="144"/>
      <c r="C330" s="144"/>
      <c r="D330" s="144"/>
      <c r="E330" s="150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</row>
    <row r="331" customFormat="false" ht="15.75" hidden="false" customHeight="false" outlineLevel="0" collapsed="false">
      <c r="A331" s="144" t="str">
        <f aca="false">IF(ISBLANK(B331),"",B331&amp;"|"&amp;C331)</f>
        <v/>
      </c>
      <c r="B331" s="144"/>
      <c r="C331" s="144"/>
      <c r="D331" s="144"/>
      <c r="E331" s="150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</row>
    <row r="332" customFormat="false" ht="15.75" hidden="false" customHeight="false" outlineLevel="0" collapsed="false">
      <c r="A332" s="144" t="str">
        <f aca="false">IF(ISBLANK(B332),"",B332&amp;"|"&amp;C332)</f>
        <v/>
      </c>
      <c r="B332" s="144"/>
      <c r="C332" s="144"/>
      <c r="D332" s="144"/>
      <c r="E332" s="150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</row>
    <row r="333" customFormat="false" ht="15.75" hidden="false" customHeight="false" outlineLevel="0" collapsed="false">
      <c r="A333" s="144" t="str">
        <f aca="false">IF(ISBLANK(B333),"",B333&amp;"|"&amp;C333)</f>
        <v/>
      </c>
      <c r="B333" s="144"/>
      <c r="C333" s="144"/>
      <c r="D333" s="144"/>
      <c r="E333" s="150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</row>
    <row r="334" customFormat="false" ht="15.75" hidden="false" customHeight="false" outlineLevel="0" collapsed="false">
      <c r="A334" s="144" t="str">
        <f aca="false">IF(ISBLANK(B334),"",B334&amp;"|"&amp;C334)</f>
        <v/>
      </c>
      <c r="B334" s="144"/>
      <c r="C334" s="144"/>
      <c r="D334" s="144"/>
      <c r="E334" s="150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</row>
    <row r="335" customFormat="false" ht="15.75" hidden="false" customHeight="false" outlineLevel="0" collapsed="false">
      <c r="A335" s="144" t="str">
        <f aca="false">IF(ISBLANK(B335),"",B335&amp;"|"&amp;C335)</f>
        <v/>
      </c>
      <c r="B335" s="144"/>
      <c r="C335" s="144"/>
      <c r="D335" s="144"/>
      <c r="E335" s="150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</row>
    <row r="336" customFormat="false" ht="15.75" hidden="false" customHeight="false" outlineLevel="0" collapsed="false">
      <c r="A336" s="144" t="str">
        <f aca="false">IF(ISBLANK(B336),"",B336&amp;"|"&amp;C336)</f>
        <v/>
      </c>
      <c r="B336" s="144"/>
      <c r="C336" s="144"/>
      <c r="D336" s="144"/>
      <c r="E336" s="150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</row>
    <row r="337" customFormat="false" ht="15.75" hidden="false" customHeight="false" outlineLevel="0" collapsed="false">
      <c r="A337" s="144" t="str">
        <f aca="false">IF(ISBLANK(B337),"",B337&amp;"|"&amp;C337)</f>
        <v/>
      </c>
      <c r="B337" s="144"/>
      <c r="C337" s="144"/>
      <c r="D337" s="144"/>
      <c r="E337" s="150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</row>
    <row r="338" customFormat="false" ht="15.75" hidden="false" customHeight="false" outlineLevel="0" collapsed="false">
      <c r="A338" s="144" t="str">
        <f aca="false">IF(ISBLANK(B338),"",B338&amp;"|"&amp;C338)</f>
        <v/>
      </c>
      <c r="B338" s="144"/>
      <c r="C338" s="144"/>
      <c r="D338" s="144"/>
      <c r="E338" s="150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</row>
    <row r="339" customFormat="false" ht="15.75" hidden="false" customHeight="false" outlineLevel="0" collapsed="false">
      <c r="A339" s="144" t="str">
        <f aca="false">IF(ISBLANK(B339),"",B339&amp;"|"&amp;C339)</f>
        <v/>
      </c>
      <c r="B339" s="144"/>
      <c r="C339" s="144"/>
      <c r="D339" s="144"/>
      <c r="E339" s="150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</row>
    <row r="340" customFormat="false" ht="15.75" hidden="false" customHeight="false" outlineLevel="0" collapsed="false">
      <c r="A340" s="144" t="str">
        <f aca="false">IF(ISBLANK(B340),"",B340&amp;"|"&amp;C340)</f>
        <v/>
      </c>
      <c r="B340" s="144"/>
      <c r="C340" s="144"/>
      <c r="D340" s="144"/>
      <c r="E340" s="150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</row>
    <row r="341" customFormat="false" ht="15.75" hidden="false" customHeight="false" outlineLevel="0" collapsed="false">
      <c r="A341" s="144" t="str">
        <f aca="false">IF(ISBLANK(B341),"",B341&amp;"|"&amp;C341)</f>
        <v/>
      </c>
      <c r="B341" s="144"/>
      <c r="C341" s="144"/>
      <c r="D341" s="144"/>
      <c r="E341" s="150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</row>
    <row r="342" customFormat="false" ht="15.75" hidden="false" customHeight="false" outlineLevel="0" collapsed="false">
      <c r="A342" s="144" t="str">
        <f aca="false">IF(ISBLANK(B342),"",B342&amp;"|"&amp;C342)</f>
        <v/>
      </c>
      <c r="B342" s="144"/>
      <c r="C342" s="144"/>
      <c r="D342" s="144"/>
      <c r="E342" s="150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</row>
    <row r="343" customFormat="false" ht="15.75" hidden="false" customHeight="false" outlineLevel="0" collapsed="false">
      <c r="A343" s="144" t="str">
        <f aca="false">IF(ISBLANK(B343),"",B343&amp;"|"&amp;C343)</f>
        <v/>
      </c>
      <c r="B343" s="144"/>
      <c r="C343" s="144"/>
      <c r="D343" s="144"/>
      <c r="E343" s="150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</row>
    <row r="344" customFormat="false" ht="15.75" hidden="false" customHeight="false" outlineLevel="0" collapsed="false">
      <c r="A344" s="144" t="str">
        <f aca="false">IF(ISBLANK(B344),"",B344&amp;"|"&amp;C344)</f>
        <v/>
      </c>
      <c r="B344" s="144"/>
      <c r="C344" s="144"/>
      <c r="D344" s="144"/>
      <c r="E344" s="150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</row>
    <row r="345" customFormat="false" ht="15.75" hidden="false" customHeight="false" outlineLevel="0" collapsed="false">
      <c r="A345" s="144" t="str">
        <f aca="false">IF(ISBLANK(B345),"",B345&amp;"|"&amp;C345)</f>
        <v/>
      </c>
      <c r="B345" s="144"/>
      <c r="C345" s="144"/>
      <c r="D345" s="144"/>
      <c r="E345" s="150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</row>
    <row r="346" customFormat="false" ht="15.75" hidden="false" customHeight="false" outlineLevel="0" collapsed="false">
      <c r="A346" s="144" t="str">
        <f aca="false">IF(ISBLANK(B346),"",B346&amp;"|"&amp;C346)</f>
        <v/>
      </c>
      <c r="B346" s="144"/>
      <c r="C346" s="144"/>
      <c r="D346" s="144"/>
      <c r="E346" s="150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</row>
    <row r="347" customFormat="false" ht="15.75" hidden="false" customHeight="false" outlineLevel="0" collapsed="false">
      <c r="A347" s="144" t="str">
        <f aca="false">IF(ISBLANK(B347),"",B347&amp;"|"&amp;C347)</f>
        <v/>
      </c>
      <c r="B347" s="144"/>
      <c r="C347" s="144"/>
      <c r="D347" s="144"/>
      <c r="E347" s="150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</row>
    <row r="348" customFormat="false" ht="15.75" hidden="false" customHeight="false" outlineLevel="0" collapsed="false">
      <c r="A348" s="144" t="str">
        <f aca="false">IF(ISBLANK(B348),"",B348&amp;"|"&amp;C348)</f>
        <v/>
      </c>
      <c r="B348" s="144"/>
      <c r="C348" s="144"/>
      <c r="D348" s="144"/>
      <c r="E348" s="150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</row>
    <row r="349" customFormat="false" ht="15.75" hidden="false" customHeight="false" outlineLevel="0" collapsed="false">
      <c r="A349" s="144" t="str">
        <f aca="false">IF(ISBLANK(B349),"",B349&amp;"|"&amp;C349)</f>
        <v/>
      </c>
      <c r="B349" s="144"/>
      <c r="C349" s="144"/>
      <c r="D349" s="144"/>
      <c r="E349" s="150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</row>
    <row r="350" customFormat="false" ht="15.75" hidden="false" customHeight="false" outlineLevel="0" collapsed="false">
      <c r="A350" s="144" t="str">
        <f aca="false">IF(ISBLANK(B350),"",B350&amp;"|"&amp;C350)</f>
        <v/>
      </c>
      <c r="B350" s="144"/>
      <c r="C350" s="144"/>
      <c r="D350" s="144"/>
      <c r="E350" s="150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</row>
    <row r="351" customFormat="false" ht="15.75" hidden="false" customHeight="false" outlineLevel="0" collapsed="false">
      <c r="A351" s="144" t="str">
        <f aca="false">IF(ISBLANK(B351),"",B351&amp;"|"&amp;C351)</f>
        <v/>
      </c>
      <c r="B351" s="144"/>
      <c r="C351" s="144"/>
      <c r="D351" s="144"/>
      <c r="E351" s="150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</row>
    <row r="352" customFormat="false" ht="15.75" hidden="false" customHeight="false" outlineLevel="0" collapsed="false">
      <c r="A352" s="144" t="str">
        <f aca="false">IF(ISBLANK(B352),"",B352&amp;"|"&amp;C352)</f>
        <v/>
      </c>
      <c r="B352" s="144"/>
      <c r="C352" s="144"/>
      <c r="D352" s="144"/>
      <c r="E352" s="150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</row>
    <row r="353" customFormat="false" ht="15.75" hidden="false" customHeight="false" outlineLevel="0" collapsed="false">
      <c r="A353" s="144" t="str">
        <f aca="false">IF(ISBLANK(B353),"",B353&amp;"|"&amp;C353)</f>
        <v/>
      </c>
      <c r="B353" s="144"/>
      <c r="C353" s="144"/>
      <c r="D353" s="144"/>
      <c r="E353" s="150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</row>
    <row r="354" customFormat="false" ht="15.75" hidden="false" customHeight="false" outlineLevel="0" collapsed="false">
      <c r="A354" s="144" t="str">
        <f aca="false">IF(ISBLANK(B354),"",B354&amp;"|"&amp;C354)</f>
        <v/>
      </c>
      <c r="B354" s="144"/>
      <c r="C354" s="144"/>
      <c r="D354" s="144"/>
      <c r="E354" s="150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</row>
    <row r="355" customFormat="false" ht="15.75" hidden="false" customHeight="false" outlineLevel="0" collapsed="false">
      <c r="A355" s="144" t="str">
        <f aca="false">IF(ISBLANK(B355),"",B355&amp;"|"&amp;C355)</f>
        <v/>
      </c>
      <c r="B355" s="144"/>
      <c r="C355" s="144"/>
      <c r="D355" s="144"/>
      <c r="E355" s="150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</row>
    <row r="356" customFormat="false" ht="15.75" hidden="false" customHeight="false" outlineLevel="0" collapsed="false">
      <c r="A356" s="144" t="str">
        <f aca="false">IF(ISBLANK(B356),"",B356&amp;"|"&amp;C356)</f>
        <v/>
      </c>
      <c r="B356" s="144"/>
      <c r="C356" s="144"/>
      <c r="D356" s="144"/>
      <c r="E356" s="150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</row>
    <row r="357" customFormat="false" ht="15.75" hidden="false" customHeight="false" outlineLevel="0" collapsed="false">
      <c r="A357" s="144" t="str">
        <f aca="false">IF(ISBLANK(B357),"",B357&amp;"|"&amp;C357)</f>
        <v/>
      </c>
      <c r="B357" s="144"/>
      <c r="C357" s="144"/>
      <c r="D357" s="144"/>
      <c r="E357" s="150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</row>
    <row r="358" customFormat="false" ht="15.75" hidden="false" customHeight="false" outlineLevel="0" collapsed="false">
      <c r="A358" s="144" t="str">
        <f aca="false">IF(ISBLANK(B358),"",B358&amp;"|"&amp;C358)</f>
        <v/>
      </c>
      <c r="B358" s="144"/>
      <c r="C358" s="144"/>
      <c r="D358" s="144"/>
      <c r="E358" s="150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</row>
    <row r="359" customFormat="false" ht="15.75" hidden="false" customHeight="false" outlineLevel="0" collapsed="false">
      <c r="A359" s="144" t="str">
        <f aca="false">IF(ISBLANK(B359),"",B359&amp;"|"&amp;C359)</f>
        <v/>
      </c>
      <c r="B359" s="144"/>
      <c r="C359" s="144"/>
      <c r="D359" s="144"/>
      <c r="E359" s="150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</row>
    <row r="360" customFormat="false" ht="15.75" hidden="false" customHeight="false" outlineLevel="0" collapsed="false">
      <c r="A360" s="144" t="str">
        <f aca="false">IF(ISBLANK(B360),"",B360&amp;"|"&amp;C360)</f>
        <v/>
      </c>
      <c r="B360" s="144"/>
      <c r="C360" s="144"/>
      <c r="D360" s="144"/>
      <c r="E360" s="150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</row>
    <row r="361" customFormat="false" ht="15.75" hidden="false" customHeight="false" outlineLevel="0" collapsed="false">
      <c r="A361" s="144" t="str">
        <f aca="false">IF(ISBLANK(B361),"",B361&amp;"|"&amp;C361)</f>
        <v/>
      </c>
      <c r="B361" s="144"/>
      <c r="C361" s="144"/>
      <c r="D361" s="144"/>
      <c r="E361" s="150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</row>
    <row r="362" customFormat="false" ht="15.75" hidden="false" customHeight="false" outlineLevel="0" collapsed="false">
      <c r="A362" s="144" t="str">
        <f aca="false">IF(ISBLANK(B362),"",B362&amp;"|"&amp;C362)</f>
        <v/>
      </c>
      <c r="B362" s="144"/>
      <c r="C362" s="144"/>
      <c r="D362" s="144"/>
      <c r="E362" s="150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</row>
    <row r="363" customFormat="false" ht="15.75" hidden="false" customHeight="false" outlineLevel="0" collapsed="false">
      <c r="A363" s="144" t="str">
        <f aca="false">IF(ISBLANK(B363),"",B363&amp;"|"&amp;C363)</f>
        <v/>
      </c>
      <c r="B363" s="144"/>
      <c r="C363" s="144"/>
      <c r="D363" s="144"/>
      <c r="E363" s="150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</row>
    <row r="364" customFormat="false" ht="15.75" hidden="false" customHeight="false" outlineLevel="0" collapsed="false">
      <c r="A364" s="144" t="str">
        <f aca="false">IF(ISBLANK(B364),"",B364&amp;"|"&amp;C364)</f>
        <v/>
      </c>
      <c r="B364" s="144"/>
      <c r="C364" s="144"/>
      <c r="D364" s="144"/>
      <c r="E364" s="150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</row>
    <row r="365" customFormat="false" ht="15.75" hidden="false" customHeight="false" outlineLevel="0" collapsed="false">
      <c r="A365" s="144" t="str">
        <f aca="false">IF(ISBLANK(B365),"",B365&amp;"|"&amp;C365)</f>
        <v/>
      </c>
      <c r="B365" s="144"/>
      <c r="C365" s="144"/>
      <c r="D365" s="144"/>
      <c r="E365" s="150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</row>
    <row r="366" customFormat="false" ht="15.75" hidden="false" customHeight="false" outlineLevel="0" collapsed="false">
      <c r="A366" s="144" t="str">
        <f aca="false">IF(ISBLANK(B366),"",B366&amp;"|"&amp;C366)</f>
        <v/>
      </c>
      <c r="B366" s="144"/>
      <c r="C366" s="144"/>
      <c r="D366" s="144"/>
      <c r="E366" s="150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</row>
    <row r="367" customFormat="false" ht="15.75" hidden="false" customHeight="false" outlineLevel="0" collapsed="false">
      <c r="A367" s="144" t="str">
        <f aca="false">IF(ISBLANK(B367),"",B367&amp;"|"&amp;C367)</f>
        <v/>
      </c>
      <c r="B367" s="144"/>
      <c r="C367" s="144"/>
      <c r="D367" s="144"/>
      <c r="E367" s="150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</row>
    <row r="368" customFormat="false" ht="15.75" hidden="false" customHeight="false" outlineLevel="0" collapsed="false">
      <c r="A368" s="144" t="str">
        <f aca="false">IF(ISBLANK(B368),"",B368&amp;"|"&amp;C368)</f>
        <v/>
      </c>
      <c r="B368" s="144"/>
      <c r="C368" s="144"/>
      <c r="D368" s="144"/>
      <c r="E368" s="150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</row>
    <row r="369" customFormat="false" ht="15.75" hidden="false" customHeight="false" outlineLevel="0" collapsed="false">
      <c r="A369" s="144" t="str">
        <f aca="false">IF(ISBLANK(B369),"",B369&amp;"|"&amp;C369)</f>
        <v/>
      </c>
      <c r="B369" s="144"/>
      <c r="C369" s="144"/>
      <c r="D369" s="144"/>
      <c r="E369" s="150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</row>
    <row r="370" customFormat="false" ht="15.75" hidden="false" customHeight="false" outlineLevel="0" collapsed="false">
      <c r="A370" s="144" t="str">
        <f aca="false">IF(ISBLANK(B370),"",B370&amp;"|"&amp;C370)</f>
        <v/>
      </c>
      <c r="B370" s="144"/>
      <c r="C370" s="144"/>
      <c r="D370" s="144"/>
      <c r="E370" s="150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</row>
    <row r="371" customFormat="false" ht="15.75" hidden="false" customHeight="false" outlineLevel="0" collapsed="false">
      <c r="A371" s="144" t="str">
        <f aca="false">IF(ISBLANK(B371),"",B371&amp;"|"&amp;C371)</f>
        <v/>
      </c>
      <c r="B371" s="144"/>
      <c r="C371" s="144"/>
      <c r="D371" s="144"/>
      <c r="E371" s="150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</row>
    <row r="372" customFormat="false" ht="15.75" hidden="false" customHeight="false" outlineLevel="0" collapsed="false">
      <c r="A372" s="144" t="str">
        <f aca="false">IF(ISBLANK(B372),"",B372&amp;"|"&amp;C372)</f>
        <v/>
      </c>
      <c r="B372" s="144"/>
      <c r="C372" s="144"/>
      <c r="D372" s="144"/>
      <c r="E372" s="150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</row>
    <row r="373" customFormat="false" ht="15.75" hidden="false" customHeight="false" outlineLevel="0" collapsed="false">
      <c r="A373" s="144" t="str">
        <f aca="false">IF(ISBLANK(B373),"",B373&amp;"|"&amp;C373)</f>
        <v/>
      </c>
      <c r="B373" s="144"/>
      <c r="C373" s="144"/>
      <c r="D373" s="144"/>
      <c r="E373" s="150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</row>
    <row r="374" customFormat="false" ht="15.75" hidden="false" customHeight="false" outlineLevel="0" collapsed="false">
      <c r="A374" s="144" t="str">
        <f aca="false">IF(ISBLANK(B374),"",B374&amp;"|"&amp;C374)</f>
        <v/>
      </c>
      <c r="B374" s="144"/>
      <c r="C374" s="144"/>
      <c r="D374" s="144"/>
      <c r="E374" s="150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</row>
    <row r="375" customFormat="false" ht="15.75" hidden="false" customHeight="false" outlineLevel="0" collapsed="false">
      <c r="A375" s="144" t="str">
        <f aca="false">IF(ISBLANK(B375),"",B375&amp;"|"&amp;C375)</f>
        <v/>
      </c>
      <c r="B375" s="144"/>
      <c r="C375" s="144"/>
      <c r="D375" s="144"/>
      <c r="E375" s="150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</row>
    <row r="376" customFormat="false" ht="15.75" hidden="false" customHeight="false" outlineLevel="0" collapsed="false">
      <c r="A376" s="144" t="str">
        <f aca="false">IF(ISBLANK(B376),"",B376&amp;"|"&amp;C376)</f>
        <v/>
      </c>
      <c r="B376" s="144"/>
      <c r="C376" s="144"/>
      <c r="D376" s="144"/>
      <c r="E376" s="150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</row>
    <row r="377" customFormat="false" ht="15.75" hidden="false" customHeight="false" outlineLevel="0" collapsed="false">
      <c r="A377" s="144" t="str">
        <f aca="false">IF(ISBLANK(B377),"",B377&amp;"|"&amp;C377)</f>
        <v/>
      </c>
      <c r="B377" s="144"/>
      <c r="C377" s="144"/>
      <c r="D377" s="144"/>
      <c r="E377" s="150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</row>
    <row r="378" customFormat="false" ht="15.75" hidden="false" customHeight="false" outlineLevel="0" collapsed="false">
      <c r="A378" s="144" t="str">
        <f aca="false">IF(ISBLANK(B378),"",B378&amp;"|"&amp;C378)</f>
        <v/>
      </c>
      <c r="B378" s="144"/>
      <c r="C378" s="144"/>
      <c r="D378" s="144"/>
      <c r="E378" s="150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</row>
    <row r="379" customFormat="false" ht="15.75" hidden="false" customHeight="false" outlineLevel="0" collapsed="false">
      <c r="A379" s="144" t="str">
        <f aca="false">IF(ISBLANK(B379),"",B379&amp;"|"&amp;C379)</f>
        <v/>
      </c>
      <c r="B379" s="144"/>
      <c r="C379" s="144"/>
      <c r="D379" s="144"/>
      <c r="E379" s="150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</row>
    <row r="380" customFormat="false" ht="15.75" hidden="false" customHeight="false" outlineLevel="0" collapsed="false">
      <c r="A380" s="144" t="str">
        <f aca="false">IF(ISBLANK(B380),"",B380&amp;"|"&amp;C380)</f>
        <v/>
      </c>
      <c r="B380" s="144"/>
      <c r="C380" s="144"/>
      <c r="D380" s="144"/>
      <c r="E380" s="150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</row>
    <row r="381" customFormat="false" ht="15.75" hidden="false" customHeight="false" outlineLevel="0" collapsed="false">
      <c r="A381" s="144" t="str">
        <f aca="false">IF(ISBLANK(B381),"",B381&amp;"|"&amp;C381)</f>
        <v/>
      </c>
      <c r="B381" s="144"/>
      <c r="C381" s="144"/>
      <c r="D381" s="144"/>
      <c r="E381" s="150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</row>
    <row r="382" customFormat="false" ht="15.75" hidden="false" customHeight="false" outlineLevel="0" collapsed="false">
      <c r="A382" s="144" t="str">
        <f aca="false">IF(ISBLANK(B382),"",B382&amp;"|"&amp;C382)</f>
        <v/>
      </c>
      <c r="B382" s="144"/>
      <c r="C382" s="144"/>
      <c r="D382" s="144"/>
      <c r="E382" s="150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</row>
    <row r="383" customFormat="false" ht="15.75" hidden="false" customHeight="false" outlineLevel="0" collapsed="false">
      <c r="A383" s="144" t="str">
        <f aca="false">IF(ISBLANK(B383),"",B383&amp;"|"&amp;C383)</f>
        <v/>
      </c>
      <c r="B383" s="144"/>
      <c r="C383" s="144"/>
      <c r="D383" s="144"/>
      <c r="E383" s="150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</row>
    <row r="384" customFormat="false" ht="15.75" hidden="false" customHeight="false" outlineLevel="0" collapsed="false">
      <c r="A384" s="144" t="str">
        <f aca="false">IF(ISBLANK(B384),"",B384&amp;"|"&amp;C384)</f>
        <v/>
      </c>
      <c r="B384" s="144"/>
      <c r="C384" s="144"/>
      <c r="D384" s="144"/>
      <c r="E384" s="150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</row>
    <row r="385" customFormat="false" ht="15.75" hidden="false" customHeight="false" outlineLevel="0" collapsed="false">
      <c r="A385" s="144" t="str">
        <f aca="false">IF(ISBLANK(B385),"",B385&amp;"|"&amp;C385)</f>
        <v/>
      </c>
      <c r="B385" s="144"/>
      <c r="C385" s="144"/>
      <c r="D385" s="144"/>
      <c r="E385" s="150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</row>
    <row r="386" customFormat="false" ht="15.75" hidden="false" customHeight="false" outlineLevel="0" collapsed="false">
      <c r="A386" s="144" t="str">
        <f aca="false">IF(ISBLANK(B386),"",B386&amp;"|"&amp;C386)</f>
        <v/>
      </c>
      <c r="B386" s="144"/>
      <c r="C386" s="144"/>
      <c r="D386" s="144"/>
      <c r="E386" s="150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</row>
    <row r="387" customFormat="false" ht="15.75" hidden="false" customHeight="false" outlineLevel="0" collapsed="false">
      <c r="A387" s="144" t="str">
        <f aca="false">IF(ISBLANK(B387),"",B387&amp;"|"&amp;C387)</f>
        <v/>
      </c>
      <c r="B387" s="144"/>
      <c r="C387" s="144"/>
      <c r="D387" s="144"/>
      <c r="E387" s="150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</row>
    <row r="388" customFormat="false" ht="15.75" hidden="false" customHeight="false" outlineLevel="0" collapsed="false">
      <c r="A388" s="144" t="str">
        <f aca="false">IF(ISBLANK(B388),"",B388&amp;"|"&amp;C388)</f>
        <v/>
      </c>
      <c r="B388" s="144"/>
      <c r="C388" s="144"/>
      <c r="D388" s="144"/>
      <c r="E388" s="150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</row>
    <row r="389" customFormat="false" ht="15.75" hidden="false" customHeight="false" outlineLevel="0" collapsed="false">
      <c r="A389" s="144" t="str">
        <f aca="false">IF(ISBLANK(B389),"",B389&amp;"|"&amp;C389)</f>
        <v/>
      </c>
      <c r="B389" s="144"/>
      <c r="C389" s="144"/>
      <c r="D389" s="144"/>
      <c r="E389" s="150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</row>
    <row r="390" customFormat="false" ht="15.75" hidden="false" customHeight="false" outlineLevel="0" collapsed="false">
      <c r="A390" s="144" t="str">
        <f aca="false">IF(ISBLANK(B390),"",B390&amp;"|"&amp;C390)</f>
        <v/>
      </c>
      <c r="B390" s="144"/>
      <c r="C390" s="144"/>
      <c r="D390" s="144"/>
      <c r="E390" s="150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</row>
    <row r="391" customFormat="false" ht="15.75" hidden="false" customHeight="false" outlineLevel="0" collapsed="false">
      <c r="A391" s="144" t="str">
        <f aca="false">IF(ISBLANK(B391),"",B391&amp;"|"&amp;C391)</f>
        <v/>
      </c>
      <c r="B391" s="144"/>
      <c r="C391" s="144"/>
      <c r="D391" s="144"/>
      <c r="E391" s="150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</row>
    <row r="392" customFormat="false" ht="15.75" hidden="false" customHeight="false" outlineLevel="0" collapsed="false">
      <c r="A392" s="144" t="str">
        <f aca="false">IF(ISBLANK(B392),"",B392&amp;"|"&amp;C392)</f>
        <v/>
      </c>
      <c r="B392" s="144"/>
      <c r="C392" s="144"/>
      <c r="D392" s="144"/>
      <c r="E392" s="150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</row>
    <row r="393" customFormat="false" ht="15.75" hidden="false" customHeight="false" outlineLevel="0" collapsed="false">
      <c r="A393" s="144" t="str">
        <f aca="false">IF(ISBLANK(B393),"",B393&amp;"|"&amp;C393)</f>
        <v/>
      </c>
      <c r="B393" s="144"/>
      <c r="C393" s="144"/>
      <c r="D393" s="144"/>
      <c r="E393" s="150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</row>
    <row r="394" customFormat="false" ht="15.75" hidden="false" customHeight="false" outlineLevel="0" collapsed="false">
      <c r="A394" s="144" t="str">
        <f aca="false">IF(ISBLANK(B394),"",B394&amp;"|"&amp;C394)</f>
        <v/>
      </c>
      <c r="B394" s="144"/>
      <c r="C394" s="144"/>
      <c r="D394" s="144"/>
      <c r="E394" s="150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</row>
    <row r="395" customFormat="false" ht="15.75" hidden="false" customHeight="false" outlineLevel="0" collapsed="false">
      <c r="A395" s="144" t="str">
        <f aca="false">IF(ISBLANK(B395),"",B395&amp;"|"&amp;C395)</f>
        <v/>
      </c>
      <c r="B395" s="144"/>
      <c r="C395" s="144"/>
      <c r="D395" s="144"/>
      <c r="E395" s="150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</row>
    <row r="396" customFormat="false" ht="15.75" hidden="false" customHeight="false" outlineLevel="0" collapsed="false">
      <c r="A396" s="144" t="str">
        <f aca="false">IF(ISBLANK(B396),"",B396&amp;"|"&amp;C396)</f>
        <v/>
      </c>
      <c r="B396" s="144"/>
      <c r="C396" s="144"/>
      <c r="D396" s="144"/>
      <c r="E396" s="150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</row>
    <row r="397" customFormat="false" ht="15.75" hidden="false" customHeight="false" outlineLevel="0" collapsed="false">
      <c r="A397" s="144" t="str">
        <f aca="false">IF(ISBLANK(B397),"",B397&amp;"|"&amp;C397)</f>
        <v/>
      </c>
      <c r="B397" s="144"/>
      <c r="C397" s="144"/>
      <c r="D397" s="144"/>
      <c r="E397" s="150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</row>
    <row r="398" customFormat="false" ht="15.75" hidden="false" customHeight="false" outlineLevel="0" collapsed="false">
      <c r="A398" s="144" t="str">
        <f aca="false">IF(ISBLANK(B398),"",B398&amp;"|"&amp;C398)</f>
        <v/>
      </c>
      <c r="B398" s="144"/>
      <c r="C398" s="144"/>
      <c r="D398" s="144"/>
      <c r="E398" s="150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</row>
    <row r="399" customFormat="false" ht="15.75" hidden="false" customHeight="false" outlineLevel="0" collapsed="false">
      <c r="A399" s="144" t="str">
        <f aca="false">IF(ISBLANK(B399),"",B399&amp;"|"&amp;C399)</f>
        <v/>
      </c>
      <c r="B399" s="144"/>
      <c r="C399" s="144"/>
      <c r="D399" s="144"/>
      <c r="E399" s="150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</row>
    <row r="400" customFormat="false" ht="15.75" hidden="false" customHeight="false" outlineLevel="0" collapsed="false">
      <c r="A400" s="144" t="str">
        <f aca="false">IF(ISBLANK(B400),"",B400&amp;"|"&amp;C400)</f>
        <v/>
      </c>
      <c r="B400" s="144"/>
      <c r="C400" s="144"/>
      <c r="D400" s="144"/>
      <c r="E400" s="150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</row>
    <row r="401" customFormat="false" ht="15.75" hidden="false" customHeight="false" outlineLevel="0" collapsed="false">
      <c r="A401" s="144" t="str">
        <f aca="false">IF(ISBLANK(B401),"",B401&amp;"|"&amp;C401)</f>
        <v/>
      </c>
      <c r="B401" s="144"/>
      <c r="C401" s="144"/>
      <c r="D401" s="144"/>
      <c r="E401" s="150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</row>
    <row r="402" customFormat="false" ht="15.75" hidden="false" customHeight="false" outlineLevel="0" collapsed="false">
      <c r="A402" s="144" t="str">
        <f aca="false">IF(ISBLANK(B402),"",B402&amp;"|"&amp;C402)</f>
        <v/>
      </c>
      <c r="B402" s="144"/>
      <c r="C402" s="144"/>
      <c r="D402" s="144"/>
      <c r="E402" s="150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</row>
    <row r="403" customFormat="false" ht="15.75" hidden="false" customHeight="false" outlineLevel="0" collapsed="false">
      <c r="A403" s="144" t="str">
        <f aca="false">IF(ISBLANK(B403),"",B403&amp;"|"&amp;C403)</f>
        <v/>
      </c>
      <c r="B403" s="144"/>
      <c r="C403" s="144"/>
      <c r="D403" s="144"/>
      <c r="E403" s="150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</row>
    <row r="404" customFormat="false" ht="15.75" hidden="false" customHeight="false" outlineLevel="0" collapsed="false">
      <c r="A404" s="144" t="str">
        <f aca="false">IF(ISBLANK(B404),"",B404&amp;"|"&amp;C404)</f>
        <v/>
      </c>
      <c r="B404" s="144"/>
      <c r="C404" s="144"/>
      <c r="D404" s="144"/>
      <c r="E404" s="150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</row>
    <row r="405" customFormat="false" ht="15.75" hidden="false" customHeight="false" outlineLevel="0" collapsed="false">
      <c r="A405" s="144" t="str">
        <f aca="false">IF(ISBLANK(B405),"",B405&amp;"|"&amp;C405)</f>
        <v/>
      </c>
      <c r="B405" s="144"/>
      <c r="C405" s="144"/>
      <c r="D405" s="144"/>
      <c r="E405" s="150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</row>
    <row r="406" customFormat="false" ht="15.75" hidden="false" customHeight="false" outlineLevel="0" collapsed="false">
      <c r="A406" s="144" t="str">
        <f aca="false">IF(ISBLANK(B406),"",B406&amp;"|"&amp;C406)</f>
        <v/>
      </c>
      <c r="B406" s="144"/>
      <c r="C406" s="144"/>
      <c r="D406" s="144"/>
      <c r="E406" s="150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</row>
    <row r="407" customFormat="false" ht="15.75" hidden="false" customHeight="false" outlineLevel="0" collapsed="false">
      <c r="A407" s="144" t="str">
        <f aca="false">IF(ISBLANK(B407),"",B407&amp;"|"&amp;C407)</f>
        <v/>
      </c>
      <c r="B407" s="144"/>
      <c r="C407" s="144"/>
      <c r="D407" s="144"/>
      <c r="E407" s="150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</row>
    <row r="408" customFormat="false" ht="15.75" hidden="false" customHeight="false" outlineLevel="0" collapsed="false">
      <c r="A408" s="144" t="str">
        <f aca="false">IF(ISBLANK(B408),"",B408&amp;"|"&amp;C408)</f>
        <v/>
      </c>
      <c r="B408" s="144"/>
      <c r="C408" s="144"/>
      <c r="D408" s="144"/>
      <c r="E408" s="150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</row>
    <row r="409" customFormat="false" ht="15.75" hidden="false" customHeight="false" outlineLevel="0" collapsed="false">
      <c r="A409" s="144" t="str">
        <f aca="false">IF(ISBLANK(B409),"",B409&amp;"|"&amp;C409)</f>
        <v/>
      </c>
      <c r="B409" s="144"/>
      <c r="C409" s="144"/>
      <c r="D409" s="144"/>
      <c r="E409" s="150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</row>
    <row r="410" customFormat="false" ht="15.75" hidden="false" customHeight="false" outlineLevel="0" collapsed="false">
      <c r="A410" s="144" t="str">
        <f aca="false">IF(ISBLANK(B410),"",B410&amp;"|"&amp;C410)</f>
        <v/>
      </c>
      <c r="B410" s="144"/>
      <c r="C410" s="144"/>
      <c r="D410" s="144"/>
      <c r="E410" s="150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</row>
    <row r="411" customFormat="false" ht="15.75" hidden="false" customHeight="false" outlineLevel="0" collapsed="false">
      <c r="A411" s="144" t="str">
        <f aca="false">IF(ISBLANK(B411),"",B411&amp;"|"&amp;C411)</f>
        <v/>
      </c>
      <c r="B411" s="144"/>
      <c r="C411" s="144"/>
      <c r="D411" s="144"/>
      <c r="E411" s="150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</row>
    <row r="412" customFormat="false" ht="15.75" hidden="false" customHeight="false" outlineLevel="0" collapsed="false">
      <c r="A412" s="144" t="str">
        <f aca="false">IF(ISBLANK(B412),"",B412&amp;"|"&amp;C412)</f>
        <v/>
      </c>
      <c r="B412" s="144"/>
      <c r="C412" s="144"/>
      <c r="D412" s="144"/>
      <c r="E412" s="150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</row>
    <row r="413" customFormat="false" ht="15.75" hidden="false" customHeight="false" outlineLevel="0" collapsed="false">
      <c r="A413" s="144" t="str">
        <f aca="false">IF(ISBLANK(B413),"",B413&amp;"|"&amp;C413)</f>
        <v/>
      </c>
      <c r="B413" s="144"/>
      <c r="C413" s="144"/>
      <c r="D413" s="144"/>
      <c r="E413" s="150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</row>
    <row r="414" customFormat="false" ht="15.75" hidden="false" customHeight="false" outlineLevel="0" collapsed="false">
      <c r="A414" s="144" t="str">
        <f aca="false">IF(ISBLANK(B414),"",B414&amp;"|"&amp;C414)</f>
        <v/>
      </c>
      <c r="B414" s="144"/>
      <c r="C414" s="144"/>
      <c r="D414" s="144"/>
      <c r="E414" s="150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</row>
    <row r="415" customFormat="false" ht="15.75" hidden="false" customHeight="false" outlineLevel="0" collapsed="false">
      <c r="A415" s="144" t="str">
        <f aca="false">IF(ISBLANK(B415),"",B415&amp;"|"&amp;C415)</f>
        <v/>
      </c>
      <c r="B415" s="144"/>
      <c r="C415" s="144"/>
      <c r="D415" s="144"/>
      <c r="E415" s="150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</row>
    <row r="416" customFormat="false" ht="15.75" hidden="false" customHeight="false" outlineLevel="0" collapsed="false">
      <c r="A416" s="144" t="str">
        <f aca="false">IF(ISBLANK(B416),"",B416&amp;"|"&amp;C416)</f>
        <v/>
      </c>
      <c r="B416" s="144"/>
      <c r="C416" s="144"/>
      <c r="D416" s="144"/>
      <c r="E416" s="150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</row>
    <row r="417" customFormat="false" ht="15.75" hidden="false" customHeight="false" outlineLevel="0" collapsed="false">
      <c r="A417" s="144" t="str">
        <f aca="false">IF(ISBLANK(B417),"",B417&amp;"|"&amp;C417)</f>
        <v/>
      </c>
      <c r="B417" s="144"/>
      <c r="C417" s="144"/>
      <c r="D417" s="144"/>
      <c r="E417" s="150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</row>
    <row r="418" customFormat="false" ht="15.75" hidden="false" customHeight="false" outlineLevel="0" collapsed="false">
      <c r="A418" s="144" t="str">
        <f aca="false">IF(ISBLANK(B418),"",B418&amp;"|"&amp;C418)</f>
        <v/>
      </c>
      <c r="B418" s="144"/>
      <c r="C418" s="144"/>
      <c r="D418" s="144"/>
      <c r="E418" s="150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</row>
    <row r="419" customFormat="false" ht="15.75" hidden="false" customHeight="false" outlineLevel="0" collapsed="false">
      <c r="A419" s="144" t="str">
        <f aca="false">IF(ISBLANK(B419),"",B419&amp;"|"&amp;C419)</f>
        <v/>
      </c>
      <c r="B419" s="144"/>
      <c r="C419" s="144"/>
      <c r="D419" s="144"/>
      <c r="E419" s="150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</row>
    <row r="420" customFormat="false" ht="15.75" hidden="false" customHeight="false" outlineLevel="0" collapsed="false">
      <c r="A420" s="144" t="str">
        <f aca="false">IF(ISBLANK(B420),"",B420&amp;"|"&amp;C420)</f>
        <v/>
      </c>
      <c r="B420" s="144"/>
      <c r="C420" s="144"/>
      <c r="D420" s="144"/>
      <c r="E420" s="150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</row>
    <row r="421" customFormat="false" ht="15.75" hidden="false" customHeight="false" outlineLevel="0" collapsed="false">
      <c r="A421" s="144" t="str">
        <f aca="false">IF(ISBLANK(B421),"",B421&amp;"|"&amp;C421)</f>
        <v/>
      </c>
      <c r="B421" s="144"/>
      <c r="C421" s="144"/>
      <c r="D421" s="144"/>
      <c r="E421" s="150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</row>
    <row r="422" customFormat="false" ht="15.75" hidden="false" customHeight="false" outlineLevel="0" collapsed="false">
      <c r="A422" s="144" t="str">
        <f aca="false">IF(ISBLANK(B422),"",B422&amp;"|"&amp;C422)</f>
        <v/>
      </c>
      <c r="B422" s="144"/>
      <c r="C422" s="144"/>
      <c r="D422" s="144"/>
      <c r="E422" s="150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</row>
    <row r="423" customFormat="false" ht="15.75" hidden="false" customHeight="false" outlineLevel="0" collapsed="false">
      <c r="A423" s="144" t="str">
        <f aca="false">IF(ISBLANK(B423),"",B423&amp;"|"&amp;C423)</f>
        <v/>
      </c>
      <c r="B423" s="144"/>
      <c r="C423" s="144"/>
      <c r="D423" s="144"/>
      <c r="E423" s="150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</row>
    <row r="424" customFormat="false" ht="15.75" hidden="false" customHeight="false" outlineLevel="0" collapsed="false">
      <c r="A424" s="144" t="str">
        <f aca="false">IF(ISBLANK(B424),"",B424&amp;"|"&amp;C424)</f>
        <v/>
      </c>
      <c r="B424" s="144"/>
      <c r="C424" s="144"/>
      <c r="D424" s="144"/>
      <c r="E424" s="150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</row>
    <row r="425" customFormat="false" ht="15.75" hidden="false" customHeight="false" outlineLevel="0" collapsed="false">
      <c r="A425" s="144" t="str">
        <f aca="false">IF(ISBLANK(B425),"",B425&amp;"|"&amp;C425)</f>
        <v/>
      </c>
      <c r="B425" s="144"/>
      <c r="C425" s="144"/>
      <c r="D425" s="144"/>
      <c r="E425" s="150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</row>
    <row r="426" customFormat="false" ht="15.75" hidden="false" customHeight="false" outlineLevel="0" collapsed="false">
      <c r="A426" s="144" t="str">
        <f aca="false">IF(ISBLANK(B426),"",B426&amp;"|"&amp;C426)</f>
        <v/>
      </c>
      <c r="B426" s="144"/>
      <c r="C426" s="144"/>
      <c r="D426" s="144"/>
      <c r="E426" s="150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</row>
    <row r="427" customFormat="false" ht="15.75" hidden="false" customHeight="false" outlineLevel="0" collapsed="false">
      <c r="A427" s="144" t="str">
        <f aca="false">IF(ISBLANK(B427),"",B427&amp;"|"&amp;C427)</f>
        <v/>
      </c>
      <c r="B427" s="144"/>
      <c r="C427" s="144"/>
      <c r="D427" s="144"/>
      <c r="E427" s="150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</row>
    <row r="428" customFormat="false" ht="15.75" hidden="false" customHeight="false" outlineLevel="0" collapsed="false">
      <c r="A428" s="144" t="str">
        <f aca="false">IF(ISBLANK(B428),"",B428&amp;"|"&amp;C428)</f>
        <v/>
      </c>
      <c r="B428" s="144"/>
      <c r="C428" s="144"/>
      <c r="D428" s="144"/>
      <c r="E428" s="150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</row>
    <row r="429" customFormat="false" ht="15.75" hidden="false" customHeight="false" outlineLevel="0" collapsed="false">
      <c r="A429" s="144" t="str">
        <f aca="false">IF(ISBLANK(B429),"",B429&amp;"|"&amp;C429)</f>
        <v/>
      </c>
      <c r="B429" s="144"/>
      <c r="C429" s="144"/>
      <c r="D429" s="144"/>
      <c r="E429" s="150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</row>
    <row r="430" customFormat="false" ht="15.75" hidden="false" customHeight="false" outlineLevel="0" collapsed="false">
      <c r="A430" s="144" t="str">
        <f aca="false">IF(ISBLANK(B430),"",B430&amp;"|"&amp;C430)</f>
        <v/>
      </c>
      <c r="B430" s="144"/>
      <c r="C430" s="144"/>
      <c r="D430" s="144"/>
      <c r="E430" s="150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</row>
    <row r="431" customFormat="false" ht="15.75" hidden="false" customHeight="false" outlineLevel="0" collapsed="false">
      <c r="A431" s="144" t="str">
        <f aca="false">IF(ISBLANK(B431),"",B431&amp;"|"&amp;C431)</f>
        <v/>
      </c>
      <c r="B431" s="144"/>
      <c r="C431" s="144"/>
      <c r="D431" s="144"/>
      <c r="E431" s="150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</row>
    <row r="432" customFormat="false" ht="15.75" hidden="false" customHeight="false" outlineLevel="0" collapsed="false">
      <c r="A432" s="144" t="str">
        <f aca="false">IF(ISBLANK(B432),"",B432&amp;"|"&amp;C432)</f>
        <v/>
      </c>
      <c r="B432" s="144"/>
      <c r="C432" s="144"/>
      <c r="D432" s="144"/>
      <c r="E432" s="150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</row>
    <row r="433" customFormat="false" ht="15.75" hidden="false" customHeight="false" outlineLevel="0" collapsed="false">
      <c r="A433" s="144" t="str">
        <f aca="false">IF(ISBLANK(B433),"",B433&amp;"|"&amp;C433)</f>
        <v/>
      </c>
      <c r="B433" s="144"/>
      <c r="C433" s="144"/>
      <c r="D433" s="144"/>
      <c r="E433" s="150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</row>
    <row r="434" customFormat="false" ht="15.75" hidden="false" customHeight="false" outlineLevel="0" collapsed="false">
      <c r="A434" s="144" t="str">
        <f aca="false">IF(ISBLANK(B434),"",B434&amp;"|"&amp;C434)</f>
        <v/>
      </c>
      <c r="B434" s="144"/>
      <c r="C434" s="144"/>
      <c r="D434" s="144"/>
      <c r="E434" s="150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</row>
    <row r="435" customFormat="false" ht="15.75" hidden="false" customHeight="false" outlineLevel="0" collapsed="false">
      <c r="A435" s="144" t="str">
        <f aca="false">IF(ISBLANK(B435),"",B435&amp;"|"&amp;C435)</f>
        <v/>
      </c>
      <c r="B435" s="144"/>
      <c r="C435" s="144"/>
      <c r="D435" s="144"/>
      <c r="E435" s="150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</row>
    <row r="436" customFormat="false" ht="15.75" hidden="false" customHeight="false" outlineLevel="0" collapsed="false">
      <c r="A436" s="144" t="str">
        <f aca="false">IF(ISBLANK(B436),"",B436&amp;"|"&amp;C436)</f>
        <v/>
      </c>
      <c r="B436" s="144"/>
      <c r="C436" s="144"/>
      <c r="D436" s="144"/>
      <c r="E436" s="150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</row>
    <row r="437" customFormat="false" ht="15.75" hidden="false" customHeight="false" outlineLevel="0" collapsed="false">
      <c r="A437" s="144" t="str">
        <f aca="false">IF(ISBLANK(B437),"",B437&amp;"|"&amp;C437)</f>
        <v/>
      </c>
      <c r="B437" s="144"/>
      <c r="C437" s="144"/>
      <c r="D437" s="144"/>
      <c r="E437" s="150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</row>
    <row r="438" customFormat="false" ht="15.75" hidden="false" customHeight="false" outlineLevel="0" collapsed="false">
      <c r="A438" s="144" t="str">
        <f aca="false">IF(ISBLANK(B438),"",B438&amp;"|"&amp;C438)</f>
        <v/>
      </c>
      <c r="B438" s="144"/>
      <c r="C438" s="144"/>
      <c r="D438" s="144"/>
      <c r="E438" s="150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</row>
    <row r="439" customFormat="false" ht="15.75" hidden="false" customHeight="false" outlineLevel="0" collapsed="false">
      <c r="A439" s="144" t="str">
        <f aca="false">IF(ISBLANK(B439),"",B439&amp;"|"&amp;C439)</f>
        <v/>
      </c>
      <c r="B439" s="144"/>
      <c r="C439" s="144"/>
      <c r="D439" s="144"/>
      <c r="E439" s="150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</row>
    <row r="440" customFormat="false" ht="15.75" hidden="false" customHeight="false" outlineLevel="0" collapsed="false">
      <c r="A440" s="144" t="str">
        <f aca="false">IF(ISBLANK(B440),"",B440&amp;"|"&amp;C440)</f>
        <v/>
      </c>
      <c r="B440" s="144"/>
      <c r="C440" s="144"/>
      <c r="D440" s="144"/>
      <c r="E440" s="150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</row>
    <row r="441" customFormat="false" ht="15.75" hidden="false" customHeight="false" outlineLevel="0" collapsed="false">
      <c r="A441" s="144" t="str">
        <f aca="false">IF(ISBLANK(B441),"",B441&amp;"|"&amp;C441)</f>
        <v/>
      </c>
      <c r="B441" s="144"/>
      <c r="C441" s="144"/>
      <c r="D441" s="144"/>
      <c r="E441" s="150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</row>
    <row r="442" customFormat="false" ht="15.75" hidden="false" customHeight="false" outlineLevel="0" collapsed="false">
      <c r="A442" s="144" t="str">
        <f aca="false">IF(ISBLANK(B442),"",B442&amp;"|"&amp;C442)</f>
        <v/>
      </c>
      <c r="B442" s="144"/>
      <c r="C442" s="144"/>
      <c r="D442" s="144"/>
      <c r="E442" s="150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</row>
    <row r="443" customFormat="false" ht="15.75" hidden="false" customHeight="false" outlineLevel="0" collapsed="false">
      <c r="A443" s="144" t="str">
        <f aca="false">IF(ISBLANK(B443),"",B443&amp;"|"&amp;C443)</f>
        <v/>
      </c>
      <c r="B443" s="144"/>
      <c r="C443" s="144"/>
      <c r="D443" s="144"/>
      <c r="E443" s="150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</row>
    <row r="444" customFormat="false" ht="15.75" hidden="false" customHeight="false" outlineLevel="0" collapsed="false">
      <c r="A444" s="144" t="str">
        <f aca="false">IF(ISBLANK(B444),"",B444&amp;"|"&amp;C444)</f>
        <v/>
      </c>
      <c r="B444" s="144"/>
      <c r="C444" s="144"/>
      <c r="D444" s="144"/>
      <c r="E444" s="150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</row>
    <row r="445" customFormat="false" ht="15.75" hidden="false" customHeight="false" outlineLevel="0" collapsed="false">
      <c r="A445" s="144" t="str">
        <f aca="false">IF(ISBLANK(B445),"",B445&amp;"|"&amp;C445)</f>
        <v/>
      </c>
      <c r="B445" s="144"/>
      <c r="C445" s="144"/>
      <c r="D445" s="144"/>
      <c r="E445" s="150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</row>
    <row r="446" customFormat="false" ht="15.75" hidden="false" customHeight="false" outlineLevel="0" collapsed="false">
      <c r="A446" s="144" t="str">
        <f aca="false">IF(ISBLANK(B446),"",B446&amp;"|"&amp;C446)</f>
        <v/>
      </c>
      <c r="B446" s="144"/>
      <c r="C446" s="144"/>
      <c r="D446" s="144"/>
      <c r="E446" s="150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</row>
    <row r="447" customFormat="false" ht="15.75" hidden="false" customHeight="false" outlineLevel="0" collapsed="false">
      <c r="A447" s="144" t="str">
        <f aca="false">IF(ISBLANK(B447),"",B447&amp;"|"&amp;C447)</f>
        <v/>
      </c>
      <c r="B447" s="144"/>
      <c r="C447" s="144"/>
      <c r="D447" s="144"/>
      <c r="E447" s="150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</row>
    <row r="448" customFormat="false" ht="15.75" hidden="false" customHeight="false" outlineLevel="0" collapsed="false">
      <c r="A448" s="144" t="str">
        <f aca="false">IF(ISBLANK(B448),"",B448&amp;"|"&amp;C448)</f>
        <v/>
      </c>
      <c r="B448" s="144"/>
      <c r="C448" s="144"/>
      <c r="D448" s="144"/>
      <c r="E448" s="150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</row>
    <row r="449" customFormat="false" ht="15.75" hidden="false" customHeight="false" outlineLevel="0" collapsed="false">
      <c r="A449" s="144" t="str">
        <f aca="false">IF(ISBLANK(B449),"",B449&amp;"|"&amp;C449)</f>
        <v/>
      </c>
      <c r="B449" s="144"/>
      <c r="C449" s="144"/>
      <c r="D449" s="144"/>
      <c r="E449" s="150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</row>
    <row r="450" customFormat="false" ht="15.75" hidden="false" customHeight="false" outlineLevel="0" collapsed="false">
      <c r="A450" s="144" t="str">
        <f aca="false">IF(ISBLANK(B450),"",B450&amp;"|"&amp;C450)</f>
        <v/>
      </c>
      <c r="B450" s="144"/>
      <c r="C450" s="144"/>
      <c r="D450" s="144"/>
      <c r="E450" s="150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</row>
    <row r="451" customFormat="false" ht="15.75" hidden="false" customHeight="false" outlineLevel="0" collapsed="false">
      <c r="A451" s="144" t="str">
        <f aca="false">IF(ISBLANK(B451),"",B451&amp;"|"&amp;C451)</f>
        <v/>
      </c>
      <c r="B451" s="144"/>
      <c r="C451" s="144"/>
      <c r="D451" s="144"/>
      <c r="E451" s="150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</row>
    <row r="452" customFormat="false" ht="15.75" hidden="false" customHeight="false" outlineLevel="0" collapsed="false">
      <c r="A452" s="144" t="str">
        <f aca="false">IF(ISBLANK(B452),"",B452&amp;"|"&amp;C452)</f>
        <v/>
      </c>
      <c r="B452" s="144"/>
      <c r="C452" s="144"/>
      <c r="D452" s="144"/>
      <c r="E452" s="150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</row>
    <row r="453" customFormat="false" ht="15.75" hidden="false" customHeight="false" outlineLevel="0" collapsed="false">
      <c r="A453" s="144" t="str">
        <f aca="false">IF(ISBLANK(B453),"",B453&amp;"|"&amp;C453)</f>
        <v/>
      </c>
      <c r="B453" s="144"/>
      <c r="C453" s="144"/>
      <c r="D453" s="144"/>
      <c r="E453" s="150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</row>
    <row r="454" customFormat="false" ht="15.75" hidden="false" customHeight="false" outlineLevel="0" collapsed="false">
      <c r="A454" s="144" t="str">
        <f aca="false">IF(ISBLANK(B454),"",B454&amp;"|"&amp;C454)</f>
        <v/>
      </c>
      <c r="B454" s="144"/>
      <c r="C454" s="144"/>
      <c r="D454" s="144"/>
      <c r="E454" s="150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</row>
    <row r="455" customFormat="false" ht="15.75" hidden="false" customHeight="false" outlineLevel="0" collapsed="false">
      <c r="A455" s="144" t="str">
        <f aca="false">IF(ISBLANK(B455),"",B455&amp;"|"&amp;C455)</f>
        <v/>
      </c>
      <c r="B455" s="144"/>
      <c r="C455" s="144"/>
      <c r="D455" s="144"/>
      <c r="E455" s="150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</row>
    <row r="456" customFormat="false" ht="15.75" hidden="false" customHeight="false" outlineLevel="0" collapsed="false">
      <c r="A456" s="144" t="str">
        <f aca="false">IF(ISBLANK(B456),"",B456&amp;"|"&amp;C456)</f>
        <v/>
      </c>
      <c r="B456" s="144"/>
      <c r="C456" s="144"/>
      <c r="D456" s="144"/>
      <c r="E456" s="150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</row>
    <row r="457" customFormat="false" ht="15.75" hidden="false" customHeight="false" outlineLevel="0" collapsed="false">
      <c r="A457" s="144" t="str">
        <f aca="false">IF(ISBLANK(B457),"",B457&amp;"|"&amp;C457)</f>
        <v/>
      </c>
      <c r="B457" s="144"/>
      <c r="C457" s="144"/>
      <c r="D457" s="144"/>
      <c r="E457" s="150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</row>
    <row r="458" customFormat="false" ht="15.75" hidden="false" customHeight="false" outlineLevel="0" collapsed="false">
      <c r="A458" s="144" t="str">
        <f aca="false">IF(ISBLANK(B458),"",B458&amp;"|"&amp;C458)</f>
        <v/>
      </c>
      <c r="B458" s="144"/>
      <c r="C458" s="144"/>
      <c r="D458" s="144"/>
      <c r="E458" s="150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</row>
    <row r="459" customFormat="false" ht="15.75" hidden="false" customHeight="false" outlineLevel="0" collapsed="false">
      <c r="A459" s="144" t="str">
        <f aca="false">IF(ISBLANK(B459),"",B459&amp;"|"&amp;C459)</f>
        <v/>
      </c>
      <c r="B459" s="144"/>
      <c r="C459" s="144"/>
      <c r="D459" s="144"/>
      <c r="E459" s="150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</row>
    <row r="460" customFormat="false" ht="15.75" hidden="false" customHeight="false" outlineLevel="0" collapsed="false">
      <c r="A460" s="144" t="str">
        <f aca="false">IF(ISBLANK(B460),"",B460&amp;"|"&amp;C460)</f>
        <v/>
      </c>
      <c r="B460" s="144"/>
      <c r="C460" s="144"/>
      <c r="D460" s="144"/>
      <c r="E460" s="150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</row>
    <row r="461" customFormat="false" ht="15.75" hidden="false" customHeight="false" outlineLevel="0" collapsed="false">
      <c r="A461" s="144" t="str">
        <f aca="false">IF(ISBLANK(B461),"",B461&amp;"|"&amp;C461)</f>
        <v/>
      </c>
      <c r="B461" s="144"/>
      <c r="C461" s="144"/>
      <c r="D461" s="144"/>
      <c r="E461" s="150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</row>
    <row r="462" customFormat="false" ht="15.75" hidden="false" customHeight="false" outlineLevel="0" collapsed="false">
      <c r="A462" s="144" t="str">
        <f aca="false">IF(ISBLANK(B462),"",B462&amp;"|"&amp;C462)</f>
        <v/>
      </c>
      <c r="B462" s="144"/>
      <c r="C462" s="144"/>
      <c r="D462" s="144"/>
      <c r="E462" s="150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</row>
    <row r="463" customFormat="false" ht="15.75" hidden="false" customHeight="false" outlineLevel="0" collapsed="false">
      <c r="A463" s="144" t="str">
        <f aca="false">IF(ISBLANK(B463),"",B463&amp;"|"&amp;C463)</f>
        <v/>
      </c>
      <c r="B463" s="144"/>
      <c r="C463" s="144"/>
      <c r="D463" s="144"/>
      <c r="E463" s="150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</row>
    <row r="464" customFormat="false" ht="15.75" hidden="false" customHeight="false" outlineLevel="0" collapsed="false">
      <c r="A464" s="144" t="str">
        <f aca="false">IF(ISBLANK(B464),"",B464&amp;"|"&amp;C464)</f>
        <v/>
      </c>
      <c r="B464" s="144"/>
      <c r="C464" s="144"/>
      <c r="D464" s="144"/>
      <c r="E464" s="150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</row>
    <row r="465" customFormat="false" ht="15.75" hidden="false" customHeight="false" outlineLevel="0" collapsed="false">
      <c r="A465" s="144" t="str">
        <f aca="false">IF(ISBLANK(B465),"",B465&amp;"|"&amp;C465)</f>
        <v/>
      </c>
      <c r="B465" s="144"/>
      <c r="C465" s="144"/>
      <c r="D465" s="144"/>
      <c r="E465" s="150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</row>
    <row r="466" customFormat="false" ht="15.75" hidden="false" customHeight="false" outlineLevel="0" collapsed="false">
      <c r="A466" s="144" t="str">
        <f aca="false">IF(ISBLANK(B466),"",B466&amp;"|"&amp;C466)</f>
        <v/>
      </c>
      <c r="B466" s="144"/>
      <c r="C466" s="144"/>
      <c r="D466" s="144"/>
      <c r="E466" s="150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</row>
    <row r="467" customFormat="false" ht="15.75" hidden="false" customHeight="false" outlineLevel="0" collapsed="false">
      <c r="A467" s="144" t="str">
        <f aca="false">IF(ISBLANK(B467),"",B467&amp;"|"&amp;C467)</f>
        <v/>
      </c>
      <c r="B467" s="144"/>
      <c r="C467" s="144"/>
      <c r="D467" s="144"/>
      <c r="E467" s="150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</row>
    <row r="468" customFormat="false" ht="15.75" hidden="false" customHeight="false" outlineLevel="0" collapsed="false">
      <c r="A468" s="144" t="str">
        <f aca="false">IF(ISBLANK(B468),"",B468&amp;"|"&amp;C468)</f>
        <v/>
      </c>
      <c r="B468" s="144"/>
      <c r="C468" s="144"/>
      <c r="D468" s="144"/>
      <c r="E468" s="150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</row>
    <row r="469" customFormat="false" ht="15.75" hidden="false" customHeight="false" outlineLevel="0" collapsed="false">
      <c r="A469" s="144" t="str">
        <f aca="false">IF(ISBLANK(B469),"",B469&amp;"|"&amp;C469)</f>
        <v/>
      </c>
      <c r="B469" s="144"/>
      <c r="C469" s="144"/>
      <c r="D469" s="144"/>
      <c r="E469" s="150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</row>
    <row r="470" customFormat="false" ht="15.75" hidden="false" customHeight="false" outlineLevel="0" collapsed="false">
      <c r="A470" s="144" t="str">
        <f aca="false">IF(ISBLANK(B470),"",B470&amp;"|"&amp;C470)</f>
        <v/>
      </c>
      <c r="B470" s="144"/>
      <c r="C470" s="144"/>
      <c r="D470" s="144"/>
      <c r="E470" s="150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</row>
    <row r="471" customFormat="false" ht="15.75" hidden="false" customHeight="false" outlineLevel="0" collapsed="false">
      <c r="A471" s="144" t="str">
        <f aca="false">IF(ISBLANK(B471),"",B471&amp;"|"&amp;C471)</f>
        <v/>
      </c>
      <c r="B471" s="144"/>
      <c r="C471" s="144"/>
      <c r="D471" s="144"/>
      <c r="E471" s="150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</row>
    <row r="472" customFormat="false" ht="15.75" hidden="false" customHeight="false" outlineLevel="0" collapsed="false">
      <c r="A472" s="144" t="str">
        <f aca="false">IF(ISBLANK(B472),"",B472&amp;"|"&amp;C472)</f>
        <v/>
      </c>
      <c r="B472" s="144"/>
      <c r="C472" s="144"/>
      <c r="D472" s="144"/>
      <c r="E472" s="150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</row>
    <row r="473" customFormat="false" ht="15.75" hidden="false" customHeight="false" outlineLevel="0" collapsed="false">
      <c r="A473" s="144" t="str">
        <f aca="false">IF(ISBLANK(B473),"",B473&amp;"|"&amp;C473)</f>
        <v/>
      </c>
      <c r="B473" s="144"/>
      <c r="C473" s="144"/>
      <c r="D473" s="144"/>
      <c r="E473" s="150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</row>
    <row r="474" customFormat="false" ht="15.75" hidden="false" customHeight="false" outlineLevel="0" collapsed="false">
      <c r="A474" s="144" t="str">
        <f aca="false">IF(ISBLANK(B474),"",B474&amp;"|"&amp;C474)</f>
        <v/>
      </c>
      <c r="B474" s="144"/>
      <c r="C474" s="144"/>
      <c r="D474" s="144"/>
      <c r="E474" s="150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</row>
    <row r="475" customFormat="false" ht="15.75" hidden="false" customHeight="false" outlineLevel="0" collapsed="false">
      <c r="A475" s="144" t="str">
        <f aca="false">IF(ISBLANK(B475),"",B475&amp;"|"&amp;C475)</f>
        <v/>
      </c>
      <c r="B475" s="144"/>
      <c r="C475" s="144"/>
      <c r="D475" s="144"/>
      <c r="E475" s="150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</row>
    <row r="476" customFormat="false" ht="15.75" hidden="false" customHeight="false" outlineLevel="0" collapsed="false">
      <c r="A476" s="144" t="str">
        <f aca="false">IF(ISBLANK(B476),"",B476&amp;"|"&amp;C476)</f>
        <v/>
      </c>
      <c r="B476" s="144"/>
      <c r="C476" s="144"/>
      <c r="D476" s="144"/>
      <c r="E476" s="150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</row>
    <row r="477" customFormat="false" ht="15.75" hidden="false" customHeight="false" outlineLevel="0" collapsed="false">
      <c r="A477" s="144" t="str">
        <f aca="false">IF(ISBLANK(B477),"",B477&amp;"|"&amp;C477)</f>
        <v/>
      </c>
      <c r="B477" s="144"/>
      <c r="C477" s="144"/>
      <c r="D477" s="144"/>
      <c r="E477" s="150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</row>
    <row r="478" customFormat="false" ht="15.75" hidden="false" customHeight="false" outlineLevel="0" collapsed="false">
      <c r="A478" s="144" t="str">
        <f aca="false">IF(ISBLANK(B478),"",B478&amp;"|"&amp;C478)</f>
        <v/>
      </c>
      <c r="B478" s="144"/>
      <c r="C478" s="144"/>
      <c r="D478" s="144"/>
      <c r="E478" s="150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</row>
    <row r="479" customFormat="false" ht="15.75" hidden="false" customHeight="false" outlineLevel="0" collapsed="false">
      <c r="A479" s="144" t="str">
        <f aca="false">IF(ISBLANK(B479),"",B479&amp;"|"&amp;C479)</f>
        <v/>
      </c>
      <c r="B479" s="144"/>
      <c r="C479" s="144"/>
      <c r="D479" s="144"/>
      <c r="E479" s="150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</row>
    <row r="480" customFormat="false" ht="15.75" hidden="false" customHeight="false" outlineLevel="0" collapsed="false">
      <c r="A480" s="144" t="str">
        <f aca="false">IF(ISBLANK(B480),"",B480&amp;"|"&amp;C480)</f>
        <v/>
      </c>
      <c r="B480" s="144"/>
      <c r="C480" s="144"/>
      <c r="D480" s="144"/>
      <c r="E480" s="150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</row>
    <row r="481" customFormat="false" ht="15.75" hidden="false" customHeight="false" outlineLevel="0" collapsed="false">
      <c r="A481" s="144" t="str">
        <f aca="false">IF(ISBLANK(B481),"",B481&amp;"|"&amp;C481)</f>
        <v/>
      </c>
      <c r="B481" s="144"/>
      <c r="C481" s="144"/>
      <c r="D481" s="144"/>
      <c r="E481" s="150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</row>
    <row r="482" customFormat="false" ht="15.75" hidden="false" customHeight="false" outlineLevel="0" collapsed="false">
      <c r="A482" s="144" t="str">
        <f aca="false">IF(ISBLANK(B482),"",B482&amp;"|"&amp;C482)</f>
        <v/>
      </c>
      <c r="B482" s="144"/>
      <c r="C482" s="144"/>
      <c r="D482" s="144"/>
      <c r="E482" s="150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</row>
    <row r="483" customFormat="false" ht="15.75" hidden="false" customHeight="false" outlineLevel="0" collapsed="false">
      <c r="A483" s="144" t="str">
        <f aca="false">IF(ISBLANK(B483),"",B483&amp;"|"&amp;C483)</f>
        <v/>
      </c>
      <c r="B483" s="144"/>
      <c r="C483" s="144"/>
      <c r="D483" s="144"/>
      <c r="E483" s="150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</row>
    <row r="484" customFormat="false" ht="15.75" hidden="false" customHeight="false" outlineLevel="0" collapsed="false">
      <c r="A484" s="144" t="str">
        <f aca="false">IF(ISBLANK(B484),"",B484&amp;"|"&amp;C484)</f>
        <v/>
      </c>
      <c r="B484" s="144"/>
      <c r="C484" s="144"/>
      <c r="D484" s="144"/>
      <c r="E484" s="150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</row>
    <row r="485" customFormat="false" ht="15.75" hidden="false" customHeight="false" outlineLevel="0" collapsed="false">
      <c r="A485" s="144" t="str">
        <f aca="false">IF(ISBLANK(B485),"",B485&amp;"|"&amp;C485)</f>
        <v/>
      </c>
      <c r="B485" s="144"/>
      <c r="C485" s="144"/>
      <c r="D485" s="144"/>
      <c r="E485" s="150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</row>
    <row r="486" customFormat="false" ht="15.75" hidden="false" customHeight="false" outlineLevel="0" collapsed="false">
      <c r="A486" s="144" t="str">
        <f aca="false">IF(ISBLANK(B486),"",B486&amp;"|"&amp;C486)</f>
        <v/>
      </c>
      <c r="B486" s="144"/>
      <c r="C486" s="144"/>
      <c r="D486" s="144"/>
      <c r="E486" s="150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</row>
    <row r="487" customFormat="false" ht="15.75" hidden="false" customHeight="false" outlineLevel="0" collapsed="false">
      <c r="A487" s="144" t="str">
        <f aca="false">IF(ISBLANK(B487),"",B487&amp;"|"&amp;C487)</f>
        <v/>
      </c>
      <c r="B487" s="144"/>
      <c r="C487" s="144"/>
      <c r="D487" s="144"/>
      <c r="E487" s="150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</row>
    <row r="488" customFormat="false" ht="15.75" hidden="false" customHeight="false" outlineLevel="0" collapsed="false">
      <c r="A488" s="144" t="str">
        <f aca="false">IF(ISBLANK(B488),"",B488&amp;"|"&amp;C488)</f>
        <v/>
      </c>
      <c r="B488" s="144"/>
      <c r="C488" s="144"/>
      <c r="D488" s="144"/>
      <c r="E488" s="150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</row>
    <row r="489" customFormat="false" ht="15.75" hidden="false" customHeight="false" outlineLevel="0" collapsed="false">
      <c r="A489" s="144" t="str">
        <f aca="false">IF(ISBLANK(B489),"",B489&amp;"|"&amp;C489)</f>
        <v/>
      </c>
      <c r="B489" s="144"/>
      <c r="C489" s="144"/>
      <c r="D489" s="144"/>
      <c r="E489" s="150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</row>
    <row r="490" customFormat="false" ht="15.75" hidden="false" customHeight="false" outlineLevel="0" collapsed="false">
      <c r="A490" s="144" t="str">
        <f aca="false">IF(ISBLANK(B490),"",B490&amp;"|"&amp;C490)</f>
        <v/>
      </c>
      <c r="B490" s="144"/>
      <c r="C490" s="144"/>
      <c r="D490" s="144"/>
      <c r="E490" s="150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</row>
    <row r="491" customFormat="false" ht="15.75" hidden="false" customHeight="false" outlineLevel="0" collapsed="false">
      <c r="A491" s="144" t="str">
        <f aca="false">IF(ISBLANK(B491),"",B491&amp;"|"&amp;C491)</f>
        <v/>
      </c>
      <c r="B491" s="144"/>
      <c r="C491" s="144"/>
      <c r="D491" s="144"/>
      <c r="E491" s="150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</row>
    <row r="492" customFormat="false" ht="15.75" hidden="false" customHeight="false" outlineLevel="0" collapsed="false">
      <c r="A492" s="144" t="str">
        <f aca="false">IF(ISBLANK(B492),"",B492&amp;"|"&amp;C492)</f>
        <v/>
      </c>
      <c r="B492" s="144"/>
      <c r="C492" s="144"/>
      <c r="D492" s="144"/>
      <c r="E492" s="150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</row>
    <row r="493" customFormat="false" ht="15.75" hidden="false" customHeight="false" outlineLevel="0" collapsed="false">
      <c r="A493" s="144" t="str">
        <f aca="false">IF(ISBLANK(B493),"",B493&amp;"|"&amp;C493)</f>
        <v/>
      </c>
      <c r="B493" s="144"/>
      <c r="C493" s="144"/>
      <c r="D493" s="144"/>
      <c r="E493" s="150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</row>
    <row r="494" customFormat="false" ht="15.75" hidden="false" customHeight="false" outlineLevel="0" collapsed="false">
      <c r="A494" s="144" t="str">
        <f aca="false">IF(ISBLANK(B494),"",B494&amp;"|"&amp;C494)</f>
        <v/>
      </c>
      <c r="B494" s="144"/>
      <c r="C494" s="144"/>
      <c r="D494" s="144"/>
      <c r="E494" s="150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</row>
    <row r="495" customFormat="false" ht="15.75" hidden="false" customHeight="false" outlineLevel="0" collapsed="false">
      <c r="A495" s="144" t="str">
        <f aca="false">IF(ISBLANK(B495),"",B495&amp;"|"&amp;C495)</f>
        <v/>
      </c>
      <c r="B495" s="144"/>
      <c r="C495" s="144"/>
      <c r="D495" s="144"/>
      <c r="E495" s="150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</row>
    <row r="496" customFormat="false" ht="15.75" hidden="false" customHeight="false" outlineLevel="0" collapsed="false">
      <c r="A496" s="144" t="str">
        <f aca="false">IF(ISBLANK(B496),"",B496&amp;"|"&amp;C496)</f>
        <v/>
      </c>
      <c r="B496" s="144"/>
      <c r="C496" s="144"/>
      <c r="D496" s="144"/>
      <c r="E496" s="150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</row>
    <row r="497" customFormat="false" ht="15.75" hidden="false" customHeight="false" outlineLevel="0" collapsed="false">
      <c r="A497" s="144" t="str">
        <f aca="false">IF(ISBLANK(B497),"",B497&amp;"|"&amp;C497)</f>
        <v/>
      </c>
      <c r="B497" s="144"/>
      <c r="C497" s="144"/>
      <c r="D497" s="144"/>
      <c r="E497" s="150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</row>
    <row r="498" customFormat="false" ht="15.75" hidden="false" customHeight="false" outlineLevel="0" collapsed="false">
      <c r="A498" s="144" t="str">
        <f aca="false">IF(ISBLANK(B498),"",B498&amp;"|"&amp;C498)</f>
        <v/>
      </c>
      <c r="B498" s="144"/>
      <c r="C498" s="144"/>
      <c r="D498" s="144"/>
      <c r="E498" s="150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</row>
    <row r="499" customFormat="false" ht="15.75" hidden="false" customHeight="false" outlineLevel="0" collapsed="false">
      <c r="A499" s="144" t="str">
        <f aca="false">IF(ISBLANK(B499),"",B499&amp;"|"&amp;C499)</f>
        <v/>
      </c>
      <c r="B499" s="144"/>
      <c r="C499" s="144"/>
      <c r="D499" s="144"/>
      <c r="E499" s="150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</row>
    <row r="500" customFormat="false" ht="15.75" hidden="false" customHeight="false" outlineLevel="0" collapsed="false">
      <c r="A500" s="144" t="str">
        <f aca="false">IF(ISBLANK(B500),"",B500&amp;"|"&amp;C500)</f>
        <v/>
      </c>
      <c r="B500" s="144"/>
      <c r="C500" s="144"/>
      <c r="D500" s="144"/>
      <c r="E500" s="150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</row>
    <row r="501" customFormat="false" ht="15.75" hidden="false" customHeight="false" outlineLevel="0" collapsed="false">
      <c r="A501" s="144" t="str">
        <f aca="false">IF(ISBLANK(B501),"",B501&amp;"|"&amp;C501)</f>
        <v/>
      </c>
      <c r="B501" s="144"/>
      <c r="C501" s="144"/>
      <c r="D501" s="144"/>
      <c r="E501" s="150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</row>
    <row r="502" customFormat="false" ht="15.75" hidden="false" customHeight="false" outlineLevel="0" collapsed="false">
      <c r="A502" s="144" t="str">
        <f aca="false">IF(ISBLANK(B502),"",B502&amp;"|"&amp;C502)</f>
        <v/>
      </c>
      <c r="B502" s="144"/>
      <c r="C502" s="144"/>
      <c r="D502" s="144"/>
      <c r="E502" s="150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</row>
    <row r="503" customFormat="false" ht="15.75" hidden="false" customHeight="false" outlineLevel="0" collapsed="false">
      <c r="A503" s="144" t="str">
        <f aca="false">IF(ISBLANK(B503),"",B503&amp;"|"&amp;C503)</f>
        <v/>
      </c>
      <c r="B503" s="144"/>
      <c r="C503" s="144"/>
      <c r="D503" s="144"/>
      <c r="E503" s="150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</row>
    <row r="504" customFormat="false" ht="15.75" hidden="false" customHeight="false" outlineLevel="0" collapsed="false">
      <c r="A504" s="144" t="str">
        <f aca="false">IF(ISBLANK(B504),"",B504&amp;"|"&amp;C504)</f>
        <v/>
      </c>
      <c r="B504" s="144"/>
      <c r="C504" s="144"/>
      <c r="D504" s="144"/>
      <c r="E504" s="150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</row>
    <row r="505" customFormat="false" ht="15.75" hidden="false" customHeight="false" outlineLevel="0" collapsed="false">
      <c r="A505" s="144" t="str">
        <f aca="false">IF(ISBLANK(B505),"",B505&amp;"|"&amp;C505)</f>
        <v/>
      </c>
      <c r="B505" s="144"/>
      <c r="C505" s="144"/>
      <c r="D505" s="144"/>
      <c r="E505" s="150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</row>
    <row r="506" customFormat="false" ht="15.75" hidden="false" customHeight="false" outlineLevel="0" collapsed="false">
      <c r="A506" s="144" t="str">
        <f aca="false">IF(ISBLANK(B506),"",B506&amp;"|"&amp;C506)</f>
        <v/>
      </c>
      <c r="B506" s="144"/>
      <c r="C506" s="144"/>
      <c r="D506" s="144"/>
      <c r="E506" s="150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</row>
    <row r="507" customFormat="false" ht="15.75" hidden="false" customHeight="false" outlineLevel="0" collapsed="false">
      <c r="A507" s="144" t="str">
        <f aca="false">IF(ISBLANK(B507),"",B507&amp;"|"&amp;C507)</f>
        <v/>
      </c>
      <c r="B507" s="144"/>
      <c r="C507" s="144"/>
      <c r="D507" s="144"/>
      <c r="E507" s="150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</row>
    <row r="508" customFormat="false" ht="15.75" hidden="false" customHeight="false" outlineLevel="0" collapsed="false">
      <c r="A508" s="144" t="str">
        <f aca="false">IF(ISBLANK(B508),"",B508&amp;"|"&amp;C508)</f>
        <v/>
      </c>
      <c r="B508" s="144"/>
      <c r="C508" s="144"/>
      <c r="D508" s="144"/>
      <c r="E508" s="150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</row>
    <row r="509" customFormat="false" ht="15.75" hidden="false" customHeight="false" outlineLevel="0" collapsed="false">
      <c r="A509" s="144" t="str">
        <f aca="false">IF(ISBLANK(B509),"",B509&amp;"|"&amp;C509)</f>
        <v/>
      </c>
      <c r="B509" s="144"/>
      <c r="C509" s="144"/>
      <c r="D509" s="144"/>
      <c r="E509" s="150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</row>
    <row r="510" customFormat="false" ht="15.75" hidden="false" customHeight="false" outlineLevel="0" collapsed="false">
      <c r="A510" s="144" t="str">
        <f aca="false">IF(ISBLANK(B510),"",B510&amp;"|"&amp;C510)</f>
        <v/>
      </c>
      <c r="B510" s="144"/>
      <c r="C510" s="144"/>
      <c r="D510" s="144"/>
      <c r="E510" s="150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</row>
    <row r="511" customFormat="false" ht="15.75" hidden="false" customHeight="false" outlineLevel="0" collapsed="false">
      <c r="A511" s="144" t="str">
        <f aca="false">IF(ISBLANK(B511),"",B511&amp;"|"&amp;C511)</f>
        <v/>
      </c>
      <c r="B511" s="144"/>
      <c r="C511" s="144"/>
      <c r="D511" s="144"/>
      <c r="E511" s="150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</row>
    <row r="512" customFormat="false" ht="15.75" hidden="false" customHeight="false" outlineLevel="0" collapsed="false">
      <c r="A512" s="144" t="str">
        <f aca="false">IF(ISBLANK(B512),"",B512&amp;"|"&amp;C512)</f>
        <v/>
      </c>
      <c r="B512" s="144"/>
      <c r="C512" s="144"/>
      <c r="D512" s="144"/>
      <c r="E512" s="150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</row>
    <row r="513" customFormat="false" ht="15.75" hidden="false" customHeight="false" outlineLevel="0" collapsed="false">
      <c r="A513" s="144" t="str">
        <f aca="false">IF(ISBLANK(B513),"",B513&amp;"|"&amp;C513)</f>
        <v/>
      </c>
      <c r="B513" s="144"/>
      <c r="C513" s="144"/>
      <c r="D513" s="144"/>
      <c r="E513" s="150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</row>
    <row r="514" customFormat="false" ht="15.75" hidden="false" customHeight="false" outlineLevel="0" collapsed="false">
      <c r="A514" s="144" t="str">
        <f aca="false">IF(ISBLANK(B514),"",B514&amp;"|"&amp;C514)</f>
        <v/>
      </c>
      <c r="B514" s="144"/>
      <c r="C514" s="144"/>
      <c r="D514" s="144"/>
      <c r="E514" s="150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</row>
    <row r="515" customFormat="false" ht="15.75" hidden="false" customHeight="false" outlineLevel="0" collapsed="false">
      <c r="A515" s="144" t="str">
        <f aca="false">IF(ISBLANK(B515),"",B515&amp;"|"&amp;C515)</f>
        <v/>
      </c>
      <c r="B515" s="144"/>
      <c r="C515" s="144"/>
      <c r="D515" s="144"/>
      <c r="E515" s="150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</row>
    <row r="516" customFormat="false" ht="15.75" hidden="false" customHeight="false" outlineLevel="0" collapsed="false">
      <c r="A516" s="144" t="str">
        <f aca="false">IF(ISBLANK(B516),"",B516&amp;"|"&amp;C516)</f>
        <v/>
      </c>
      <c r="B516" s="144"/>
      <c r="C516" s="144"/>
      <c r="D516" s="144"/>
      <c r="E516" s="150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</row>
    <row r="517" customFormat="false" ht="15.75" hidden="false" customHeight="false" outlineLevel="0" collapsed="false">
      <c r="A517" s="144" t="str">
        <f aca="false">IF(ISBLANK(B517),"",B517&amp;"|"&amp;C517)</f>
        <v/>
      </c>
      <c r="B517" s="144"/>
      <c r="C517" s="144"/>
      <c r="D517" s="144"/>
      <c r="E517" s="150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</row>
    <row r="518" customFormat="false" ht="15.75" hidden="false" customHeight="false" outlineLevel="0" collapsed="false">
      <c r="A518" s="144" t="str">
        <f aca="false">IF(ISBLANK(B518),"",B518&amp;"|"&amp;C518)</f>
        <v/>
      </c>
      <c r="B518" s="144"/>
      <c r="C518" s="144"/>
      <c r="D518" s="144"/>
      <c r="E518" s="150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</row>
    <row r="519" customFormat="false" ht="15.75" hidden="false" customHeight="false" outlineLevel="0" collapsed="false">
      <c r="A519" s="144" t="str">
        <f aca="false">IF(ISBLANK(B519),"",B519&amp;"|"&amp;C519)</f>
        <v/>
      </c>
      <c r="B519" s="144"/>
      <c r="C519" s="144"/>
      <c r="D519" s="144"/>
      <c r="E519" s="150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</row>
    <row r="520" customFormat="false" ht="15.75" hidden="false" customHeight="false" outlineLevel="0" collapsed="false">
      <c r="A520" s="144" t="str">
        <f aca="false">IF(ISBLANK(B520),"",B520&amp;"|"&amp;C520)</f>
        <v/>
      </c>
      <c r="B520" s="144"/>
      <c r="C520" s="144"/>
      <c r="D520" s="144"/>
      <c r="E520" s="150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</row>
    <row r="521" customFormat="false" ht="15.75" hidden="false" customHeight="false" outlineLevel="0" collapsed="false">
      <c r="A521" s="144" t="str">
        <f aca="false">IF(ISBLANK(B521),"",B521&amp;"|"&amp;C521)</f>
        <v/>
      </c>
      <c r="B521" s="144"/>
      <c r="C521" s="144"/>
      <c r="D521" s="144"/>
      <c r="E521" s="150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</row>
    <row r="522" customFormat="false" ht="15.75" hidden="false" customHeight="false" outlineLevel="0" collapsed="false">
      <c r="A522" s="144" t="str">
        <f aca="false">IF(ISBLANK(B522),"",B522&amp;"|"&amp;C522)</f>
        <v/>
      </c>
      <c r="B522" s="144"/>
      <c r="C522" s="144"/>
      <c r="D522" s="144"/>
      <c r="E522" s="150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</row>
    <row r="523" customFormat="false" ht="15.75" hidden="false" customHeight="false" outlineLevel="0" collapsed="false">
      <c r="A523" s="144" t="str">
        <f aca="false">IF(ISBLANK(B523),"",B523&amp;"|"&amp;C523)</f>
        <v/>
      </c>
      <c r="B523" s="144"/>
      <c r="C523" s="144"/>
      <c r="D523" s="144"/>
      <c r="E523" s="150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</row>
    <row r="524" customFormat="false" ht="15.75" hidden="false" customHeight="false" outlineLevel="0" collapsed="false">
      <c r="A524" s="144" t="str">
        <f aca="false">IF(ISBLANK(B524),"",B524&amp;"|"&amp;C524)</f>
        <v/>
      </c>
      <c r="B524" s="144"/>
      <c r="C524" s="144"/>
      <c r="D524" s="144"/>
      <c r="E524" s="150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</row>
    <row r="525" customFormat="false" ht="15.75" hidden="false" customHeight="false" outlineLevel="0" collapsed="false">
      <c r="A525" s="144" t="str">
        <f aca="false">IF(ISBLANK(B525),"",B525&amp;"|"&amp;C525)</f>
        <v/>
      </c>
      <c r="B525" s="144"/>
      <c r="C525" s="144"/>
      <c r="D525" s="144"/>
      <c r="E525" s="150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</row>
    <row r="526" customFormat="false" ht="15.75" hidden="false" customHeight="false" outlineLevel="0" collapsed="false">
      <c r="A526" s="144" t="str">
        <f aca="false">IF(ISBLANK(B526),"",B526&amp;"|"&amp;C526)</f>
        <v/>
      </c>
      <c r="B526" s="144"/>
      <c r="C526" s="144"/>
      <c r="D526" s="144"/>
      <c r="E526" s="150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</row>
    <row r="527" customFormat="false" ht="15.75" hidden="false" customHeight="false" outlineLevel="0" collapsed="false">
      <c r="A527" s="144" t="str">
        <f aca="false">IF(ISBLANK(B527),"",B527&amp;"|"&amp;C527)</f>
        <v/>
      </c>
      <c r="B527" s="144"/>
      <c r="C527" s="144"/>
      <c r="D527" s="144"/>
      <c r="E527" s="150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</row>
    <row r="528" customFormat="false" ht="15.75" hidden="false" customHeight="false" outlineLevel="0" collapsed="false">
      <c r="A528" s="144" t="str">
        <f aca="false">IF(ISBLANK(B528),"",B528&amp;"|"&amp;C528)</f>
        <v/>
      </c>
      <c r="B528" s="144"/>
      <c r="C528" s="144"/>
      <c r="D528" s="144"/>
      <c r="E528" s="150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</row>
    <row r="529" customFormat="false" ht="15.75" hidden="false" customHeight="false" outlineLevel="0" collapsed="false">
      <c r="A529" s="144" t="str">
        <f aca="false">IF(ISBLANK(B529),"",B529&amp;"|"&amp;C529)</f>
        <v/>
      </c>
      <c r="B529" s="144"/>
      <c r="C529" s="144"/>
      <c r="D529" s="144"/>
      <c r="E529" s="150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</row>
    <row r="530" customFormat="false" ht="15.75" hidden="false" customHeight="false" outlineLevel="0" collapsed="false">
      <c r="A530" s="144" t="str">
        <f aca="false">IF(ISBLANK(B530),"",B530&amp;"|"&amp;C530)</f>
        <v/>
      </c>
      <c r="B530" s="144"/>
      <c r="C530" s="144"/>
      <c r="D530" s="144"/>
      <c r="E530" s="150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</row>
    <row r="531" customFormat="false" ht="15.75" hidden="false" customHeight="false" outlineLevel="0" collapsed="false">
      <c r="A531" s="144" t="str">
        <f aca="false">IF(ISBLANK(B531),"",B531&amp;"|"&amp;C531)</f>
        <v/>
      </c>
      <c r="B531" s="144"/>
      <c r="C531" s="144"/>
      <c r="D531" s="144"/>
      <c r="E531" s="150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</row>
    <row r="532" customFormat="false" ht="15.75" hidden="false" customHeight="false" outlineLevel="0" collapsed="false">
      <c r="A532" s="144" t="str">
        <f aca="false">IF(ISBLANK(B532),"",B532&amp;"|"&amp;C532)</f>
        <v/>
      </c>
      <c r="B532" s="144"/>
      <c r="C532" s="144"/>
      <c r="D532" s="144"/>
      <c r="E532" s="150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</row>
    <row r="533" customFormat="false" ht="15.75" hidden="false" customHeight="false" outlineLevel="0" collapsed="false">
      <c r="A533" s="144" t="str">
        <f aca="false">IF(ISBLANK(B533),"",B533&amp;"|"&amp;C533)</f>
        <v/>
      </c>
      <c r="B533" s="144"/>
      <c r="C533" s="144"/>
      <c r="D533" s="144"/>
      <c r="E533" s="150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</row>
    <row r="534" customFormat="false" ht="15.75" hidden="false" customHeight="false" outlineLevel="0" collapsed="false">
      <c r="A534" s="144" t="str">
        <f aca="false">IF(ISBLANK(B534),"",B534&amp;"|"&amp;C534)</f>
        <v/>
      </c>
      <c r="B534" s="144"/>
      <c r="C534" s="144"/>
      <c r="D534" s="144"/>
      <c r="E534" s="150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</row>
    <row r="535" customFormat="false" ht="15.75" hidden="false" customHeight="false" outlineLevel="0" collapsed="false">
      <c r="A535" s="144" t="str">
        <f aca="false">IF(ISBLANK(B535),"",B535&amp;"|"&amp;C535)</f>
        <v/>
      </c>
      <c r="B535" s="144"/>
      <c r="C535" s="144"/>
      <c r="D535" s="144"/>
      <c r="E535" s="150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</row>
    <row r="536" customFormat="false" ht="15.75" hidden="false" customHeight="false" outlineLevel="0" collapsed="false">
      <c r="A536" s="144" t="str">
        <f aca="false">IF(ISBLANK(B536),"",B536&amp;"|"&amp;C536)</f>
        <v/>
      </c>
      <c r="B536" s="144"/>
      <c r="C536" s="144"/>
      <c r="D536" s="144"/>
      <c r="E536" s="150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</row>
    <row r="537" customFormat="false" ht="15.75" hidden="false" customHeight="false" outlineLevel="0" collapsed="false">
      <c r="A537" s="144" t="str">
        <f aca="false">IF(ISBLANK(B537),"",B537&amp;"|"&amp;C537)</f>
        <v/>
      </c>
      <c r="B537" s="144"/>
      <c r="C537" s="144"/>
      <c r="D537" s="144"/>
      <c r="E537" s="150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</row>
    <row r="538" customFormat="false" ht="15.75" hidden="false" customHeight="false" outlineLevel="0" collapsed="false">
      <c r="A538" s="144" t="str">
        <f aca="false">IF(ISBLANK(B538),"",B538&amp;"|"&amp;C538)</f>
        <v/>
      </c>
      <c r="B538" s="144"/>
      <c r="C538" s="144"/>
      <c r="D538" s="144"/>
      <c r="E538" s="150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</row>
    <row r="539" customFormat="false" ht="15.75" hidden="false" customHeight="false" outlineLevel="0" collapsed="false">
      <c r="A539" s="144" t="str">
        <f aca="false">IF(ISBLANK(B539),"",B539&amp;"|"&amp;C539)</f>
        <v/>
      </c>
      <c r="B539" s="144"/>
      <c r="C539" s="144"/>
      <c r="D539" s="144"/>
      <c r="E539" s="150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</row>
    <row r="540" customFormat="false" ht="15.75" hidden="false" customHeight="false" outlineLevel="0" collapsed="false">
      <c r="A540" s="144" t="str">
        <f aca="false">IF(ISBLANK(B540),"",B540&amp;"|"&amp;C540)</f>
        <v/>
      </c>
      <c r="B540" s="144"/>
      <c r="C540" s="144"/>
      <c r="D540" s="144"/>
      <c r="E540" s="150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</row>
    <row r="541" customFormat="false" ht="15.75" hidden="false" customHeight="false" outlineLevel="0" collapsed="false">
      <c r="A541" s="144" t="str">
        <f aca="false">IF(ISBLANK(B541),"",B541&amp;"|"&amp;C541)</f>
        <v/>
      </c>
      <c r="B541" s="144"/>
      <c r="C541" s="144"/>
      <c r="D541" s="144"/>
      <c r="E541" s="150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</row>
    <row r="542" customFormat="false" ht="15.75" hidden="false" customHeight="false" outlineLevel="0" collapsed="false">
      <c r="A542" s="144" t="str">
        <f aca="false">IF(ISBLANK(B542),"",B542&amp;"|"&amp;C542)</f>
        <v/>
      </c>
      <c r="B542" s="144"/>
      <c r="C542" s="144"/>
      <c r="D542" s="144"/>
      <c r="E542" s="150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</row>
    <row r="543" customFormat="false" ht="15.75" hidden="false" customHeight="false" outlineLevel="0" collapsed="false">
      <c r="A543" s="144" t="str">
        <f aca="false">IF(ISBLANK(B543),"",B543&amp;"|"&amp;C543)</f>
        <v/>
      </c>
      <c r="B543" s="144"/>
      <c r="C543" s="144"/>
      <c r="D543" s="144"/>
      <c r="E543" s="150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</row>
    <row r="544" customFormat="false" ht="15.75" hidden="false" customHeight="false" outlineLevel="0" collapsed="false">
      <c r="A544" s="144" t="str">
        <f aca="false">IF(ISBLANK(B544),"",B544&amp;"|"&amp;C544)</f>
        <v/>
      </c>
      <c r="B544" s="144"/>
      <c r="C544" s="144"/>
      <c r="D544" s="144"/>
      <c r="E544" s="150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</row>
    <row r="545" customFormat="false" ht="15.75" hidden="false" customHeight="false" outlineLevel="0" collapsed="false">
      <c r="A545" s="144" t="str">
        <f aca="false">IF(ISBLANK(B545),"",B545&amp;"|"&amp;C545)</f>
        <v/>
      </c>
      <c r="B545" s="144"/>
      <c r="C545" s="144"/>
      <c r="D545" s="144"/>
      <c r="E545" s="150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</row>
    <row r="546" customFormat="false" ht="15.75" hidden="false" customHeight="false" outlineLevel="0" collapsed="false">
      <c r="A546" s="144" t="str">
        <f aca="false">IF(ISBLANK(B546),"",B546&amp;"|"&amp;C546)</f>
        <v/>
      </c>
      <c r="B546" s="144"/>
      <c r="C546" s="144"/>
      <c r="D546" s="144"/>
      <c r="E546" s="150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</row>
    <row r="547" customFormat="false" ht="15.75" hidden="false" customHeight="false" outlineLevel="0" collapsed="false">
      <c r="A547" s="144" t="str">
        <f aca="false">IF(ISBLANK(B547),"",B547&amp;"|"&amp;C547)</f>
        <v/>
      </c>
      <c r="B547" s="144"/>
      <c r="C547" s="144"/>
      <c r="D547" s="144"/>
      <c r="E547" s="150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</row>
    <row r="548" customFormat="false" ht="15.75" hidden="false" customHeight="false" outlineLevel="0" collapsed="false">
      <c r="A548" s="144" t="str">
        <f aca="false">IF(ISBLANK(B548),"",B548&amp;"|"&amp;C548)</f>
        <v/>
      </c>
      <c r="B548" s="144"/>
      <c r="C548" s="144"/>
      <c r="D548" s="144"/>
      <c r="E548" s="150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</row>
    <row r="549" customFormat="false" ht="15.75" hidden="false" customHeight="false" outlineLevel="0" collapsed="false">
      <c r="A549" s="144" t="str">
        <f aca="false">IF(ISBLANK(B549),"",B549&amp;"|"&amp;C549)</f>
        <v/>
      </c>
      <c r="B549" s="144"/>
      <c r="C549" s="144"/>
      <c r="D549" s="144"/>
      <c r="E549" s="150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</row>
    <row r="550" customFormat="false" ht="15.75" hidden="false" customHeight="false" outlineLevel="0" collapsed="false">
      <c r="A550" s="144" t="str">
        <f aca="false">IF(ISBLANK(B550),"",B550&amp;"|"&amp;C550)</f>
        <v/>
      </c>
      <c r="B550" s="144"/>
      <c r="C550" s="144"/>
      <c r="D550" s="144"/>
      <c r="E550" s="150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</row>
    <row r="551" customFormat="false" ht="15.75" hidden="false" customHeight="false" outlineLevel="0" collapsed="false">
      <c r="A551" s="144" t="str">
        <f aca="false">IF(ISBLANK(B551),"",B551&amp;"|"&amp;C551)</f>
        <v/>
      </c>
      <c r="B551" s="144"/>
      <c r="C551" s="144"/>
      <c r="D551" s="144"/>
      <c r="E551" s="150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</row>
    <row r="552" customFormat="false" ht="15.75" hidden="false" customHeight="false" outlineLevel="0" collapsed="false">
      <c r="A552" s="144" t="str">
        <f aca="false">IF(ISBLANK(B552),"",B552&amp;"|"&amp;C552)</f>
        <v/>
      </c>
      <c r="B552" s="144"/>
      <c r="C552" s="144"/>
      <c r="D552" s="144"/>
      <c r="E552" s="150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</row>
    <row r="553" customFormat="false" ht="15.75" hidden="false" customHeight="false" outlineLevel="0" collapsed="false">
      <c r="A553" s="144" t="str">
        <f aca="false">IF(ISBLANK(B553),"",B553&amp;"|"&amp;C553)</f>
        <v/>
      </c>
      <c r="B553" s="144"/>
      <c r="C553" s="144"/>
      <c r="D553" s="144"/>
      <c r="E553" s="150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</row>
    <row r="554" customFormat="false" ht="15.75" hidden="false" customHeight="false" outlineLevel="0" collapsed="false">
      <c r="A554" s="144" t="str">
        <f aca="false">IF(ISBLANK(B554),"",B554&amp;"|"&amp;C554)</f>
        <v/>
      </c>
      <c r="B554" s="144"/>
      <c r="C554" s="144"/>
      <c r="D554" s="144"/>
      <c r="E554" s="150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</row>
    <row r="555" customFormat="false" ht="15.75" hidden="false" customHeight="false" outlineLevel="0" collapsed="false">
      <c r="A555" s="144" t="str">
        <f aca="false">IF(ISBLANK(B555),"",B555&amp;"|"&amp;C555)</f>
        <v/>
      </c>
      <c r="B555" s="144"/>
      <c r="C555" s="144"/>
      <c r="D555" s="144"/>
      <c r="E555" s="150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</row>
    <row r="556" customFormat="false" ht="15.75" hidden="false" customHeight="false" outlineLevel="0" collapsed="false">
      <c r="A556" s="144" t="str">
        <f aca="false">IF(ISBLANK(B556),"",B556&amp;"|"&amp;C556)</f>
        <v/>
      </c>
      <c r="B556" s="144"/>
      <c r="C556" s="144"/>
      <c r="D556" s="144"/>
      <c r="E556" s="150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</row>
    <row r="557" customFormat="false" ht="15.75" hidden="false" customHeight="false" outlineLevel="0" collapsed="false">
      <c r="A557" s="144" t="str">
        <f aca="false">IF(ISBLANK(B557),"",B557&amp;"|"&amp;C557)</f>
        <v/>
      </c>
      <c r="B557" s="144"/>
      <c r="C557" s="144"/>
      <c r="D557" s="144"/>
      <c r="E557" s="150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</row>
    <row r="558" customFormat="false" ht="15.75" hidden="false" customHeight="false" outlineLevel="0" collapsed="false">
      <c r="A558" s="144" t="str">
        <f aca="false">IF(ISBLANK(B558),"",B558&amp;"|"&amp;C558)</f>
        <v/>
      </c>
      <c r="B558" s="144"/>
      <c r="C558" s="144"/>
      <c r="D558" s="144"/>
      <c r="E558" s="150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</row>
    <row r="559" customFormat="false" ht="15.75" hidden="false" customHeight="false" outlineLevel="0" collapsed="false">
      <c r="A559" s="144" t="str">
        <f aca="false">IF(ISBLANK(B559),"",B559&amp;"|"&amp;C559)</f>
        <v/>
      </c>
      <c r="B559" s="144"/>
      <c r="C559" s="144"/>
      <c r="D559" s="144"/>
      <c r="E559" s="150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</row>
    <row r="560" customFormat="false" ht="15.75" hidden="false" customHeight="false" outlineLevel="0" collapsed="false">
      <c r="A560" s="144" t="str">
        <f aca="false">IF(ISBLANK(B560),"",B560&amp;"|"&amp;C560)</f>
        <v/>
      </c>
      <c r="B560" s="144"/>
      <c r="C560" s="144"/>
      <c r="D560" s="144"/>
      <c r="E560" s="150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</row>
    <row r="561" customFormat="false" ht="15.75" hidden="false" customHeight="false" outlineLevel="0" collapsed="false">
      <c r="A561" s="144" t="str">
        <f aca="false">IF(ISBLANK(B561),"",B561&amp;"|"&amp;C561)</f>
        <v/>
      </c>
      <c r="B561" s="144"/>
      <c r="C561" s="144"/>
      <c r="D561" s="144"/>
      <c r="E561" s="150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</row>
    <row r="562" customFormat="false" ht="15.75" hidden="false" customHeight="false" outlineLevel="0" collapsed="false">
      <c r="A562" s="144" t="str">
        <f aca="false">IF(ISBLANK(B562),"",B562&amp;"|"&amp;C562)</f>
        <v/>
      </c>
      <c r="B562" s="144"/>
      <c r="C562" s="144"/>
      <c r="D562" s="144"/>
      <c r="E562" s="150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</row>
    <row r="563" customFormat="false" ht="15.75" hidden="false" customHeight="false" outlineLevel="0" collapsed="false">
      <c r="A563" s="144" t="str">
        <f aca="false">IF(ISBLANK(B563),"",B563&amp;"|"&amp;C563)</f>
        <v/>
      </c>
      <c r="B563" s="144"/>
      <c r="C563" s="144"/>
      <c r="D563" s="144"/>
      <c r="E563" s="150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</row>
    <row r="564" customFormat="false" ht="15.75" hidden="false" customHeight="false" outlineLevel="0" collapsed="false">
      <c r="A564" s="144" t="str">
        <f aca="false">IF(ISBLANK(B564),"",B564&amp;"|"&amp;C564)</f>
        <v/>
      </c>
      <c r="B564" s="144"/>
      <c r="C564" s="144"/>
      <c r="D564" s="144"/>
      <c r="E564" s="150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</row>
    <row r="565" customFormat="false" ht="15.75" hidden="false" customHeight="false" outlineLevel="0" collapsed="false">
      <c r="A565" s="144" t="str">
        <f aca="false">IF(ISBLANK(B565),"",B565&amp;"|"&amp;C565)</f>
        <v/>
      </c>
      <c r="B565" s="144"/>
      <c r="C565" s="144"/>
      <c r="D565" s="144"/>
      <c r="E565" s="150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</row>
    <row r="566" customFormat="false" ht="15.75" hidden="false" customHeight="false" outlineLevel="0" collapsed="false">
      <c r="A566" s="144" t="str">
        <f aca="false">IF(ISBLANK(B566),"",B566&amp;"|"&amp;C566)</f>
        <v/>
      </c>
      <c r="B566" s="144"/>
      <c r="C566" s="144"/>
      <c r="D566" s="144"/>
      <c r="E566" s="150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</row>
    <row r="567" customFormat="false" ht="15.75" hidden="false" customHeight="false" outlineLevel="0" collapsed="false">
      <c r="A567" s="144" t="str">
        <f aca="false">IF(ISBLANK(B567),"",B567&amp;"|"&amp;C567)</f>
        <v/>
      </c>
      <c r="B567" s="144"/>
      <c r="C567" s="144"/>
      <c r="D567" s="144"/>
      <c r="E567" s="150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</row>
    <row r="568" customFormat="false" ht="15.75" hidden="false" customHeight="false" outlineLevel="0" collapsed="false">
      <c r="A568" s="144" t="str">
        <f aca="false">IF(ISBLANK(B568),"",B568&amp;"|"&amp;C568)</f>
        <v/>
      </c>
      <c r="B568" s="144"/>
      <c r="C568" s="144"/>
      <c r="D568" s="144"/>
      <c r="E568" s="150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</row>
    <row r="569" customFormat="false" ht="15.75" hidden="false" customHeight="false" outlineLevel="0" collapsed="false">
      <c r="A569" s="144" t="str">
        <f aca="false">IF(ISBLANK(B569),"",B569&amp;"|"&amp;C569)</f>
        <v/>
      </c>
      <c r="B569" s="144"/>
      <c r="C569" s="144"/>
      <c r="D569" s="144"/>
      <c r="E569" s="150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</row>
    <row r="570" customFormat="false" ht="15.75" hidden="false" customHeight="false" outlineLevel="0" collapsed="false">
      <c r="A570" s="144" t="str">
        <f aca="false">IF(ISBLANK(B570),"",B570&amp;"|"&amp;C570)</f>
        <v/>
      </c>
      <c r="B570" s="144"/>
      <c r="C570" s="144"/>
      <c r="D570" s="144"/>
      <c r="E570" s="150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</row>
    <row r="571" customFormat="false" ht="15.75" hidden="false" customHeight="false" outlineLevel="0" collapsed="false">
      <c r="A571" s="144" t="str">
        <f aca="false">IF(ISBLANK(B571),"",B571&amp;"|"&amp;C571)</f>
        <v/>
      </c>
      <c r="B571" s="144"/>
      <c r="C571" s="144"/>
      <c r="D571" s="144"/>
      <c r="E571" s="150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</row>
    <row r="572" customFormat="false" ht="15.75" hidden="false" customHeight="false" outlineLevel="0" collapsed="false">
      <c r="A572" s="144" t="str">
        <f aca="false">IF(ISBLANK(B572),"",B572&amp;"|"&amp;C572)</f>
        <v/>
      </c>
      <c r="B572" s="144"/>
      <c r="C572" s="144"/>
      <c r="D572" s="144"/>
      <c r="E572" s="150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</row>
    <row r="573" customFormat="false" ht="15.75" hidden="false" customHeight="false" outlineLevel="0" collapsed="false">
      <c r="A573" s="144" t="str">
        <f aca="false">IF(ISBLANK(B573),"",B573&amp;"|"&amp;C573)</f>
        <v/>
      </c>
      <c r="B573" s="144"/>
      <c r="C573" s="144"/>
      <c r="D573" s="144"/>
      <c r="E573" s="150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</row>
    <row r="574" customFormat="false" ht="15.75" hidden="false" customHeight="false" outlineLevel="0" collapsed="false">
      <c r="A574" s="144" t="str">
        <f aca="false">IF(ISBLANK(B574),"",B574&amp;"|"&amp;C574)</f>
        <v/>
      </c>
      <c r="B574" s="144"/>
      <c r="C574" s="144"/>
      <c r="D574" s="144"/>
      <c r="E574" s="150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</row>
    <row r="575" customFormat="false" ht="15.75" hidden="false" customHeight="false" outlineLevel="0" collapsed="false">
      <c r="A575" s="144" t="str">
        <f aca="false">IF(ISBLANK(B575),"",B575&amp;"|"&amp;C575)</f>
        <v/>
      </c>
      <c r="B575" s="144"/>
      <c r="C575" s="144"/>
      <c r="D575" s="144"/>
      <c r="E575" s="150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</row>
    <row r="576" customFormat="false" ht="15.75" hidden="false" customHeight="false" outlineLevel="0" collapsed="false">
      <c r="A576" s="144" t="str">
        <f aca="false">IF(ISBLANK(B576),"",B576&amp;"|"&amp;C576)</f>
        <v/>
      </c>
      <c r="B576" s="144"/>
      <c r="C576" s="144"/>
      <c r="D576" s="144"/>
      <c r="E576" s="150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</row>
    <row r="577" customFormat="false" ht="15.75" hidden="false" customHeight="false" outlineLevel="0" collapsed="false">
      <c r="A577" s="144" t="str">
        <f aca="false">IF(ISBLANK(B577),"",B577&amp;"|"&amp;C577)</f>
        <v/>
      </c>
      <c r="B577" s="144"/>
      <c r="C577" s="144"/>
      <c r="D577" s="144"/>
      <c r="E577" s="150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</row>
    <row r="578" customFormat="false" ht="15.75" hidden="false" customHeight="false" outlineLevel="0" collapsed="false">
      <c r="A578" s="144" t="str">
        <f aca="false">IF(ISBLANK(B578),"",B578&amp;"|"&amp;C578)</f>
        <v/>
      </c>
      <c r="B578" s="144"/>
      <c r="C578" s="144"/>
      <c r="D578" s="144"/>
      <c r="E578" s="150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</row>
    <row r="579" customFormat="false" ht="15.75" hidden="false" customHeight="false" outlineLevel="0" collapsed="false">
      <c r="A579" s="144" t="str">
        <f aca="false">IF(ISBLANK(B579),"",B579&amp;"|"&amp;C579)</f>
        <v/>
      </c>
      <c r="B579" s="144"/>
      <c r="C579" s="144"/>
      <c r="D579" s="144"/>
      <c r="E579" s="150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</row>
    <row r="580" customFormat="false" ht="15.75" hidden="false" customHeight="false" outlineLevel="0" collapsed="false">
      <c r="A580" s="144" t="str">
        <f aca="false">IF(ISBLANK(B580),"",B580&amp;"|"&amp;C580)</f>
        <v/>
      </c>
      <c r="B580" s="144"/>
      <c r="C580" s="144"/>
      <c r="D580" s="144"/>
      <c r="E580" s="150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</row>
    <row r="581" customFormat="false" ht="15.75" hidden="false" customHeight="false" outlineLevel="0" collapsed="false">
      <c r="A581" s="144" t="str">
        <f aca="false">IF(ISBLANK(B581),"",B581&amp;"|"&amp;C581)</f>
        <v/>
      </c>
      <c r="B581" s="144"/>
      <c r="C581" s="144"/>
      <c r="D581" s="144"/>
      <c r="E581" s="150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</row>
    <row r="582" customFormat="false" ht="15.75" hidden="false" customHeight="false" outlineLevel="0" collapsed="false">
      <c r="A582" s="144" t="str">
        <f aca="false">IF(ISBLANK(B582),"",B582&amp;"|"&amp;C582)</f>
        <v/>
      </c>
      <c r="B582" s="144"/>
      <c r="C582" s="144"/>
      <c r="D582" s="144"/>
      <c r="E582" s="150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</row>
    <row r="583" customFormat="false" ht="15.75" hidden="false" customHeight="false" outlineLevel="0" collapsed="false">
      <c r="A583" s="144" t="str">
        <f aca="false">IF(ISBLANK(B583),"",B583&amp;"|"&amp;C583)</f>
        <v/>
      </c>
      <c r="B583" s="144"/>
      <c r="C583" s="144"/>
      <c r="D583" s="144"/>
      <c r="E583" s="150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</row>
    <row r="584" customFormat="false" ht="15.75" hidden="false" customHeight="false" outlineLevel="0" collapsed="false">
      <c r="A584" s="144" t="str">
        <f aca="false">IF(ISBLANK(B584),"",B584&amp;"|"&amp;C584)</f>
        <v/>
      </c>
      <c r="B584" s="144"/>
      <c r="C584" s="144"/>
      <c r="D584" s="144"/>
      <c r="E584" s="150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</row>
    <row r="585" customFormat="false" ht="15.75" hidden="false" customHeight="false" outlineLevel="0" collapsed="false">
      <c r="A585" s="144" t="str">
        <f aca="false">IF(ISBLANK(B585),"",B585&amp;"|"&amp;C585)</f>
        <v/>
      </c>
      <c r="B585" s="144"/>
      <c r="C585" s="144"/>
      <c r="D585" s="144"/>
      <c r="E585" s="150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</row>
    <row r="586" customFormat="false" ht="15.75" hidden="false" customHeight="false" outlineLevel="0" collapsed="false">
      <c r="A586" s="144" t="str">
        <f aca="false">IF(ISBLANK(B586),"",B586&amp;"|"&amp;C586)</f>
        <v/>
      </c>
      <c r="B586" s="144"/>
      <c r="C586" s="144"/>
      <c r="D586" s="144"/>
      <c r="E586" s="150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</row>
    <row r="587" customFormat="false" ht="15.75" hidden="false" customHeight="false" outlineLevel="0" collapsed="false">
      <c r="A587" s="144" t="str">
        <f aca="false">IF(ISBLANK(B587),"",B587&amp;"|"&amp;C587)</f>
        <v/>
      </c>
      <c r="B587" s="144"/>
      <c r="C587" s="144"/>
      <c r="D587" s="144"/>
      <c r="E587" s="150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</row>
    <row r="588" customFormat="false" ht="15.75" hidden="false" customHeight="false" outlineLevel="0" collapsed="false">
      <c r="A588" s="144" t="str">
        <f aca="false">IF(ISBLANK(B588),"",B588&amp;"|"&amp;C588)</f>
        <v/>
      </c>
      <c r="B588" s="144"/>
      <c r="C588" s="144"/>
      <c r="D588" s="144"/>
      <c r="E588" s="150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</row>
    <row r="589" customFormat="false" ht="15.75" hidden="false" customHeight="false" outlineLevel="0" collapsed="false">
      <c r="A589" s="144" t="str">
        <f aca="false">IF(ISBLANK(B589),"",B589&amp;"|"&amp;C589)</f>
        <v/>
      </c>
      <c r="B589" s="144"/>
      <c r="C589" s="144"/>
      <c r="D589" s="144"/>
      <c r="E589" s="150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</row>
    <row r="590" customFormat="false" ht="15.75" hidden="false" customHeight="false" outlineLevel="0" collapsed="false">
      <c r="A590" s="144" t="str">
        <f aca="false">IF(ISBLANK(B590),"",B590&amp;"|"&amp;C590)</f>
        <v/>
      </c>
      <c r="B590" s="144"/>
      <c r="C590" s="144"/>
      <c r="D590" s="144"/>
      <c r="E590" s="150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</row>
    <row r="591" customFormat="false" ht="15.75" hidden="false" customHeight="false" outlineLevel="0" collapsed="false">
      <c r="A591" s="144" t="str">
        <f aca="false">IF(ISBLANK(B591),"",B591&amp;"|"&amp;C591)</f>
        <v/>
      </c>
      <c r="B591" s="144"/>
      <c r="C591" s="144"/>
      <c r="D591" s="144"/>
      <c r="E591" s="150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</row>
    <row r="592" customFormat="false" ht="15.75" hidden="false" customHeight="false" outlineLevel="0" collapsed="false">
      <c r="A592" s="144" t="str">
        <f aca="false">IF(ISBLANK(B592),"",B592&amp;"|"&amp;C592)</f>
        <v/>
      </c>
      <c r="B592" s="144"/>
      <c r="C592" s="144"/>
      <c r="D592" s="144"/>
      <c r="E592" s="150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</row>
    <row r="593" customFormat="false" ht="15.75" hidden="false" customHeight="false" outlineLevel="0" collapsed="false">
      <c r="A593" s="144" t="str">
        <f aca="false">IF(ISBLANK(B593),"",B593&amp;"|"&amp;C593)</f>
        <v/>
      </c>
      <c r="B593" s="144"/>
      <c r="C593" s="144"/>
      <c r="D593" s="144"/>
      <c r="E593" s="150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</row>
    <row r="594" customFormat="false" ht="15.75" hidden="false" customHeight="false" outlineLevel="0" collapsed="false">
      <c r="A594" s="144" t="str">
        <f aca="false">IF(ISBLANK(B594),"",B594&amp;"|"&amp;C594)</f>
        <v/>
      </c>
      <c r="B594" s="144"/>
      <c r="C594" s="144"/>
      <c r="D594" s="144"/>
      <c r="E594" s="150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</row>
    <row r="595" customFormat="false" ht="15.75" hidden="false" customHeight="false" outlineLevel="0" collapsed="false">
      <c r="A595" s="144" t="str">
        <f aca="false">IF(ISBLANK(B595),"",B595&amp;"|"&amp;C595)</f>
        <v/>
      </c>
      <c r="B595" s="144"/>
      <c r="C595" s="144"/>
      <c r="D595" s="144"/>
      <c r="E595" s="150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</row>
    <row r="596" customFormat="false" ht="15.75" hidden="false" customHeight="false" outlineLevel="0" collapsed="false">
      <c r="A596" s="144" t="str">
        <f aca="false">IF(ISBLANK(B596),"",B596&amp;"|"&amp;C596)</f>
        <v/>
      </c>
      <c r="B596" s="144"/>
      <c r="C596" s="144"/>
      <c r="D596" s="144"/>
      <c r="E596" s="150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</row>
    <row r="597" customFormat="false" ht="15.75" hidden="false" customHeight="false" outlineLevel="0" collapsed="false">
      <c r="A597" s="144" t="str">
        <f aca="false">IF(ISBLANK(B597),"",B597&amp;"|"&amp;C597)</f>
        <v/>
      </c>
      <c r="B597" s="144"/>
      <c r="C597" s="144"/>
      <c r="D597" s="144"/>
      <c r="E597" s="150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</row>
    <row r="598" customFormat="false" ht="15.75" hidden="false" customHeight="false" outlineLevel="0" collapsed="false">
      <c r="A598" s="144" t="str">
        <f aca="false">IF(ISBLANK(B598),"",B598&amp;"|"&amp;C598)</f>
        <v/>
      </c>
      <c r="B598" s="144"/>
      <c r="C598" s="144"/>
      <c r="D598" s="144"/>
      <c r="E598" s="150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</row>
    <row r="599" customFormat="false" ht="15.75" hidden="false" customHeight="false" outlineLevel="0" collapsed="false">
      <c r="A599" s="144" t="str">
        <f aca="false">IF(ISBLANK(B599),"",B599&amp;"|"&amp;C599)</f>
        <v/>
      </c>
      <c r="B599" s="144"/>
      <c r="C599" s="144"/>
      <c r="D599" s="144"/>
      <c r="E599" s="150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</row>
    <row r="600" customFormat="false" ht="15.75" hidden="false" customHeight="false" outlineLevel="0" collapsed="false">
      <c r="A600" s="144" t="str">
        <f aca="false">IF(ISBLANK(B600),"",B600&amp;"|"&amp;C600)</f>
        <v/>
      </c>
      <c r="B600" s="144"/>
      <c r="C600" s="144"/>
      <c r="D600" s="144"/>
      <c r="E600" s="150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</row>
    <row r="601" customFormat="false" ht="15.75" hidden="false" customHeight="false" outlineLevel="0" collapsed="false">
      <c r="A601" s="144" t="str">
        <f aca="false">IF(ISBLANK(B601),"",B601&amp;"|"&amp;C601)</f>
        <v/>
      </c>
      <c r="B601" s="144"/>
      <c r="C601" s="144"/>
      <c r="D601" s="144"/>
      <c r="E601" s="150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</row>
    <row r="602" customFormat="false" ht="15.75" hidden="false" customHeight="false" outlineLevel="0" collapsed="false">
      <c r="A602" s="144" t="str">
        <f aca="false">IF(ISBLANK(B602),"",B602&amp;"|"&amp;C602)</f>
        <v/>
      </c>
      <c r="B602" s="144"/>
      <c r="C602" s="144"/>
      <c r="D602" s="144"/>
      <c r="E602" s="150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</row>
    <row r="603" customFormat="false" ht="15.75" hidden="false" customHeight="false" outlineLevel="0" collapsed="false">
      <c r="A603" s="144" t="str">
        <f aca="false">IF(ISBLANK(B603),"",B603&amp;"|"&amp;C603)</f>
        <v/>
      </c>
      <c r="B603" s="144"/>
      <c r="C603" s="144"/>
      <c r="D603" s="144"/>
      <c r="E603" s="150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</row>
    <row r="604" customFormat="false" ht="15.75" hidden="false" customHeight="false" outlineLevel="0" collapsed="false">
      <c r="A604" s="144" t="str">
        <f aca="false">IF(ISBLANK(B604),"",B604&amp;"|"&amp;C604)</f>
        <v/>
      </c>
      <c r="B604" s="144"/>
      <c r="C604" s="144"/>
      <c r="D604" s="144"/>
      <c r="E604" s="150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</row>
    <row r="605" customFormat="false" ht="15.75" hidden="false" customHeight="false" outlineLevel="0" collapsed="false">
      <c r="A605" s="144" t="str">
        <f aca="false">IF(ISBLANK(B605),"",B605&amp;"|"&amp;C605)</f>
        <v/>
      </c>
      <c r="B605" s="144"/>
      <c r="C605" s="144"/>
      <c r="D605" s="144"/>
      <c r="E605" s="150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</row>
    <row r="606" customFormat="false" ht="15.75" hidden="false" customHeight="false" outlineLevel="0" collapsed="false">
      <c r="A606" s="144" t="str">
        <f aca="false">IF(ISBLANK(B606),"",B606&amp;"|"&amp;C606)</f>
        <v/>
      </c>
      <c r="B606" s="144"/>
      <c r="C606" s="144"/>
      <c r="D606" s="144"/>
      <c r="E606" s="150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</row>
    <row r="607" customFormat="false" ht="15.75" hidden="false" customHeight="false" outlineLevel="0" collapsed="false">
      <c r="A607" s="144" t="str">
        <f aca="false">IF(ISBLANK(B607),"",B607&amp;"|"&amp;C607)</f>
        <v/>
      </c>
      <c r="B607" s="144"/>
      <c r="C607" s="144"/>
      <c r="D607" s="144"/>
      <c r="E607" s="150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</row>
    <row r="608" customFormat="false" ht="15.75" hidden="false" customHeight="false" outlineLevel="0" collapsed="false">
      <c r="A608" s="144" t="str">
        <f aca="false">IF(ISBLANK(B608),"",B608&amp;"|"&amp;C608)</f>
        <v/>
      </c>
      <c r="B608" s="144"/>
      <c r="C608" s="144"/>
      <c r="D608" s="144"/>
      <c r="E608" s="150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</row>
    <row r="609" customFormat="false" ht="15.75" hidden="false" customHeight="false" outlineLevel="0" collapsed="false">
      <c r="A609" s="144" t="str">
        <f aca="false">IF(ISBLANK(B609),"",B609&amp;"|"&amp;C609)</f>
        <v/>
      </c>
      <c r="B609" s="144"/>
      <c r="C609" s="144"/>
      <c r="D609" s="144"/>
      <c r="E609" s="150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</row>
    <row r="610" customFormat="false" ht="15.75" hidden="false" customHeight="false" outlineLevel="0" collapsed="false">
      <c r="A610" s="144" t="str">
        <f aca="false">IF(ISBLANK(B610),"",B610&amp;"|"&amp;C610)</f>
        <v/>
      </c>
      <c r="B610" s="144"/>
      <c r="C610" s="144"/>
      <c r="D610" s="144"/>
      <c r="E610" s="150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</row>
    <row r="611" customFormat="false" ht="15.75" hidden="false" customHeight="false" outlineLevel="0" collapsed="false">
      <c r="A611" s="144" t="str">
        <f aca="false">IF(ISBLANK(B611),"",B611&amp;"|"&amp;C611)</f>
        <v/>
      </c>
      <c r="B611" s="144"/>
      <c r="C611" s="144"/>
      <c r="D611" s="144"/>
      <c r="E611" s="150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</row>
    <row r="612" customFormat="false" ht="15.75" hidden="false" customHeight="false" outlineLevel="0" collapsed="false">
      <c r="A612" s="144" t="str">
        <f aca="false">IF(ISBLANK(B612),"",B612&amp;"|"&amp;C612)</f>
        <v/>
      </c>
      <c r="B612" s="144"/>
      <c r="C612" s="144"/>
      <c r="D612" s="144"/>
      <c r="E612" s="150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</row>
    <row r="613" customFormat="false" ht="15.75" hidden="false" customHeight="false" outlineLevel="0" collapsed="false">
      <c r="A613" s="144" t="str">
        <f aca="false">IF(ISBLANK(B613),"",B613&amp;"|"&amp;C613)</f>
        <v/>
      </c>
      <c r="B613" s="144"/>
      <c r="C613" s="144"/>
      <c r="D613" s="144"/>
      <c r="E613" s="150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</row>
    <row r="614" customFormat="false" ht="15.75" hidden="false" customHeight="false" outlineLevel="0" collapsed="false">
      <c r="A614" s="144" t="str">
        <f aca="false">IF(ISBLANK(B614),"",B614&amp;"|"&amp;C614)</f>
        <v/>
      </c>
      <c r="B614" s="144"/>
      <c r="C614" s="144"/>
      <c r="D614" s="144"/>
      <c r="E614" s="150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</row>
    <row r="615" customFormat="false" ht="15.75" hidden="false" customHeight="false" outlineLevel="0" collapsed="false">
      <c r="A615" s="144" t="str">
        <f aca="false">IF(ISBLANK(B615),"",B615&amp;"|"&amp;C615)</f>
        <v/>
      </c>
      <c r="B615" s="144"/>
      <c r="C615" s="144"/>
      <c r="D615" s="144"/>
      <c r="E615" s="150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</row>
    <row r="616" customFormat="false" ht="15.75" hidden="false" customHeight="false" outlineLevel="0" collapsed="false">
      <c r="A616" s="144" t="str">
        <f aca="false">IF(ISBLANK(B616),"",B616&amp;"|"&amp;C616)</f>
        <v/>
      </c>
      <c r="B616" s="144"/>
      <c r="C616" s="144"/>
      <c r="D616" s="144"/>
      <c r="E616" s="150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</row>
    <row r="617" customFormat="false" ht="15.75" hidden="false" customHeight="false" outlineLevel="0" collapsed="false">
      <c r="A617" s="144" t="str">
        <f aca="false">IF(ISBLANK(B617),"",B617&amp;"|"&amp;C617)</f>
        <v/>
      </c>
      <c r="B617" s="144"/>
      <c r="C617" s="144"/>
      <c r="D617" s="144"/>
      <c r="E617" s="150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</row>
    <row r="618" customFormat="false" ht="15.75" hidden="false" customHeight="false" outlineLevel="0" collapsed="false">
      <c r="A618" s="144" t="str">
        <f aca="false">IF(ISBLANK(B618),"",B618&amp;"|"&amp;C618)</f>
        <v/>
      </c>
      <c r="B618" s="144"/>
      <c r="C618" s="144"/>
      <c r="D618" s="144"/>
      <c r="E618" s="150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</row>
    <row r="619" customFormat="false" ht="15.75" hidden="false" customHeight="false" outlineLevel="0" collapsed="false">
      <c r="A619" s="144" t="str">
        <f aca="false">IF(ISBLANK(B619),"",B619&amp;"|"&amp;C619)</f>
        <v/>
      </c>
      <c r="B619" s="144"/>
      <c r="C619" s="144"/>
      <c r="D619" s="144"/>
      <c r="E619" s="150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</row>
    <row r="620" customFormat="false" ht="15.75" hidden="false" customHeight="false" outlineLevel="0" collapsed="false">
      <c r="A620" s="144" t="str">
        <f aca="false">IF(ISBLANK(B620),"",B620&amp;"|"&amp;C620)</f>
        <v/>
      </c>
      <c r="B620" s="144"/>
      <c r="C620" s="144"/>
      <c r="D620" s="144"/>
      <c r="E620" s="150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</row>
    <row r="621" customFormat="false" ht="15.75" hidden="false" customHeight="false" outlineLevel="0" collapsed="false">
      <c r="A621" s="144" t="str">
        <f aca="false">IF(ISBLANK(B621),"",B621&amp;"|"&amp;C621)</f>
        <v/>
      </c>
      <c r="B621" s="144"/>
      <c r="C621" s="144"/>
      <c r="D621" s="144"/>
      <c r="E621" s="150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</row>
    <row r="622" customFormat="false" ht="15.75" hidden="false" customHeight="false" outlineLevel="0" collapsed="false">
      <c r="A622" s="144" t="str">
        <f aca="false">IF(ISBLANK(B622),"",B622&amp;"|"&amp;C622)</f>
        <v/>
      </c>
      <c r="B622" s="144"/>
      <c r="C622" s="144"/>
      <c r="D622" s="144"/>
      <c r="E622" s="150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</row>
    <row r="623" customFormat="false" ht="15.75" hidden="false" customHeight="false" outlineLevel="0" collapsed="false">
      <c r="A623" s="144" t="str">
        <f aca="false">IF(ISBLANK(B623),"",B623&amp;"|"&amp;C623)</f>
        <v/>
      </c>
      <c r="B623" s="144"/>
      <c r="C623" s="144"/>
      <c r="D623" s="144"/>
      <c r="E623" s="150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</row>
    <row r="624" customFormat="false" ht="15.75" hidden="false" customHeight="false" outlineLevel="0" collapsed="false">
      <c r="A624" s="144" t="str">
        <f aca="false">IF(ISBLANK(B624),"",B624&amp;"|"&amp;C624)</f>
        <v/>
      </c>
      <c r="B624" s="144"/>
      <c r="C624" s="144"/>
      <c r="D624" s="144"/>
      <c r="E624" s="150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</row>
    <row r="625" customFormat="false" ht="15.75" hidden="false" customHeight="false" outlineLevel="0" collapsed="false">
      <c r="A625" s="144" t="str">
        <f aca="false">IF(ISBLANK(B625),"",B625&amp;"|"&amp;C625)</f>
        <v/>
      </c>
      <c r="B625" s="144"/>
      <c r="C625" s="144"/>
      <c r="D625" s="144"/>
      <c r="E625" s="150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</row>
    <row r="626" customFormat="false" ht="15.75" hidden="false" customHeight="false" outlineLevel="0" collapsed="false">
      <c r="A626" s="144" t="str">
        <f aca="false">IF(ISBLANK(B626),"",B626&amp;"|"&amp;C626)</f>
        <v/>
      </c>
      <c r="B626" s="144"/>
      <c r="C626" s="144"/>
      <c r="D626" s="144"/>
      <c r="E626" s="150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</row>
    <row r="627" customFormat="false" ht="15.75" hidden="false" customHeight="false" outlineLevel="0" collapsed="false">
      <c r="A627" s="144" t="str">
        <f aca="false">IF(ISBLANK(B627),"",B627&amp;"|"&amp;C627)</f>
        <v/>
      </c>
      <c r="B627" s="144"/>
      <c r="C627" s="144"/>
      <c r="D627" s="144"/>
      <c r="E627" s="150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</row>
    <row r="628" customFormat="false" ht="15.75" hidden="false" customHeight="false" outlineLevel="0" collapsed="false">
      <c r="A628" s="144" t="str">
        <f aca="false">IF(ISBLANK(B628),"",B628&amp;"|"&amp;C628)</f>
        <v/>
      </c>
      <c r="B628" s="144"/>
      <c r="C628" s="144"/>
      <c r="D628" s="144"/>
      <c r="E628" s="150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</row>
    <row r="629" customFormat="false" ht="15.75" hidden="false" customHeight="false" outlineLevel="0" collapsed="false">
      <c r="A629" s="144" t="str">
        <f aca="false">IF(ISBLANK(B629),"",B629&amp;"|"&amp;C629)</f>
        <v/>
      </c>
      <c r="B629" s="144"/>
      <c r="C629" s="144"/>
      <c r="D629" s="144"/>
      <c r="E629" s="150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</row>
    <row r="630" customFormat="false" ht="15.75" hidden="false" customHeight="false" outlineLevel="0" collapsed="false">
      <c r="A630" s="144" t="str">
        <f aca="false">IF(ISBLANK(B630),"",B630&amp;"|"&amp;C630)</f>
        <v/>
      </c>
      <c r="B630" s="144"/>
      <c r="C630" s="144"/>
      <c r="D630" s="144"/>
      <c r="E630" s="150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</row>
    <row r="631" customFormat="false" ht="15.75" hidden="false" customHeight="false" outlineLevel="0" collapsed="false">
      <c r="A631" s="144" t="str">
        <f aca="false">IF(ISBLANK(B631),"",B631&amp;"|"&amp;C631)</f>
        <v/>
      </c>
      <c r="B631" s="144"/>
      <c r="C631" s="144"/>
      <c r="D631" s="144"/>
      <c r="E631" s="150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</row>
    <row r="632" customFormat="false" ht="15.75" hidden="false" customHeight="false" outlineLevel="0" collapsed="false">
      <c r="A632" s="144" t="str">
        <f aca="false">IF(ISBLANK(B632),"",B632&amp;"|"&amp;C632)</f>
        <v/>
      </c>
      <c r="B632" s="144"/>
      <c r="C632" s="144"/>
      <c r="D632" s="144"/>
      <c r="E632" s="150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</row>
    <row r="633" customFormat="false" ht="15.75" hidden="false" customHeight="false" outlineLevel="0" collapsed="false">
      <c r="A633" s="144" t="str">
        <f aca="false">IF(ISBLANK(B633),"",B633&amp;"|"&amp;C633)</f>
        <v/>
      </c>
      <c r="B633" s="144"/>
      <c r="C633" s="144"/>
      <c r="D633" s="144"/>
      <c r="E633" s="150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</row>
    <row r="634" customFormat="false" ht="15.75" hidden="false" customHeight="false" outlineLevel="0" collapsed="false">
      <c r="A634" s="144" t="str">
        <f aca="false">IF(ISBLANK(B634),"",B634&amp;"|"&amp;C634)</f>
        <v/>
      </c>
      <c r="B634" s="144"/>
      <c r="C634" s="144"/>
      <c r="D634" s="144"/>
      <c r="E634" s="150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</row>
    <row r="635" customFormat="false" ht="15.75" hidden="false" customHeight="false" outlineLevel="0" collapsed="false">
      <c r="A635" s="144" t="str">
        <f aca="false">IF(ISBLANK(B635),"",B635&amp;"|"&amp;C635)</f>
        <v/>
      </c>
      <c r="B635" s="144"/>
      <c r="C635" s="144"/>
      <c r="D635" s="144"/>
      <c r="E635" s="150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</row>
    <row r="636" customFormat="false" ht="15.75" hidden="false" customHeight="false" outlineLevel="0" collapsed="false">
      <c r="A636" s="144" t="str">
        <f aca="false">IF(ISBLANK(B636),"",B636&amp;"|"&amp;C636)</f>
        <v/>
      </c>
      <c r="B636" s="144"/>
      <c r="C636" s="144"/>
      <c r="D636" s="144"/>
      <c r="E636" s="150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</row>
    <row r="637" customFormat="false" ht="15.75" hidden="false" customHeight="false" outlineLevel="0" collapsed="false">
      <c r="A637" s="144" t="str">
        <f aca="false">IF(ISBLANK(B637),"",B637&amp;"|"&amp;C637)</f>
        <v/>
      </c>
      <c r="B637" s="144"/>
      <c r="C637" s="144"/>
      <c r="D637" s="144"/>
      <c r="E637" s="150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</row>
    <row r="638" customFormat="false" ht="15.75" hidden="false" customHeight="false" outlineLevel="0" collapsed="false">
      <c r="A638" s="144" t="str">
        <f aca="false">IF(ISBLANK(B638),"",B638&amp;"|"&amp;C638)</f>
        <v/>
      </c>
      <c r="B638" s="144"/>
      <c r="C638" s="144"/>
      <c r="D638" s="144"/>
      <c r="E638" s="150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</row>
    <row r="639" customFormat="false" ht="15.75" hidden="false" customHeight="false" outlineLevel="0" collapsed="false">
      <c r="A639" s="144" t="str">
        <f aca="false">IF(ISBLANK(B639),"",B639&amp;"|"&amp;C639)</f>
        <v/>
      </c>
      <c r="B639" s="144"/>
      <c r="C639" s="144"/>
      <c r="D639" s="144"/>
      <c r="E639" s="150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</row>
    <row r="640" customFormat="false" ht="15.75" hidden="false" customHeight="false" outlineLevel="0" collapsed="false">
      <c r="A640" s="144" t="str">
        <f aca="false">IF(ISBLANK(B640),"",B640&amp;"|"&amp;C640)</f>
        <v/>
      </c>
      <c r="B640" s="144"/>
      <c r="C640" s="144"/>
      <c r="D640" s="144"/>
      <c r="E640" s="150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</row>
    <row r="641" customFormat="false" ht="15.75" hidden="false" customHeight="false" outlineLevel="0" collapsed="false">
      <c r="A641" s="144" t="str">
        <f aca="false">IF(ISBLANK(B641),"",B641&amp;"|"&amp;C641)</f>
        <v/>
      </c>
      <c r="B641" s="144"/>
      <c r="C641" s="144"/>
      <c r="D641" s="144"/>
      <c r="E641" s="150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</row>
    <row r="642" customFormat="false" ht="15.75" hidden="false" customHeight="false" outlineLevel="0" collapsed="false">
      <c r="A642" s="144" t="str">
        <f aca="false">IF(ISBLANK(B642),"",B642&amp;"|"&amp;C642)</f>
        <v/>
      </c>
      <c r="B642" s="144"/>
      <c r="C642" s="144"/>
      <c r="D642" s="144"/>
      <c r="E642" s="150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</row>
    <row r="643" customFormat="false" ht="15.75" hidden="false" customHeight="false" outlineLevel="0" collapsed="false">
      <c r="A643" s="144" t="str">
        <f aca="false">IF(ISBLANK(B643),"",B643&amp;"|"&amp;C643)</f>
        <v/>
      </c>
      <c r="B643" s="144"/>
      <c r="C643" s="144"/>
      <c r="D643" s="144"/>
      <c r="E643" s="150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</row>
    <row r="644" customFormat="false" ht="15.75" hidden="false" customHeight="false" outlineLevel="0" collapsed="false">
      <c r="A644" s="144" t="str">
        <f aca="false">IF(ISBLANK(B644),"",B644&amp;"|"&amp;C644)</f>
        <v/>
      </c>
      <c r="B644" s="144"/>
      <c r="C644" s="144"/>
      <c r="D644" s="144"/>
      <c r="E644" s="150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</row>
    <row r="645" customFormat="false" ht="15.75" hidden="false" customHeight="false" outlineLevel="0" collapsed="false">
      <c r="A645" s="144" t="str">
        <f aca="false">IF(ISBLANK(B645),"",B645&amp;"|"&amp;C645)</f>
        <v/>
      </c>
      <c r="B645" s="144"/>
      <c r="C645" s="144"/>
      <c r="D645" s="144"/>
      <c r="E645" s="150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</row>
    <row r="646" customFormat="false" ht="15.75" hidden="false" customHeight="false" outlineLevel="0" collapsed="false">
      <c r="A646" s="144" t="str">
        <f aca="false">IF(ISBLANK(B646),"",B646&amp;"|"&amp;C646)</f>
        <v/>
      </c>
      <c r="B646" s="144"/>
      <c r="C646" s="144"/>
      <c r="D646" s="144"/>
      <c r="E646" s="150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</row>
    <row r="647" customFormat="false" ht="15.75" hidden="false" customHeight="false" outlineLevel="0" collapsed="false">
      <c r="A647" s="144" t="str">
        <f aca="false">IF(ISBLANK(B647),"",B647&amp;"|"&amp;C647)</f>
        <v/>
      </c>
      <c r="B647" s="144"/>
      <c r="C647" s="144"/>
      <c r="D647" s="144"/>
      <c r="E647" s="150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</row>
    <row r="648" customFormat="false" ht="15.75" hidden="false" customHeight="false" outlineLevel="0" collapsed="false">
      <c r="A648" s="144" t="str">
        <f aca="false">IF(ISBLANK(B648),"",B648&amp;"|"&amp;C648)</f>
        <v/>
      </c>
      <c r="B648" s="144"/>
      <c r="C648" s="144"/>
      <c r="D648" s="144"/>
      <c r="E648" s="150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</row>
    <row r="649" customFormat="false" ht="15.75" hidden="false" customHeight="false" outlineLevel="0" collapsed="false">
      <c r="A649" s="144" t="str">
        <f aca="false">IF(ISBLANK(B649),"",B649&amp;"|"&amp;C649)</f>
        <v/>
      </c>
      <c r="B649" s="144"/>
      <c r="C649" s="144"/>
      <c r="D649" s="144"/>
      <c r="E649" s="150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</row>
    <row r="650" customFormat="false" ht="15.75" hidden="false" customHeight="false" outlineLevel="0" collapsed="false">
      <c r="A650" s="144" t="str">
        <f aca="false">IF(ISBLANK(B650),"",B650&amp;"|"&amp;C650)</f>
        <v/>
      </c>
      <c r="B650" s="144"/>
      <c r="C650" s="144"/>
      <c r="D650" s="144"/>
      <c r="E650" s="150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</row>
    <row r="651" customFormat="false" ht="15.75" hidden="false" customHeight="false" outlineLevel="0" collapsed="false">
      <c r="A651" s="144" t="str">
        <f aca="false">IF(ISBLANK(B651),"",B651&amp;"|"&amp;C651)</f>
        <v/>
      </c>
      <c r="B651" s="144"/>
      <c r="C651" s="144"/>
      <c r="D651" s="144"/>
      <c r="E651" s="150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</row>
    <row r="652" customFormat="false" ht="15.75" hidden="false" customHeight="false" outlineLevel="0" collapsed="false">
      <c r="A652" s="144" t="str">
        <f aca="false">IF(ISBLANK(B652),"",B652&amp;"|"&amp;C652)</f>
        <v/>
      </c>
      <c r="B652" s="144"/>
      <c r="C652" s="144"/>
      <c r="D652" s="144"/>
      <c r="E652" s="150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</row>
    <row r="653" customFormat="false" ht="15.75" hidden="false" customHeight="false" outlineLevel="0" collapsed="false">
      <c r="A653" s="144" t="str">
        <f aca="false">IF(ISBLANK(B653),"",B653&amp;"|"&amp;C653)</f>
        <v/>
      </c>
      <c r="B653" s="144"/>
      <c r="C653" s="144"/>
      <c r="D653" s="144"/>
      <c r="E653" s="150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</row>
    <row r="654" customFormat="false" ht="15.75" hidden="false" customHeight="false" outlineLevel="0" collapsed="false">
      <c r="A654" s="144" t="str">
        <f aca="false">IF(ISBLANK(B654),"",B654&amp;"|"&amp;C654)</f>
        <v/>
      </c>
      <c r="B654" s="144"/>
      <c r="C654" s="144"/>
      <c r="D654" s="144"/>
      <c r="E654" s="150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</row>
    <row r="655" customFormat="false" ht="15.75" hidden="false" customHeight="false" outlineLevel="0" collapsed="false">
      <c r="A655" s="144" t="str">
        <f aca="false">IF(ISBLANK(B655),"",B655&amp;"|"&amp;C655)</f>
        <v/>
      </c>
      <c r="B655" s="144"/>
      <c r="C655" s="144"/>
      <c r="D655" s="144"/>
      <c r="E655" s="150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</row>
    <row r="656" customFormat="false" ht="15.75" hidden="false" customHeight="false" outlineLevel="0" collapsed="false">
      <c r="A656" s="144" t="str">
        <f aca="false">IF(ISBLANK(B656),"",B656&amp;"|"&amp;C656)</f>
        <v/>
      </c>
      <c r="B656" s="144"/>
      <c r="C656" s="144"/>
      <c r="D656" s="144"/>
      <c r="E656" s="150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</row>
    <row r="657" customFormat="false" ht="15.75" hidden="false" customHeight="false" outlineLevel="0" collapsed="false">
      <c r="A657" s="144" t="str">
        <f aca="false">IF(ISBLANK(B657),"",B657&amp;"|"&amp;C657)</f>
        <v/>
      </c>
      <c r="B657" s="144"/>
      <c r="C657" s="144"/>
      <c r="D657" s="144"/>
      <c r="E657" s="150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</row>
    <row r="658" customFormat="false" ht="15.75" hidden="false" customHeight="false" outlineLevel="0" collapsed="false">
      <c r="A658" s="144" t="str">
        <f aca="false">IF(ISBLANK(B658),"",B658&amp;"|"&amp;C658)</f>
        <v/>
      </c>
      <c r="B658" s="144"/>
      <c r="C658" s="144"/>
      <c r="D658" s="144"/>
      <c r="E658" s="150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</row>
    <row r="659" customFormat="false" ht="15.75" hidden="false" customHeight="false" outlineLevel="0" collapsed="false">
      <c r="A659" s="144" t="str">
        <f aca="false">IF(ISBLANK(B659),"",B659&amp;"|"&amp;C659)</f>
        <v/>
      </c>
      <c r="B659" s="144"/>
      <c r="C659" s="144"/>
      <c r="D659" s="144"/>
      <c r="E659" s="150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</row>
    <row r="660" customFormat="false" ht="15.75" hidden="false" customHeight="false" outlineLevel="0" collapsed="false">
      <c r="A660" s="144" t="str">
        <f aca="false">IF(ISBLANK(B660),"",B660&amp;"|"&amp;C660)</f>
        <v/>
      </c>
      <c r="B660" s="144"/>
      <c r="C660" s="144"/>
      <c r="D660" s="144"/>
      <c r="E660" s="150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</row>
    <row r="661" customFormat="false" ht="15.75" hidden="false" customHeight="false" outlineLevel="0" collapsed="false">
      <c r="A661" s="144" t="str">
        <f aca="false">IF(ISBLANK(B661),"",B661&amp;"|"&amp;C661)</f>
        <v/>
      </c>
      <c r="B661" s="144"/>
      <c r="C661" s="144"/>
      <c r="D661" s="144"/>
      <c r="E661" s="150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</row>
    <row r="662" customFormat="false" ht="15.75" hidden="false" customHeight="false" outlineLevel="0" collapsed="false">
      <c r="A662" s="144" t="str">
        <f aca="false">IF(ISBLANK(B662),"",B662&amp;"|"&amp;C662)</f>
        <v/>
      </c>
      <c r="B662" s="144"/>
      <c r="C662" s="144"/>
      <c r="D662" s="144"/>
      <c r="E662" s="150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</row>
    <row r="663" customFormat="false" ht="15.75" hidden="false" customHeight="false" outlineLevel="0" collapsed="false">
      <c r="A663" s="144" t="str">
        <f aca="false">IF(ISBLANK(B663),"",B663&amp;"|"&amp;C663)</f>
        <v/>
      </c>
      <c r="B663" s="144"/>
      <c r="C663" s="144"/>
      <c r="D663" s="144"/>
      <c r="E663" s="150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</row>
    <row r="664" customFormat="false" ht="15.75" hidden="false" customHeight="false" outlineLevel="0" collapsed="false">
      <c r="A664" s="144" t="str">
        <f aca="false">IF(ISBLANK(B664),"",B664&amp;"|"&amp;C664)</f>
        <v/>
      </c>
      <c r="B664" s="144"/>
      <c r="C664" s="144"/>
      <c r="D664" s="144"/>
      <c r="E664" s="150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</row>
    <row r="665" customFormat="false" ht="15.75" hidden="false" customHeight="false" outlineLevel="0" collapsed="false">
      <c r="A665" s="144" t="str">
        <f aca="false">IF(ISBLANK(B665),"",B665&amp;"|"&amp;C665)</f>
        <v/>
      </c>
      <c r="B665" s="144"/>
      <c r="C665" s="144"/>
      <c r="D665" s="144"/>
      <c r="E665" s="150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</row>
    <row r="666" customFormat="false" ht="15.75" hidden="false" customHeight="false" outlineLevel="0" collapsed="false">
      <c r="A666" s="144" t="str">
        <f aca="false">IF(ISBLANK(B666),"",B666&amp;"|"&amp;C666)</f>
        <v/>
      </c>
      <c r="B666" s="144"/>
      <c r="C666" s="144"/>
      <c r="D666" s="144"/>
      <c r="E666" s="150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</row>
    <row r="667" customFormat="false" ht="15.75" hidden="false" customHeight="false" outlineLevel="0" collapsed="false">
      <c r="A667" s="144" t="str">
        <f aca="false">IF(ISBLANK(B667),"",B667&amp;"|"&amp;C667)</f>
        <v/>
      </c>
      <c r="B667" s="144"/>
      <c r="C667" s="144"/>
      <c r="D667" s="144"/>
      <c r="E667" s="150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</row>
    <row r="668" customFormat="false" ht="15.75" hidden="false" customHeight="false" outlineLevel="0" collapsed="false">
      <c r="A668" s="144" t="str">
        <f aca="false">IF(ISBLANK(B668),"",B668&amp;"|"&amp;C668)</f>
        <v/>
      </c>
      <c r="B668" s="144"/>
      <c r="C668" s="144"/>
      <c r="D668" s="144"/>
      <c r="E668" s="150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</row>
    <row r="669" customFormat="false" ht="15.75" hidden="false" customHeight="false" outlineLevel="0" collapsed="false">
      <c r="A669" s="144" t="str">
        <f aca="false">IF(ISBLANK(B669),"",B669&amp;"|"&amp;C669)</f>
        <v/>
      </c>
      <c r="B669" s="144"/>
      <c r="C669" s="144"/>
      <c r="D669" s="144"/>
      <c r="E669" s="150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</row>
    <row r="670" customFormat="false" ht="15.75" hidden="false" customHeight="false" outlineLevel="0" collapsed="false">
      <c r="A670" s="144" t="str">
        <f aca="false">IF(ISBLANK(B670),"",B670&amp;"|"&amp;C670)</f>
        <v/>
      </c>
      <c r="B670" s="144"/>
      <c r="C670" s="144"/>
      <c r="D670" s="144"/>
      <c r="E670" s="150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</row>
    <row r="671" customFormat="false" ht="15.75" hidden="false" customHeight="false" outlineLevel="0" collapsed="false">
      <c r="A671" s="144" t="str">
        <f aca="false">IF(ISBLANK(B671),"",B671&amp;"|"&amp;C671)</f>
        <v/>
      </c>
      <c r="B671" s="144"/>
      <c r="C671" s="144"/>
      <c r="D671" s="144"/>
      <c r="E671" s="150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</row>
    <row r="672" customFormat="false" ht="15.75" hidden="false" customHeight="false" outlineLevel="0" collapsed="false">
      <c r="A672" s="144" t="str">
        <f aca="false">IF(ISBLANK(B672),"",B672&amp;"|"&amp;C672)</f>
        <v/>
      </c>
      <c r="B672" s="144"/>
      <c r="C672" s="144"/>
      <c r="D672" s="144"/>
      <c r="E672" s="150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</row>
    <row r="673" customFormat="false" ht="15.75" hidden="false" customHeight="false" outlineLevel="0" collapsed="false">
      <c r="A673" s="144" t="str">
        <f aca="false">IF(ISBLANK(B673),"",B673&amp;"|"&amp;C673)</f>
        <v/>
      </c>
      <c r="B673" s="144"/>
      <c r="C673" s="144"/>
      <c r="D673" s="144"/>
      <c r="E673" s="150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</row>
    <row r="674" customFormat="false" ht="15.75" hidden="false" customHeight="false" outlineLevel="0" collapsed="false">
      <c r="A674" s="144" t="str">
        <f aca="false">IF(ISBLANK(B674),"",B674&amp;"|"&amp;C674)</f>
        <v/>
      </c>
      <c r="B674" s="144"/>
      <c r="C674" s="144"/>
      <c r="D674" s="144"/>
      <c r="E674" s="150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</row>
    <row r="675" customFormat="false" ht="15.75" hidden="false" customHeight="false" outlineLevel="0" collapsed="false">
      <c r="A675" s="144" t="str">
        <f aca="false">IF(ISBLANK(B675),"",B675&amp;"|"&amp;C675)</f>
        <v/>
      </c>
      <c r="B675" s="144"/>
      <c r="C675" s="144"/>
      <c r="D675" s="144"/>
      <c r="E675" s="150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</row>
    <row r="676" customFormat="false" ht="15.75" hidden="false" customHeight="false" outlineLevel="0" collapsed="false">
      <c r="A676" s="144" t="str">
        <f aca="false">IF(ISBLANK(B676),"",B676&amp;"|"&amp;C676)</f>
        <v/>
      </c>
      <c r="B676" s="144"/>
      <c r="C676" s="144"/>
      <c r="D676" s="144"/>
      <c r="E676" s="150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</row>
    <row r="677" customFormat="false" ht="15.75" hidden="false" customHeight="false" outlineLevel="0" collapsed="false">
      <c r="A677" s="144" t="str">
        <f aca="false">IF(ISBLANK(B677),"",B677&amp;"|"&amp;C677)</f>
        <v/>
      </c>
      <c r="B677" s="144"/>
      <c r="C677" s="144"/>
      <c r="D677" s="144"/>
      <c r="E677" s="150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</row>
    <row r="678" customFormat="false" ht="15.75" hidden="false" customHeight="false" outlineLevel="0" collapsed="false">
      <c r="A678" s="144" t="str">
        <f aca="false">IF(ISBLANK(B678),"",B678&amp;"|"&amp;C678)</f>
        <v/>
      </c>
      <c r="B678" s="144"/>
      <c r="C678" s="144"/>
      <c r="D678" s="144"/>
      <c r="E678" s="150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</row>
    <row r="679" customFormat="false" ht="15.75" hidden="false" customHeight="false" outlineLevel="0" collapsed="false">
      <c r="A679" s="144" t="str">
        <f aca="false">IF(ISBLANK(B679),"",B679&amp;"|"&amp;C679)</f>
        <v/>
      </c>
      <c r="B679" s="144"/>
      <c r="C679" s="144"/>
      <c r="D679" s="144"/>
      <c r="E679" s="150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</row>
    <row r="680" customFormat="false" ht="15.75" hidden="false" customHeight="false" outlineLevel="0" collapsed="false">
      <c r="A680" s="144" t="str">
        <f aca="false">IF(ISBLANK(B680),"",B680&amp;"|"&amp;C680)</f>
        <v/>
      </c>
      <c r="B680" s="144"/>
      <c r="C680" s="144"/>
      <c r="D680" s="144"/>
      <c r="E680" s="150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</row>
    <row r="681" customFormat="false" ht="15.75" hidden="false" customHeight="false" outlineLevel="0" collapsed="false">
      <c r="A681" s="144" t="str">
        <f aca="false">IF(ISBLANK(B681),"",B681&amp;"|"&amp;C681)</f>
        <v/>
      </c>
      <c r="B681" s="144"/>
      <c r="C681" s="144"/>
      <c r="D681" s="144"/>
      <c r="E681" s="150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</row>
    <row r="682" customFormat="false" ht="15.75" hidden="false" customHeight="false" outlineLevel="0" collapsed="false">
      <c r="A682" s="144" t="str">
        <f aca="false">IF(ISBLANK(B682),"",B682&amp;"|"&amp;C682)</f>
        <v/>
      </c>
      <c r="B682" s="144"/>
      <c r="C682" s="144"/>
      <c r="D682" s="144"/>
      <c r="E682" s="150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</row>
    <row r="683" customFormat="false" ht="15.75" hidden="false" customHeight="false" outlineLevel="0" collapsed="false">
      <c r="A683" s="144" t="str">
        <f aca="false">IF(ISBLANK(B683),"",B683&amp;"|"&amp;C683)</f>
        <v/>
      </c>
      <c r="B683" s="144"/>
      <c r="C683" s="144"/>
      <c r="D683" s="144"/>
      <c r="E683" s="150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</row>
    <row r="684" customFormat="false" ht="15.75" hidden="false" customHeight="false" outlineLevel="0" collapsed="false">
      <c r="A684" s="144" t="str">
        <f aca="false">IF(ISBLANK(B684),"",B684&amp;"|"&amp;C684)</f>
        <v/>
      </c>
      <c r="B684" s="144"/>
      <c r="C684" s="144"/>
      <c r="D684" s="144"/>
      <c r="E684" s="150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</row>
    <row r="685" customFormat="false" ht="15.75" hidden="false" customHeight="false" outlineLevel="0" collapsed="false">
      <c r="A685" s="144" t="str">
        <f aca="false">IF(ISBLANK(B685),"",B685&amp;"|"&amp;C685)</f>
        <v/>
      </c>
      <c r="B685" s="144"/>
      <c r="C685" s="144"/>
      <c r="D685" s="144"/>
      <c r="E685" s="150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</row>
    <row r="686" customFormat="false" ht="15.75" hidden="false" customHeight="false" outlineLevel="0" collapsed="false">
      <c r="A686" s="144" t="str">
        <f aca="false">IF(ISBLANK(B686),"",B686&amp;"|"&amp;C686)</f>
        <v/>
      </c>
      <c r="B686" s="144"/>
      <c r="C686" s="144"/>
      <c r="D686" s="144"/>
      <c r="E686" s="150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</row>
    <row r="687" customFormat="false" ht="15.75" hidden="false" customHeight="false" outlineLevel="0" collapsed="false">
      <c r="A687" s="144" t="str">
        <f aca="false">IF(ISBLANK(B687),"",B687&amp;"|"&amp;C687)</f>
        <v/>
      </c>
      <c r="B687" s="144"/>
      <c r="C687" s="144"/>
      <c r="D687" s="144"/>
      <c r="E687" s="150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</row>
    <row r="688" customFormat="false" ht="15.75" hidden="false" customHeight="false" outlineLevel="0" collapsed="false">
      <c r="A688" s="144" t="str">
        <f aca="false">IF(ISBLANK(B688),"",B688&amp;"|"&amp;C688)</f>
        <v/>
      </c>
      <c r="B688" s="144"/>
      <c r="C688" s="144"/>
      <c r="D688" s="144"/>
      <c r="E688" s="150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</row>
    <row r="689" customFormat="false" ht="15.75" hidden="false" customHeight="false" outlineLevel="0" collapsed="false">
      <c r="A689" s="144" t="str">
        <f aca="false">IF(ISBLANK(B689),"",B689&amp;"|"&amp;C689)</f>
        <v/>
      </c>
      <c r="B689" s="144"/>
      <c r="C689" s="144"/>
      <c r="D689" s="144"/>
      <c r="E689" s="150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</row>
    <row r="690" customFormat="false" ht="15.75" hidden="false" customHeight="false" outlineLevel="0" collapsed="false">
      <c r="A690" s="144" t="str">
        <f aca="false">IF(ISBLANK(B690),"",B690&amp;"|"&amp;C690)</f>
        <v/>
      </c>
      <c r="B690" s="144"/>
      <c r="C690" s="144"/>
      <c r="D690" s="144"/>
      <c r="E690" s="150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</row>
    <row r="691" customFormat="false" ht="15.75" hidden="false" customHeight="false" outlineLevel="0" collapsed="false">
      <c r="A691" s="144" t="str">
        <f aca="false">IF(ISBLANK(B691),"",B691&amp;"|"&amp;C691)</f>
        <v/>
      </c>
      <c r="B691" s="144"/>
      <c r="C691" s="144"/>
      <c r="D691" s="144"/>
      <c r="E691" s="150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</row>
    <row r="692" customFormat="false" ht="15.75" hidden="false" customHeight="false" outlineLevel="0" collapsed="false">
      <c r="A692" s="144" t="str">
        <f aca="false">IF(ISBLANK(B692),"",B692&amp;"|"&amp;C692)</f>
        <v/>
      </c>
      <c r="B692" s="144"/>
      <c r="C692" s="144"/>
      <c r="D692" s="144"/>
      <c r="E692" s="150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</row>
    <row r="693" customFormat="false" ht="15.75" hidden="false" customHeight="false" outlineLevel="0" collapsed="false">
      <c r="A693" s="144" t="str">
        <f aca="false">IF(ISBLANK(B693),"",B693&amp;"|"&amp;C693)</f>
        <v/>
      </c>
      <c r="B693" s="144"/>
      <c r="C693" s="144"/>
      <c r="D693" s="144"/>
      <c r="E693" s="150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</row>
    <row r="694" customFormat="false" ht="15.75" hidden="false" customHeight="false" outlineLevel="0" collapsed="false">
      <c r="A694" s="144" t="str">
        <f aca="false">IF(ISBLANK(B694),"",B694&amp;"|"&amp;C694)</f>
        <v/>
      </c>
      <c r="B694" s="144"/>
      <c r="C694" s="144"/>
      <c r="D694" s="144"/>
      <c r="E694" s="150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</row>
    <row r="695" customFormat="false" ht="15.75" hidden="false" customHeight="false" outlineLevel="0" collapsed="false">
      <c r="A695" s="144" t="str">
        <f aca="false">IF(ISBLANK(B695),"",B695&amp;"|"&amp;C695)</f>
        <v/>
      </c>
      <c r="B695" s="144"/>
      <c r="C695" s="144"/>
      <c r="D695" s="144"/>
      <c r="E695" s="150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</row>
    <row r="696" customFormat="false" ht="15.75" hidden="false" customHeight="false" outlineLevel="0" collapsed="false">
      <c r="A696" s="144" t="str">
        <f aca="false">IF(ISBLANK(B696),"",B696&amp;"|"&amp;C696)</f>
        <v/>
      </c>
      <c r="B696" s="144"/>
      <c r="C696" s="144"/>
      <c r="D696" s="144"/>
      <c r="E696" s="150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</row>
    <row r="697" customFormat="false" ht="15.75" hidden="false" customHeight="false" outlineLevel="0" collapsed="false">
      <c r="A697" s="144" t="str">
        <f aca="false">IF(ISBLANK(B697),"",B697&amp;"|"&amp;C697)</f>
        <v/>
      </c>
      <c r="B697" s="144"/>
      <c r="C697" s="144"/>
      <c r="D697" s="144"/>
      <c r="E697" s="150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</row>
    <row r="698" customFormat="false" ht="15.75" hidden="false" customHeight="false" outlineLevel="0" collapsed="false">
      <c r="A698" s="144" t="str">
        <f aca="false">IF(ISBLANK(B698),"",B698&amp;"|"&amp;C698)</f>
        <v/>
      </c>
      <c r="B698" s="144"/>
      <c r="C698" s="144"/>
      <c r="D698" s="144"/>
      <c r="E698" s="150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</row>
    <row r="699" customFormat="false" ht="15.75" hidden="false" customHeight="false" outlineLevel="0" collapsed="false">
      <c r="A699" s="144" t="str">
        <f aca="false">IF(ISBLANK(B699),"",B699&amp;"|"&amp;C699)</f>
        <v/>
      </c>
      <c r="B699" s="144"/>
      <c r="C699" s="144"/>
      <c r="D699" s="144"/>
      <c r="E699" s="150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</row>
    <row r="700" customFormat="false" ht="15.75" hidden="false" customHeight="false" outlineLevel="0" collapsed="false">
      <c r="A700" s="144" t="str">
        <f aca="false">IF(ISBLANK(B700),"",B700&amp;"|"&amp;C700)</f>
        <v/>
      </c>
      <c r="B700" s="144"/>
      <c r="C700" s="144"/>
      <c r="D700" s="144"/>
      <c r="E700" s="150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</row>
    <row r="701" customFormat="false" ht="15.75" hidden="false" customHeight="false" outlineLevel="0" collapsed="false">
      <c r="A701" s="144" t="str">
        <f aca="false">IF(ISBLANK(B701),"",B701&amp;"|"&amp;C701)</f>
        <v/>
      </c>
      <c r="B701" s="144"/>
      <c r="C701" s="144"/>
      <c r="D701" s="144"/>
      <c r="E701" s="150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</row>
    <row r="702" customFormat="false" ht="15.75" hidden="false" customHeight="false" outlineLevel="0" collapsed="false">
      <c r="A702" s="144" t="str">
        <f aca="false">IF(ISBLANK(B702),"",B702&amp;"|"&amp;C702)</f>
        <v/>
      </c>
      <c r="B702" s="144"/>
      <c r="C702" s="144"/>
      <c r="D702" s="144"/>
      <c r="E702" s="150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</row>
    <row r="703" customFormat="false" ht="15.75" hidden="false" customHeight="false" outlineLevel="0" collapsed="false">
      <c r="A703" s="144" t="str">
        <f aca="false">IF(ISBLANK(B703),"",B703&amp;"|"&amp;C703)</f>
        <v/>
      </c>
      <c r="B703" s="144"/>
      <c r="C703" s="144"/>
      <c r="D703" s="144"/>
      <c r="E703" s="150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</row>
    <row r="704" customFormat="false" ht="15.75" hidden="false" customHeight="false" outlineLevel="0" collapsed="false">
      <c r="A704" s="144" t="str">
        <f aca="false">IF(ISBLANK(B704),"",B704&amp;"|"&amp;C704)</f>
        <v/>
      </c>
      <c r="B704" s="144"/>
      <c r="C704" s="144"/>
      <c r="D704" s="144"/>
      <c r="E704" s="150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</row>
    <row r="705" customFormat="false" ht="15.75" hidden="false" customHeight="false" outlineLevel="0" collapsed="false">
      <c r="A705" s="144" t="str">
        <f aca="false">IF(ISBLANK(B705),"",B705&amp;"|"&amp;C705)</f>
        <v/>
      </c>
      <c r="B705" s="144"/>
      <c r="C705" s="144"/>
      <c r="D705" s="144"/>
      <c r="E705" s="150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</row>
    <row r="706" customFormat="false" ht="15.75" hidden="false" customHeight="false" outlineLevel="0" collapsed="false">
      <c r="A706" s="144" t="str">
        <f aca="false">IF(ISBLANK(B706),"",B706&amp;"|"&amp;C706)</f>
        <v/>
      </c>
      <c r="B706" s="144"/>
      <c r="C706" s="144"/>
      <c r="D706" s="144"/>
      <c r="E706" s="150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</row>
    <row r="707" customFormat="false" ht="15.75" hidden="false" customHeight="false" outlineLevel="0" collapsed="false">
      <c r="A707" s="144" t="str">
        <f aca="false">IF(ISBLANK(B707),"",B707&amp;"|"&amp;C707)</f>
        <v/>
      </c>
      <c r="B707" s="144"/>
      <c r="C707" s="144"/>
      <c r="D707" s="144"/>
      <c r="E707" s="150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</row>
    <row r="708" customFormat="false" ht="15.75" hidden="false" customHeight="false" outlineLevel="0" collapsed="false">
      <c r="A708" s="144" t="str">
        <f aca="false">IF(ISBLANK(B708),"",B708&amp;"|"&amp;C708)</f>
        <v/>
      </c>
      <c r="B708" s="144"/>
      <c r="C708" s="144"/>
      <c r="D708" s="144"/>
      <c r="E708" s="150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</row>
    <row r="709" customFormat="false" ht="15.75" hidden="false" customHeight="false" outlineLevel="0" collapsed="false">
      <c r="A709" s="144" t="str">
        <f aca="false">IF(ISBLANK(B709),"",B709&amp;"|"&amp;C709)</f>
        <v/>
      </c>
      <c r="B709" s="144"/>
      <c r="C709" s="144"/>
      <c r="D709" s="144"/>
      <c r="E709" s="150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</row>
    <row r="710" customFormat="false" ht="15.75" hidden="false" customHeight="false" outlineLevel="0" collapsed="false">
      <c r="A710" s="144" t="str">
        <f aca="false">IF(ISBLANK(B710),"",B710&amp;"|"&amp;C710)</f>
        <v/>
      </c>
      <c r="B710" s="144"/>
      <c r="C710" s="144"/>
      <c r="D710" s="144"/>
      <c r="E710" s="150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</row>
    <row r="711" customFormat="false" ht="15.75" hidden="false" customHeight="false" outlineLevel="0" collapsed="false">
      <c r="A711" s="144" t="str">
        <f aca="false">IF(ISBLANK(B711),"",B711&amp;"|"&amp;C711)</f>
        <v/>
      </c>
      <c r="B711" s="144"/>
      <c r="C711" s="144"/>
      <c r="D711" s="144"/>
      <c r="E711" s="150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</row>
    <row r="712" customFormat="false" ht="15.75" hidden="false" customHeight="false" outlineLevel="0" collapsed="false">
      <c r="A712" s="144" t="str">
        <f aca="false">IF(ISBLANK(B712),"",B712&amp;"|"&amp;C712)</f>
        <v/>
      </c>
      <c r="B712" s="144"/>
      <c r="C712" s="144"/>
      <c r="D712" s="144"/>
      <c r="E712" s="150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</row>
    <row r="713" customFormat="false" ht="15.75" hidden="false" customHeight="false" outlineLevel="0" collapsed="false">
      <c r="A713" s="144" t="str">
        <f aca="false">IF(ISBLANK(B713),"",B713&amp;"|"&amp;C713)</f>
        <v/>
      </c>
      <c r="B713" s="144"/>
      <c r="C713" s="144"/>
      <c r="D713" s="144"/>
      <c r="E713" s="150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</row>
    <row r="714" customFormat="false" ht="15.75" hidden="false" customHeight="false" outlineLevel="0" collapsed="false">
      <c r="A714" s="144" t="str">
        <f aca="false">IF(ISBLANK(B714),"",B714&amp;"|"&amp;C714)</f>
        <v/>
      </c>
      <c r="B714" s="144"/>
      <c r="C714" s="144"/>
      <c r="D714" s="144"/>
      <c r="E714" s="150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</row>
    <row r="715" customFormat="false" ht="15.75" hidden="false" customHeight="false" outlineLevel="0" collapsed="false">
      <c r="A715" s="144" t="str">
        <f aca="false">IF(ISBLANK(B715),"",B715&amp;"|"&amp;C715)</f>
        <v/>
      </c>
      <c r="B715" s="144"/>
      <c r="C715" s="144"/>
      <c r="D715" s="144"/>
      <c r="E715" s="150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</row>
    <row r="716" customFormat="false" ht="15.75" hidden="false" customHeight="false" outlineLevel="0" collapsed="false">
      <c r="A716" s="144" t="str">
        <f aca="false">IF(ISBLANK(B716),"",B716&amp;"|"&amp;C716)</f>
        <v/>
      </c>
      <c r="B716" s="144"/>
      <c r="C716" s="144"/>
      <c r="D716" s="144"/>
      <c r="E716" s="150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</row>
    <row r="717" customFormat="false" ht="15.75" hidden="false" customHeight="false" outlineLevel="0" collapsed="false">
      <c r="A717" s="144" t="str">
        <f aca="false">IF(ISBLANK(B717),"",B717&amp;"|"&amp;C717)</f>
        <v/>
      </c>
      <c r="B717" s="144"/>
      <c r="C717" s="144"/>
      <c r="D717" s="144"/>
      <c r="E717" s="150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</row>
    <row r="718" customFormat="false" ht="15.75" hidden="false" customHeight="false" outlineLevel="0" collapsed="false">
      <c r="A718" s="144" t="str">
        <f aca="false">IF(ISBLANK(B718),"",B718&amp;"|"&amp;C718)</f>
        <v/>
      </c>
      <c r="B718" s="144"/>
      <c r="C718" s="144"/>
      <c r="D718" s="144"/>
      <c r="E718" s="150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</row>
    <row r="719" customFormat="false" ht="15.75" hidden="false" customHeight="false" outlineLevel="0" collapsed="false">
      <c r="A719" s="144" t="str">
        <f aca="false">IF(ISBLANK(B719),"",B719&amp;"|"&amp;C719)</f>
        <v/>
      </c>
      <c r="B719" s="144"/>
      <c r="C719" s="144"/>
      <c r="D719" s="144"/>
      <c r="E719" s="150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</row>
    <row r="720" customFormat="false" ht="15.75" hidden="false" customHeight="false" outlineLevel="0" collapsed="false">
      <c r="A720" s="144" t="str">
        <f aca="false">IF(ISBLANK(B720),"",B720&amp;"|"&amp;C720)</f>
        <v/>
      </c>
      <c r="B720" s="144"/>
      <c r="C720" s="144"/>
      <c r="D720" s="144"/>
      <c r="E720" s="150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</row>
    <row r="721" customFormat="false" ht="15.75" hidden="false" customHeight="false" outlineLevel="0" collapsed="false">
      <c r="A721" s="144" t="str">
        <f aca="false">IF(ISBLANK(B721),"",B721&amp;"|"&amp;C721)</f>
        <v/>
      </c>
      <c r="B721" s="144"/>
      <c r="C721" s="144"/>
      <c r="D721" s="144"/>
      <c r="E721" s="150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</row>
    <row r="722" customFormat="false" ht="15.75" hidden="false" customHeight="false" outlineLevel="0" collapsed="false">
      <c r="A722" s="144" t="str">
        <f aca="false">IF(ISBLANK(B722),"",B722&amp;"|"&amp;C722)</f>
        <v/>
      </c>
      <c r="B722" s="144"/>
      <c r="C722" s="144"/>
      <c r="D722" s="144"/>
      <c r="E722" s="150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</row>
    <row r="723" customFormat="false" ht="15.75" hidden="false" customHeight="false" outlineLevel="0" collapsed="false">
      <c r="A723" s="144" t="str">
        <f aca="false">IF(ISBLANK(B723),"",B723&amp;"|"&amp;C723)</f>
        <v/>
      </c>
      <c r="B723" s="144"/>
      <c r="C723" s="144"/>
      <c r="D723" s="144"/>
      <c r="E723" s="150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</row>
    <row r="724" customFormat="false" ht="15.75" hidden="false" customHeight="false" outlineLevel="0" collapsed="false">
      <c r="A724" s="144" t="str">
        <f aca="false">IF(ISBLANK(B724),"",B724&amp;"|"&amp;C724)</f>
        <v/>
      </c>
      <c r="B724" s="144"/>
      <c r="C724" s="144"/>
      <c r="D724" s="144"/>
      <c r="E724" s="150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</row>
    <row r="725" customFormat="false" ht="15.75" hidden="false" customHeight="false" outlineLevel="0" collapsed="false">
      <c r="A725" s="144" t="str">
        <f aca="false">IF(ISBLANK(B725),"",B725&amp;"|"&amp;C725)</f>
        <v/>
      </c>
      <c r="B725" s="144"/>
      <c r="C725" s="144"/>
      <c r="D725" s="144"/>
      <c r="E725" s="150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</row>
    <row r="726" customFormat="false" ht="15.75" hidden="false" customHeight="false" outlineLevel="0" collapsed="false">
      <c r="A726" s="144" t="str">
        <f aca="false">IF(ISBLANK(B726),"",B726&amp;"|"&amp;C726)</f>
        <v/>
      </c>
      <c r="B726" s="144"/>
      <c r="C726" s="144"/>
      <c r="D726" s="144"/>
      <c r="E726" s="150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</row>
    <row r="727" customFormat="false" ht="15.75" hidden="false" customHeight="false" outlineLevel="0" collapsed="false">
      <c r="A727" s="144" t="str">
        <f aca="false">IF(ISBLANK(B727),"",B727&amp;"|"&amp;C727)</f>
        <v/>
      </c>
      <c r="B727" s="144"/>
      <c r="C727" s="144"/>
      <c r="D727" s="144"/>
      <c r="E727" s="150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</row>
    <row r="728" customFormat="false" ht="15.75" hidden="false" customHeight="false" outlineLevel="0" collapsed="false">
      <c r="A728" s="144" t="str">
        <f aca="false">IF(ISBLANK(B728),"",B728&amp;"|"&amp;C728)</f>
        <v/>
      </c>
      <c r="B728" s="144"/>
      <c r="C728" s="144"/>
      <c r="D728" s="144"/>
      <c r="E728" s="150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</row>
    <row r="729" customFormat="false" ht="15.75" hidden="false" customHeight="false" outlineLevel="0" collapsed="false">
      <c r="A729" s="144" t="str">
        <f aca="false">IF(ISBLANK(B729),"",B729&amp;"|"&amp;C729)</f>
        <v/>
      </c>
      <c r="B729" s="144"/>
      <c r="C729" s="144"/>
      <c r="D729" s="144"/>
      <c r="E729" s="150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</row>
    <row r="730" customFormat="false" ht="15.75" hidden="false" customHeight="false" outlineLevel="0" collapsed="false">
      <c r="A730" s="144" t="str">
        <f aca="false">IF(ISBLANK(B730),"",B730&amp;"|"&amp;C730)</f>
        <v/>
      </c>
      <c r="B730" s="144"/>
      <c r="C730" s="144"/>
      <c r="D730" s="144"/>
      <c r="E730" s="150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</row>
    <row r="731" customFormat="false" ht="15.75" hidden="false" customHeight="false" outlineLevel="0" collapsed="false">
      <c r="A731" s="144" t="str">
        <f aca="false">IF(ISBLANK(B731),"",B731&amp;"|"&amp;C731)</f>
        <v/>
      </c>
      <c r="B731" s="144"/>
      <c r="C731" s="144"/>
      <c r="D731" s="144"/>
      <c r="E731" s="150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</row>
    <row r="732" customFormat="false" ht="15.75" hidden="false" customHeight="false" outlineLevel="0" collapsed="false">
      <c r="A732" s="144" t="str">
        <f aca="false">IF(ISBLANK(B732),"",B732&amp;"|"&amp;C732)</f>
        <v/>
      </c>
      <c r="B732" s="144"/>
      <c r="C732" s="144"/>
      <c r="D732" s="144"/>
      <c r="E732" s="150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</row>
    <row r="733" customFormat="false" ht="15.75" hidden="false" customHeight="false" outlineLevel="0" collapsed="false">
      <c r="A733" s="144" t="str">
        <f aca="false">IF(ISBLANK(B733),"",B733&amp;"|"&amp;C733)</f>
        <v/>
      </c>
      <c r="B733" s="144"/>
      <c r="C733" s="144"/>
      <c r="D733" s="144"/>
      <c r="E733" s="150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</row>
    <row r="734" customFormat="false" ht="15.75" hidden="false" customHeight="false" outlineLevel="0" collapsed="false">
      <c r="A734" s="144" t="str">
        <f aca="false">IF(ISBLANK(B734),"",B734&amp;"|"&amp;C734)</f>
        <v/>
      </c>
      <c r="B734" s="144"/>
      <c r="C734" s="144"/>
      <c r="D734" s="144"/>
      <c r="E734" s="150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</row>
    <row r="735" customFormat="false" ht="15.75" hidden="false" customHeight="false" outlineLevel="0" collapsed="false">
      <c r="A735" s="144" t="str">
        <f aca="false">IF(ISBLANK(B735),"",B735&amp;"|"&amp;C735)</f>
        <v/>
      </c>
      <c r="B735" s="144"/>
      <c r="C735" s="144"/>
      <c r="D735" s="144"/>
      <c r="E735" s="150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</row>
    <row r="736" customFormat="false" ht="15.75" hidden="false" customHeight="false" outlineLevel="0" collapsed="false">
      <c r="A736" s="144" t="str">
        <f aca="false">IF(ISBLANK(B736),"",B736&amp;"|"&amp;C736)</f>
        <v/>
      </c>
      <c r="B736" s="144"/>
      <c r="C736" s="144"/>
      <c r="D736" s="144"/>
      <c r="E736" s="150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</row>
    <row r="737" customFormat="false" ht="15.75" hidden="false" customHeight="false" outlineLevel="0" collapsed="false">
      <c r="A737" s="144" t="str">
        <f aca="false">IF(ISBLANK(B737),"",B737&amp;"|"&amp;C737)</f>
        <v/>
      </c>
      <c r="B737" s="144"/>
      <c r="C737" s="144"/>
      <c r="D737" s="144"/>
      <c r="E737" s="150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</row>
    <row r="738" customFormat="false" ht="15.75" hidden="false" customHeight="false" outlineLevel="0" collapsed="false">
      <c r="A738" s="144" t="str">
        <f aca="false">IF(ISBLANK(B738),"",B738&amp;"|"&amp;C738)</f>
        <v/>
      </c>
      <c r="B738" s="144"/>
      <c r="C738" s="144"/>
      <c r="D738" s="144"/>
      <c r="E738" s="150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</row>
    <row r="739" customFormat="false" ht="15.75" hidden="false" customHeight="false" outlineLevel="0" collapsed="false">
      <c r="A739" s="144" t="str">
        <f aca="false">IF(ISBLANK(B739),"",B739&amp;"|"&amp;C739)</f>
        <v/>
      </c>
      <c r="B739" s="144"/>
      <c r="C739" s="144"/>
      <c r="D739" s="144"/>
      <c r="E739" s="150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</row>
    <row r="740" customFormat="false" ht="15.75" hidden="false" customHeight="false" outlineLevel="0" collapsed="false">
      <c r="A740" s="144" t="str">
        <f aca="false">IF(ISBLANK(B740),"",B740&amp;"|"&amp;C740)</f>
        <v/>
      </c>
      <c r="B740" s="144"/>
      <c r="C740" s="144"/>
      <c r="D740" s="144"/>
      <c r="E740" s="150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</row>
    <row r="741" customFormat="false" ht="15.75" hidden="false" customHeight="false" outlineLevel="0" collapsed="false">
      <c r="A741" s="144" t="str">
        <f aca="false">IF(ISBLANK(B741),"",B741&amp;"|"&amp;C741)</f>
        <v/>
      </c>
      <c r="B741" s="144"/>
      <c r="C741" s="144"/>
      <c r="D741" s="144"/>
      <c r="E741" s="150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</row>
    <row r="742" customFormat="false" ht="15.75" hidden="false" customHeight="false" outlineLevel="0" collapsed="false">
      <c r="A742" s="144" t="str">
        <f aca="false">IF(ISBLANK(B742),"",B742&amp;"|"&amp;C742)</f>
        <v/>
      </c>
      <c r="B742" s="144"/>
      <c r="C742" s="144"/>
      <c r="D742" s="144"/>
      <c r="E742" s="150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</row>
    <row r="743" customFormat="false" ht="15.75" hidden="false" customHeight="false" outlineLevel="0" collapsed="false">
      <c r="A743" s="144" t="str">
        <f aca="false">IF(ISBLANK(B743),"",B743&amp;"|"&amp;C743)</f>
        <v/>
      </c>
      <c r="B743" s="144"/>
      <c r="C743" s="144"/>
      <c r="D743" s="144"/>
      <c r="E743" s="150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</row>
    <row r="744" customFormat="false" ht="15.75" hidden="false" customHeight="false" outlineLevel="0" collapsed="false">
      <c r="A744" s="144" t="str">
        <f aca="false">IF(ISBLANK(B744),"",B744&amp;"|"&amp;C744)</f>
        <v/>
      </c>
      <c r="B744" s="144"/>
      <c r="C744" s="144"/>
      <c r="D744" s="144"/>
      <c r="E744" s="150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</row>
    <row r="745" customFormat="false" ht="15.75" hidden="false" customHeight="false" outlineLevel="0" collapsed="false">
      <c r="A745" s="144" t="str">
        <f aca="false">IF(ISBLANK(B745),"",B745&amp;"|"&amp;C745)</f>
        <v/>
      </c>
      <c r="B745" s="144"/>
      <c r="C745" s="144"/>
      <c r="D745" s="144"/>
      <c r="E745" s="150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</row>
    <row r="746" customFormat="false" ht="15.75" hidden="false" customHeight="false" outlineLevel="0" collapsed="false">
      <c r="A746" s="144" t="str">
        <f aca="false">IF(ISBLANK(B746),"",B746&amp;"|"&amp;C746)</f>
        <v/>
      </c>
      <c r="B746" s="144"/>
      <c r="C746" s="144"/>
      <c r="D746" s="144"/>
      <c r="E746" s="150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</row>
    <row r="747" customFormat="false" ht="15.75" hidden="false" customHeight="false" outlineLevel="0" collapsed="false">
      <c r="A747" s="144" t="str">
        <f aca="false">IF(ISBLANK(B747),"",B747&amp;"|"&amp;C747)</f>
        <v/>
      </c>
      <c r="B747" s="144"/>
      <c r="C747" s="144"/>
      <c r="D747" s="144"/>
      <c r="E747" s="150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</row>
    <row r="748" customFormat="false" ht="15.75" hidden="false" customHeight="false" outlineLevel="0" collapsed="false">
      <c r="A748" s="144" t="str">
        <f aca="false">IF(ISBLANK(B748),"",B748&amp;"|"&amp;C748)</f>
        <v/>
      </c>
      <c r="B748" s="144"/>
      <c r="C748" s="144"/>
      <c r="D748" s="144"/>
      <c r="E748" s="150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</row>
    <row r="749" customFormat="false" ht="15.75" hidden="false" customHeight="false" outlineLevel="0" collapsed="false">
      <c r="A749" s="144" t="str">
        <f aca="false">IF(ISBLANK(B749),"",B749&amp;"|"&amp;C749)</f>
        <v/>
      </c>
      <c r="B749" s="144"/>
      <c r="C749" s="144"/>
      <c r="D749" s="144"/>
      <c r="E749" s="150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</row>
    <row r="750" customFormat="false" ht="15.75" hidden="false" customHeight="false" outlineLevel="0" collapsed="false">
      <c r="A750" s="144" t="str">
        <f aca="false">IF(ISBLANK(B750),"",B750&amp;"|"&amp;C750)</f>
        <v/>
      </c>
      <c r="B750" s="144"/>
      <c r="C750" s="144"/>
      <c r="D750" s="144"/>
      <c r="E750" s="150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</row>
    <row r="751" customFormat="false" ht="15.75" hidden="false" customHeight="false" outlineLevel="0" collapsed="false">
      <c r="A751" s="144" t="str">
        <f aca="false">IF(ISBLANK(B751),"",B751&amp;"|"&amp;C751)</f>
        <v/>
      </c>
      <c r="B751" s="144"/>
      <c r="C751" s="144"/>
      <c r="D751" s="144"/>
      <c r="E751" s="150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</row>
    <row r="752" customFormat="false" ht="15.75" hidden="false" customHeight="false" outlineLevel="0" collapsed="false">
      <c r="A752" s="144" t="str">
        <f aca="false">IF(ISBLANK(B752),"",B752&amp;"|"&amp;C752)</f>
        <v/>
      </c>
      <c r="B752" s="144"/>
      <c r="C752" s="144"/>
      <c r="D752" s="144"/>
      <c r="E752" s="150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</row>
    <row r="753" customFormat="false" ht="15.75" hidden="false" customHeight="false" outlineLevel="0" collapsed="false">
      <c r="A753" s="144" t="str">
        <f aca="false">IF(ISBLANK(B753),"",B753&amp;"|"&amp;C753)</f>
        <v/>
      </c>
      <c r="B753" s="144"/>
      <c r="C753" s="144"/>
      <c r="D753" s="144"/>
      <c r="E753" s="150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</row>
    <row r="754" customFormat="false" ht="15.75" hidden="false" customHeight="false" outlineLevel="0" collapsed="false">
      <c r="A754" s="144" t="str">
        <f aca="false">IF(ISBLANK(B754),"",B754&amp;"|"&amp;C754)</f>
        <v/>
      </c>
      <c r="B754" s="144"/>
      <c r="C754" s="144"/>
      <c r="D754" s="144"/>
      <c r="E754" s="150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</row>
    <row r="755" customFormat="false" ht="15.75" hidden="false" customHeight="false" outlineLevel="0" collapsed="false">
      <c r="A755" s="144" t="str">
        <f aca="false">IF(ISBLANK(B755),"",B755&amp;"|"&amp;C755)</f>
        <v/>
      </c>
      <c r="B755" s="144"/>
      <c r="C755" s="144"/>
      <c r="D755" s="144"/>
      <c r="E755" s="150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</row>
    <row r="756" customFormat="false" ht="15.75" hidden="false" customHeight="false" outlineLevel="0" collapsed="false">
      <c r="A756" s="144" t="str">
        <f aca="false">IF(ISBLANK(B756),"",B756&amp;"|"&amp;C756)</f>
        <v/>
      </c>
      <c r="B756" s="144"/>
      <c r="C756" s="144"/>
      <c r="D756" s="144"/>
      <c r="E756" s="150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</row>
    <row r="757" customFormat="false" ht="15.75" hidden="false" customHeight="false" outlineLevel="0" collapsed="false">
      <c r="A757" s="144" t="str">
        <f aca="false">IF(ISBLANK(B757),"",B757&amp;"|"&amp;C757)</f>
        <v/>
      </c>
      <c r="B757" s="144"/>
      <c r="C757" s="144"/>
      <c r="D757" s="144"/>
      <c r="E757" s="150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</row>
    <row r="758" customFormat="false" ht="15.75" hidden="false" customHeight="false" outlineLevel="0" collapsed="false">
      <c r="A758" s="144" t="str">
        <f aca="false">IF(ISBLANK(B758),"",B758&amp;"|"&amp;C758)</f>
        <v/>
      </c>
      <c r="B758" s="144"/>
      <c r="C758" s="144"/>
      <c r="D758" s="144"/>
      <c r="E758" s="150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</row>
    <row r="759" customFormat="false" ht="15.75" hidden="false" customHeight="false" outlineLevel="0" collapsed="false">
      <c r="A759" s="144" t="str">
        <f aca="false">IF(ISBLANK(B759),"",B759&amp;"|"&amp;C759)</f>
        <v/>
      </c>
      <c r="B759" s="144"/>
      <c r="C759" s="144"/>
      <c r="D759" s="144"/>
      <c r="E759" s="150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</row>
    <row r="760" customFormat="false" ht="15.75" hidden="false" customHeight="false" outlineLevel="0" collapsed="false">
      <c r="A760" s="144" t="str">
        <f aca="false">IF(ISBLANK(B760),"",B760&amp;"|"&amp;C760)</f>
        <v/>
      </c>
      <c r="B760" s="144"/>
      <c r="C760" s="144"/>
      <c r="D760" s="144"/>
      <c r="E760" s="150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</row>
    <row r="761" customFormat="false" ht="15.75" hidden="false" customHeight="false" outlineLevel="0" collapsed="false">
      <c r="A761" s="144" t="str">
        <f aca="false">IF(ISBLANK(B761),"",B761&amp;"|"&amp;C761)</f>
        <v/>
      </c>
      <c r="B761" s="144"/>
      <c r="C761" s="144"/>
      <c r="D761" s="144"/>
      <c r="E761" s="150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</row>
    <row r="762" customFormat="false" ht="15.75" hidden="false" customHeight="false" outlineLevel="0" collapsed="false">
      <c r="A762" s="144" t="str">
        <f aca="false">IF(ISBLANK(B762),"",B762&amp;"|"&amp;C762)</f>
        <v/>
      </c>
      <c r="B762" s="144"/>
      <c r="C762" s="144"/>
      <c r="D762" s="144"/>
      <c r="E762" s="150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</row>
    <row r="763" customFormat="false" ht="15.75" hidden="false" customHeight="false" outlineLevel="0" collapsed="false">
      <c r="A763" s="144" t="str">
        <f aca="false">IF(ISBLANK(B763),"",B763&amp;"|"&amp;C763)</f>
        <v/>
      </c>
      <c r="B763" s="144"/>
      <c r="C763" s="144"/>
      <c r="D763" s="144"/>
      <c r="E763" s="150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</row>
    <row r="764" customFormat="false" ht="15.75" hidden="false" customHeight="false" outlineLevel="0" collapsed="false">
      <c r="A764" s="144" t="str">
        <f aca="false">IF(ISBLANK(B764),"",B764&amp;"|"&amp;C764)</f>
        <v/>
      </c>
      <c r="B764" s="144"/>
      <c r="C764" s="144"/>
      <c r="D764" s="144"/>
      <c r="E764" s="150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</row>
    <row r="765" customFormat="false" ht="15.75" hidden="false" customHeight="false" outlineLevel="0" collapsed="false">
      <c r="A765" s="144" t="str">
        <f aca="false">IF(ISBLANK(B765),"",B765&amp;"|"&amp;C765)</f>
        <v/>
      </c>
      <c r="B765" s="144"/>
      <c r="C765" s="144"/>
      <c r="D765" s="144"/>
      <c r="E765" s="150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</row>
    <row r="766" customFormat="false" ht="15.75" hidden="false" customHeight="false" outlineLevel="0" collapsed="false">
      <c r="A766" s="144" t="str">
        <f aca="false">IF(ISBLANK(B766),"",B766&amp;"|"&amp;C766)</f>
        <v/>
      </c>
      <c r="B766" s="144"/>
      <c r="C766" s="144"/>
      <c r="D766" s="144"/>
      <c r="E766" s="150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</row>
    <row r="767" customFormat="false" ht="15.75" hidden="false" customHeight="false" outlineLevel="0" collapsed="false">
      <c r="A767" s="144" t="str">
        <f aca="false">IF(ISBLANK(B767),"",B767&amp;"|"&amp;C767)</f>
        <v/>
      </c>
      <c r="B767" s="144"/>
      <c r="C767" s="144"/>
      <c r="D767" s="144"/>
      <c r="E767" s="150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</row>
    <row r="768" customFormat="false" ht="15.75" hidden="false" customHeight="false" outlineLevel="0" collapsed="false">
      <c r="A768" s="144" t="str">
        <f aca="false">IF(ISBLANK(B768),"",B768&amp;"|"&amp;C768)</f>
        <v/>
      </c>
      <c r="B768" s="144"/>
      <c r="C768" s="144"/>
      <c r="D768" s="144"/>
      <c r="E768" s="150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</row>
    <row r="769" customFormat="false" ht="15.75" hidden="false" customHeight="false" outlineLevel="0" collapsed="false">
      <c r="A769" s="144" t="str">
        <f aca="false">IF(ISBLANK(B769),"",B769&amp;"|"&amp;C769)</f>
        <v/>
      </c>
      <c r="B769" s="144"/>
      <c r="C769" s="144"/>
      <c r="D769" s="144"/>
      <c r="E769" s="150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</row>
    <row r="770" customFormat="false" ht="15.75" hidden="false" customHeight="false" outlineLevel="0" collapsed="false">
      <c r="A770" s="144" t="str">
        <f aca="false">IF(ISBLANK(B770),"",B770&amp;"|"&amp;C770)</f>
        <v/>
      </c>
      <c r="B770" s="144"/>
      <c r="C770" s="144"/>
      <c r="D770" s="144"/>
      <c r="E770" s="150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</row>
    <row r="771" customFormat="false" ht="15.75" hidden="false" customHeight="false" outlineLevel="0" collapsed="false">
      <c r="A771" s="144" t="str">
        <f aca="false">IF(ISBLANK(B771),"",B771&amp;"|"&amp;C771)</f>
        <v/>
      </c>
      <c r="B771" s="144"/>
      <c r="C771" s="144"/>
      <c r="D771" s="144"/>
      <c r="E771" s="150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</row>
    <row r="772" customFormat="false" ht="15.75" hidden="false" customHeight="false" outlineLevel="0" collapsed="false">
      <c r="A772" s="144" t="str">
        <f aca="false">IF(ISBLANK(B772),"",B772&amp;"|"&amp;C772)</f>
        <v/>
      </c>
      <c r="B772" s="144"/>
      <c r="C772" s="144"/>
      <c r="D772" s="144"/>
      <c r="E772" s="150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</row>
    <row r="773" customFormat="false" ht="15.75" hidden="false" customHeight="false" outlineLevel="0" collapsed="false">
      <c r="A773" s="144" t="str">
        <f aca="false">IF(ISBLANK(B773),"",B773&amp;"|"&amp;C773)</f>
        <v/>
      </c>
      <c r="B773" s="144"/>
      <c r="C773" s="144"/>
      <c r="D773" s="144"/>
      <c r="E773" s="150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</row>
    <row r="774" customFormat="false" ht="15.75" hidden="false" customHeight="false" outlineLevel="0" collapsed="false">
      <c r="A774" s="144" t="str">
        <f aca="false">IF(ISBLANK(B774),"",B774&amp;"|"&amp;C774)</f>
        <v/>
      </c>
      <c r="B774" s="144"/>
      <c r="C774" s="144"/>
      <c r="D774" s="144"/>
      <c r="E774" s="150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</row>
    <row r="775" customFormat="false" ht="15.75" hidden="false" customHeight="false" outlineLevel="0" collapsed="false">
      <c r="A775" s="144" t="str">
        <f aca="false">IF(ISBLANK(B775),"",B775&amp;"|"&amp;C775)</f>
        <v/>
      </c>
      <c r="B775" s="144"/>
      <c r="C775" s="144"/>
      <c r="D775" s="144"/>
      <c r="E775" s="150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</row>
    <row r="776" customFormat="false" ht="15.75" hidden="false" customHeight="false" outlineLevel="0" collapsed="false">
      <c r="A776" s="144" t="str">
        <f aca="false">IF(ISBLANK(B776),"",B776&amp;"|"&amp;C776)</f>
        <v/>
      </c>
      <c r="B776" s="144"/>
      <c r="C776" s="144"/>
      <c r="D776" s="144"/>
      <c r="E776" s="150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</row>
    <row r="777" customFormat="false" ht="15.75" hidden="false" customHeight="false" outlineLevel="0" collapsed="false">
      <c r="A777" s="144" t="str">
        <f aca="false">IF(ISBLANK(B777),"",B777&amp;"|"&amp;C777)</f>
        <v/>
      </c>
      <c r="B777" s="144"/>
      <c r="C777" s="144"/>
      <c r="D777" s="144"/>
      <c r="E777" s="150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</row>
    <row r="778" customFormat="false" ht="15.75" hidden="false" customHeight="false" outlineLevel="0" collapsed="false">
      <c r="A778" s="144" t="str">
        <f aca="false">IF(ISBLANK(B778),"",B778&amp;"|"&amp;C778)</f>
        <v/>
      </c>
      <c r="B778" s="144"/>
      <c r="C778" s="144"/>
      <c r="D778" s="144"/>
      <c r="E778" s="150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</row>
    <row r="779" customFormat="false" ht="15.75" hidden="false" customHeight="false" outlineLevel="0" collapsed="false">
      <c r="A779" s="144" t="str">
        <f aca="false">IF(ISBLANK(B779),"",B779&amp;"|"&amp;C779)</f>
        <v/>
      </c>
      <c r="B779" s="144"/>
      <c r="C779" s="144"/>
      <c r="D779" s="144"/>
      <c r="E779" s="150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</row>
    <row r="780" customFormat="false" ht="15.75" hidden="false" customHeight="false" outlineLevel="0" collapsed="false">
      <c r="A780" s="144" t="str">
        <f aca="false">IF(ISBLANK(B780),"",B780&amp;"|"&amp;C780)</f>
        <v/>
      </c>
      <c r="B780" s="144"/>
      <c r="C780" s="144"/>
      <c r="D780" s="144"/>
      <c r="E780" s="150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</row>
    <row r="781" customFormat="false" ht="15.75" hidden="false" customHeight="false" outlineLevel="0" collapsed="false">
      <c r="A781" s="144" t="str">
        <f aca="false">IF(ISBLANK(B781),"",B781&amp;"|"&amp;C781)</f>
        <v/>
      </c>
      <c r="B781" s="144"/>
      <c r="C781" s="144"/>
      <c r="D781" s="144"/>
      <c r="E781" s="150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</row>
    <row r="782" customFormat="false" ht="15.75" hidden="false" customHeight="false" outlineLevel="0" collapsed="false">
      <c r="A782" s="144" t="str">
        <f aca="false">IF(ISBLANK(B782),"",B782&amp;"|"&amp;C782)</f>
        <v/>
      </c>
      <c r="B782" s="144"/>
      <c r="C782" s="144"/>
      <c r="D782" s="144"/>
      <c r="E782" s="150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</row>
    <row r="783" customFormat="false" ht="15.75" hidden="false" customHeight="false" outlineLevel="0" collapsed="false">
      <c r="A783" s="144" t="str">
        <f aca="false">IF(ISBLANK(B783),"",B783&amp;"|"&amp;C783)</f>
        <v/>
      </c>
      <c r="B783" s="144"/>
      <c r="C783" s="144"/>
      <c r="D783" s="144"/>
      <c r="E783" s="150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</row>
    <row r="784" customFormat="false" ht="15.75" hidden="false" customHeight="false" outlineLevel="0" collapsed="false">
      <c r="A784" s="144" t="str">
        <f aca="false">IF(ISBLANK(B784),"",B784&amp;"|"&amp;C784)</f>
        <v/>
      </c>
      <c r="B784" s="144"/>
      <c r="C784" s="144"/>
      <c r="D784" s="144"/>
      <c r="E784" s="150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</row>
    <row r="785" customFormat="false" ht="15.75" hidden="false" customHeight="false" outlineLevel="0" collapsed="false">
      <c r="A785" s="144" t="str">
        <f aca="false">IF(ISBLANK(B785),"",B785&amp;"|"&amp;C785)</f>
        <v/>
      </c>
      <c r="B785" s="144"/>
      <c r="C785" s="144"/>
      <c r="D785" s="144"/>
      <c r="E785" s="150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</row>
    <row r="786" customFormat="false" ht="15.75" hidden="false" customHeight="false" outlineLevel="0" collapsed="false">
      <c r="A786" s="144" t="str">
        <f aca="false">IF(ISBLANK(B786),"",B786&amp;"|"&amp;C786)</f>
        <v/>
      </c>
      <c r="B786" s="144"/>
      <c r="C786" s="144"/>
      <c r="D786" s="144"/>
      <c r="E786" s="150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</row>
    <row r="787" customFormat="false" ht="15.75" hidden="false" customHeight="false" outlineLevel="0" collapsed="false">
      <c r="A787" s="144" t="str">
        <f aca="false">IF(ISBLANK(B787),"",B787&amp;"|"&amp;C787)</f>
        <v/>
      </c>
      <c r="B787" s="144"/>
      <c r="C787" s="144"/>
      <c r="D787" s="144"/>
      <c r="E787" s="150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</row>
    <row r="788" customFormat="false" ht="15.75" hidden="false" customHeight="false" outlineLevel="0" collapsed="false">
      <c r="A788" s="144" t="str">
        <f aca="false">IF(ISBLANK(B788),"",B788&amp;"|"&amp;C788)</f>
        <v/>
      </c>
      <c r="B788" s="144"/>
      <c r="C788" s="144"/>
      <c r="D788" s="144"/>
      <c r="E788" s="150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</row>
    <row r="789" customFormat="false" ht="15.75" hidden="false" customHeight="false" outlineLevel="0" collapsed="false">
      <c r="A789" s="144" t="str">
        <f aca="false">IF(ISBLANK(B789),"",B789&amp;"|"&amp;C789)</f>
        <v/>
      </c>
      <c r="B789" s="144"/>
      <c r="C789" s="144"/>
      <c r="D789" s="144"/>
      <c r="E789" s="150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</row>
    <row r="790" customFormat="false" ht="15.75" hidden="false" customHeight="false" outlineLevel="0" collapsed="false">
      <c r="A790" s="144" t="str">
        <f aca="false">IF(ISBLANK(B790),"",B790&amp;"|"&amp;C790)</f>
        <v/>
      </c>
      <c r="B790" s="144"/>
      <c r="C790" s="144"/>
      <c r="D790" s="144"/>
      <c r="E790" s="150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</row>
    <row r="791" customFormat="false" ht="15.75" hidden="false" customHeight="false" outlineLevel="0" collapsed="false">
      <c r="A791" s="144" t="str">
        <f aca="false">IF(ISBLANK(B791),"",B791&amp;"|"&amp;C791)</f>
        <v/>
      </c>
      <c r="B791" s="144"/>
      <c r="C791" s="144"/>
      <c r="D791" s="144"/>
      <c r="E791" s="150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</row>
    <row r="792" customFormat="false" ht="15.75" hidden="false" customHeight="false" outlineLevel="0" collapsed="false">
      <c r="A792" s="144" t="str">
        <f aca="false">IF(ISBLANK(B792),"",B792&amp;"|"&amp;C792)</f>
        <v/>
      </c>
      <c r="B792" s="144"/>
      <c r="C792" s="144"/>
      <c r="D792" s="144"/>
      <c r="E792" s="150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</row>
    <row r="793" customFormat="false" ht="15.75" hidden="false" customHeight="false" outlineLevel="0" collapsed="false">
      <c r="A793" s="144" t="str">
        <f aca="false">IF(ISBLANK(B793),"",B793&amp;"|"&amp;C793)</f>
        <v/>
      </c>
      <c r="B793" s="144"/>
      <c r="C793" s="144"/>
      <c r="D793" s="144"/>
      <c r="E793" s="150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</row>
    <row r="794" customFormat="false" ht="15.75" hidden="false" customHeight="false" outlineLevel="0" collapsed="false">
      <c r="A794" s="144" t="str">
        <f aca="false">IF(ISBLANK(B794),"",B794&amp;"|"&amp;C794)</f>
        <v/>
      </c>
      <c r="B794" s="144"/>
      <c r="C794" s="144"/>
      <c r="D794" s="144"/>
      <c r="E794" s="150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</row>
    <row r="795" customFormat="false" ht="15.75" hidden="false" customHeight="false" outlineLevel="0" collapsed="false">
      <c r="A795" s="144" t="str">
        <f aca="false">IF(ISBLANK(B795),"",B795&amp;"|"&amp;C795)</f>
        <v/>
      </c>
      <c r="B795" s="144"/>
      <c r="C795" s="144"/>
      <c r="D795" s="144"/>
      <c r="E795" s="150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</row>
    <row r="796" customFormat="false" ht="15.75" hidden="false" customHeight="false" outlineLevel="0" collapsed="false">
      <c r="A796" s="144" t="str">
        <f aca="false">IF(ISBLANK(B796),"",B796&amp;"|"&amp;C796)</f>
        <v/>
      </c>
      <c r="B796" s="144"/>
      <c r="C796" s="144"/>
      <c r="D796" s="144"/>
      <c r="E796" s="150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</row>
    <row r="797" customFormat="false" ht="15.75" hidden="false" customHeight="false" outlineLevel="0" collapsed="false">
      <c r="A797" s="144" t="str">
        <f aca="false">IF(ISBLANK(B797),"",B797&amp;"|"&amp;C797)</f>
        <v/>
      </c>
      <c r="B797" s="144"/>
      <c r="C797" s="144"/>
      <c r="D797" s="144"/>
      <c r="E797" s="150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</row>
    <row r="798" customFormat="false" ht="15.75" hidden="false" customHeight="false" outlineLevel="0" collapsed="false">
      <c r="A798" s="144" t="str">
        <f aca="false">IF(ISBLANK(B798),"",B798&amp;"|"&amp;C798)</f>
        <v/>
      </c>
      <c r="B798" s="144"/>
      <c r="C798" s="144"/>
      <c r="D798" s="144"/>
      <c r="E798" s="150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</row>
    <row r="799" customFormat="false" ht="15.75" hidden="false" customHeight="false" outlineLevel="0" collapsed="false">
      <c r="A799" s="144" t="str">
        <f aca="false">IF(ISBLANK(B799),"",B799&amp;"|"&amp;C799)</f>
        <v/>
      </c>
      <c r="B799" s="144"/>
      <c r="C799" s="144"/>
      <c r="D799" s="144"/>
      <c r="E799" s="150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</row>
    <row r="800" customFormat="false" ht="15.75" hidden="false" customHeight="false" outlineLevel="0" collapsed="false">
      <c r="A800" s="144" t="str">
        <f aca="false">IF(ISBLANK(B800),"",B800&amp;"|"&amp;C800)</f>
        <v/>
      </c>
      <c r="B800" s="144"/>
      <c r="C800" s="144"/>
      <c r="D800" s="144"/>
      <c r="E800" s="150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</row>
    <row r="801" customFormat="false" ht="15.75" hidden="false" customHeight="false" outlineLevel="0" collapsed="false">
      <c r="A801" s="144" t="str">
        <f aca="false">IF(ISBLANK(B801),"",B801&amp;"|"&amp;C801)</f>
        <v/>
      </c>
      <c r="B801" s="144"/>
      <c r="C801" s="144"/>
      <c r="D801" s="144"/>
      <c r="E801" s="150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</row>
    <row r="802" customFormat="false" ht="15.75" hidden="false" customHeight="false" outlineLevel="0" collapsed="false">
      <c r="A802" s="144" t="str">
        <f aca="false">IF(ISBLANK(B802),"",B802&amp;"|"&amp;C802)</f>
        <v/>
      </c>
      <c r="B802" s="144"/>
      <c r="C802" s="144"/>
      <c r="D802" s="144"/>
      <c r="E802" s="150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</row>
    <row r="803" customFormat="false" ht="15.75" hidden="false" customHeight="false" outlineLevel="0" collapsed="false">
      <c r="A803" s="144" t="str">
        <f aca="false">IF(ISBLANK(B803),"",B803&amp;"|"&amp;C803)</f>
        <v/>
      </c>
      <c r="B803" s="144"/>
      <c r="C803" s="144"/>
      <c r="D803" s="144"/>
      <c r="E803" s="150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</row>
    <row r="804" customFormat="false" ht="15.75" hidden="false" customHeight="false" outlineLevel="0" collapsed="false">
      <c r="A804" s="144" t="str">
        <f aca="false">IF(ISBLANK(B804),"",B804&amp;"|"&amp;C804)</f>
        <v/>
      </c>
      <c r="B804" s="144"/>
      <c r="C804" s="144"/>
      <c r="D804" s="144"/>
      <c r="E804" s="150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</row>
    <row r="805" customFormat="false" ht="15.75" hidden="false" customHeight="false" outlineLevel="0" collapsed="false">
      <c r="A805" s="144" t="str">
        <f aca="false">IF(ISBLANK(B805),"",B805&amp;"|"&amp;C805)</f>
        <v/>
      </c>
      <c r="B805" s="144"/>
      <c r="C805" s="144"/>
      <c r="D805" s="144"/>
      <c r="E805" s="150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</row>
    <row r="806" customFormat="false" ht="15.75" hidden="false" customHeight="false" outlineLevel="0" collapsed="false">
      <c r="A806" s="144" t="str">
        <f aca="false">IF(ISBLANK(B806),"",B806&amp;"|"&amp;C806)</f>
        <v/>
      </c>
      <c r="B806" s="144"/>
      <c r="C806" s="144"/>
      <c r="D806" s="144"/>
      <c r="E806" s="150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</row>
    <row r="807" customFormat="false" ht="15.75" hidden="false" customHeight="false" outlineLevel="0" collapsed="false">
      <c r="A807" s="144" t="str">
        <f aca="false">IF(ISBLANK(B807),"",B807&amp;"|"&amp;C807)</f>
        <v/>
      </c>
      <c r="B807" s="144"/>
      <c r="C807" s="144"/>
      <c r="D807" s="144"/>
      <c r="E807" s="150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</row>
    <row r="808" customFormat="false" ht="15.75" hidden="false" customHeight="false" outlineLevel="0" collapsed="false">
      <c r="A808" s="144" t="str">
        <f aca="false">IF(ISBLANK(B808),"",B808&amp;"|"&amp;C808)</f>
        <v/>
      </c>
      <c r="B808" s="144"/>
      <c r="C808" s="144"/>
      <c r="D808" s="144"/>
      <c r="E808" s="150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</row>
    <row r="809" customFormat="false" ht="15.75" hidden="false" customHeight="false" outlineLevel="0" collapsed="false">
      <c r="A809" s="144" t="str">
        <f aca="false">IF(ISBLANK(B809),"",B809&amp;"|"&amp;C809)</f>
        <v/>
      </c>
      <c r="B809" s="144"/>
      <c r="C809" s="144"/>
      <c r="D809" s="144"/>
      <c r="E809" s="150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</row>
    <row r="810" customFormat="false" ht="15.75" hidden="false" customHeight="false" outlineLevel="0" collapsed="false">
      <c r="A810" s="144" t="str">
        <f aca="false">IF(ISBLANK(B810),"",B810&amp;"|"&amp;C810)</f>
        <v/>
      </c>
      <c r="B810" s="144"/>
      <c r="C810" s="144"/>
      <c r="D810" s="144"/>
      <c r="E810" s="150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</row>
    <row r="811" customFormat="false" ht="15.75" hidden="false" customHeight="false" outlineLevel="0" collapsed="false">
      <c r="A811" s="144" t="str">
        <f aca="false">IF(ISBLANK(B811),"",B811&amp;"|"&amp;C811)</f>
        <v/>
      </c>
      <c r="B811" s="144"/>
      <c r="C811" s="144"/>
      <c r="D811" s="144"/>
      <c r="E811" s="150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</row>
    <row r="812" customFormat="false" ht="15.75" hidden="false" customHeight="false" outlineLevel="0" collapsed="false">
      <c r="A812" s="144" t="str">
        <f aca="false">IF(ISBLANK(B812),"",B812&amp;"|"&amp;C812)</f>
        <v/>
      </c>
      <c r="B812" s="144"/>
      <c r="C812" s="144"/>
      <c r="D812" s="144"/>
      <c r="E812" s="150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</row>
    <row r="813" customFormat="false" ht="15.75" hidden="false" customHeight="false" outlineLevel="0" collapsed="false">
      <c r="A813" s="144" t="str">
        <f aca="false">IF(ISBLANK(B813),"",B813&amp;"|"&amp;C813)</f>
        <v/>
      </c>
      <c r="B813" s="144"/>
      <c r="C813" s="144"/>
      <c r="D813" s="144"/>
      <c r="E813" s="150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</row>
    <row r="814" customFormat="false" ht="15.75" hidden="false" customHeight="false" outlineLevel="0" collapsed="false">
      <c r="A814" s="144" t="str">
        <f aca="false">IF(ISBLANK(B814),"",B814&amp;"|"&amp;C814)</f>
        <v/>
      </c>
      <c r="B814" s="144"/>
      <c r="C814" s="144"/>
      <c r="D814" s="144"/>
      <c r="E814" s="150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</row>
    <row r="815" customFormat="false" ht="15.75" hidden="false" customHeight="false" outlineLevel="0" collapsed="false">
      <c r="A815" s="144" t="str">
        <f aca="false">IF(ISBLANK(B815),"",B815&amp;"|"&amp;C815)</f>
        <v/>
      </c>
      <c r="B815" s="144"/>
      <c r="C815" s="144"/>
      <c r="D815" s="144"/>
      <c r="E815" s="150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</row>
    <row r="816" customFormat="false" ht="15.75" hidden="false" customHeight="false" outlineLevel="0" collapsed="false">
      <c r="A816" s="144" t="str">
        <f aca="false">IF(ISBLANK(B816),"",B816&amp;"|"&amp;C816)</f>
        <v/>
      </c>
      <c r="B816" s="144"/>
      <c r="C816" s="144"/>
      <c r="D816" s="144"/>
      <c r="E816" s="150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</row>
    <row r="817" customFormat="false" ht="15.75" hidden="false" customHeight="false" outlineLevel="0" collapsed="false">
      <c r="A817" s="144" t="str">
        <f aca="false">IF(ISBLANK(B817),"",B817&amp;"|"&amp;C817)</f>
        <v/>
      </c>
      <c r="B817" s="144"/>
      <c r="C817" s="144"/>
      <c r="D817" s="144"/>
      <c r="E817" s="150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</row>
    <row r="818" customFormat="false" ht="15.75" hidden="false" customHeight="false" outlineLevel="0" collapsed="false">
      <c r="A818" s="144" t="str">
        <f aca="false">IF(ISBLANK(B818),"",B818&amp;"|"&amp;C818)</f>
        <v/>
      </c>
      <c r="B818" s="144"/>
      <c r="C818" s="144"/>
      <c r="D818" s="144"/>
      <c r="E818" s="150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</row>
    <row r="819" customFormat="false" ht="15.75" hidden="false" customHeight="false" outlineLevel="0" collapsed="false">
      <c r="A819" s="144" t="str">
        <f aca="false">IF(ISBLANK(B819),"",B819&amp;"|"&amp;C819)</f>
        <v/>
      </c>
      <c r="B819" s="144"/>
      <c r="C819" s="144"/>
      <c r="D819" s="144"/>
      <c r="E819" s="150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</row>
    <row r="820" customFormat="false" ht="15.75" hidden="false" customHeight="false" outlineLevel="0" collapsed="false">
      <c r="A820" s="144" t="str">
        <f aca="false">IF(ISBLANK(B820),"",B820&amp;"|"&amp;C820)</f>
        <v/>
      </c>
      <c r="B820" s="144"/>
      <c r="C820" s="144"/>
      <c r="D820" s="144"/>
      <c r="E820" s="150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</row>
    <row r="821" customFormat="false" ht="15.75" hidden="false" customHeight="false" outlineLevel="0" collapsed="false">
      <c r="A821" s="144" t="str">
        <f aca="false">IF(ISBLANK(B821),"",B821&amp;"|"&amp;C821)</f>
        <v/>
      </c>
      <c r="B821" s="144"/>
      <c r="C821" s="144"/>
      <c r="D821" s="144"/>
      <c r="E821" s="150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</row>
    <row r="822" customFormat="false" ht="15.75" hidden="false" customHeight="false" outlineLevel="0" collapsed="false">
      <c r="A822" s="144" t="str">
        <f aca="false">IF(ISBLANK(B822),"",B822&amp;"|"&amp;C822)</f>
        <v/>
      </c>
      <c r="B822" s="144"/>
      <c r="C822" s="144"/>
      <c r="D822" s="144"/>
      <c r="E822" s="150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</row>
    <row r="823" customFormat="false" ht="15.75" hidden="false" customHeight="false" outlineLevel="0" collapsed="false">
      <c r="A823" s="144" t="str">
        <f aca="false">IF(ISBLANK(B823),"",B823&amp;"|"&amp;C823)</f>
        <v/>
      </c>
      <c r="B823" s="144"/>
      <c r="C823" s="144"/>
      <c r="D823" s="144"/>
      <c r="E823" s="150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</row>
    <row r="824" customFormat="false" ht="15.75" hidden="false" customHeight="false" outlineLevel="0" collapsed="false">
      <c r="A824" s="144" t="str">
        <f aca="false">IF(ISBLANK(B824),"",B824&amp;"|"&amp;C824)</f>
        <v/>
      </c>
      <c r="B824" s="144"/>
      <c r="C824" s="144"/>
      <c r="D824" s="144"/>
      <c r="E824" s="150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</row>
    <row r="825" customFormat="false" ht="15.75" hidden="false" customHeight="false" outlineLevel="0" collapsed="false">
      <c r="A825" s="144" t="str">
        <f aca="false">IF(ISBLANK(B825),"",B825&amp;"|"&amp;C825)</f>
        <v/>
      </c>
      <c r="B825" s="144"/>
      <c r="C825" s="144"/>
      <c r="D825" s="144"/>
      <c r="E825" s="150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</row>
    <row r="826" customFormat="false" ht="15.75" hidden="false" customHeight="false" outlineLevel="0" collapsed="false">
      <c r="A826" s="144" t="str">
        <f aca="false">IF(ISBLANK(B826),"",B826&amp;"|"&amp;C826)</f>
        <v/>
      </c>
      <c r="B826" s="144"/>
      <c r="C826" s="144"/>
      <c r="D826" s="144"/>
      <c r="E826" s="150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</row>
    <row r="827" customFormat="false" ht="15.75" hidden="false" customHeight="false" outlineLevel="0" collapsed="false">
      <c r="A827" s="144" t="str">
        <f aca="false">IF(ISBLANK(B827),"",B827&amp;"|"&amp;C827)</f>
        <v/>
      </c>
      <c r="B827" s="144"/>
      <c r="C827" s="144"/>
      <c r="D827" s="144"/>
      <c r="E827" s="150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</row>
    <row r="828" customFormat="false" ht="15.75" hidden="false" customHeight="false" outlineLevel="0" collapsed="false">
      <c r="A828" s="144" t="str">
        <f aca="false">IF(ISBLANK(B828),"",B828&amp;"|"&amp;C828)</f>
        <v/>
      </c>
      <c r="B828" s="144"/>
      <c r="C828" s="144"/>
      <c r="D828" s="144"/>
      <c r="E828" s="150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</row>
    <row r="829" customFormat="false" ht="15.75" hidden="false" customHeight="false" outlineLevel="0" collapsed="false">
      <c r="A829" s="144" t="str">
        <f aca="false">IF(ISBLANK(B829),"",B829&amp;"|"&amp;C829)</f>
        <v/>
      </c>
      <c r="B829" s="144"/>
      <c r="C829" s="144"/>
      <c r="D829" s="144"/>
      <c r="E829" s="150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</row>
    <row r="830" customFormat="false" ht="15.75" hidden="false" customHeight="false" outlineLevel="0" collapsed="false">
      <c r="A830" s="144" t="str">
        <f aca="false">IF(ISBLANK(B830),"",B830&amp;"|"&amp;C830)</f>
        <v/>
      </c>
      <c r="B830" s="144"/>
      <c r="C830" s="144"/>
      <c r="D830" s="144"/>
      <c r="E830" s="150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</row>
    <row r="831" customFormat="false" ht="15.75" hidden="false" customHeight="false" outlineLevel="0" collapsed="false">
      <c r="A831" s="144" t="str">
        <f aca="false">IF(ISBLANK(B831),"",B831&amp;"|"&amp;C831)</f>
        <v/>
      </c>
      <c r="B831" s="144"/>
      <c r="C831" s="144"/>
      <c r="D831" s="144"/>
      <c r="E831" s="150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</row>
    <row r="832" customFormat="false" ht="15.75" hidden="false" customHeight="false" outlineLevel="0" collapsed="false">
      <c r="A832" s="144" t="str">
        <f aca="false">IF(ISBLANK(B832),"",B832&amp;"|"&amp;C832)</f>
        <v/>
      </c>
      <c r="B832" s="144"/>
      <c r="C832" s="144"/>
      <c r="D832" s="144"/>
      <c r="E832" s="150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</row>
    <row r="833" customFormat="false" ht="15.75" hidden="false" customHeight="false" outlineLevel="0" collapsed="false">
      <c r="A833" s="144" t="str">
        <f aca="false">IF(ISBLANK(B833),"",B833&amp;"|"&amp;C833)</f>
        <v/>
      </c>
      <c r="B833" s="144"/>
      <c r="C833" s="144"/>
      <c r="D833" s="144"/>
      <c r="E833" s="150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</row>
    <row r="834" customFormat="false" ht="15.75" hidden="false" customHeight="false" outlineLevel="0" collapsed="false">
      <c r="A834" s="144" t="str">
        <f aca="false">IF(ISBLANK(B834),"",B834&amp;"|"&amp;C834)</f>
        <v/>
      </c>
      <c r="B834" s="144"/>
      <c r="C834" s="144"/>
      <c r="D834" s="144"/>
      <c r="E834" s="150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</row>
    <row r="835" customFormat="false" ht="15.75" hidden="false" customHeight="false" outlineLevel="0" collapsed="false">
      <c r="A835" s="144" t="str">
        <f aca="false">IF(ISBLANK(B835),"",B835&amp;"|"&amp;C835)</f>
        <v/>
      </c>
      <c r="B835" s="144"/>
      <c r="C835" s="144"/>
      <c r="D835" s="144"/>
      <c r="E835" s="150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</row>
    <row r="836" customFormat="false" ht="15.75" hidden="false" customHeight="false" outlineLevel="0" collapsed="false">
      <c r="A836" s="144" t="str">
        <f aca="false">IF(ISBLANK(B836),"",B836&amp;"|"&amp;C836)</f>
        <v/>
      </c>
      <c r="B836" s="144"/>
      <c r="C836" s="144"/>
      <c r="D836" s="144"/>
      <c r="E836" s="150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</row>
    <row r="837" customFormat="false" ht="15.75" hidden="false" customHeight="false" outlineLevel="0" collapsed="false">
      <c r="A837" s="144" t="str">
        <f aca="false">IF(ISBLANK(B837),"",B837&amp;"|"&amp;C837)</f>
        <v/>
      </c>
      <c r="B837" s="144"/>
      <c r="C837" s="144"/>
      <c r="D837" s="144"/>
      <c r="E837" s="150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</row>
    <row r="838" customFormat="false" ht="15.75" hidden="false" customHeight="false" outlineLevel="0" collapsed="false">
      <c r="A838" s="144" t="str">
        <f aca="false">IF(ISBLANK(B838),"",B838&amp;"|"&amp;C838)</f>
        <v/>
      </c>
      <c r="B838" s="144"/>
      <c r="C838" s="144"/>
      <c r="D838" s="144"/>
      <c r="E838" s="150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</row>
    <row r="839" customFormat="false" ht="15.75" hidden="false" customHeight="false" outlineLevel="0" collapsed="false">
      <c r="A839" s="144" t="str">
        <f aca="false">IF(ISBLANK(B839),"",B839&amp;"|"&amp;C839)</f>
        <v/>
      </c>
      <c r="B839" s="144"/>
      <c r="C839" s="144"/>
      <c r="D839" s="144"/>
      <c r="E839" s="150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</row>
    <row r="840" customFormat="false" ht="15.75" hidden="false" customHeight="false" outlineLevel="0" collapsed="false">
      <c r="A840" s="144" t="str">
        <f aca="false">IF(ISBLANK(B840),"",B840&amp;"|"&amp;C840)</f>
        <v/>
      </c>
      <c r="B840" s="144"/>
      <c r="C840" s="144"/>
      <c r="D840" s="144"/>
      <c r="E840" s="150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</row>
    <row r="841" customFormat="false" ht="15.75" hidden="false" customHeight="false" outlineLevel="0" collapsed="false">
      <c r="A841" s="144" t="str">
        <f aca="false">IF(ISBLANK(B841),"",B841&amp;"|"&amp;C841)</f>
        <v/>
      </c>
      <c r="B841" s="144"/>
      <c r="C841" s="144"/>
      <c r="D841" s="144"/>
      <c r="E841" s="150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</row>
    <row r="842" customFormat="false" ht="15.75" hidden="false" customHeight="false" outlineLevel="0" collapsed="false">
      <c r="A842" s="144" t="str">
        <f aca="false">IF(ISBLANK(B842),"",B842&amp;"|"&amp;C842)</f>
        <v/>
      </c>
      <c r="B842" s="144"/>
      <c r="C842" s="144"/>
      <c r="D842" s="144"/>
      <c r="E842" s="150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</row>
    <row r="843" customFormat="false" ht="15.75" hidden="false" customHeight="false" outlineLevel="0" collapsed="false">
      <c r="A843" s="144" t="str">
        <f aca="false">IF(ISBLANK(B843),"",B843&amp;"|"&amp;C843)</f>
        <v/>
      </c>
      <c r="B843" s="144"/>
      <c r="C843" s="144"/>
      <c r="D843" s="144"/>
      <c r="E843" s="150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</row>
    <row r="844" customFormat="false" ht="15.75" hidden="false" customHeight="false" outlineLevel="0" collapsed="false">
      <c r="A844" s="144" t="str">
        <f aca="false">IF(ISBLANK(B844),"",B844&amp;"|"&amp;C844)</f>
        <v/>
      </c>
      <c r="B844" s="144"/>
      <c r="C844" s="144"/>
      <c r="D844" s="144"/>
      <c r="E844" s="150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</row>
    <row r="845" customFormat="false" ht="15.75" hidden="false" customHeight="false" outlineLevel="0" collapsed="false">
      <c r="A845" s="144" t="str">
        <f aca="false">IF(ISBLANK(B845),"",B845&amp;"|"&amp;C845)</f>
        <v/>
      </c>
      <c r="B845" s="144"/>
      <c r="C845" s="144"/>
      <c r="D845" s="144"/>
      <c r="E845" s="150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</row>
    <row r="846" customFormat="false" ht="15.75" hidden="false" customHeight="false" outlineLevel="0" collapsed="false">
      <c r="A846" s="144" t="str">
        <f aca="false">IF(ISBLANK(B846),"",B846&amp;"|"&amp;C846)</f>
        <v/>
      </c>
      <c r="B846" s="144"/>
      <c r="C846" s="144"/>
      <c r="D846" s="144"/>
      <c r="E846" s="150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</row>
    <row r="847" customFormat="false" ht="15.75" hidden="false" customHeight="false" outlineLevel="0" collapsed="false">
      <c r="A847" s="144" t="str">
        <f aca="false">IF(ISBLANK(B847),"",B847&amp;"|"&amp;C847)</f>
        <v/>
      </c>
      <c r="B847" s="144"/>
      <c r="C847" s="144"/>
      <c r="D847" s="144"/>
      <c r="E847" s="150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</row>
    <row r="848" customFormat="false" ht="15.75" hidden="false" customHeight="false" outlineLevel="0" collapsed="false">
      <c r="A848" s="144" t="str">
        <f aca="false">IF(ISBLANK(B848),"",B848&amp;"|"&amp;C848)</f>
        <v/>
      </c>
      <c r="B848" s="144"/>
      <c r="C848" s="144"/>
      <c r="D848" s="144"/>
      <c r="E848" s="150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</row>
    <row r="849" customFormat="false" ht="15.75" hidden="false" customHeight="false" outlineLevel="0" collapsed="false">
      <c r="A849" s="144" t="str">
        <f aca="false">IF(ISBLANK(B849),"",B849&amp;"|"&amp;C849)</f>
        <v/>
      </c>
      <c r="B849" s="144"/>
      <c r="C849" s="144"/>
      <c r="D849" s="144"/>
      <c r="E849" s="150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</row>
    <row r="850" customFormat="false" ht="15.75" hidden="false" customHeight="false" outlineLevel="0" collapsed="false">
      <c r="A850" s="144" t="str">
        <f aca="false">IF(ISBLANK(B850),"",B850&amp;"|"&amp;C850)</f>
        <v/>
      </c>
      <c r="B850" s="144"/>
      <c r="C850" s="144"/>
      <c r="D850" s="144"/>
      <c r="E850" s="150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</row>
    <row r="851" customFormat="false" ht="15.75" hidden="false" customHeight="false" outlineLevel="0" collapsed="false">
      <c r="A851" s="144" t="str">
        <f aca="false">IF(ISBLANK(B851),"",B851&amp;"|"&amp;C851)</f>
        <v/>
      </c>
      <c r="B851" s="144"/>
      <c r="C851" s="144"/>
      <c r="D851" s="144"/>
      <c r="E851" s="150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</row>
    <row r="852" customFormat="false" ht="15.75" hidden="false" customHeight="false" outlineLevel="0" collapsed="false">
      <c r="A852" s="144" t="str">
        <f aca="false">IF(ISBLANK(B852),"",B852&amp;"|"&amp;C852)</f>
        <v/>
      </c>
      <c r="B852" s="144"/>
      <c r="C852" s="144"/>
      <c r="D852" s="144"/>
      <c r="E852" s="150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</row>
    <row r="853" customFormat="false" ht="15.75" hidden="false" customHeight="false" outlineLevel="0" collapsed="false">
      <c r="A853" s="144" t="str">
        <f aca="false">IF(ISBLANK(B853),"",B853&amp;"|"&amp;C853)</f>
        <v/>
      </c>
      <c r="B853" s="144"/>
      <c r="C853" s="144"/>
      <c r="D853" s="144"/>
      <c r="E853" s="150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</row>
    <row r="854" customFormat="false" ht="15.75" hidden="false" customHeight="false" outlineLevel="0" collapsed="false">
      <c r="A854" s="144" t="str">
        <f aca="false">IF(ISBLANK(B854),"",B854&amp;"|"&amp;C854)</f>
        <v/>
      </c>
      <c r="B854" s="144"/>
      <c r="C854" s="144"/>
      <c r="D854" s="144"/>
      <c r="E854" s="150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</row>
    <row r="855" customFormat="false" ht="15.75" hidden="false" customHeight="false" outlineLevel="0" collapsed="false">
      <c r="A855" s="144" t="str">
        <f aca="false">IF(ISBLANK(B855),"",B855&amp;"|"&amp;C855)</f>
        <v/>
      </c>
      <c r="B855" s="144"/>
      <c r="C855" s="144"/>
      <c r="D855" s="144"/>
      <c r="E855" s="150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</row>
    <row r="856" customFormat="false" ht="15.75" hidden="false" customHeight="false" outlineLevel="0" collapsed="false">
      <c r="A856" s="144" t="str">
        <f aca="false">IF(ISBLANK(B856),"",B856&amp;"|"&amp;C856)</f>
        <v/>
      </c>
      <c r="B856" s="144"/>
      <c r="C856" s="144"/>
      <c r="D856" s="144"/>
      <c r="E856" s="150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</row>
    <row r="857" customFormat="false" ht="15.75" hidden="false" customHeight="false" outlineLevel="0" collapsed="false">
      <c r="A857" s="144" t="str">
        <f aca="false">IF(ISBLANK(B857),"",B857&amp;"|"&amp;C857)</f>
        <v/>
      </c>
      <c r="B857" s="144"/>
      <c r="C857" s="144"/>
      <c r="D857" s="144"/>
      <c r="E857" s="150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</row>
    <row r="858" customFormat="false" ht="15.75" hidden="false" customHeight="false" outlineLevel="0" collapsed="false">
      <c r="A858" s="144" t="str">
        <f aca="false">IF(ISBLANK(B858),"",B858&amp;"|"&amp;C858)</f>
        <v/>
      </c>
      <c r="B858" s="144"/>
      <c r="C858" s="144"/>
      <c r="D858" s="144"/>
      <c r="E858" s="150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</row>
    <row r="859" customFormat="false" ht="15.75" hidden="false" customHeight="false" outlineLevel="0" collapsed="false">
      <c r="A859" s="144" t="str">
        <f aca="false">IF(ISBLANK(B859),"",B859&amp;"|"&amp;C859)</f>
        <v/>
      </c>
      <c r="B859" s="144"/>
      <c r="C859" s="144"/>
      <c r="D859" s="144"/>
      <c r="E859" s="150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</row>
    <row r="860" customFormat="false" ht="15.75" hidden="false" customHeight="false" outlineLevel="0" collapsed="false">
      <c r="A860" s="144" t="str">
        <f aca="false">IF(ISBLANK(B860),"",B860&amp;"|"&amp;C860)</f>
        <v/>
      </c>
      <c r="B860" s="144"/>
      <c r="C860" s="144"/>
      <c r="D860" s="144"/>
      <c r="E860" s="150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</row>
    <row r="861" customFormat="false" ht="15.75" hidden="false" customHeight="false" outlineLevel="0" collapsed="false">
      <c r="A861" s="144" t="str">
        <f aca="false">IF(ISBLANK(B861),"",B861&amp;"|"&amp;C861)</f>
        <v/>
      </c>
      <c r="B861" s="144"/>
      <c r="C861" s="144"/>
      <c r="D861" s="144"/>
      <c r="E861" s="150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</row>
    <row r="862" customFormat="false" ht="15.75" hidden="false" customHeight="false" outlineLevel="0" collapsed="false">
      <c r="A862" s="144" t="str">
        <f aca="false">IF(ISBLANK(B862),"",B862&amp;"|"&amp;C862)</f>
        <v/>
      </c>
      <c r="B862" s="144"/>
      <c r="C862" s="144"/>
      <c r="D862" s="144"/>
      <c r="E862" s="150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</row>
    <row r="863" customFormat="false" ht="15.75" hidden="false" customHeight="false" outlineLevel="0" collapsed="false">
      <c r="A863" s="144" t="str">
        <f aca="false">IF(ISBLANK(B863),"",B863&amp;"|"&amp;C863)</f>
        <v/>
      </c>
      <c r="B863" s="144"/>
      <c r="C863" s="144"/>
      <c r="D863" s="144"/>
      <c r="E863" s="150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</row>
    <row r="864" customFormat="false" ht="15.75" hidden="false" customHeight="false" outlineLevel="0" collapsed="false">
      <c r="A864" s="144" t="str">
        <f aca="false">IF(ISBLANK(B864),"",B864&amp;"|"&amp;C864)</f>
        <v/>
      </c>
      <c r="B864" s="144"/>
      <c r="C864" s="144"/>
      <c r="D864" s="144"/>
      <c r="E864" s="150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</row>
    <row r="865" customFormat="false" ht="15.75" hidden="false" customHeight="false" outlineLevel="0" collapsed="false">
      <c r="A865" s="144" t="str">
        <f aca="false">IF(ISBLANK(B865),"",B865&amp;"|"&amp;C865)</f>
        <v/>
      </c>
      <c r="B865" s="144"/>
      <c r="C865" s="144"/>
      <c r="D865" s="144"/>
      <c r="E865" s="150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</row>
    <row r="866" customFormat="false" ht="15.75" hidden="false" customHeight="false" outlineLevel="0" collapsed="false">
      <c r="A866" s="144" t="str">
        <f aca="false">IF(ISBLANK(B866),"",B866&amp;"|"&amp;C866)</f>
        <v/>
      </c>
      <c r="B866" s="144"/>
      <c r="C866" s="144"/>
      <c r="D866" s="144"/>
      <c r="E866" s="150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</row>
    <row r="867" customFormat="false" ht="15.75" hidden="false" customHeight="false" outlineLevel="0" collapsed="false">
      <c r="A867" s="144" t="str">
        <f aca="false">IF(ISBLANK(B867),"",B867&amp;"|"&amp;C867)</f>
        <v/>
      </c>
      <c r="B867" s="144"/>
      <c r="C867" s="144"/>
      <c r="D867" s="144"/>
      <c r="E867" s="150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</row>
    <row r="868" customFormat="false" ht="15.75" hidden="false" customHeight="false" outlineLevel="0" collapsed="false">
      <c r="A868" s="144" t="str">
        <f aca="false">IF(ISBLANK(B868),"",B868&amp;"|"&amp;C868)</f>
        <v/>
      </c>
      <c r="B868" s="144"/>
      <c r="C868" s="144"/>
      <c r="D868" s="144"/>
      <c r="E868" s="150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</row>
    <row r="869" customFormat="false" ht="15.75" hidden="false" customHeight="false" outlineLevel="0" collapsed="false">
      <c r="A869" s="144" t="str">
        <f aca="false">IF(ISBLANK(B869),"",B869&amp;"|"&amp;C869)</f>
        <v/>
      </c>
      <c r="B869" s="144"/>
      <c r="C869" s="144"/>
      <c r="D869" s="144"/>
      <c r="E869" s="150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</row>
    <row r="870" customFormat="false" ht="15.75" hidden="false" customHeight="false" outlineLevel="0" collapsed="false">
      <c r="A870" s="144" t="str">
        <f aca="false">IF(ISBLANK(B870),"",B870&amp;"|"&amp;C870)</f>
        <v/>
      </c>
      <c r="B870" s="144"/>
      <c r="C870" s="144"/>
      <c r="D870" s="144"/>
      <c r="E870" s="150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</row>
    <row r="871" customFormat="false" ht="15.75" hidden="false" customHeight="false" outlineLevel="0" collapsed="false">
      <c r="A871" s="144" t="str">
        <f aca="false">IF(ISBLANK(B871),"",B871&amp;"|"&amp;C871)</f>
        <v/>
      </c>
      <c r="B871" s="144"/>
      <c r="C871" s="144"/>
      <c r="D871" s="144"/>
      <c r="E871" s="150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</row>
    <row r="872" customFormat="false" ht="15.75" hidden="false" customHeight="false" outlineLevel="0" collapsed="false">
      <c r="A872" s="144" t="str">
        <f aca="false">IF(ISBLANK(B872),"",B872&amp;"|"&amp;C872)</f>
        <v/>
      </c>
      <c r="B872" s="144"/>
      <c r="C872" s="144"/>
      <c r="D872" s="144"/>
      <c r="E872" s="150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</row>
    <row r="873" customFormat="false" ht="15.75" hidden="false" customHeight="false" outlineLevel="0" collapsed="false">
      <c r="A873" s="144" t="str">
        <f aca="false">IF(ISBLANK(B873),"",B873&amp;"|"&amp;C873)</f>
        <v/>
      </c>
      <c r="B873" s="144"/>
      <c r="C873" s="144"/>
      <c r="D873" s="144"/>
      <c r="E873" s="150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</row>
    <row r="874" customFormat="false" ht="15.75" hidden="false" customHeight="false" outlineLevel="0" collapsed="false">
      <c r="A874" s="144" t="str">
        <f aca="false">IF(ISBLANK(B874),"",B874&amp;"|"&amp;C874)</f>
        <v/>
      </c>
      <c r="B874" s="144"/>
      <c r="C874" s="144"/>
      <c r="D874" s="144"/>
      <c r="E874" s="150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</row>
    <row r="875" customFormat="false" ht="15.75" hidden="false" customHeight="false" outlineLevel="0" collapsed="false">
      <c r="A875" s="144" t="str">
        <f aca="false">IF(ISBLANK(B875),"",B875&amp;"|"&amp;C875)</f>
        <v/>
      </c>
      <c r="B875" s="144"/>
      <c r="C875" s="144"/>
      <c r="D875" s="144"/>
      <c r="E875" s="150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</row>
    <row r="876" customFormat="false" ht="15.75" hidden="false" customHeight="false" outlineLevel="0" collapsed="false">
      <c r="A876" s="144" t="str">
        <f aca="false">IF(ISBLANK(B876),"",B876&amp;"|"&amp;C876)</f>
        <v/>
      </c>
      <c r="B876" s="144"/>
      <c r="C876" s="144"/>
      <c r="D876" s="144"/>
      <c r="E876" s="150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</row>
    <row r="877" customFormat="false" ht="15.75" hidden="false" customHeight="false" outlineLevel="0" collapsed="false">
      <c r="A877" s="144" t="str">
        <f aca="false">IF(ISBLANK(B877),"",B877&amp;"|"&amp;C877)</f>
        <v/>
      </c>
      <c r="B877" s="144"/>
      <c r="C877" s="144"/>
      <c r="D877" s="144"/>
      <c r="E877" s="150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</row>
    <row r="878" customFormat="false" ht="15.75" hidden="false" customHeight="false" outlineLevel="0" collapsed="false">
      <c r="A878" s="144" t="str">
        <f aca="false">IF(ISBLANK(B878),"",B878&amp;"|"&amp;C878)</f>
        <v/>
      </c>
      <c r="B878" s="144"/>
      <c r="C878" s="144"/>
      <c r="D878" s="144"/>
      <c r="E878" s="150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</row>
    <row r="879" customFormat="false" ht="15.75" hidden="false" customHeight="false" outlineLevel="0" collapsed="false">
      <c r="A879" s="144" t="str">
        <f aca="false">IF(ISBLANK(B879),"",B879&amp;"|"&amp;C879)</f>
        <v/>
      </c>
      <c r="B879" s="144"/>
      <c r="C879" s="144"/>
      <c r="D879" s="144"/>
      <c r="E879" s="150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</row>
    <row r="880" customFormat="false" ht="15.75" hidden="false" customHeight="false" outlineLevel="0" collapsed="false">
      <c r="A880" s="144" t="str">
        <f aca="false">IF(ISBLANK(B880),"",B880&amp;"|"&amp;C880)</f>
        <v/>
      </c>
      <c r="B880" s="144"/>
      <c r="C880" s="144"/>
      <c r="D880" s="144"/>
      <c r="E880" s="150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</row>
    <row r="881" customFormat="false" ht="15.75" hidden="false" customHeight="false" outlineLevel="0" collapsed="false">
      <c r="A881" s="144" t="str">
        <f aca="false">IF(ISBLANK(B881),"",B881&amp;"|"&amp;C881)</f>
        <v/>
      </c>
      <c r="B881" s="144"/>
      <c r="C881" s="144"/>
      <c r="D881" s="144"/>
      <c r="E881" s="150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</row>
    <row r="882" customFormat="false" ht="15.75" hidden="false" customHeight="false" outlineLevel="0" collapsed="false">
      <c r="A882" s="144" t="str">
        <f aca="false">IF(ISBLANK(B882),"",B882&amp;"|"&amp;C882)</f>
        <v/>
      </c>
      <c r="B882" s="144"/>
      <c r="C882" s="144"/>
      <c r="D882" s="144"/>
      <c r="E882" s="150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</row>
    <row r="883" customFormat="false" ht="15.75" hidden="false" customHeight="false" outlineLevel="0" collapsed="false">
      <c r="A883" s="144" t="str">
        <f aca="false">IF(ISBLANK(B883),"",B883&amp;"|"&amp;C883)</f>
        <v/>
      </c>
      <c r="B883" s="144"/>
      <c r="C883" s="144"/>
      <c r="D883" s="144"/>
      <c r="E883" s="150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</row>
    <row r="884" customFormat="false" ht="15.75" hidden="false" customHeight="false" outlineLevel="0" collapsed="false">
      <c r="A884" s="144" t="str">
        <f aca="false">IF(ISBLANK(B884),"",B884&amp;"|"&amp;C884)</f>
        <v/>
      </c>
      <c r="B884" s="144"/>
      <c r="C884" s="144"/>
      <c r="D884" s="144"/>
      <c r="E884" s="150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</row>
    <row r="885" customFormat="false" ht="15.75" hidden="false" customHeight="false" outlineLevel="0" collapsed="false">
      <c r="A885" s="144" t="str">
        <f aca="false">IF(ISBLANK(B885),"",B885&amp;"|"&amp;C885)</f>
        <v/>
      </c>
      <c r="B885" s="144"/>
      <c r="C885" s="144"/>
      <c r="D885" s="144"/>
      <c r="E885" s="150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</row>
    <row r="886" customFormat="false" ht="15.75" hidden="false" customHeight="false" outlineLevel="0" collapsed="false">
      <c r="A886" s="144" t="str">
        <f aca="false">IF(ISBLANK(B886),"",B886&amp;"|"&amp;C886)</f>
        <v/>
      </c>
      <c r="B886" s="144"/>
      <c r="C886" s="144"/>
      <c r="D886" s="144"/>
      <c r="E886" s="150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</row>
    <row r="887" customFormat="false" ht="15.75" hidden="false" customHeight="false" outlineLevel="0" collapsed="false">
      <c r="A887" s="144" t="str">
        <f aca="false">IF(ISBLANK(B887),"",B887&amp;"|"&amp;C887)</f>
        <v/>
      </c>
      <c r="B887" s="144"/>
      <c r="C887" s="144"/>
      <c r="D887" s="144"/>
      <c r="E887" s="150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</row>
    <row r="888" customFormat="false" ht="15.75" hidden="false" customHeight="false" outlineLevel="0" collapsed="false">
      <c r="A888" s="144" t="str">
        <f aca="false">IF(ISBLANK(B888),"",B888&amp;"|"&amp;C888)</f>
        <v/>
      </c>
      <c r="B888" s="144"/>
      <c r="C888" s="144"/>
      <c r="D888" s="144"/>
      <c r="E888" s="150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</row>
    <row r="889" customFormat="false" ht="15.75" hidden="false" customHeight="false" outlineLevel="0" collapsed="false">
      <c r="A889" s="144" t="str">
        <f aca="false">IF(ISBLANK(B889),"",B889&amp;"|"&amp;C889)</f>
        <v/>
      </c>
      <c r="B889" s="144"/>
      <c r="C889" s="144"/>
      <c r="D889" s="144"/>
      <c r="E889" s="150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</row>
    <row r="890" customFormat="false" ht="15.75" hidden="false" customHeight="false" outlineLevel="0" collapsed="false">
      <c r="A890" s="144" t="str">
        <f aca="false">IF(ISBLANK(B890),"",B890&amp;"|"&amp;C890)</f>
        <v/>
      </c>
      <c r="B890" s="144"/>
      <c r="C890" s="144"/>
      <c r="D890" s="144"/>
      <c r="E890" s="150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</row>
    <row r="891" customFormat="false" ht="15.75" hidden="false" customHeight="false" outlineLevel="0" collapsed="false">
      <c r="A891" s="144" t="str">
        <f aca="false">IF(ISBLANK(B891),"",B891&amp;"|"&amp;C891)</f>
        <v/>
      </c>
      <c r="B891" s="144"/>
      <c r="C891" s="144"/>
      <c r="D891" s="144"/>
      <c r="E891" s="150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</row>
    <row r="892" customFormat="false" ht="15.75" hidden="false" customHeight="false" outlineLevel="0" collapsed="false">
      <c r="A892" s="144" t="str">
        <f aca="false">IF(ISBLANK(B892),"",B892&amp;"|"&amp;C892)</f>
        <v/>
      </c>
      <c r="B892" s="144"/>
      <c r="C892" s="144"/>
      <c r="D892" s="144"/>
      <c r="E892" s="150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</row>
    <row r="893" customFormat="false" ht="15.75" hidden="false" customHeight="false" outlineLevel="0" collapsed="false">
      <c r="A893" s="144" t="str">
        <f aca="false">IF(ISBLANK(B893),"",B893&amp;"|"&amp;C893)</f>
        <v/>
      </c>
      <c r="B893" s="144"/>
      <c r="C893" s="144"/>
      <c r="D893" s="144"/>
      <c r="E893" s="150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</row>
    <row r="894" customFormat="false" ht="15.75" hidden="false" customHeight="false" outlineLevel="0" collapsed="false">
      <c r="A894" s="144" t="str">
        <f aca="false">IF(ISBLANK(B894),"",B894&amp;"|"&amp;C894)</f>
        <v/>
      </c>
      <c r="B894" s="144"/>
      <c r="C894" s="144"/>
      <c r="D894" s="144"/>
      <c r="E894" s="150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</row>
    <row r="895" customFormat="false" ht="15.75" hidden="false" customHeight="false" outlineLevel="0" collapsed="false">
      <c r="A895" s="144" t="str">
        <f aca="false">IF(ISBLANK(B895),"",B895&amp;"|"&amp;C895)</f>
        <v/>
      </c>
      <c r="B895" s="144"/>
      <c r="C895" s="144"/>
      <c r="D895" s="144"/>
      <c r="E895" s="150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</row>
    <row r="896" customFormat="false" ht="15.75" hidden="false" customHeight="false" outlineLevel="0" collapsed="false">
      <c r="A896" s="144" t="str">
        <f aca="false">IF(ISBLANK(B896),"",B896&amp;"|"&amp;C896)</f>
        <v/>
      </c>
      <c r="B896" s="144"/>
      <c r="C896" s="144"/>
      <c r="D896" s="144"/>
      <c r="E896" s="150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</row>
    <row r="897" customFormat="false" ht="15.75" hidden="false" customHeight="false" outlineLevel="0" collapsed="false">
      <c r="A897" s="144" t="str">
        <f aca="false">IF(ISBLANK(B897),"",B897&amp;"|"&amp;C897)</f>
        <v/>
      </c>
      <c r="B897" s="144"/>
      <c r="C897" s="144"/>
      <c r="D897" s="144"/>
      <c r="E897" s="150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</row>
    <row r="898" customFormat="false" ht="15.75" hidden="false" customHeight="false" outlineLevel="0" collapsed="false">
      <c r="A898" s="144" t="str">
        <f aca="false">IF(ISBLANK(B898),"",B898&amp;"|"&amp;C898)</f>
        <v/>
      </c>
      <c r="B898" s="144"/>
      <c r="C898" s="144"/>
      <c r="D898" s="144"/>
      <c r="E898" s="150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</row>
    <row r="899" customFormat="false" ht="15.75" hidden="false" customHeight="false" outlineLevel="0" collapsed="false">
      <c r="A899" s="144" t="str">
        <f aca="false">IF(ISBLANK(B899),"",B899&amp;"|"&amp;C899)</f>
        <v/>
      </c>
      <c r="B899" s="144"/>
      <c r="C899" s="144"/>
      <c r="D899" s="144"/>
      <c r="E899" s="150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</row>
    <row r="900" customFormat="false" ht="15.75" hidden="false" customHeight="false" outlineLevel="0" collapsed="false">
      <c r="A900" s="144" t="str">
        <f aca="false">IF(ISBLANK(B900),"",B900&amp;"|"&amp;C900)</f>
        <v/>
      </c>
      <c r="B900" s="144"/>
      <c r="C900" s="144"/>
      <c r="D900" s="144"/>
      <c r="E900" s="150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</row>
    <row r="901" customFormat="false" ht="15.75" hidden="false" customHeight="false" outlineLevel="0" collapsed="false">
      <c r="A901" s="144" t="str">
        <f aca="false">IF(ISBLANK(B901),"",B901&amp;"|"&amp;C901)</f>
        <v/>
      </c>
      <c r="B901" s="144"/>
      <c r="C901" s="144"/>
      <c r="D901" s="144"/>
      <c r="E901" s="150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</row>
    <row r="902" customFormat="false" ht="15.75" hidden="false" customHeight="false" outlineLevel="0" collapsed="false">
      <c r="A902" s="144" t="str">
        <f aca="false">IF(ISBLANK(B902),"",B902&amp;"|"&amp;C902)</f>
        <v/>
      </c>
      <c r="B902" s="144"/>
      <c r="C902" s="144"/>
      <c r="D902" s="144"/>
      <c r="E902" s="150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</row>
    <row r="903" customFormat="false" ht="15.75" hidden="false" customHeight="false" outlineLevel="0" collapsed="false">
      <c r="A903" s="144" t="str">
        <f aca="false">IF(ISBLANK(B903),"",B903&amp;"|"&amp;C903)</f>
        <v/>
      </c>
      <c r="B903" s="144"/>
      <c r="C903" s="144"/>
      <c r="D903" s="144"/>
      <c r="E903" s="150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</row>
    <row r="904" customFormat="false" ht="15.75" hidden="false" customHeight="false" outlineLevel="0" collapsed="false">
      <c r="A904" s="144" t="str">
        <f aca="false">IF(ISBLANK(B904),"",B904&amp;"|"&amp;C904)</f>
        <v/>
      </c>
      <c r="B904" s="144"/>
      <c r="C904" s="144"/>
      <c r="D904" s="144"/>
      <c r="E904" s="150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</row>
    <row r="905" customFormat="false" ht="15.75" hidden="false" customHeight="false" outlineLevel="0" collapsed="false">
      <c r="A905" s="144" t="str">
        <f aca="false">IF(ISBLANK(B905),"",B905&amp;"|"&amp;C905)</f>
        <v/>
      </c>
      <c r="B905" s="144"/>
      <c r="C905" s="144"/>
      <c r="D905" s="144"/>
      <c r="E905" s="150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</row>
    <row r="906" customFormat="false" ht="15.75" hidden="false" customHeight="false" outlineLevel="0" collapsed="false">
      <c r="A906" s="144" t="str">
        <f aca="false">IF(ISBLANK(B906),"",B906&amp;"|"&amp;C906)</f>
        <v/>
      </c>
      <c r="B906" s="144"/>
      <c r="C906" s="144"/>
      <c r="D906" s="144"/>
      <c r="E906" s="150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</row>
    <row r="907" customFormat="false" ht="15.75" hidden="false" customHeight="false" outlineLevel="0" collapsed="false">
      <c r="A907" s="144" t="str">
        <f aca="false">IF(ISBLANK(B907),"",B907&amp;"|"&amp;C907)</f>
        <v/>
      </c>
      <c r="B907" s="144"/>
      <c r="C907" s="144"/>
      <c r="D907" s="144"/>
      <c r="E907" s="150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</row>
    <row r="908" customFormat="false" ht="15.75" hidden="false" customHeight="false" outlineLevel="0" collapsed="false">
      <c r="A908" s="144" t="str">
        <f aca="false">IF(ISBLANK(B908),"",B908&amp;"|"&amp;C908)</f>
        <v/>
      </c>
      <c r="B908" s="144"/>
      <c r="C908" s="144"/>
      <c r="D908" s="144"/>
      <c r="E908" s="150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</row>
    <row r="909" customFormat="false" ht="15.75" hidden="false" customHeight="false" outlineLevel="0" collapsed="false">
      <c r="A909" s="144" t="str">
        <f aca="false">IF(ISBLANK(B909),"",B909&amp;"|"&amp;C909)</f>
        <v/>
      </c>
      <c r="B909" s="144"/>
      <c r="C909" s="144"/>
      <c r="D909" s="144"/>
      <c r="E909" s="150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</row>
    <row r="910" customFormat="false" ht="15.75" hidden="false" customHeight="false" outlineLevel="0" collapsed="false">
      <c r="A910" s="144" t="str">
        <f aca="false">IF(ISBLANK(B910),"",B910&amp;"|"&amp;C910)</f>
        <v/>
      </c>
      <c r="B910" s="144"/>
      <c r="C910" s="144"/>
      <c r="D910" s="144"/>
      <c r="E910" s="150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</row>
    <row r="911" customFormat="false" ht="15.75" hidden="false" customHeight="false" outlineLevel="0" collapsed="false">
      <c r="A911" s="144" t="str">
        <f aca="false">IF(ISBLANK(B911),"",B911&amp;"|"&amp;C911)</f>
        <v/>
      </c>
      <c r="B911" s="144"/>
      <c r="C911" s="144"/>
      <c r="D911" s="144"/>
      <c r="E911" s="150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</row>
    <row r="912" customFormat="false" ht="15.75" hidden="false" customHeight="false" outlineLevel="0" collapsed="false">
      <c r="A912" s="144" t="str">
        <f aca="false">IF(ISBLANK(B912),"",B912&amp;"|"&amp;C912)</f>
        <v/>
      </c>
      <c r="B912" s="144"/>
      <c r="C912" s="144"/>
      <c r="D912" s="144"/>
      <c r="E912" s="150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</row>
    <row r="913" customFormat="false" ht="15.75" hidden="false" customHeight="false" outlineLevel="0" collapsed="false">
      <c r="A913" s="144" t="str">
        <f aca="false">IF(ISBLANK(B913),"",B913&amp;"|"&amp;C913)</f>
        <v/>
      </c>
      <c r="B913" s="144"/>
      <c r="C913" s="144"/>
      <c r="D913" s="144"/>
      <c r="E913" s="150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</row>
    <row r="914" customFormat="false" ht="15.75" hidden="false" customHeight="false" outlineLevel="0" collapsed="false">
      <c r="A914" s="144" t="str">
        <f aca="false">IF(ISBLANK(B914),"",B914&amp;"|"&amp;C914)</f>
        <v/>
      </c>
      <c r="B914" s="144"/>
      <c r="C914" s="144"/>
      <c r="D914" s="144"/>
      <c r="E914" s="150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</row>
    <row r="915" customFormat="false" ht="15.75" hidden="false" customHeight="false" outlineLevel="0" collapsed="false">
      <c r="A915" s="144" t="str">
        <f aca="false">IF(ISBLANK(B915),"",B915&amp;"|"&amp;C915)</f>
        <v/>
      </c>
      <c r="B915" s="144"/>
      <c r="C915" s="144"/>
      <c r="D915" s="144"/>
      <c r="E915" s="150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</row>
    <row r="916" customFormat="false" ht="15.75" hidden="false" customHeight="false" outlineLevel="0" collapsed="false">
      <c r="A916" s="144" t="str">
        <f aca="false">IF(ISBLANK(B916),"",B916&amp;"|"&amp;C916)</f>
        <v/>
      </c>
      <c r="B916" s="144"/>
      <c r="C916" s="144"/>
      <c r="D916" s="144"/>
      <c r="E916" s="150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</row>
    <row r="917" customFormat="false" ht="15.75" hidden="false" customHeight="false" outlineLevel="0" collapsed="false">
      <c r="A917" s="144" t="str">
        <f aca="false">IF(ISBLANK(B917),"",B917&amp;"|"&amp;C917)</f>
        <v/>
      </c>
      <c r="B917" s="144"/>
      <c r="C917" s="144"/>
      <c r="D917" s="144"/>
      <c r="E917" s="150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</row>
    <row r="918" customFormat="false" ht="15.75" hidden="false" customHeight="false" outlineLevel="0" collapsed="false">
      <c r="A918" s="144" t="str">
        <f aca="false">IF(ISBLANK(B918),"",B918&amp;"|"&amp;C918)</f>
        <v/>
      </c>
      <c r="B918" s="144"/>
      <c r="C918" s="144"/>
      <c r="D918" s="144"/>
      <c r="E918" s="150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</row>
    <row r="919" customFormat="false" ht="15.75" hidden="false" customHeight="false" outlineLevel="0" collapsed="false">
      <c r="A919" s="144" t="str">
        <f aca="false">IF(ISBLANK(B919),"",B919&amp;"|"&amp;C919)</f>
        <v/>
      </c>
      <c r="B919" s="144"/>
      <c r="C919" s="144"/>
      <c r="D919" s="144"/>
      <c r="E919" s="150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</row>
    <row r="920" customFormat="false" ht="15.75" hidden="false" customHeight="false" outlineLevel="0" collapsed="false">
      <c r="A920" s="144" t="str">
        <f aca="false">IF(ISBLANK(B920),"",B920&amp;"|"&amp;C920)</f>
        <v/>
      </c>
      <c r="B920" s="144"/>
      <c r="C920" s="144"/>
      <c r="D920" s="144"/>
      <c r="E920" s="150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</row>
    <row r="921" customFormat="false" ht="15.75" hidden="false" customHeight="false" outlineLevel="0" collapsed="false">
      <c r="A921" s="144" t="str">
        <f aca="false">IF(ISBLANK(B921),"",B921&amp;"|"&amp;C921)</f>
        <v/>
      </c>
      <c r="B921" s="144"/>
      <c r="C921" s="144"/>
      <c r="D921" s="144"/>
      <c r="E921" s="150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</row>
    <row r="922" customFormat="false" ht="15.75" hidden="false" customHeight="false" outlineLevel="0" collapsed="false">
      <c r="A922" s="144" t="str">
        <f aca="false">IF(ISBLANK(B922),"",B922&amp;"|"&amp;C922)</f>
        <v/>
      </c>
      <c r="B922" s="144"/>
      <c r="C922" s="144"/>
      <c r="D922" s="144"/>
      <c r="E922" s="150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</row>
    <row r="923" customFormat="false" ht="15.75" hidden="false" customHeight="false" outlineLevel="0" collapsed="false">
      <c r="A923" s="144" t="str">
        <f aca="false">IF(ISBLANK(B923),"",B923&amp;"|"&amp;C923)</f>
        <v/>
      </c>
      <c r="B923" s="144"/>
      <c r="C923" s="144"/>
      <c r="D923" s="144"/>
      <c r="E923" s="150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</row>
    <row r="924" customFormat="false" ht="15.75" hidden="false" customHeight="false" outlineLevel="0" collapsed="false">
      <c r="A924" s="144" t="str">
        <f aca="false">IF(ISBLANK(B924),"",B924&amp;"|"&amp;C924)</f>
        <v/>
      </c>
      <c r="B924" s="144"/>
      <c r="C924" s="144"/>
      <c r="D924" s="144"/>
      <c r="E924" s="150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</row>
    <row r="925" customFormat="false" ht="15.75" hidden="false" customHeight="false" outlineLevel="0" collapsed="false">
      <c r="A925" s="144" t="str">
        <f aca="false">IF(ISBLANK(B925),"",B925&amp;"|"&amp;C925)</f>
        <v/>
      </c>
      <c r="B925" s="144"/>
      <c r="C925" s="144"/>
      <c r="D925" s="144"/>
      <c r="E925" s="150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</row>
    <row r="926" customFormat="false" ht="15.75" hidden="false" customHeight="false" outlineLevel="0" collapsed="false">
      <c r="A926" s="144" t="str">
        <f aca="false">IF(ISBLANK(B926),"",B926&amp;"|"&amp;C926)</f>
        <v/>
      </c>
      <c r="B926" s="144"/>
      <c r="C926" s="144"/>
      <c r="D926" s="144"/>
      <c r="E926" s="150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</row>
    <row r="927" customFormat="false" ht="15.75" hidden="false" customHeight="false" outlineLevel="0" collapsed="false">
      <c r="A927" s="144" t="str">
        <f aca="false">IF(ISBLANK(B927),"",B927&amp;"|"&amp;C927)</f>
        <v/>
      </c>
      <c r="B927" s="144"/>
      <c r="C927" s="144"/>
      <c r="D927" s="144"/>
      <c r="E927" s="150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</row>
    <row r="928" customFormat="false" ht="15.75" hidden="false" customHeight="false" outlineLevel="0" collapsed="false">
      <c r="A928" s="144" t="str">
        <f aca="false">IF(ISBLANK(B928),"",B928&amp;"|"&amp;C928)</f>
        <v/>
      </c>
      <c r="B928" s="144"/>
      <c r="C928" s="144"/>
      <c r="D928" s="144"/>
      <c r="E928" s="150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</row>
    <row r="929" customFormat="false" ht="15.75" hidden="false" customHeight="false" outlineLevel="0" collapsed="false">
      <c r="A929" s="144" t="str">
        <f aca="false">IF(ISBLANK(B929),"",B929&amp;"|"&amp;C929)</f>
        <v/>
      </c>
      <c r="B929" s="144"/>
      <c r="C929" s="144"/>
      <c r="D929" s="144"/>
      <c r="E929" s="150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</row>
    <row r="930" customFormat="false" ht="15.75" hidden="false" customHeight="false" outlineLevel="0" collapsed="false">
      <c r="A930" s="144" t="str">
        <f aca="false">IF(ISBLANK(B930),"",B930&amp;"|"&amp;C930)</f>
        <v/>
      </c>
      <c r="B930" s="144"/>
      <c r="C930" s="144"/>
      <c r="D930" s="144"/>
      <c r="E930" s="150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</row>
    <row r="931" customFormat="false" ht="15.75" hidden="false" customHeight="false" outlineLevel="0" collapsed="false">
      <c r="A931" s="144" t="str">
        <f aca="false">IF(ISBLANK(B931),"",B931&amp;"|"&amp;C931)</f>
        <v/>
      </c>
      <c r="B931" s="144"/>
      <c r="C931" s="144"/>
      <c r="D931" s="144"/>
      <c r="E931" s="150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</row>
    <row r="932" customFormat="false" ht="15.75" hidden="false" customHeight="false" outlineLevel="0" collapsed="false">
      <c r="A932" s="144" t="str">
        <f aca="false">IF(ISBLANK(B932),"",B932&amp;"|"&amp;C932)</f>
        <v/>
      </c>
      <c r="B932" s="144"/>
      <c r="C932" s="144"/>
      <c r="D932" s="144"/>
      <c r="E932" s="150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</row>
    <row r="933" customFormat="false" ht="15.75" hidden="false" customHeight="false" outlineLevel="0" collapsed="false">
      <c r="A933" s="144" t="str">
        <f aca="false">IF(ISBLANK(B933),"",B933&amp;"|"&amp;C933)</f>
        <v/>
      </c>
      <c r="B933" s="144"/>
      <c r="C933" s="144"/>
      <c r="D933" s="144"/>
      <c r="E933" s="150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</row>
    <row r="934" customFormat="false" ht="15.75" hidden="false" customHeight="false" outlineLevel="0" collapsed="false">
      <c r="A934" s="144" t="str">
        <f aca="false">IF(ISBLANK(B934),"",B934&amp;"|"&amp;C934)</f>
        <v/>
      </c>
      <c r="B934" s="144"/>
      <c r="C934" s="144"/>
      <c r="D934" s="144"/>
      <c r="E934" s="150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</row>
    <row r="935" customFormat="false" ht="15.75" hidden="false" customHeight="false" outlineLevel="0" collapsed="false">
      <c r="A935" s="144" t="str">
        <f aca="false">IF(ISBLANK(B935),"",B935&amp;"|"&amp;C935)</f>
        <v/>
      </c>
      <c r="B935" s="144"/>
      <c r="C935" s="144"/>
      <c r="D935" s="144"/>
      <c r="E935" s="150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</row>
    <row r="936" customFormat="false" ht="15.75" hidden="false" customHeight="false" outlineLevel="0" collapsed="false">
      <c r="A936" s="144" t="str">
        <f aca="false">IF(ISBLANK(B936),"",B936&amp;"|"&amp;C936)</f>
        <v/>
      </c>
      <c r="B936" s="144"/>
      <c r="C936" s="144"/>
      <c r="D936" s="144"/>
      <c r="E936" s="150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</row>
    <row r="937" customFormat="false" ht="15.75" hidden="false" customHeight="false" outlineLevel="0" collapsed="false">
      <c r="A937" s="144" t="str">
        <f aca="false">IF(ISBLANK(B937),"",B937&amp;"|"&amp;C937)</f>
        <v/>
      </c>
      <c r="B937" s="144"/>
      <c r="C937" s="144"/>
      <c r="D937" s="144"/>
      <c r="E937" s="150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</row>
    <row r="938" customFormat="false" ht="15.75" hidden="false" customHeight="false" outlineLevel="0" collapsed="false">
      <c r="A938" s="144" t="str">
        <f aca="false">IF(ISBLANK(B938),"",B938&amp;"|"&amp;C938)</f>
        <v/>
      </c>
      <c r="B938" s="144"/>
      <c r="C938" s="144"/>
      <c r="D938" s="144"/>
      <c r="E938" s="150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</row>
    <row r="939" customFormat="false" ht="15.75" hidden="false" customHeight="false" outlineLevel="0" collapsed="false">
      <c r="A939" s="144" t="str">
        <f aca="false">IF(ISBLANK(B939),"",B939&amp;"|"&amp;C939)</f>
        <v/>
      </c>
      <c r="B939" s="144"/>
      <c r="C939" s="144"/>
      <c r="D939" s="144"/>
      <c r="E939" s="150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</row>
    <row r="940" customFormat="false" ht="15.75" hidden="false" customHeight="false" outlineLevel="0" collapsed="false">
      <c r="A940" s="144" t="str">
        <f aca="false">IF(ISBLANK(B940),"",B940&amp;"|"&amp;C940)</f>
        <v/>
      </c>
      <c r="B940" s="144"/>
      <c r="C940" s="144"/>
      <c r="D940" s="144"/>
      <c r="E940" s="150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</row>
    <row r="941" customFormat="false" ht="15.75" hidden="false" customHeight="false" outlineLevel="0" collapsed="false">
      <c r="A941" s="144" t="str">
        <f aca="false">IF(ISBLANK(B941),"",B941&amp;"|"&amp;C941)</f>
        <v/>
      </c>
      <c r="B941" s="144"/>
      <c r="C941" s="144"/>
      <c r="D941" s="144"/>
      <c r="E941" s="150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</row>
    <row r="942" customFormat="false" ht="15.75" hidden="false" customHeight="false" outlineLevel="0" collapsed="false">
      <c r="A942" s="144" t="str">
        <f aca="false">IF(ISBLANK(B942),"",B942&amp;"|"&amp;C942)</f>
        <v/>
      </c>
      <c r="B942" s="144"/>
      <c r="C942" s="144"/>
      <c r="D942" s="144"/>
      <c r="E942" s="150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</row>
    <row r="943" customFormat="false" ht="15.75" hidden="false" customHeight="false" outlineLevel="0" collapsed="false">
      <c r="A943" s="144" t="str">
        <f aca="false">IF(ISBLANK(B943),"",B943&amp;"|"&amp;C943)</f>
        <v/>
      </c>
      <c r="B943" s="144"/>
      <c r="C943" s="144"/>
      <c r="D943" s="144"/>
      <c r="E943" s="150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</row>
    <row r="944" customFormat="false" ht="15.75" hidden="false" customHeight="false" outlineLevel="0" collapsed="false">
      <c r="A944" s="144" t="str">
        <f aca="false">IF(ISBLANK(B944),"",B944&amp;"|"&amp;C944)</f>
        <v/>
      </c>
      <c r="B944" s="144"/>
      <c r="C944" s="144"/>
      <c r="D944" s="144"/>
      <c r="E944" s="150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</row>
    <row r="945" customFormat="false" ht="15.75" hidden="false" customHeight="false" outlineLevel="0" collapsed="false">
      <c r="A945" s="144" t="str">
        <f aca="false">IF(ISBLANK(B945),"",B945&amp;"|"&amp;C945)</f>
        <v/>
      </c>
      <c r="B945" s="144"/>
      <c r="C945" s="144"/>
      <c r="D945" s="144"/>
      <c r="E945" s="150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</row>
    <row r="946" customFormat="false" ht="15.75" hidden="false" customHeight="false" outlineLevel="0" collapsed="false">
      <c r="A946" s="144" t="str">
        <f aca="false">IF(ISBLANK(B946),"",B946&amp;"|"&amp;C946)</f>
        <v/>
      </c>
      <c r="B946" s="144"/>
      <c r="C946" s="144"/>
      <c r="D946" s="144"/>
      <c r="E946" s="150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</row>
    <row r="947" customFormat="false" ht="15.75" hidden="false" customHeight="false" outlineLevel="0" collapsed="false">
      <c r="A947" s="144" t="str">
        <f aca="false">IF(ISBLANK(B947),"",B947&amp;"|"&amp;C947)</f>
        <v/>
      </c>
      <c r="B947" s="144"/>
      <c r="C947" s="144"/>
      <c r="D947" s="144"/>
      <c r="E947" s="150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</row>
    <row r="948" customFormat="false" ht="15.75" hidden="false" customHeight="false" outlineLevel="0" collapsed="false">
      <c r="A948" s="144" t="str">
        <f aca="false">IF(ISBLANK(B948),"",B948&amp;"|"&amp;C948)</f>
        <v/>
      </c>
      <c r="B948" s="144"/>
      <c r="C948" s="144"/>
      <c r="D948" s="144"/>
      <c r="E948" s="150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</row>
    <row r="949" customFormat="false" ht="15.75" hidden="false" customHeight="false" outlineLevel="0" collapsed="false">
      <c r="A949" s="144" t="str">
        <f aca="false">IF(ISBLANK(B949),"",B949&amp;"|"&amp;C949)</f>
        <v/>
      </c>
      <c r="B949" s="144"/>
      <c r="C949" s="144"/>
      <c r="D949" s="144"/>
      <c r="E949" s="150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</row>
    <row r="950" customFormat="false" ht="15.75" hidden="false" customHeight="false" outlineLevel="0" collapsed="false">
      <c r="A950" s="144" t="str">
        <f aca="false">IF(ISBLANK(B950),"",B950&amp;"|"&amp;C950)</f>
        <v/>
      </c>
      <c r="B950" s="144"/>
      <c r="C950" s="144"/>
      <c r="D950" s="144"/>
      <c r="E950" s="150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</row>
    <row r="951" customFormat="false" ht="15.75" hidden="false" customHeight="false" outlineLevel="0" collapsed="false">
      <c r="A951" s="144" t="str">
        <f aca="false">IF(ISBLANK(B951),"",B951&amp;"|"&amp;C951)</f>
        <v/>
      </c>
      <c r="B951" s="144"/>
      <c r="C951" s="144"/>
      <c r="D951" s="144"/>
      <c r="E951" s="150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</row>
    <row r="952" customFormat="false" ht="15.75" hidden="false" customHeight="false" outlineLevel="0" collapsed="false">
      <c r="A952" s="144" t="str">
        <f aca="false">IF(ISBLANK(B952),"",B952&amp;"|"&amp;C952)</f>
        <v/>
      </c>
      <c r="B952" s="144"/>
      <c r="C952" s="144"/>
      <c r="D952" s="144"/>
      <c r="E952" s="150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</row>
    <row r="953" customFormat="false" ht="15.75" hidden="false" customHeight="false" outlineLevel="0" collapsed="false">
      <c r="A953" s="144" t="str">
        <f aca="false">IF(ISBLANK(B953),"",B953&amp;"|"&amp;C953)</f>
        <v/>
      </c>
      <c r="B953" s="144"/>
      <c r="C953" s="144"/>
      <c r="D953" s="144"/>
      <c r="E953" s="150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</row>
    <row r="954" customFormat="false" ht="15.75" hidden="false" customHeight="false" outlineLevel="0" collapsed="false">
      <c r="A954" s="144" t="str">
        <f aca="false">IF(ISBLANK(B954),"",B954&amp;"|"&amp;C954)</f>
        <v/>
      </c>
      <c r="B954" s="144"/>
      <c r="C954" s="144"/>
      <c r="D954" s="144"/>
      <c r="E954" s="150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</row>
    <row r="955" customFormat="false" ht="15.75" hidden="false" customHeight="false" outlineLevel="0" collapsed="false">
      <c r="A955" s="144" t="str">
        <f aca="false">IF(ISBLANK(B955),"",B955&amp;"|"&amp;C955)</f>
        <v/>
      </c>
      <c r="B955" s="144"/>
      <c r="C955" s="144"/>
      <c r="D955" s="144"/>
      <c r="E955" s="150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</row>
    <row r="956" customFormat="false" ht="15.75" hidden="false" customHeight="false" outlineLevel="0" collapsed="false">
      <c r="A956" s="144" t="str">
        <f aca="false">IF(ISBLANK(B956),"",B956&amp;"|"&amp;C956)</f>
        <v/>
      </c>
      <c r="B956" s="144"/>
      <c r="C956" s="144"/>
      <c r="D956" s="144"/>
      <c r="E956" s="150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</row>
    <row r="957" customFormat="false" ht="15.75" hidden="false" customHeight="false" outlineLevel="0" collapsed="false">
      <c r="A957" s="144" t="str">
        <f aca="false">IF(ISBLANK(B957),"",B957&amp;"|"&amp;C957)</f>
        <v/>
      </c>
      <c r="B957" s="144"/>
      <c r="C957" s="144"/>
      <c r="D957" s="144"/>
      <c r="E957" s="150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</row>
    <row r="958" customFormat="false" ht="15.75" hidden="false" customHeight="false" outlineLevel="0" collapsed="false">
      <c r="A958" s="144" t="str">
        <f aca="false">IF(ISBLANK(B958),"",B958&amp;"|"&amp;C958)</f>
        <v/>
      </c>
      <c r="B958" s="144"/>
      <c r="C958" s="144"/>
      <c r="D958" s="144"/>
      <c r="E958" s="150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</row>
    <row r="959" customFormat="false" ht="15.75" hidden="false" customHeight="false" outlineLevel="0" collapsed="false">
      <c r="A959" s="144" t="str">
        <f aca="false">IF(ISBLANK(B959),"",B959&amp;"|"&amp;C959)</f>
        <v/>
      </c>
      <c r="B959" s="144"/>
      <c r="C959" s="144"/>
      <c r="D959" s="144"/>
      <c r="E959" s="150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</row>
    <row r="960" customFormat="false" ht="15.75" hidden="false" customHeight="false" outlineLevel="0" collapsed="false">
      <c r="A960" s="144" t="str">
        <f aca="false">IF(ISBLANK(B960),"",B960&amp;"|"&amp;C960)</f>
        <v/>
      </c>
      <c r="B960" s="144"/>
      <c r="C960" s="144"/>
      <c r="D960" s="144"/>
      <c r="E960" s="150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</row>
    <row r="961" customFormat="false" ht="15.75" hidden="false" customHeight="false" outlineLevel="0" collapsed="false">
      <c r="A961" s="144" t="str">
        <f aca="false">IF(ISBLANK(B961),"",B961&amp;"|"&amp;C961)</f>
        <v/>
      </c>
      <c r="B961" s="144"/>
      <c r="C961" s="144"/>
      <c r="D961" s="144"/>
      <c r="E961" s="150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</row>
    <row r="962" customFormat="false" ht="15.75" hidden="false" customHeight="false" outlineLevel="0" collapsed="false">
      <c r="A962" s="144" t="str">
        <f aca="false">IF(ISBLANK(B962),"",B962&amp;"|"&amp;C962)</f>
        <v/>
      </c>
      <c r="B962" s="144"/>
      <c r="C962" s="144"/>
      <c r="D962" s="144"/>
      <c r="E962" s="150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</row>
    <row r="963" customFormat="false" ht="15.75" hidden="false" customHeight="false" outlineLevel="0" collapsed="false">
      <c r="A963" s="144" t="str">
        <f aca="false">IF(ISBLANK(B963),"",B963&amp;"|"&amp;C963)</f>
        <v/>
      </c>
      <c r="B963" s="144"/>
      <c r="C963" s="144"/>
      <c r="D963" s="144"/>
      <c r="E963" s="150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</row>
    <row r="964" customFormat="false" ht="15.75" hidden="false" customHeight="false" outlineLevel="0" collapsed="false">
      <c r="A964" s="144" t="str">
        <f aca="false">IF(ISBLANK(B964),"",B964&amp;"|"&amp;C964)</f>
        <v/>
      </c>
      <c r="B964" s="144"/>
      <c r="C964" s="144"/>
      <c r="D964" s="144"/>
      <c r="E964" s="150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</row>
    <row r="965" customFormat="false" ht="15.75" hidden="false" customHeight="false" outlineLevel="0" collapsed="false">
      <c r="A965" s="144" t="str">
        <f aca="false">IF(ISBLANK(B965),"",B965&amp;"|"&amp;C965)</f>
        <v/>
      </c>
      <c r="B965" s="144"/>
      <c r="C965" s="144"/>
      <c r="D965" s="144"/>
      <c r="E965" s="150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</row>
    <row r="966" customFormat="false" ht="15.75" hidden="false" customHeight="false" outlineLevel="0" collapsed="false">
      <c r="A966" s="144" t="str">
        <f aca="false">IF(ISBLANK(B966),"",B966&amp;"|"&amp;C966)</f>
        <v/>
      </c>
      <c r="B966" s="144"/>
      <c r="C966" s="144"/>
      <c r="D966" s="144"/>
      <c r="E966" s="150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</row>
    <row r="967" customFormat="false" ht="15.75" hidden="false" customHeight="false" outlineLevel="0" collapsed="false">
      <c r="A967" s="144" t="str">
        <f aca="false">IF(ISBLANK(B967),"",B967&amp;"|"&amp;C967)</f>
        <v/>
      </c>
      <c r="B967" s="144"/>
      <c r="C967" s="144"/>
      <c r="D967" s="144"/>
      <c r="E967" s="150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</row>
    <row r="968" customFormat="false" ht="15.75" hidden="false" customHeight="false" outlineLevel="0" collapsed="false">
      <c r="A968" s="144" t="str">
        <f aca="false">IF(ISBLANK(B968),"",B968&amp;"|"&amp;C968)</f>
        <v/>
      </c>
      <c r="B968" s="144"/>
      <c r="C968" s="144"/>
      <c r="D968" s="144"/>
      <c r="E968" s="150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</row>
    <row r="969" customFormat="false" ht="15.75" hidden="false" customHeight="false" outlineLevel="0" collapsed="false">
      <c r="A969" s="144" t="str">
        <f aca="false">IF(ISBLANK(B969),"",B969&amp;"|"&amp;C969)</f>
        <v/>
      </c>
      <c r="B969" s="144"/>
      <c r="C969" s="144"/>
      <c r="D969" s="144"/>
      <c r="E969" s="150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</row>
    <row r="970" customFormat="false" ht="15.75" hidden="false" customHeight="false" outlineLevel="0" collapsed="false">
      <c r="A970" s="144" t="str">
        <f aca="false">IF(ISBLANK(B970),"",B970&amp;"|"&amp;C970)</f>
        <v/>
      </c>
      <c r="B970" s="144"/>
      <c r="C970" s="144"/>
      <c r="D970" s="144"/>
      <c r="E970" s="150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</row>
    <row r="971" customFormat="false" ht="15.75" hidden="false" customHeight="false" outlineLevel="0" collapsed="false">
      <c r="A971" s="144" t="str">
        <f aca="false">IF(ISBLANK(B971),"",B971&amp;"|"&amp;C971)</f>
        <v/>
      </c>
      <c r="B971" s="144"/>
      <c r="C971" s="144"/>
      <c r="D971" s="144"/>
      <c r="E971" s="150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</row>
    <row r="972" customFormat="false" ht="15.75" hidden="false" customHeight="false" outlineLevel="0" collapsed="false">
      <c r="A972" s="144" t="str">
        <f aca="false">IF(ISBLANK(B972),"",B972&amp;"|"&amp;C972)</f>
        <v/>
      </c>
      <c r="B972" s="144"/>
      <c r="C972" s="144"/>
      <c r="D972" s="144"/>
      <c r="E972" s="150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</row>
    <row r="973" customFormat="false" ht="15.75" hidden="false" customHeight="false" outlineLevel="0" collapsed="false">
      <c r="A973" s="144" t="str">
        <f aca="false">IF(ISBLANK(B973),"",B973&amp;"|"&amp;C973)</f>
        <v/>
      </c>
      <c r="B973" s="144"/>
      <c r="C973" s="144"/>
      <c r="D973" s="144"/>
      <c r="E973" s="150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</row>
    <row r="974" customFormat="false" ht="15.75" hidden="false" customHeight="false" outlineLevel="0" collapsed="false">
      <c r="A974" s="144" t="str">
        <f aca="false">IF(ISBLANK(B974),"",B974&amp;"|"&amp;C974)</f>
        <v/>
      </c>
      <c r="B974" s="144"/>
      <c r="C974" s="144"/>
      <c r="D974" s="144"/>
      <c r="E974" s="150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</row>
    <row r="975" customFormat="false" ht="15.75" hidden="false" customHeight="false" outlineLevel="0" collapsed="false">
      <c r="A975" s="144" t="str">
        <f aca="false">IF(ISBLANK(B975),"",B975&amp;"|"&amp;C975)</f>
        <v/>
      </c>
      <c r="B975" s="144"/>
      <c r="C975" s="144"/>
      <c r="D975" s="144"/>
      <c r="E975" s="150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</row>
    <row r="976" customFormat="false" ht="15.75" hidden="false" customHeight="false" outlineLevel="0" collapsed="false">
      <c r="A976" s="144" t="str">
        <f aca="false">IF(ISBLANK(B976),"",B976&amp;"|"&amp;C976)</f>
        <v/>
      </c>
      <c r="B976" s="144"/>
      <c r="C976" s="144"/>
      <c r="D976" s="144"/>
      <c r="E976" s="150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</row>
    <row r="977" customFormat="false" ht="15.75" hidden="false" customHeight="false" outlineLevel="0" collapsed="false">
      <c r="A977" s="144" t="str">
        <f aca="false">IF(ISBLANK(B977),"",B977&amp;"|"&amp;C977)</f>
        <v/>
      </c>
      <c r="B977" s="144"/>
      <c r="C977" s="144"/>
      <c r="D977" s="144"/>
      <c r="E977" s="150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</row>
    <row r="978" customFormat="false" ht="15.75" hidden="false" customHeight="false" outlineLevel="0" collapsed="false">
      <c r="A978" s="144" t="str">
        <f aca="false">IF(ISBLANK(B978),"",B978&amp;"|"&amp;C978)</f>
        <v/>
      </c>
      <c r="B978" s="144"/>
      <c r="C978" s="144"/>
      <c r="D978" s="144"/>
      <c r="E978" s="150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</row>
    <row r="979" customFormat="false" ht="15.75" hidden="false" customHeight="false" outlineLevel="0" collapsed="false">
      <c r="A979" s="144" t="str">
        <f aca="false">IF(ISBLANK(B979),"",B979&amp;"|"&amp;C979)</f>
        <v/>
      </c>
      <c r="B979" s="144"/>
      <c r="C979" s="144"/>
      <c r="D979" s="144"/>
      <c r="E979" s="150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</row>
    <row r="980" customFormat="false" ht="15.75" hidden="false" customHeight="false" outlineLevel="0" collapsed="false">
      <c r="A980" s="144" t="str">
        <f aca="false">IF(ISBLANK(B980),"",B980&amp;"|"&amp;C980)</f>
        <v/>
      </c>
      <c r="B980" s="144"/>
      <c r="C980" s="144"/>
      <c r="D980" s="144"/>
      <c r="E980" s="150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</row>
    <row r="981" customFormat="false" ht="15.75" hidden="false" customHeight="false" outlineLevel="0" collapsed="false">
      <c r="A981" s="144" t="str">
        <f aca="false">IF(ISBLANK(B981),"",B981&amp;"|"&amp;C981)</f>
        <v/>
      </c>
      <c r="B981" s="144"/>
      <c r="C981" s="144"/>
      <c r="D981" s="144"/>
      <c r="E981" s="150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</row>
    <row r="982" customFormat="false" ht="15.75" hidden="false" customHeight="false" outlineLevel="0" collapsed="false">
      <c r="A982" s="144" t="str">
        <f aca="false">IF(ISBLANK(B982),"",B982&amp;"|"&amp;C982)</f>
        <v/>
      </c>
      <c r="B982" s="144"/>
      <c r="C982" s="144"/>
      <c r="D982" s="144"/>
      <c r="E982" s="150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</row>
    <row r="983" customFormat="false" ht="15.75" hidden="false" customHeight="false" outlineLevel="0" collapsed="false">
      <c r="A983" s="144" t="str">
        <f aca="false">IF(ISBLANK(B983),"",B983&amp;"|"&amp;C983)</f>
        <v/>
      </c>
      <c r="B983" s="144"/>
      <c r="C983" s="144"/>
      <c r="D983" s="144"/>
      <c r="E983" s="150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</row>
    <row r="984" customFormat="false" ht="15.75" hidden="false" customHeight="false" outlineLevel="0" collapsed="false">
      <c r="A984" s="144" t="str">
        <f aca="false">IF(ISBLANK(B984),"",B984&amp;"|"&amp;C984)</f>
        <v/>
      </c>
      <c r="B984" s="144"/>
      <c r="C984" s="144"/>
      <c r="D984" s="144"/>
      <c r="E984" s="150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</row>
    <row r="985" customFormat="false" ht="15.75" hidden="false" customHeight="false" outlineLevel="0" collapsed="false">
      <c r="A985" s="144" t="str">
        <f aca="false">IF(ISBLANK(B985),"",B985&amp;"|"&amp;C985)</f>
        <v/>
      </c>
      <c r="B985" s="144"/>
      <c r="C985" s="144"/>
      <c r="D985" s="144"/>
      <c r="E985" s="150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</row>
    <row r="986" customFormat="false" ht="15.75" hidden="false" customHeight="false" outlineLevel="0" collapsed="false">
      <c r="A986" s="144" t="str">
        <f aca="false">IF(ISBLANK(B986),"",B986&amp;"|"&amp;C986)</f>
        <v/>
      </c>
      <c r="B986" s="144"/>
      <c r="C986" s="144"/>
      <c r="D986" s="144"/>
      <c r="E986" s="150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</row>
    <row r="987" customFormat="false" ht="15.75" hidden="false" customHeight="false" outlineLevel="0" collapsed="false">
      <c r="A987" s="144" t="str">
        <f aca="false">IF(ISBLANK(B987),"",B987&amp;"|"&amp;C987)</f>
        <v/>
      </c>
      <c r="B987" s="144"/>
      <c r="C987" s="144"/>
      <c r="D987" s="144"/>
      <c r="E987" s="150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</row>
    <row r="988" customFormat="false" ht="15.75" hidden="false" customHeight="false" outlineLevel="0" collapsed="false">
      <c r="A988" s="144" t="str">
        <f aca="false">IF(ISBLANK(B988),"",B988&amp;"|"&amp;C988)</f>
        <v/>
      </c>
      <c r="B988" s="144"/>
      <c r="C988" s="144"/>
      <c r="D988" s="144"/>
      <c r="E988" s="150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</row>
    <row r="989" customFormat="false" ht="15.75" hidden="false" customHeight="false" outlineLevel="0" collapsed="false">
      <c r="A989" s="144" t="str">
        <f aca="false">IF(ISBLANK(B989),"",B989&amp;"|"&amp;C989)</f>
        <v/>
      </c>
      <c r="B989" s="144"/>
      <c r="C989" s="144"/>
      <c r="D989" s="144"/>
      <c r="E989" s="150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</row>
    <row r="990" customFormat="false" ht="15.75" hidden="false" customHeight="false" outlineLevel="0" collapsed="false">
      <c r="A990" s="144" t="str">
        <f aca="false">IF(ISBLANK(B990),"",B990&amp;"|"&amp;C990)</f>
        <v/>
      </c>
      <c r="B990" s="144"/>
      <c r="C990" s="144"/>
      <c r="D990" s="144"/>
      <c r="E990" s="150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</row>
    <row r="991" customFormat="false" ht="15.75" hidden="false" customHeight="false" outlineLevel="0" collapsed="false">
      <c r="A991" s="144" t="str">
        <f aca="false">IF(ISBLANK(B991),"",B991&amp;"|"&amp;C991)</f>
        <v/>
      </c>
      <c r="B991" s="144"/>
      <c r="C991" s="144"/>
      <c r="D991" s="144"/>
      <c r="E991" s="150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</row>
    <row r="992" customFormat="false" ht="15.75" hidden="false" customHeight="false" outlineLevel="0" collapsed="false">
      <c r="A992" s="144" t="str">
        <f aca="false">IF(ISBLANK(B992),"",B992&amp;"|"&amp;C992)</f>
        <v/>
      </c>
      <c r="B992" s="144"/>
      <c r="C992" s="144"/>
      <c r="D992" s="144"/>
      <c r="E992" s="150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</row>
    <row r="993" customFormat="false" ht="15.75" hidden="false" customHeight="false" outlineLevel="0" collapsed="false">
      <c r="A993" s="144" t="str">
        <f aca="false">IF(ISBLANK(B993),"",B993&amp;"|"&amp;C993)</f>
        <v/>
      </c>
      <c r="B993" s="144"/>
      <c r="C993" s="144"/>
      <c r="D993" s="144"/>
      <c r="E993" s="150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</row>
    <row r="994" customFormat="false" ht="15.75" hidden="false" customHeight="false" outlineLevel="0" collapsed="false">
      <c r="A994" s="144" t="str">
        <f aca="false">IF(ISBLANK(B994),"",B994&amp;"|"&amp;C994)</f>
        <v/>
      </c>
      <c r="B994" s="144"/>
      <c r="C994" s="144"/>
      <c r="D994" s="144"/>
      <c r="E994" s="150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</row>
    <row r="995" customFormat="false" ht="15.75" hidden="false" customHeight="false" outlineLevel="0" collapsed="false">
      <c r="A995" s="144" t="str">
        <f aca="false">IF(ISBLANK(B995),"",B995&amp;"|"&amp;C995)</f>
        <v/>
      </c>
      <c r="B995" s="144"/>
      <c r="C995" s="144"/>
      <c r="D995" s="144"/>
      <c r="E995" s="150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</row>
    <row r="996" customFormat="false" ht="15.75" hidden="false" customHeight="false" outlineLevel="0" collapsed="false">
      <c r="A996" s="144" t="str">
        <f aca="false">IF(ISBLANK(B996),"",B996&amp;"|"&amp;C996)</f>
        <v/>
      </c>
      <c r="B996" s="144"/>
      <c r="C996" s="144"/>
      <c r="D996" s="144"/>
      <c r="E996" s="150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</row>
    <row r="997" customFormat="false" ht="15.75" hidden="false" customHeight="false" outlineLevel="0" collapsed="false">
      <c r="A997" s="144" t="str">
        <f aca="false">IF(ISBLANK(B997),"",B997&amp;"|"&amp;C997)</f>
        <v/>
      </c>
      <c r="B997" s="144"/>
      <c r="C997" s="144"/>
      <c r="D997" s="144"/>
      <c r="E997" s="150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</row>
    <row r="998" customFormat="false" ht="15.75" hidden="false" customHeight="false" outlineLevel="0" collapsed="false">
      <c r="A998" s="144" t="str">
        <f aca="false">IF(ISBLANK(B998),"",B998&amp;"|"&amp;C998)</f>
        <v/>
      </c>
      <c r="B998" s="144"/>
      <c r="C998" s="144"/>
      <c r="D998" s="144"/>
      <c r="E998" s="150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</row>
    <row r="999" customFormat="false" ht="15.75" hidden="false" customHeight="false" outlineLevel="0" collapsed="false">
      <c r="A999" s="144" t="str">
        <f aca="false">IF(ISBLANK(B999),"",B999&amp;"|"&amp;C999)</f>
        <v/>
      </c>
      <c r="B999" s="144"/>
      <c r="C999" s="144"/>
      <c r="D999" s="144"/>
      <c r="E999" s="150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</row>
    <row r="1000" customFormat="false" ht="15.75" hidden="false" customHeight="false" outlineLevel="0" collapsed="false">
      <c r="A1000" s="144" t="str">
        <f aca="false">IF(ISBLANK(B1000),"",B1000&amp;"|"&amp;C1000)</f>
        <v/>
      </c>
      <c r="B1000" s="144"/>
      <c r="C1000" s="144"/>
      <c r="D1000" s="144"/>
      <c r="E1000" s="150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5.85"/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44" t="s">
        <v>89</v>
      </c>
      <c r="B1" s="144" t="s">
        <v>90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customFormat="false" ht="15.75" hidden="false" customHeight="false" outlineLevel="0" collapsed="false">
      <c r="A2" s="144" t="s">
        <v>91</v>
      </c>
      <c r="B2" s="151" t="n">
        <v>46288</v>
      </c>
      <c r="C2" s="144"/>
      <c r="D2" s="144" t="s">
        <v>92</v>
      </c>
      <c r="E2" s="144" t="s">
        <v>93</v>
      </c>
      <c r="F2" s="144" t="s">
        <v>94</v>
      </c>
      <c r="G2" s="144" t="s">
        <v>95</v>
      </c>
      <c r="H2" s="144" t="s">
        <v>96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customFormat="false" ht="15.75" hidden="false" customHeight="false" outlineLevel="0" collapsed="false">
      <c r="A3" s="144" t="s">
        <v>97</v>
      </c>
      <c r="B3" s="144" t="s">
        <v>87</v>
      </c>
      <c r="C3" s="144"/>
      <c r="D3" s="144" t="n">
        <f aca="false">FIND(".",B3)</f>
        <v>2</v>
      </c>
      <c r="E3" s="144" t="n">
        <f aca="false">FIND(".",B3,D3+1)</f>
        <v>4</v>
      </c>
      <c r="F3" s="144" t="str">
        <f aca="false">LEFT(B3,D3-1)</f>
        <v>0</v>
      </c>
      <c r="G3" s="144" t="str">
        <f aca="false">MID(B3,D3+1,E3-D3-1)</f>
        <v>1</v>
      </c>
      <c r="H3" s="144" t="str">
        <f aca="false">RIGHT(B3,LEN(B3)-E3)</f>
        <v>0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customFormat="false" ht="15.75" hidden="false" customHeight="false" outlineLevel="0" collapsed="false">
      <c r="A4" s="144" t="s">
        <v>98</v>
      </c>
      <c r="B4" s="144" t="s">
        <v>99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customFormat="false" ht="15.75" hidden="false" customHeight="false" outlineLevel="0" collapsed="false">
      <c r="A5" s="144" t="s">
        <v>100</v>
      </c>
      <c r="B5" s="144" t="n">
        <v>2027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customFormat="false" ht="15.75" hidden="false" customHeight="false" outlineLevel="0" collapsed="false">
      <c r="A6" s="144" t="s">
        <v>101</v>
      </c>
      <c r="B6" s="144" t="str">
        <f aca="false">B1&amp;"|"&amp;B4</f>
        <v>Ping Pong Parachute|B/C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customFormat="false" ht="15.75" hidden="false" customHeight="false" outlineLevel="0" collapsed="false">
      <c r="A7" s="144" t="s">
        <v>102</v>
      </c>
      <c r="B7" s="144"/>
      <c r="C7" s="144"/>
      <c r="D7" s="144" t="e">
        <f aca="false">FIND(".",B7)</f>
        <v>#VALUE!</v>
      </c>
      <c r="E7" s="144" t="e">
        <f aca="false">FIND(".",B7,D7+1)</f>
        <v>#VALUE!</v>
      </c>
      <c r="F7" s="144" t="e">
        <f aca="false">LEFT(B7,D7-1)</f>
        <v>#VALUE!</v>
      </c>
      <c r="G7" s="144" t="e">
        <f aca="false">MID(B7,D7+1,E7-D7-1)</f>
        <v>#VALUE!</v>
      </c>
      <c r="H7" s="144" t="e">
        <f aca="false">RIGHT(B7,LEN(B7)-E7)</f>
        <v>#VALUE!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customFormat="false" ht="15.75" hidden="false" customHeight="false" outlineLevel="0" collapsed="false">
      <c r="A8" s="144" t="s">
        <v>103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customFormat="false" ht="15.75" hidden="false" customHeight="false" outlineLevel="0" collapsed="false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customFormat="false" ht="15.75" hidden="false" customHeight="false" outlineLevel="0" collapsed="false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customFormat="false" ht="15.75" hidden="false" customHeight="false" outlineLevel="0" collapsed="false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customFormat="false" ht="15.75" hidden="false" customHeight="false" outlineLevel="0" collapsed="false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customFormat="false" ht="15.75" hidden="false" customHeight="false" outlineLevel="0" collapsed="false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customFormat="false" ht="15.75" hidden="false" customHeight="false" outlineLevel="0" collapsed="false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customFormat="false" ht="15.75" hidden="false" customHeight="false" outlineLevel="0" collapsed="false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customFormat="false" ht="15.75" hidden="false" customHeight="false" outlineLevel="0" collapsed="false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customFormat="false" ht="15.75" hidden="false" customHeight="false" outlineLevel="0" collapsed="false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customFormat="false" ht="15.75" hidden="false" customHeight="false" outlineLevel="0" collapsed="false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customFormat="false" ht="15.75" hidden="false" customHeight="false" outlineLevel="0" collapsed="false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customFormat="false" ht="15.75" hidden="false" customHeight="false" outlineLevel="0" collapsed="false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 customFormat="false" ht="15.75" hidden="false" customHeight="false" outlineLevel="0" collapsed="false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customFormat="false" ht="15.75" hidden="false" customHeight="false" outlineLevel="0" collapsed="false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customFormat="false" ht="15.75" hidden="false" customHeight="false" outlineLevel="0" collapsed="false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customFormat="false" ht="15.75" hidden="false" customHeight="false" outlineLevel="0" collapsed="false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customFormat="false" ht="15.75" hidden="false" customHeight="false" outlineLevel="0" collapsed="false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customFormat="false" ht="15.75" hidden="false" customHeight="false" outlineLevel="0" collapsed="false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customFormat="false" ht="15.75" hidden="false" customHeight="false" outlineLevel="0" collapsed="false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customFormat="false" ht="15.75" hidden="false" customHeight="false" outlineLevel="0" collapsed="false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customFormat="false" ht="15.75" hidden="false" customHeight="false" outlineLevel="0" collapsed="false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customFormat="false" ht="15.75" hidden="false" customHeight="false" outlineLevel="0" collapsed="false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customFormat="false" ht="15.75" hidden="false" customHeight="false" outlineLevel="0" collapsed="false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customFormat="false" ht="15.75" hidden="false" customHeight="false" outlineLevel="0" collapsed="false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customFormat="false" ht="15.75" hidden="false" customHeight="false" outlineLevel="0" collapsed="false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customFormat="false" ht="15.75" hidden="false" customHeight="false" outlineLevel="0" collapsed="false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customFormat="false" ht="15.75" hidden="false" customHeight="false" outlineLevel="0" collapsed="false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customFormat="false" ht="15.75" hidden="false" customHeight="false" outlineLevel="0" collapsed="false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customFormat="false" ht="15.75" hidden="false" customHeight="false" outlineLevel="0" collapsed="false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customFormat="false" ht="15.75" hidden="false" customHeight="false" outlineLevel="0" collapsed="false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customFormat="false" ht="15.75" hidden="false" customHeight="false" outlineLevel="0" collapsed="false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customFormat="false" ht="15.75" hidden="false" customHeight="false" outlineLevel="0" collapsed="false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customFormat="false" ht="15.75" hidden="false" customHeight="false" outlineLevel="0" collapsed="false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customFormat="false" ht="15.75" hidden="false" customHeight="false" outlineLevel="0" collapsed="false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customFormat="false" ht="15.75" hidden="false" customHeight="false" outlineLevel="0" collapsed="false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customFormat="false" ht="15.75" hidden="false" customHeight="false" outlineLevel="0" collapsed="false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customFormat="false" ht="15.75" hidden="false" customHeight="false" outlineLevel="0" collapsed="false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customFormat="false" ht="15.75" hidden="false" customHeight="false" outlineLevel="0" collapsed="false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customFormat="false" ht="15.75" hidden="false" customHeight="false" outlineLevel="0" collapsed="false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customFormat="false" ht="15.75" hidden="false" customHeight="false" outlineLevel="0" collapsed="false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customFormat="false" ht="15.75" hidden="false" customHeight="false" outlineLevel="0" collapsed="false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customFormat="false" ht="15.75" hidden="false" customHeight="false" outlineLevel="0" collapsed="false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customFormat="false" ht="15.75" hidden="false" customHeight="false" outlineLevel="0" collapsed="false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customFormat="false" ht="15.75" hidden="false" customHeight="false" outlineLevel="0" collapsed="false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customFormat="false" ht="15.75" hidden="false" customHeight="false" outlineLevel="0" collapsed="false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customFormat="false" ht="15.75" hidden="false" customHeight="false" outlineLevel="0" collapsed="false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customFormat="false" ht="15.75" hidden="false" customHeight="false" outlineLevel="0" collapsed="false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customFormat="false" ht="15.75" hidden="false" customHeight="false" outlineLevel="0" collapsed="false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customFormat="false" ht="15.75" hidden="false" customHeight="false" outlineLevel="0" collapsed="false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customFormat="false" ht="15.75" hidden="false" customHeight="false" outlineLevel="0" collapsed="false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customFormat="false" ht="15.75" hidden="false" customHeight="false" outlineLevel="0" collapsed="false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customFormat="false" ht="15.75" hidden="false" customHeight="false" outlineLevel="0" collapsed="false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customFormat="false" ht="15.75" hidden="false" customHeight="false" outlineLevel="0" collapsed="false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customFormat="false" ht="15.75" hidden="false" customHeight="false" outlineLevel="0" collapsed="false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customFormat="false" ht="15.75" hidden="false" customHeight="false" outlineLevel="0" collapsed="false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customFormat="false" ht="15.75" hidden="false" customHeight="false" outlineLevel="0" collapsed="false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customFormat="false" ht="15.75" hidden="false" customHeight="false" outlineLevel="0" collapsed="false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customFormat="false" ht="15.75" hidden="false" customHeight="false" outlineLevel="0" collapsed="false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customFormat="false" ht="15.75" hidden="false" customHeight="false" outlineLevel="0" collapsed="false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customFormat="false" ht="15.75" hidden="false" customHeight="false" outlineLevel="0" collapsed="false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customFormat="false" ht="15.75" hidden="false" customHeight="false" outlineLevel="0" collapsed="false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customFormat="false" ht="15.75" hidden="false" customHeight="false" outlineLevel="0" collapsed="false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customFormat="false" ht="15.75" hidden="false" customHeight="false" outlineLevel="0" collapsed="false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customFormat="false" ht="15.75" hidden="false" customHeight="false" outlineLevel="0" collapsed="false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customFormat="false" ht="15.75" hidden="false" customHeight="false" outlineLevel="0" collapsed="false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customFormat="false" ht="15.75" hidden="false" customHeight="false" outlineLevel="0" collapsed="false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customFormat="false" ht="15.75" hidden="false" customHeight="false" outlineLevel="0" collapsed="false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customFormat="false" ht="15.75" hidden="false" customHeight="false" outlineLevel="0" collapsed="false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customFormat="false" ht="15.75" hidden="false" customHeight="false" outlineLevel="0" collapsed="false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customFormat="false" ht="15.75" hidden="false" customHeight="false" outlineLevel="0" collapsed="false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customFormat="false" ht="15.75" hidden="false" customHeight="false" outlineLevel="0" collapsed="false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customFormat="false" ht="15.75" hidden="false" customHeight="false" outlineLevel="0" collapsed="false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customFormat="false" ht="15.75" hidden="false" customHeight="false" outlineLevel="0" collapsed="false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customFormat="false" ht="15.75" hidden="false" customHeight="false" outlineLevel="0" collapsed="false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customFormat="false" ht="15.75" hidden="false" customHeight="false" outlineLevel="0" collapsed="false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customFormat="false" ht="15.75" hidden="false" customHeight="false" outlineLevel="0" collapsed="false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customFormat="false" ht="15.75" hidden="false" customHeight="false" outlineLevel="0" collapsed="false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customFormat="false" ht="15.75" hidden="false" customHeight="false" outlineLevel="0" collapsed="false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customFormat="false" ht="15.75" hidden="false" customHeight="false" outlineLevel="0" collapsed="false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customFormat="false" ht="15.75" hidden="false" customHeight="false" outlineLevel="0" collapsed="false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customFormat="false" ht="15.75" hidden="false" customHeight="false" outlineLevel="0" collapsed="false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customFormat="false" ht="15.75" hidden="false" customHeight="false" outlineLevel="0" collapsed="false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customFormat="false" ht="15.75" hidden="false" customHeight="false" outlineLevel="0" collapsed="false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customFormat="false" ht="15.75" hidden="false" customHeight="false" outlineLevel="0" collapsed="false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customFormat="false" ht="15.75" hidden="false" customHeight="false" outlineLevel="0" collapsed="false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customFormat="false" ht="15.75" hidden="false" customHeight="false" outlineLevel="0" collapsed="false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customFormat="false" ht="15.75" hidden="false" customHeight="false" outlineLevel="0" collapsed="false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customFormat="false" ht="15.75" hidden="false" customHeight="false" outlineLevel="0" collapsed="false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customFormat="false" ht="15.75" hidden="false" customHeight="false" outlineLevel="0" collapsed="false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customFormat="false" ht="15.75" hidden="false" customHeight="false" outlineLevel="0" collapsed="false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customFormat="false" ht="15.75" hidden="false" customHeight="false" outlineLevel="0" collapsed="false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customFormat="false" ht="15.75" hidden="false" customHeight="false" outlineLevel="0" collapsed="false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customFormat="false" ht="15.75" hidden="false" customHeight="false" outlineLevel="0" collapsed="false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customFormat="false" ht="15.75" hidden="false" customHeight="false" outlineLevel="0" collapsed="false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customFormat="false" ht="15.75" hidden="false" customHeight="false" outlineLevel="0" collapsed="false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customFormat="false" ht="15.75" hidden="false" customHeight="false" outlineLevel="0" collapsed="false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customFormat="false" ht="15.75" hidden="false" customHeight="false" outlineLevel="0" collapsed="false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customFormat="false" ht="15.75" hidden="false" customHeight="false" outlineLevel="0" collapsed="false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customFormat="false" ht="15.75" hidden="false" customHeight="false" outlineLevel="0" collapsed="false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customFormat="false" ht="15.75" hidden="false" customHeight="false" outlineLevel="0" collapsed="false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customFormat="false" ht="15.75" hidden="false" customHeight="false" outlineLevel="0" collapsed="false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customFormat="false" ht="15.75" hidden="false" customHeight="false" outlineLevel="0" collapsed="false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customFormat="false" ht="15.75" hidden="false" customHeight="false" outlineLevel="0" collapsed="false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customFormat="false" ht="15.75" hidden="false" customHeight="false" outlineLevel="0" collapsed="false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customFormat="false" ht="15.75" hidden="false" customHeight="false" outlineLevel="0" collapsed="false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customFormat="false" ht="15.75" hidden="false" customHeight="false" outlineLevel="0" collapsed="false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customFormat="false" ht="15.75" hidden="false" customHeight="false" outlineLevel="0" collapsed="false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customFormat="false" ht="15.75" hidden="false" customHeight="false" outlineLevel="0" collapsed="false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customFormat="false" ht="15.75" hidden="false" customHeight="false" outlineLevel="0" collapsed="false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customFormat="false" ht="15.75" hidden="false" customHeight="false" outlineLevel="0" collapsed="false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customFormat="false" ht="15.75" hidden="false" customHeight="false" outlineLevel="0" collapsed="false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customFormat="false" ht="15.75" hidden="false" customHeight="false" outlineLevel="0" collapsed="false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customFormat="false" ht="15.75" hidden="false" customHeight="false" outlineLevel="0" collapsed="false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customFormat="false" ht="15.75" hidden="false" customHeight="false" outlineLevel="0" collapsed="false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customFormat="false" ht="15.75" hidden="false" customHeight="false" outlineLevel="0" collapsed="false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customFormat="false" ht="15.75" hidden="false" customHeight="false" outlineLevel="0" collapsed="false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customFormat="false" ht="15.75" hidden="false" customHeight="false" outlineLevel="0" collapsed="false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customFormat="false" ht="15.75" hidden="false" customHeight="false" outlineLevel="0" collapsed="false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customFormat="false" ht="15.75" hidden="false" customHeight="false" outlineLevel="0" collapsed="false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customFormat="false" ht="15.75" hidden="false" customHeight="false" outlineLevel="0" collapsed="false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customFormat="false" ht="15.75" hidden="false" customHeight="false" outlineLevel="0" collapsed="false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customFormat="false" ht="15.75" hidden="false" customHeight="false" outlineLevel="0" collapsed="false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customFormat="false" ht="15.75" hidden="false" customHeight="false" outlineLevel="0" collapsed="false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customFormat="false" ht="15.75" hidden="false" customHeight="false" outlineLevel="0" collapsed="false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customFormat="false" ht="15.75" hidden="false" customHeight="false" outlineLevel="0" collapsed="false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customFormat="false" ht="15.75" hidden="false" customHeight="false" outlineLevel="0" collapsed="false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customFormat="false" ht="15.75" hidden="false" customHeight="false" outlineLevel="0" collapsed="false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customFormat="false" ht="15.75" hidden="false" customHeight="false" outlineLevel="0" collapsed="false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customFormat="false" ht="15.75" hidden="false" customHeight="false" outlineLevel="0" collapsed="false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customFormat="false" ht="15.75" hidden="false" customHeight="false" outlineLevel="0" collapsed="false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customFormat="false" ht="15.75" hidden="false" customHeight="false" outlineLevel="0" collapsed="false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customFormat="false" ht="15.75" hidden="false" customHeight="false" outlineLevel="0" collapsed="false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customFormat="false" ht="15.75" hidden="false" customHeight="false" outlineLevel="0" collapsed="false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customFormat="false" ht="15.75" hidden="false" customHeight="false" outlineLevel="0" collapsed="false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customFormat="false" ht="15.75" hidden="false" customHeight="false" outlineLevel="0" collapsed="false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customFormat="false" ht="15.75" hidden="false" customHeight="false" outlineLevel="0" collapsed="false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customFormat="false" ht="15.75" hidden="false" customHeight="false" outlineLevel="0" collapsed="false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customFormat="false" ht="15.75" hidden="false" customHeight="false" outlineLevel="0" collapsed="false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customFormat="false" ht="15.75" hidden="false" customHeight="false" outlineLevel="0" collapsed="false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customFormat="false" ht="15.75" hidden="false" customHeight="false" outlineLevel="0" collapsed="false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customFormat="false" ht="15.75" hidden="false" customHeight="false" outlineLevel="0" collapsed="false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customFormat="false" ht="15.75" hidden="false" customHeight="false" outlineLevel="0" collapsed="false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customFormat="false" ht="15.75" hidden="false" customHeight="false" outlineLevel="0" collapsed="false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customFormat="false" ht="15.75" hidden="false" customHeight="false" outlineLevel="0" collapsed="false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customFormat="false" ht="15.75" hidden="false" customHeight="false" outlineLevel="0" collapsed="false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customFormat="false" ht="15.75" hidden="false" customHeight="false" outlineLevel="0" collapsed="false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customFormat="false" ht="15.75" hidden="false" customHeight="false" outlineLevel="0" collapsed="false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customFormat="false" ht="15.75" hidden="false" customHeight="false" outlineLevel="0" collapsed="false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customFormat="false" ht="15.75" hidden="false" customHeight="false" outlineLevel="0" collapsed="false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customFormat="false" ht="15.75" hidden="false" customHeight="false" outlineLevel="0" collapsed="false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customFormat="false" ht="15.75" hidden="false" customHeight="false" outlineLevel="0" collapsed="false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customFormat="false" ht="15.75" hidden="false" customHeight="false" outlineLevel="0" collapsed="false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customFormat="false" ht="15.75" hidden="false" customHeight="false" outlineLevel="0" collapsed="false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customFormat="false" ht="15.75" hidden="false" customHeight="false" outlineLevel="0" collapsed="false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customFormat="false" ht="15.75" hidden="false" customHeight="false" outlineLevel="0" collapsed="false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customFormat="false" ht="15.75" hidden="false" customHeight="false" outlineLevel="0" collapsed="false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customFormat="false" ht="15.75" hidden="false" customHeight="false" outlineLevel="0" collapsed="false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customFormat="false" ht="15.75" hidden="false" customHeight="false" outlineLevel="0" collapsed="false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customFormat="false" ht="15.75" hidden="false" customHeight="false" outlineLevel="0" collapsed="false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customFormat="false" ht="15.75" hidden="false" customHeight="false" outlineLevel="0" collapsed="false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customFormat="false" ht="15.75" hidden="false" customHeight="false" outlineLevel="0" collapsed="false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customFormat="false" ht="15.75" hidden="false" customHeight="false" outlineLevel="0" collapsed="false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customFormat="false" ht="15.75" hidden="false" customHeight="false" outlineLevel="0" collapsed="false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customFormat="false" ht="15.75" hidden="false" customHeight="false" outlineLevel="0" collapsed="false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customFormat="false" ht="15.75" hidden="false" customHeight="false" outlineLevel="0" collapsed="false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customFormat="false" ht="15.75" hidden="false" customHeight="false" outlineLevel="0" collapsed="false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customFormat="false" ht="15.75" hidden="false" customHeight="false" outlineLevel="0" collapsed="false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customFormat="false" ht="15.75" hidden="false" customHeight="false" outlineLevel="0" collapsed="false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customFormat="false" ht="15.75" hidden="false" customHeight="false" outlineLevel="0" collapsed="false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customFormat="false" ht="15.75" hidden="false" customHeight="false" outlineLevel="0" collapsed="false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customFormat="false" ht="15.75" hidden="false" customHeight="false" outlineLevel="0" collapsed="false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customFormat="false" ht="15.75" hidden="false" customHeight="false" outlineLevel="0" collapsed="false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customFormat="false" ht="15.75" hidden="false" customHeight="false" outlineLevel="0" collapsed="false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customFormat="false" ht="15.75" hidden="false" customHeight="false" outlineLevel="0" collapsed="false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customFormat="false" ht="15.75" hidden="false" customHeight="false" outlineLevel="0" collapsed="false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customFormat="false" ht="15.75" hidden="false" customHeight="false" outlineLevel="0" collapsed="false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customFormat="false" ht="15.75" hidden="false" customHeight="false" outlineLevel="0" collapsed="false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customFormat="false" ht="15.75" hidden="false" customHeight="false" outlineLevel="0" collapsed="false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customFormat="false" ht="15.75" hidden="false" customHeight="false" outlineLevel="0" collapsed="false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customFormat="false" ht="15.75" hidden="false" customHeight="false" outlineLevel="0" collapsed="false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customFormat="false" ht="15.75" hidden="false" customHeight="false" outlineLevel="0" collapsed="false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customFormat="false" ht="15.75" hidden="false" customHeight="false" outlineLevel="0" collapsed="false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customFormat="false" ht="15.75" hidden="false" customHeight="false" outlineLevel="0" collapsed="false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customFormat="false" ht="15.75" hidden="false" customHeight="false" outlineLevel="0" collapsed="false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customFormat="false" ht="15.75" hidden="false" customHeight="false" outlineLevel="0" collapsed="false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customFormat="false" ht="15.75" hidden="false" customHeight="false" outlineLevel="0" collapsed="false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customFormat="false" ht="15.75" hidden="false" customHeight="false" outlineLevel="0" collapsed="false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customFormat="false" ht="15.75" hidden="false" customHeight="false" outlineLevel="0" collapsed="false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customFormat="false" ht="15.75" hidden="false" customHeight="false" outlineLevel="0" collapsed="false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customFormat="false" ht="15.75" hidden="false" customHeight="false" outlineLevel="0" collapsed="false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customFormat="false" ht="15.75" hidden="false" customHeight="false" outlineLevel="0" collapsed="false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customFormat="false" ht="15.75" hidden="false" customHeight="false" outlineLevel="0" collapsed="false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customFormat="false" ht="15.75" hidden="false" customHeight="false" outlineLevel="0" collapsed="false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customFormat="false" ht="15.75" hidden="false" customHeight="false" outlineLevel="0" collapsed="false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customFormat="false" ht="15.75" hidden="false" customHeight="false" outlineLevel="0" collapsed="false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customFormat="false" ht="15.75" hidden="false" customHeight="false" outlineLevel="0" collapsed="false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customFormat="false" ht="15.75" hidden="false" customHeight="false" outlineLevel="0" collapsed="false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customFormat="false" ht="15.75" hidden="false" customHeight="false" outlineLevel="0" collapsed="false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customFormat="false" ht="15.75" hidden="false" customHeight="false" outlineLevel="0" collapsed="false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customFormat="false" ht="15.75" hidden="false" customHeight="false" outlineLevel="0" collapsed="false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customFormat="false" ht="15.75" hidden="false" customHeight="false" outlineLevel="0" collapsed="false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customFormat="false" ht="15.75" hidden="false" customHeight="false" outlineLevel="0" collapsed="false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customFormat="false" ht="15.75" hidden="false" customHeight="false" outlineLevel="0" collapsed="false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customFormat="false" ht="15.75" hidden="false" customHeight="false" outlineLevel="0" collapsed="false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customFormat="false" ht="15.75" hidden="false" customHeight="false" outlineLevel="0" collapsed="false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customFormat="false" ht="15.75" hidden="false" customHeight="false" outlineLevel="0" collapsed="false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customFormat="false" ht="15.75" hidden="false" customHeight="false" outlineLevel="0" collapsed="false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customFormat="false" ht="15.75" hidden="false" customHeight="false" outlineLevel="0" collapsed="false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customFormat="false" ht="15.75" hidden="false" customHeight="false" outlineLevel="0" collapsed="false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customFormat="false" ht="15.75" hidden="false" customHeight="false" outlineLevel="0" collapsed="false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customFormat="false" ht="15.75" hidden="false" customHeight="false" outlineLevel="0" collapsed="false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customFormat="false" ht="15.75" hidden="false" customHeight="false" outlineLevel="0" collapsed="false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customFormat="false" ht="15.75" hidden="false" customHeight="false" outlineLevel="0" collapsed="false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customFormat="false" ht="15.75" hidden="false" customHeight="false" outlineLevel="0" collapsed="false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customFormat="false" ht="15.75" hidden="false" customHeight="false" outlineLevel="0" collapsed="false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 customFormat="false" ht="15.75" hidden="false" customHeight="false" outlineLevel="0" collapsed="false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 customFormat="false" ht="15.75" hidden="false" customHeight="false" outlineLevel="0" collapsed="false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 customFormat="false" ht="15.75" hidden="false" customHeight="false" outlineLevel="0" collapsed="false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 customFormat="false" ht="15.75" hidden="false" customHeight="false" outlineLevel="0" collapsed="false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 customFormat="false" ht="15.75" hidden="false" customHeight="false" outlineLevel="0" collapsed="false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customFormat="false" ht="15.75" hidden="false" customHeight="false" outlineLevel="0" collapsed="false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customFormat="false" ht="15.75" hidden="false" customHeight="false" outlineLevel="0" collapsed="false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customFormat="false" ht="15.75" hidden="false" customHeight="false" outlineLevel="0" collapsed="false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customFormat="false" ht="15.75" hidden="false" customHeight="false" outlineLevel="0" collapsed="false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customFormat="false" ht="15.75" hidden="false" customHeight="false" outlineLevel="0" collapsed="false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customFormat="false" ht="15.75" hidden="false" customHeight="false" outlineLevel="0" collapsed="false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 customFormat="false" ht="15.75" hidden="false" customHeight="false" outlineLevel="0" collapsed="false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 customFormat="false" ht="15.75" hidden="false" customHeight="false" outlineLevel="0" collapsed="false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 customFormat="false" ht="15.75" hidden="false" customHeight="false" outlineLevel="0" collapsed="false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 customFormat="false" ht="15.75" hidden="false" customHeight="false" outlineLevel="0" collapsed="false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 customFormat="false" ht="15.75" hidden="false" customHeight="false" outlineLevel="0" collapsed="false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 customFormat="false" ht="15.75" hidden="false" customHeight="false" outlineLevel="0" collapsed="false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 customFormat="false" ht="15.75" hidden="false" customHeight="false" outlineLevel="0" collapsed="false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 customFormat="false" ht="15.75" hidden="false" customHeight="false" outlineLevel="0" collapsed="false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 customFormat="false" ht="15.75" hidden="false" customHeight="false" outlineLevel="0" collapsed="false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customFormat="false" ht="15.75" hidden="false" customHeight="false" outlineLevel="0" collapsed="false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customFormat="false" ht="15.75" hidden="false" customHeight="false" outlineLevel="0" collapsed="false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customFormat="false" ht="15.75" hidden="false" customHeight="false" outlineLevel="0" collapsed="false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customFormat="false" ht="15.75" hidden="false" customHeight="false" outlineLevel="0" collapsed="false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customFormat="false" ht="15.75" hidden="false" customHeight="false" outlineLevel="0" collapsed="false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customFormat="false" ht="15.75" hidden="false" customHeight="false" outlineLevel="0" collapsed="false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customFormat="false" ht="15.75" hidden="false" customHeight="false" outlineLevel="0" collapsed="false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customFormat="false" ht="15.75" hidden="false" customHeight="false" outlineLevel="0" collapsed="false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customFormat="false" ht="15.75" hidden="false" customHeight="false" outlineLevel="0" collapsed="false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customFormat="false" ht="15.75" hidden="false" customHeight="false" outlineLevel="0" collapsed="false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customFormat="false" ht="15.75" hidden="false" customHeight="false" outlineLevel="0" collapsed="false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customFormat="false" ht="15.75" hidden="false" customHeight="false" outlineLevel="0" collapsed="false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customFormat="false" ht="15.75" hidden="false" customHeight="false" outlineLevel="0" collapsed="false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customFormat="false" ht="15.75" hidden="false" customHeight="false" outlineLevel="0" collapsed="false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customFormat="false" ht="15.75" hidden="false" customHeight="false" outlineLevel="0" collapsed="false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customFormat="false" ht="15.75" hidden="false" customHeight="false" outlineLevel="0" collapsed="false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customFormat="false" ht="15.75" hidden="false" customHeight="false" outlineLevel="0" collapsed="false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customFormat="false" ht="15.75" hidden="false" customHeight="false" outlineLevel="0" collapsed="false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customFormat="false" ht="15.75" hidden="false" customHeight="false" outlineLevel="0" collapsed="false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customFormat="false" ht="15.75" hidden="false" customHeight="false" outlineLevel="0" collapsed="false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customFormat="false" ht="15.75" hidden="false" customHeight="false" outlineLevel="0" collapsed="false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customFormat="false" ht="15.75" hidden="false" customHeight="false" outlineLevel="0" collapsed="false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customFormat="false" ht="15.75" hidden="false" customHeight="false" outlineLevel="0" collapsed="false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customFormat="false" ht="15.75" hidden="false" customHeight="false" outlineLevel="0" collapsed="false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customFormat="false" ht="15.75" hidden="false" customHeight="false" outlineLevel="0" collapsed="false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customFormat="false" ht="15.75" hidden="false" customHeight="false" outlineLevel="0" collapsed="false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customFormat="false" ht="15.75" hidden="false" customHeight="false" outlineLevel="0" collapsed="false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customFormat="false" ht="15.75" hidden="false" customHeight="false" outlineLevel="0" collapsed="false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customFormat="false" ht="15.75" hidden="false" customHeight="false" outlineLevel="0" collapsed="false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customFormat="false" ht="15.75" hidden="false" customHeight="false" outlineLevel="0" collapsed="false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customFormat="false" ht="15.75" hidden="false" customHeight="false" outlineLevel="0" collapsed="false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customFormat="false" ht="15.75" hidden="false" customHeight="false" outlineLevel="0" collapsed="false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customFormat="false" ht="15.75" hidden="false" customHeight="false" outlineLevel="0" collapsed="false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customFormat="false" ht="15.75" hidden="false" customHeight="false" outlineLevel="0" collapsed="false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customFormat="false" ht="15.75" hidden="false" customHeight="false" outlineLevel="0" collapsed="false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customFormat="false" ht="15.75" hidden="false" customHeight="false" outlineLevel="0" collapsed="false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customFormat="false" ht="15.75" hidden="false" customHeight="false" outlineLevel="0" collapsed="false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customFormat="false" ht="15.75" hidden="false" customHeight="false" outlineLevel="0" collapsed="false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customFormat="false" ht="15.75" hidden="false" customHeight="false" outlineLevel="0" collapsed="false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customFormat="false" ht="15.75" hidden="false" customHeight="false" outlineLevel="0" collapsed="false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customFormat="false" ht="15.75" hidden="false" customHeight="false" outlineLevel="0" collapsed="false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customFormat="false" ht="15.75" hidden="false" customHeight="false" outlineLevel="0" collapsed="false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customFormat="false" ht="15.75" hidden="false" customHeight="false" outlineLevel="0" collapsed="false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customFormat="false" ht="15.75" hidden="false" customHeight="false" outlineLevel="0" collapsed="false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customFormat="false" ht="15.75" hidden="false" customHeight="false" outlineLevel="0" collapsed="false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customFormat="false" ht="15.75" hidden="false" customHeight="false" outlineLevel="0" collapsed="false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customFormat="false" ht="15.75" hidden="false" customHeight="false" outlineLevel="0" collapsed="false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customFormat="false" ht="15.75" hidden="false" customHeight="false" outlineLevel="0" collapsed="false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customFormat="false" ht="15.75" hidden="false" customHeight="false" outlineLevel="0" collapsed="false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customFormat="false" ht="15.75" hidden="false" customHeight="false" outlineLevel="0" collapsed="false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customFormat="false" ht="15.75" hidden="false" customHeight="false" outlineLevel="0" collapsed="false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customFormat="false" ht="15.75" hidden="false" customHeight="false" outlineLevel="0" collapsed="false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customFormat="false" ht="15.75" hidden="false" customHeight="false" outlineLevel="0" collapsed="false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customFormat="false" ht="15.75" hidden="false" customHeight="false" outlineLevel="0" collapsed="false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customFormat="false" ht="15.75" hidden="false" customHeight="false" outlineLevel="0" collapsed="false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customFormat="false" ht="15.75" hidden="false" customHeight="false" outlineLevel="0" collapsed="false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customFormat="false" ht="15.75" hidden="false" customHeight="false" outlineLevel="0" collapsed="false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customFormat="false" ht="15.75" hidden="false" customHeight="false" outlineLevel="0" collapsed="false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customFormat="false" ht="15.75" hidden="false" customHeight="false" outlineLevel="0" collapsed="false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customFormat="false" ht="15.75" hidden="false" customHeight="false" outlineLevel="0" collapsed="false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customFormat="false" ht="15.75" hidden="false" customHeight="false" outlineLevel="0" collapsed="false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customFormat="false" ht="15.75" hidden="false" customHeight="false" outlineLevel="0" collapsed="false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customFormat="false" ht="15.75" hidden="false" customHeight="false" outlineLevel="0" collapsed="false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customFormat="false" ht="15.75" hidden="false" customHeight="false" outlineLevel="0" collapsed="false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customFormat="false" ht="15.75" hidden="false" customHeight="false" outlineLevel="0" collapsed="false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customFormat="false" ht="15.75" hidden="false" customHeight="false" outlineLevel="0" collapsed="false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customFormat="false" ht="15.75" hidden="false" customHeight="false" outlineLevel="0" collapsed="false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customFormat="false" ht="15.75" hidden="false" customHeight="false" outlineLevel="0" collapsed="false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customFormat="false" ht="15.75" hidden="false" customHeight="false" outlineLevel="0" collapsed="false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customFormat="false" ht="15.75" hidden="false" customHeight="false" outlineLevel="0" collapsed="false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customFormat="false" ht="15.75" hidden="false" customHeight="false" outlineLevel="0" collapsed="false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customFormat="false" ht="15.75" hidden="false" customHeight="false" outlineLevel="0" collapsed="false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customFormat="false" ht="15.75" hidden="false" customHeight="false" outlineLevel="0" collapsed="false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customFormat="false" ht="15.75" hidden="false" customHeight="false" outlineLevel="0" collapsed="false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customFormat="false" ht="15.75" hidden="false" customHeight="false" outlineLevel="0" collapsed="false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customFormat="false" ht="15.75" hidden="false" customHeight="false" outlineLevel="0" collapsed="false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customFormat="false" ht="15.75" hidden="false" customHeight="false" outlineLevel="0" collapsed="false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customFormat="false" ht="15.75" hidden="false" customHeight="false" outlineLevel="0" collapsed="false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customFormat="false" ht="15.75" hidden="false" customHeight="false" outlineLevel="0" collapsed="false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customFormat="false" ht="15.75" hidden="false" customHeight="false" outlineLevel="0" collapsed="false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customFormat="false" ht="15.75" hidden="false" customHeight="false" outlineLevel="0" collapsed="false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customFormat="false" ht="15.75" hidden="false" customHeight="false" outlineLevel="0" collapsed="false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customFormat="false" ht="15.75" hidden="false" customHeight="false" outlineLevel="0" collapsed="false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customFormat="false" ht="15.75" hidden="false" customHeight="false" outlineLevel="0" collapsed="false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customFormat="false" ht="15.75" hidden="false" customHeight="false" outlineLevel="0" collapsed="false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customFormat="false" ht="15.75" hidden="false" customHeight="false" outlineLevel="0" collapsed="false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customFormat="false" ht="15.75" hidden="false" customHeight="false" outlineLevel="0" collapsed="false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customFormat="false" ht="15.75" hidden="false" customHeight="false" outlineLevel="0" collapsed="false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customFormat="false" ht="15.75" hidden="false" customHeight="false" outlineLevel="0" collapsed="false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customFormat="false" ht="15.75" hidden="false" customHeight="false" outlineLevel="0" collapsed="false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customFormat="false" ht="15.75" hidden="false" customHeight="false" outlineLevel="0" collapsed="false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customFormat="false" ht="15.75" hidden="false" customHeight="false" outlineLevel="0" collapsed="false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customFormat="false" ht="15.75" hidden="false" customHeight="false" outlineLevel="0" collapsed="false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customFormat="false" ht="15.75" hidden="false" customHeight="false" outlineLevel="0" collapsed="false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customFormat="false" ht="15.75" hidden="false" customHeight="false" outlineLevel="0" collapsed="false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customFormat="false" ht="15.75" hidden="false" customHeight="false" outlineLevel="0" collapsed="false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customFormat="false" ht="15.75" hidden="false" customHeight="false" outlineLevel="0" collapsed="false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customFormat="false" ht="15.75" hidden="false" customHeight="false" outlineLevel="0" collapsed="false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customFormat="false" ht="15.75" hidden="false" customHeight="false" outlineLevel="0" collapsed="false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customFormat="false" ht="15.75" hidden="false" customHeight="false" outlineLevel="0" collapsed="false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customFormat="false" ht="15.75" hidden="false" customHeight="false" outlineLevel="0" collapsed="false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customFormat="false" ht="15.75" hidden="false" customHeight="false" outlineLevel="0" collapsed="false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customFormat="false" ht="15.75" hidden="false" customHeight="false" outlineLevel="0" collapsed="false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customFormat="false" ht="15.75" hidden="false" customHeight="false" outlineLevel="0" collapsed="false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customFormat="false" ht="15.75" hidden="false" customHeight="false" outlineLevel="0" collapsed="false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customFormat="false" ht="15.75" hidden="false" customHeight="false" outlineLevel="0" collapsed="false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customFormat="false" ht="15.75" hidden="false" customHeight="false" outlineLevel="0" collapsed="false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customFormat="false" ht="15.75" hidden="false" customHeight="false" outlineLevel="0" collapsed="false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customFormat="false" ht="15.75" hidden="false" customHeight="false" outlineLevel="0" collapsed="false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customFormat="false" ht="15.75" hidden="false" customHeight="false" outlineLevel="0" collapsed="false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customFormat="false" ht="15.75" hidden="false" customHeight="false" outlineLevel="0" collapsed="false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customFormat="false" ht="15.75" hidden="false" customHeight="false" outlineLevel="0" collapsed="false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customFormat="false" ht="15.75" hidden="false" customHeight="false" outlineLevel="0" collapsed="false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customFormat="false" ht="15.75" hidden="false" customHeight="false" outlineLevel="0" collapsed="false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customFormat="false" ht="15.75" hidden="false" customHeight="false" outlineLevel="0" collapsed="false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customFormat="false" ht="15.75" hidden="false" customHeight="false" outlineLevel="0" collapsed="false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customFormat="false" ht="15.75" hidden="false" customHeight="false" outlineLevel="0" collapsed="false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customFormat="false" ht="15.75" hidden="false" customHeight="false" outlineLevel="0" collapsed="false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customFormat="false" ht="15.75" hidden="false" customHeight="false" outlineLevel="0" collapsed="false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customFormat="false" ht="15.75" hidden="false" customHeight="false" outlineLevel="0" collapsed="false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customFormat="false" ht="15.75" hidden="false" customHeight="false" outlineLevel="0" collapsed="false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customFormat="false" ht="15.75" hidden="false" customHeight="false" outlineLevel="0" collapsed="false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customFormat="false" ht="15.75" hidden="false" customHeight="false" outlineLevel="0" collapsed="false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customFormat="false" ht="15.75" hidden="false" customHeight="false" outlineLevel="0" collapsed="false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customFormat="false" ht="15.75" hidden="false" customHeight="false" outlineLevel="0" collapsed="false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customFormat="false" ht="15.75" hidden="false" customHeight="false" outlineLevel="0" collapsed="false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customFormat="false" ht="15.75" hidden="false" customHeight="false" outlineLevel="0" collapsed="false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customFormat="false" ht="15.75" hidden="false" customHeight="false" outlineLevel="0" collapsed="false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customFormat="false" ht="15.75" hidden="false" customHeight="false" outlineLevel="0" collapsed="false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customFormat="false" ht="15.75" hidden="false" customHeight="false" outlineLevel="0" collapsed="false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customFormat="false" ht="15.75" hidden="false" customHeight="false" outlineLevel="0" collapsed="false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customFormat="false" ht="15.75" hidden="false" customHeight="false" outlineLevel="0" collapsed="false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customFormat="false" ht="15.75" hidden="false" customHeight="false" outlineLevel="0" collapsed="false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customFormat="false" ht="15.75" hidden="false" customHeight="false" outlineLevel="0" collapsed="false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customFormat="false" ht="15.75" hidden="false" customHeight="false" outlineLevel="0" collapsed="false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customFormat="false" ht="15.75" hidden="false" customHeight="false" outlineLevel="0" collapsed="false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customFormat="false" ht="15.75" hidden="false" customHeight="false" outlineLevel="0" collapsed="false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customFormat="false" ht="15.75" hidden="false" customHeight="false" outlineLevel="0" collapsed="false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customFormat="false" ht="15.75" hidden="false" customHeight="false" outlineLevel="0" collapsed="false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customFormat="false" ht="15.75" hidden="false" customHeight="false" outlineLevel="0" collapsed="false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customFormat="false" ht="15.75" hidden="false" customHeight="false" outlineLevel="0" collapsed="false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customFormat="false" ht="15.75" hidden="false" customHeight="false" outlineLevel="0" collapsed="false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customFormat="false" ht="15.75" hidden="false" customHeight="false" outlineLevel="0" collapsed="false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customFormat="false" ht="15.75" hidden="false" customHeight="false" outlineLevel="0" collapsed="false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customFormat="false" ht="15.75" hidden="false" customHeight="false" outlineLevel="0" collapsed="false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customFormat="false" ht="15.75" hidden="false" customHeight="false" outlineLevel="0" collapsed="false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customFormat="false" ht="15.75" hidden="false" customHeight="false" outlineLevel="0" collapsed="false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customFormat="false" ht="15.75" hidden="false" customHeight="false" outlineLevel="0" collapsed="false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customFormat="false" ht="15.75" hidden="false" customHeight="false" outlineLevel="0" collapsed="false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customFormat="false" ht="15.75" hidden="false" customHeight="false" outlineLevel="0" collapsed="false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customFormat="false" ht="15.75" hidden="false" customHeight="false" outlineLevel="0" collapsed="false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customFormat="false" ht="15.75" hidden="false" customHeight="false" outlineLevel="0" collapsed="false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customFormat="false" ht="15.75" hidden="false" customHeight="false" outlineLevel="0" collapsed="false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customFormat="false" ht="15.75" hidden="false" customHeight="false" outlineLevel="0" collapsed="false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customFormat="false" ht="15.75" hidden="false" customHeight="false" outlineLevel="0" collapsed="false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customFormat="false" ht="15.75" hidden="false" customHeight="false" outlineLevel="0" collapsed="false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customFormat="false" ht="15.75" hidden="false" customHeight="false" outlineLevel="0" collapsed="false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customFormat="false" ht="15.75" hidden="false" customHeight="false" outlineLevel="0" collapsed="false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customFormat="false" ht="15.75" hidden="false" customHeight="false" outlineLevel="0" collapsed="false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customFormat="false" ht="15.75" hidden="false" customHeight="false" outlineLevel="0" collapsed="false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customFormat="false" ht="15.75" hidden="false" customHeight="false" outlineLevel="0" collapsed="false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customFormat="false" ht="15.75" hidden="false" customHeight="false" outlineLevel="0" collapsed="false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customFormat="false" ht="15.75" hidden="false" customHeight="false" outlineLevel="0" collapsed="false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customFormat="false" ht="15.75" hidden="false" customHeight="false" outlineLevel="0" collapsed="false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customFormat="false" ht="15.75" hidden="false" customHeight="false" outlineLevel="0" collapsed="false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customFormat="false" ht="15.75" hidden="false" customHeight="false" outlineLevel="0" collapsed="false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customFormat="false" ht="15.75" hidden="false" customHeight="false" outlineLevel="0" collapsed="false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customFormat="false" ht="15.75" hidden="false" customHeight="false" outlineLevel="0" collapsed="false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customFormat="false" ht="15.75" hidden="false" customHeight="false" outlineLevel="0" collapsed="false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customFormat="false" ht="15.75" hidden="false" customHeight="false" outlineLevel="0" collapsed="false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customFormat="false" ht="15.75" hidden="false" customHeight="false" outlineLevel="0" collapsed="false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customFormat="false" ht="15.75" hidden="false" customHeight="false" outlineLevel="0" collapsed="false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customFormat="false" ht="15.75" hidden="false" customHeight="false" outlineLevel="0" collapsed="false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customFormat="false" ht="15.75" hidden="false" customHeight="false" outlineLevel="0" collapsed="false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customFormat="false" ht="15.75" hidden="false" customHeight="false" outlineLevel="0" collapsed="false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customFormat="false" ht="15.75" hidden="false" customHeight="false" outlineLevel="0" collapsed="false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customFormat="false" ht="15.75" hidden="false" customHeight="false" outlineLevel="0" collapsed="false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customFormat="false" ht="15.75" hidden="false" customHeight="false" outlineLevel="0" collapsed="false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customFormat="false" ht="15.75" hidden="false" customHeight="false" outlineLevel="0" collapsed="false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customFormat="false" ht="15.75" hidden="false" customHeight="false" outlineLevel="0" collapsed="false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customFormat="false" ht="15.75" hidden="false" customHeight="false" outlineLevel="0" collapsed="false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customFormat="false" ht="15.75" hidden="false" customHeight="false" outlineLevel="0" collapsed="false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customFormat="false" ht="15.75" hidden="false" customHeight="false" outlineLevel="0" collapsed="false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customFormat="false" ht="15.75" hidden="false" customHeight="false" outlineLevel="0" collapsed="false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customFormat="false" ht="15.75" hidden="false" customHeight="false" outlineLevel="0" collapsed="false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customFormat="false" ht="15.75" hidden="false" customHeight="false" outlineLevel="0" collapsed="false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customFormat="false" ht="15.75" hidden="false" customHeight="false" outlineLevel="0" collapsed="false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customFormat="false" ht="15.75" hidden="false" customHeight="false" outlineLevel="0" collapsed="false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customFormat="false" ht="15.75" hidden="false" customHeight="false" outlineLevel="0" collapsed="false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customFormat="false" ht="15.75" hidden="false" customHeight="false" outlineLevel="0" collapsed="false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customFormat="false" ht="15.75" hidden="false" customHeight="false" outlineLevel="0" collapsed="false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customFormat="false" ht="15.75" hidden="false" customHeight="false" outlineLevel="0" collapsed="false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customFormat="false" ht="15.75" hidden="false" customHeight="false" outlineLevel="0" collapsed="false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customFormat="false" ht="15.75" hidden="false" customHeight="false" outlineLevel="0" collapsed="false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customFormat="false" ht="15.75" hidden="false" customHeight="false" outlineLevel="0" collapsed="false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customFormat="false" ht="15.75" hidden="false" customHeight="false" outlineLevel="0" collapsed="false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customFormat="false" ht="15.75" hidden="false" customHeight="false" outlineLevel="0" collapsed="false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customFormat="false" ht="15.75" hidden="false" customHeight="false" outlineLevel="0" collapsed="false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customFormat="false" ht="15.75" hidden="false" customHeight="false" outlineLevel="0" collapsed="false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customFormat="false" ht="15.75" hidden="false" customHeight="false" outlineLevel="0" collapsed="false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customFormat="false" ht="15.75" hidden="false" customHeight="false" outlineLevel="0" collapsed="false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customFormat="false" ht="15.75" hidden="false" customHeight="false" outlineLevel="0" collapsed="false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customFormat="false" ht="15.75" hidden="false" customHeight="false" outlineLevel="0" collapsed="false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customFormat="false" ht="15.75" hidden="false" customHeight="false" outlineLevel="0" collapsed="false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customFormat="false" ht="15.75" hidden="false" customHeight="false" outlineLevel="0" collapsed="false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customFormat="false" ht="15.75" hidden="false" customHeight="false" outlineLevel="0" collapsed="false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customFormat="false" ht="15.75" hidden="false" customHeight="false" outlineLevel="0" collapsed="false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customFormat="false" ht="15.75" hidden="false" customHeight="false" outlineLevel="0" collapsed="false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customFormat="false" ht="15.75" hidden="false" customHeight="false" outlineLevel="0" collapsed="false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customFormat="false" ht="15.75" hidden="false" customHeight="false" outlineLevel="0" collapsed="false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customFormat="false" ht="15.75" hidden="false" customHeight="false" outlineLevel="0" collapsed="false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customFormat="false" ht="15.75" hidden="false" customHeight="false" outlineLevel="0" collapsed="false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customFormat="false" ht="15.75" hidden="false" customHeight="false" outlineLevel="0" collapsed="false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customFormat="false" ht="15.75" hidden="false" customHeight="false" outlineLevel="0" collapsed="false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customFormat="false" ht="15.75" hidden="false" customHeight="false" outlineLevel="0" collapsed="false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customFormat="false" ht="15.75" hidden="false" customHeight="false" outlineLevel="0" collapsed="false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customFormat="false" ht="15.75" hidden="false" customHeight="false" outlineLevel="0" collapsed="false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customFormat="false" ht="15.75" hidden="false" customHeight="false" outlineLevel="0" collapsed="false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customFormat="false" ht="15.75" hidden="false" customHeight="false" outlineLevel="0" collapsed="false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customFormat="false" ht="15.75" hidden="false" customHeight="false" outlineLevel="0" collapsed="false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customFormat="false" ht="15.75" hidden="false" customHeight="false" outlineLevel="0" collapsed="false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customFormat="false" ht="15.75" hidden="false" customHeight="false" outlineLevel="0" collapsed="false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customFormat="false" ht="15.75" hidden="false" customHeight="false" outlineLevel="0" collapsed="false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customFormat="false" ht="15.75" hidden="false" customHeight="false" outlineLevel="0" collapsed="false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customFormat="false" ht="15.75" hidden="false" customHeight="false" outlineLevel="0" collapsed="false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customFormat="false" ht="15.75" hidden="false" customHeight="false" outlineLevel="0" collapsed="false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customFormat="false" ht="15.75" hidden="false" customHeight="false" outlineLevel="0" collapsed="false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customFormat="false" ht="15.75" hidden="false" customHeight="false" outlineLevel="0" collapsed="false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customFormat="false" ht="15.75" hidden="false" customHeight="false" outlineLevel="0" collapsed="false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customFormat="false" ht="15.75" hidden="false" customHeight="false" outlineLevel="0" collapsed="false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customFormat="false" ht="15.75" hidden="false" customHeight="false" outlineLevel="0" collapsed="false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customFormat="false" ht="15.75" hidden="false" customHeight="false" outlineLevel="0" collapsed="false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customFormat="false" ht="15.75" hidden="false" customHeight="false" outlineLevel="0" collapsed="false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customFormat="false" ht="15.75" hidden="false" customHeight="false" outlineLevel="0" collapsed="false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customFormat="false" ht="15.75" hidden="false" customHeight="false" outlineLevel="0" collapsed="false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customFormat="false" ht="15.75" hidden="false" customHeight="false" outlineLevel="0" collapsed="false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customFormat="false" ht="15.75" hidden="false" customHeight="false" outlineLevel="0" collapsed="false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customFormat="false" ht="15.75" hidden="false" customHeight="false" outlineLevel="0" collapsed="false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customFormat="false" ht="15.75" hidden="false" customHeight="false" outlineLevel="0" collapsed="false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customFormat="false" ht="15.75" hidden="false" customHeight="false" outlineLevel="0" collapsed="false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customFormat="false" ht="15.75" hidden="false" customHeight="false" outlineLevel="0" collapsed="false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customFormat="false" ht="15.75" hidden="false" customHeight="false" outlineLevel="0" collapsed="false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customFormat="false" ht="15.75" hidden="false" customHeight="false" outlineLevel="0" collapsed="false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customFormat="false" ht="15.75" hidden="false" customHeight="false" outlineLevel="0" collapsed="false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customFormat="false" ht="15.75" hidden="false" customHeight="false" outlineLevel="0" collapsed="false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customFormat="false" ht="15.75" hidden="false" customHeight="false" outlineLevel="0" collapsed="false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customFormat="false" ht="15.75" hidden="false" customHeight="false" outlineLevel="0" collapsed="false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customFormat="false" ht="15.75" hidden="false" customHeight="false" outlineLevel="0" collapsed="false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customFormat="false" ht="15.75" hidden="false" customHeight="false" outlineLevel="0" collapsed="false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customFormat="false" ht="15.75" hidden="false" customHeight="false" outlineLevel="0" collapsed="false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customFormat="false" ht="15.75" hidden="false" customHeight="false" outlineLevel="0" collapsed="false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customFormat="false" ht="15.75" hidden="false" customHeight="false" outlineLevel="0" collapsed="false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customFormat="false" ht="15.75" hidden="false" customHeight="false" outlineLevel="0" collapsed="false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customFormat="false" ht="15.75" hidden="false" customHeight="false" outlineLevel="0" collapsed="false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customFormat="false" ht="15.75" hidden="false" customHeight="false" outlineLevel="0" collapsed="false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customFormat="false" ht="15.75" hidden="false" customHeight="false" outlineLevel="0" collapsed="false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customFormat="false" ht="15.75" hidden="false" customHeight="false" outlineLevel="0" collapsed="false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customFormat="false" ht="15.75" hidden="false" customHeight="false" outlineLevel="0" collapsed="false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customFormat="false" ht="15.75" hidden="false" customHeight="false" outlineLevel="0" collapsed="false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customFormat="false" ht="15.75" hidden="false" customHeight="false" outlineLevel="0" collapsed="false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customFormat="false" ht="15.75" hidden="false" customHeight="false" outlineLevel="0" collapsed="false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customFormat="false" ht="15.75" hidden="false" customHeight="false" outlineLevel="0" collapsed="false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customFormat="false" ht="15.75" hidden="false" customHeight="false" outlineLevel="0" collapsed="false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customFormat="false" ht="15.75" hidden="false" customHeight="false" outlineLevel="0" collapsed="false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customFormat="false" ht="15.75" hidden="false" customHeight="false" outlineLevel="0" collapsed="false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customFormat="false" ht="15.75" hidden="false" customHeight="false" outlineLevel="0" collapsed="false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customFormat="false" ht="15.75" hidden="false" customHeight="false" outlineLevel="0" collapsed="false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customFormat="false" ht="15.75" hidden="false" customHeight="false" outlineLevel="0" collapsed="false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customFormat="false" ht="15.75" hidden="false" customHeight="false" outlineLevel="0" collapsed="false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customFormat="false" ht="15.75" hidden="false" customHeight="false" outlineLevel="0" collapsed="false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customFormat="false" ht="15.75" hidden="false" customHeight="false" outlineLevel="0" collapsed="false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customFormat="false" ht="15.75" hidden="false" customHeight="false" outlineLevel="0" collapsed="false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customFormat="false" ht="15.75" hidden="false" customHeight="false" outlineLevel="0" collapsed="false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customFormat="false" ht="15.75" hidden="false" customHeight="false" outlineLevel="0" collapsed="false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customFormat="false" ht="15.75" hidden="false" customHeight="false" outlineLevel="0" collapsed="false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customFormat="false" ht="15.75" hidden="false" customHeight="false" outlineLevel="0" collapsed="false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customFormat="false" ht="15.75" hidden="false" customHeight="false" outlineLevel="0" collapsed="false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customFormat="false" ht="15.75" hidden="false" customHeight="false" outlineLevel="0" collapsed="false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customFormat="false" ht="15.75" hidden="false" customHeight="false" outlineLevel="0" collapsed="false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customFormat="false" ht="15.75" hidden="false" customHeight="false" outlineLevel="0" collapsed="false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customFormat="false" ht="15.75" hidden="false" customHeight="false" outlineLevel="0" collapsed="false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customFormat="false" ht="15.75" hidden="false" customHeight="false" outlineLevel="0" collapsed="false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customFormat="false" ht="15.75" hidden="false" customHeight="false" outlineLevel="0" collapsed="false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customFormat="false" ht="15.75" hidden="false" customHeight="false" outlineLevel="0" collapsed="false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customFormat="false" ht="15.75" hidden="false" customHeight="false" outlineLevel="0" collapsed="false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customFormat="false" ht="15.75" hidden="false" customHeight="false" outlineLevel="0" collapsed="false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customFormat="false" ht="15.75" hidden="false" customHeight="false" outlineLevel="0" collapsed="false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customFormat="false" ht="15.75" hidden="false" customHeight="false" outlineLevel="0" collapsed="false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customFormat="false" ht="15.75" hidden="false" customHeight="false" outlineLevel="0" collapsed="false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customFormat="false" ht="15.75" hidden="false" customHeight="false" outlineLevel="0" collapsed="false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customFormat="false" ht="15.75" hidden="false" customHeight="false" outlineLevel="0" collapsed="false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customFormat="false" ht="15.75" hidden="false" customHeight="false" outlineLevel="0" collapsed="false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customFormat="false" ht="15.75" hidden="false" customHeight="false" outlineLevel="0" collapsed="false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customFormat="false" ht="15.75" hidden="false" customHeight="false" outlineLevel="0" collapsed="false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customFormat="false" ht="15.75" hidden="false" customHeight="false" outlineLevel="0" collapsed="false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customFormat="false" ht="15.75" hidden="false" customHeight="false" outlineLevel="0" collapsed="false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customFormat="false" ht="15.75" hidden="false" customHeight="false" outlineLevel="0" collapsed="false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customFormat="false" ht="15.75" hidden="false" customHeight="false" outlineLevel="0" collapsed="false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customFormat="false" ht="15.75" hidden="false" customHeight="false" outlineLevel="0" collapsed="false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customFormat="false" ht="15.75" hidden="false" customHeight="false" outlineLevel="0" collapsed="false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customFormat="false" ht="15.75" hidden="false" customHeight="false" outlineLevel="0" collapsed="false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customFormat="false" ht="15.75" hidden="false" customHeight="false" outlineLevel="0" collapsed="false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customFormat="false" ht="15.75" hidden="false" customHeight="false" outlineLevel="0" collapsed="false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customFormat="false" ht="15.75" hidden="false" customHeight="false" outlineLevel="0" collapsed="false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customFormat="false" ht="15.75" hidden="false" customHeight="false" outlineLevel="0" collapsed="false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customFormat="false" ht="15.75" hidden="false" customHeight="false" outlineLevel="0" collapsed="false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customFormat="false" ht="15.75" hidden="false" customHeight="false" outlineLevel="0" collapsed="false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customFormat="false" ht="15.75" hidden="false" customHeight="false" outlineLevel="0" collapsed="false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customFormat="false" ht="15.75" hidden="false" customHeight="false" outlineLevel="0" collapsed="false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customFormat="false" ht="15.75" hidden="false" customHeight="false" outlineLevel="0" collapsed="false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customFormat="false" ht="15.75" hidden="false" customHeight="false" outlineLevel="0" collapsed="false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customFormat="false" ht="15.75" hidden="false" customHeight="false" outlineLevel="0" collapsed="false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customFormat="false" ht="15.75" hidden="false" customHeight="false" outlineLevel="0" collapsed="false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customFormat="false" ht="15.75" hidden="false" customHeight="false" outlineLevel="0" collapsed="false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customFormat="false" ht="15.75" hidden="false" customHeight="false" outlineLevel="0" collapsed="false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customFormat="false" ht="15.75" hidden="false" customHeight="false" outlineLevel="0" collapsed="false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customFormat="false" ht="15.75" hidden="false" customHeight="false" outlineLevel="0" collapsed="false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customFormat="false" ht="15.75" hidden="false" customHeight="false" outlineLevel="0" collapsed="false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customFormat="false" ht="15.75" hidden="false" customHeight="false" outlineLevel="0" collapsed="false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customFormat="false" ht="15.75" hidden="false" customHeight="false" outlineLevel="0" collapsed="false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customFormat="false" ht="15.75" hidden="false" customHeight="false" outlineLevel="0" collapsed="false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customFormat="false" ht="15.75" hidden="false" customHeight="false" outlineLevel="0" collapsed="false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customFormat="false" ht="15.75" hidden="false" customHeight="false" outlineLevel="0" collapsed="false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customFormat="false" ht="15.75" hidden="false" customHeight="false" outlineLevel="0" collapsed="false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customFormat="false" ht="15.75" hidden="false" customHeight="false" outlineLevel="0" collapsed="false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customFormat="false" ht="15.75" hidden="false" customHeight="false" outlineLevel="0" collapsed="false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customFormat="false" ht="15.75" hidden="false" customHeight="false" outlineLevel="0" collapsed="false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customFormat="false" ht="15.75" hidden="false" customHeight="false" outlineLevel="0" collapsed="false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customFormat="false" ht="15.75" hidden="false" customHeight="false" outlineLevel="0" collapsed="false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customFormat="false" ht="15.75" hidden="false" customHeight="false" outlineLevel="0" collapsed="false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customFormat="false" ht="15.75" hidden="false" customHeight="false" outlineLevel="0" collapsed="false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customFormat="false" ht="15.75" hidden="false" customHeight="false" outlineLevel="0" collapsed="false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customFormat="false" ht="15.75" hidden="false" customHeight="false" outlineLevel="0" collapsed="false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customFormat="false" ht="15.75" hidden="false" customHeight="false" outlineLevel="0" collapsed="false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customFormat="false" ht="15.75" hidden="false" customHeight="false" outlineLevel="0" collapsed="false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customFormat="false" ht="15.75" hidden="false" customHeight="false" outlineLevel="0" collapsed="false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customFormat="false" ht="15.75" hidden="false" customHeight="false" outlineLevel="0" collapsed="false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customFormat="false" ht="15.75" hidden="false" customHeight="false" outlineLevel="0" collapsed="false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customFormat="false" ht="15.75" hidden="false" customHeight="false" outlineLevel="0" collapsed="false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customFormat="false" ht="15.75" hidden="false" customHeight="false" outlineLevel="0" collapsed="false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customFormat="false" ht="15.75" hidden="false" customHeight="false" outlineLevel="0" collapsed="false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customFormat="false" ht="15.75" hidden="false" customHeight="false" outlineLevel="0" collapsed="false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customFormat="false" ht="15.75" hidden="false" customHeight="false" outlineLevel="0" collapsed="false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customFormat="false" ht="15.75" hidden="false" customHeight="false" outlineLevel="0" collapsed="false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customFormat="false" ht="15.75" hidden="false" customHeight="false" outlineLevel="0" collapsed="false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customFormat="false" ht="15.75" hidden="false" customHeight="false" outlineLevel="0" collapsed="false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customFormat="false" ht="15.75" hidden="false" customHeight="false" outlineLevel="0" collapsed="false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customFormat="false" ht="15.75" hidden="false" customHeight="false" outlineLevel="0" collapsed="false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customFormat="false" ht="15.75" hidden="false" customHeight="false" outlineLevel="0" collapsed="false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customFormat="false" ht="15.75" hidden="false" customHeight="false" outlineLevel="0" collapsed="false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customFormat="false" ht="15.75" hidden="false" customHeight="false" outlineLevel="0" collapsed="false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customFormat="false" ht="15.75" hidden="false" customHeight="false" outlineLevel="0" collapsed="false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customFormat="false" ht="15.75" hidden="false" customHeight="false" outlineLevel="0" collapsed="false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customFormat="false" ht="15.75" hidden="false" customHeight="false" outlineLevel="0" collapsed="false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customFormat="false" ht="15.75" hidden="false" customHeight="false" outlineLevel="0" collapsed="false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customFormat="false" ht="15.75" hidden="false" customHeight="false" outlineLevel="0" collapsed="false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customFormat="false" ht="15.75" hidden="false" customHeight="false" outlineLevel="0" collapsed="false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customFormat="false" ht="15.75" hidden="false" customHeight="false" outlineLevel="0" collapsed="false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customFormat="false" ht="15.75" hidden="false" customHeight="false" outlineLevel="0" collapsed="false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customFormat="false" ht="15.75" hidden="false" customHeight="false" outlineLevel="0" collapsed="false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customFormat="false" ht="15.75" hidden="false" customHeight="false" outlineLevel="0" collapsed="false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customFormat="false" ht="15.75" hidden="false" customHeight="false" outlineLevel="0" collapsed="false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customFormat="false" ht="15.75" hidden="false" customHeight="false" outlineLevel="0" collapsed="false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customFormat="false" ht="15.75" hidden="false" customHeight="false" outlineLevel="0" collapsed="false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customFormat="false" ht="15.75" hidden="false" customHeight="false" outlineLevel="0" collapsed="false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customFormat="false" ht="15.75" hidden="false" customHeight="false" outlineLevel="0" collapsed="false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customFormat="false" ht="15.75" hidden="false" customHeight="false" outlineLevel="0" collapsed="false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customFormat="false" ht="15.75" hidden="false" customHeight="false" outlineLevel="0" collapsed="false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customFormat="false" ht="15.75" hidden="false" customHeight="false" outlineLevel="0" collapsed="false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customFormat="false" ht="15.75" hidden="false" customHeight="false" outlineLevel="0" collapsed="false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customFormat="false" ht="15.75" hidden="false" customHeight="false" outlineLevel="0" collapsed="false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customFormat="false" ht="15.75" hidden="false" customHeight="false" outlineLevel="0" collapsed="false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customFormat="false" ht="15.75" hidden="false" customHeight="false" outlineLevel="0" collapsed="false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customFormat="false" ht="15.75" hidden="false" customHeight="false" outlineLevel="0" collapsed="false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customFormat="false" ht="15.75" hidden="false" customHeight="false" outlineLevel="0" collapsed="false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customFormat="false" ht="15.75" hidden="false" customHeight="false" outlineLevel="0" collapsed="false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customFormat="false" ht="15.75" hidden="false" customHeight="false" outlineLevel="0" collapsed="false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customFormat="false" ht="15.75" hidden="false" customHeight="false" outlineLevel="0" collapsed="false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customFormat="false" ht="15.75" hidden="false" customHeight="false" outlineLevel="0" collapsed="false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customFormat="false" ht="15.75" hidden="false" customHeight="false" outlineLevel="0" collapsed="false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customFormat="false" ht="15.75" hidden="false" customHeight="false" outlineLevel="0" collapsed="false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customFormat="false" ht="15.75" hidden="false" customHeight="false" outlineLevel="0" collapsed="false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customFormat="false" ht="15.75" hidden="false" customHeight="false" outlineLevel="0" collapsed="false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customFormat="false" ht="15.75" hidden="false" customHeight="false" outlineLevel="0" collapsed="false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customFormat="false" ht="15.75" hidden="false" customHeight="false" outlineLevel="0" collapsed="false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customFormat="false" ht="15.75" hidden="false" customHeight="false" outlineLevel="0" collapsed="false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customFormat="false" ht="15.75" hidden="false" customHeight="false" outlineLevel="0" collapsed="false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customFormat="false" ht="15.75" hidden="false" customHeight="false" outlineLevel="0" collapsed="false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customFormat="false" ht="15.75" hidden="false" customHeight="false" outlineLevel="0" collapsed="false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customFormat="false" ht="15.75" hidden="false" customHeight="false" outlineLevel="0" collapsed="false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customFormat="false" ht="15.75" hidden="false" customHeight="false" outlineLevel="0" collapsed="false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customFormat="false" ht="15.75" hidden="false" customHeight="false" outlineLevel="0" collapsed="false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customFormat="false" ht="15.75" hidden="false" customHeight="false" outlineLevel="0" collapsed="false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customFormat="false" ht="15.75" hidden="false" customHeight="false" outlineLevel="0" collapsed="false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customFormat="false" ht="15.75" hidden="false" customHeight="false" outlineLevel="0" collapsed="false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customFormat="false" ht="15.75" hidden="false" customHeight="false" outlineLevel="0" collapsed="false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customFormat="false" ht="15.75" hidden="false" customHeight="false" outlineLevel="0" collapsed="false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customFormat="false" ht="15.75" hidden="false" customHeight="false" outlineLevel="0" collapsed="false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customFormat="false" ht="15.75" hidden="false" customHeight="false" outlineLevel="0" collapsed="false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customFormat="false" ht="15.75" hidden="false" customHeight="false" outlineLevel="0" collapsed="false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customFormat="false" ht="15.75" hidden="false" customHeight="false" outlineLevel="0" collapsed="false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customFormat="false" ht="15.75" hidden="false" customHeight="false" outlineLevel="0" collapsed="false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customFormat="false" ht="15.75" hidden="false" customHeight="false" outlineLevel="0" collapsed="false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customFormat="false" ht="15.75" hidden="false" customHeight="false" outlineLevel="0" collapsed="false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customFormat="false" ht="15.75" hidden="false" customHeight="false" outlineLevel="0" collapsed="false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customFormat="false" ht="15.75" hidden="false" customHeight="false" outlineLevel="0" collapsed="false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customFormat="false" ht="15.75" hidden="false" customHeight="false" outlineLevel="0" collapsed="false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customFormat="false" ht="15.75" hidden="false" customHeight="false" outlineLevel="0" collapsed="false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customFormat="false" ht="15.75" hidden="false" customHeight="false" outlineLevel="0" collapsed="false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customFormat="false" ht="15.75" hidden="false" customHeight="false" outlineLevel="0" collapsed="false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customFormat="false" ht="15.75" hidden="false" customHeight="false" outlineLevel="0" collapsed="false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customFormat="false" ht="15.75" hidden="false" customHeight="false" outlineLevel="0" collapsed="false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customFormat="false" ht="15.75" hidden="false" customHeight="false" outlineLevel="0" collapsed="false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customFormat="false" ht="15.75" hidden="false" customHeight="false" outlineLevel="0" collapsed="false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customFormat="false" ht="15.75" hidden="false" customHeight="false" outlineLevel="0" collapsed="false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customFormat="false" ht="15.75" hidden="false" customHeight="false" outlineLevel="0" collapsed="false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customFormat="false" ht="15.75" hidden="false" customHeight="false" outlineLevel="0" collapsed="false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customFormat="false" ht="15.75" hidden="false" customHeight="false" outlineLevel="0" collapsed="false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customFormat="false" ht="15.75" hidden="false" customHeight="false" outlineLevel="0" collapsed="false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customFormat="false" ht="15.75" hidden="false" customHeight="false" outlineLevel="0" collapsed="false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customFormat="false" ht="15.75" hidden="false" customHeight="false" outlineLevel="0" collapsed="false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customFormat="false" ht="15.75" hidden="false" customHeight="false" outlineLevel="0" collapsed="false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customFormat="false" ht="15.75" hidden="false" customHeight="false" outlineLevel="0" collapsed="false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customFormat="false" ht="15.75" hidden="false" customHeight="false" outlineLevel="0" collapsed="false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customFormat="false" ht="15.75" hidden="false" customHeight="false" outlineLevel="0" collapsed="false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customFormat="false" ht="15.75" hidden="false" customHeight="false" outlineLevel="0" collapsed="false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customFormat="false" ht="15.75" hidden="false" customHeight="false" outlineLevel="0" collapsed="false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customFormat="false" ht="15.75" hidden="false" customHeight="false" outlineLevel="0" collapsed="false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customFormat="false" ht="15.75" hidden="false" customHeight="false" outlineLevel="0" collapsed="false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customFormat="false" ht="15.75" hidden="false" customHeight="false" outlineLevel="0" collapsed="false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customFormat="false" ht="15.75" hidden="false" customHeight="false" outlineLevel="0" collapsed="false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customFormat="false" ht="15.75" hidden="false" customHeight="false" outlineLevel="0" collapsed="false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customFormat="false" ht="15.75" hidden="false" customHeight="false" outlineLevel="0" collapsed="false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customFormat="false" ht="15.75" hidden="false" customHeight="false" outlineLevel="0" collapsed="false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customFormat="false" ht="15.75" hidden="false" customHeight="false" outlineLevel="0" collapsed="false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customFormat="false" ht="15.75" hidden="false" customHeight="false" outlineLevel="0" collapsed="false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customFormat="false" ht="15.75" hidden="false" customHeight="false" outlineLevel="0" collapsed="false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customFormat="false" ht="15.75" hidden="false" customHeight="false" outlineLevel="0" collapsed="false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customFormat="false" ht="15.75" hidden="false" customHeight="false" outlineLevel="0" collapsed="false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customFormat="false" ht="15.75" hidden="false" customHeight="false" outlineLevel="0" collapsed="false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customFormat="false" ht="15.75" hidden="false" customHeight="false" outlineLevel="0" collapsed="false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customFormat="false" ht="15.75" hidden="false" customHeight="false" outlineLevel="0" collapsed="false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customFormat="false" ht="15.75" hidden="false" customHeight="false" outlineLevel="0" collapsed="false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customFormat="false" ht="15.75" hidden="false" customHeight="false" outlineLevel="0" collapsed="false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customFormat="false" ht="15.75" hidden="false" customHeight="false" outlineLevel="0" collapsed="false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customFormat="false" ht="15.75" hidden="false" customHeight="false" outlineLevel="0" collapsed="false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customFormat="false" ht="15.75" hidden="false" customHeight="false" outlineLevel="0" collapsed="false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customFormat="false" ht="15.75" hidden="false" customHeight="false" outlineLevel="0" collapsed="false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customFormat="false" ht="15.75" hidden="false" customHeight="false" outlineLevel="0" collapsed="false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customFormat="false" ht="15.75" hidden="false" customHeight="false" outlineLevel="0" collapsed="false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customFormat="false" ht="15.75" hidden="false" customHeight="false" outlineLevel="0" collapsed="false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customFormat="false" ht="15.75" hidden="false" customHeight="false" outlineLevel="0" collapsed="false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customFormat="false" ht="15.75" hidden="false" customHeight="false" outlineLevel="0" collapsed="false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customFormat="false" ht="15.75" hidden="false" customHeight="false" outlineLevel="0" collapsed="false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customFormat="false" ht="15.75" hidden="false" customHeight="false" outlineLevel="0" collapsed="false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customFormat="false" ht="15.75" hidden="false" customHeight="false" outlineLevel="0" collapsed="false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customFormat="false" ht="15.75" hidden="false" customHeight="false" outlineLevel="0" collapsed="false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customFormat="false" ht="15.75" hidden="false" customHeight="false" outlineLevel="0" collapsed="false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customFormat="false" ht="15.75" hidden="false" customHeight="false" outlineLevel="0" collapsed="false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customFormat="false" ht="15.75" hidden="false" customHeight="false" outlineLevel="0" collapsed="false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customFormat="false" ht="15.75" hidden="false" customHeight="false" outlineLevel="0" collapsed="false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customFormat="false" ht="15.75" hidden="false" customHeight="false" outlineLevel="0" collapsed="false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customFormat="false" ht="15.75" hidden="false" customHeight="false" outlineLevel="0" collapsed="false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customFormat="false" ht="15.75" hidden="false" customHeight="false" outlineLevel="0" collapsed="false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customFormat="false" ht="15.75" hidden="false" customHeight="false" outlineLevel="0" collapsed="false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customFormat="false" ht="15.75" hidden="false" customHeight="false" outlineLevel="0" collapsed="false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customFormat="false" ht="15.75" hidden="false" customHeight="false" outlineLevel="0" collapsed="false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customFormat="false" ht="15.75" hidden="false" customHeight="false" outlineLevel="0" collapsed="false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customFormat="false" ht="15.75" hidden="false" customHeight="false" outlineLevel="0" collapsed="false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customFormat="false" ht="15.75" hidden="false" customHeight="false" outlineLevel="0" collapsed="false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customFormat="false" ht="15.75" hidden="false" customHeight="false" outlineLevel="0" collapsed="false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customFormat="false" ht="15.75" hidden="false" customHeight="false" outlineLevel="0" collapsed="false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customFormat="false" ht="15.75" hidden="false" customHeight="false" outlineLevel="0" collapsed="false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customFormat="false" ht="15.75" hidden="false" customHeight="false" outlineLevel="0" collapsed="false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customFormat="false" ht="15.75" hidden="false" customHeight="false" outlineLevel="0" collapsed="false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customFormat="false" ht="15.75" hidden="false" customHeight="false" outlineLevel="0" collapsed="false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customFormat="false" ht="15.75" hidden="false" customHeight="false" outlineLevel="0" collapsed="false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customFormat="false" ht="15.75" hidden="false" customHeight="false" outlineLevel="0" collapsed="false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customFormat="false" ht="15.75" hidden="false" customHeight="false" outlineLevel="0" collapsed="false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customFormat="false" ht="15.75" hidden="false" customHeight="false" outlineLevel="0" collapsed="false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customFormat="false" ht="15.75" hidden="false" customHeight="false" outlineLevel="0" collapsed="false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customFormat="false" ht="15.75" hidden="false" customHeight="false" outlineLevel="0" collapsed="false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customFormat="false" ht="15.75" hidden="false" customHeight="false" outlineLevel="0" collapsed="false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customFormat="false" ht="15.75" hidden="false" customHeight="false" outlineLevel="0" collapsed="false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customFormat="false" ht="15.75" hidden="false" customHeight="false" outlineLevel="0" collapsed="false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customFormat="false" ht="15.75" hidden="false" customHeight="false" outlineLevel="0" collapsed="false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customFormat="false" ht="15.75" hidden="false" customHeight="false" outlineLevel="0" collapsed="false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customFormat="false" ht="15.75" hidden="false" customHeight="false" outlineLevel="0" collapsed="false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customFormat="false" ht="15.75" hidden="false" customHeight="false" outlineLevel="0" collapsed="false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customFormat="false" ht="15.75" hidden="false" customHeight="false" outlineLevel="0" collapsed="false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customFormat="false" ht="15.75" hidden="false" customHeight="false" outlineLevel="0" collapsed="false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customFormat="false" ht="15.75" hidden="false" customHeight="false" outlineLevel="0" collapsed="false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customFormat="false" ht="15.75" hidden="false" customHeight="false" outlineLevel="0" collapsed="false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customFormat="false" ht="15.75" hidden="false" customHeight="false" outlineLevel="0" collapsed="false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customFormat="false" ht="15.75" hidden="false" customHeight="false" outlineLevel="0" collapsed="false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customFormat="false" ht="15.75" hidden="false" customHeight="false" outlineLevel="0" collapsed="false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customFormat="false" ht="15.75" hidden="false" customHeight="false" outlineLevel="0" collapsed="false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customFormat="false" ht="15.75" hidden="false" customHeight="false" outlineLevel="0" collapsed="false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customFormat="false" ht="15.75" hidden="false" customHeight="false" outlineLevel="0" collapsed="false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customFormat="false" ht="15.75" hidden="false" customHeight="false" outlineLevel="0" collapsed="false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customFormat="false" ht="15.75" hidden="false" customHeight="false" outlineLevel="0" collapsed="false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customFormat="false" ht="15.75" hidden="false" customHeight="false" outlineLevel="0" collapsed="false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customFormat="false" ht="15.75" hidden="false" customHeight="false" outlineLevel="0" collapsed="false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customFormat="false" ht="15.75" hidden="false" customHeight="false" outlineLevel="0" collapsed="false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customFormat="false" ht="15.75" hidden="false" customHeight="false" outlineLevel="0" collapsed="false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customFormat="false" ht="15.75" hidden="false" customHeight="false" outlineLevel="0" collapsed="false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customFormat="false" ht="15.75" hidden="false" customHeight="false" outlineLevel="0" collapsed="false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customFormat="false" ht="15.75" hidden="false" customHeight="false" outlineLevel="0" collapsed="false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customFormat="false" ht="15.75" hidden="false" customHeight="false" outlineLevel="0" collapsed="false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customFormat="false" ht="15.75" hidden="false" customHeight="false" outlineLevel="0" collapsed="false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customFormat="false" ht="15.75" hidden="false" customHeight="false" outlineLevel="0" collapsed="false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customFormat="false" ht="15.75" hidden="false" customHeight="false" outlineLevel="0" collapsed="false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customFormat="false" ht="15.75" hidden="false" customHeight="false" outlineLevel="0" collapsed="false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customFormat="false" ht="15.75" hidden="false" customHeight="false" outlineLevel="0" collapsed="false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customFormat="false" ht="15.75" hidden="false" customHeight="false" outlineLevel="0" collapsed="false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customFormat="false" ht="15.75" hidden="false" customHeight="false" outlineLevel="0" collapsed="false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customFormat="false" ht="15.75" hidden="false" customHeight="false" outlineLevel="0" collapsed="false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customFormat="false" ht="15.75" hidden="false" customHeight="false" outlineLevel="0" collapsed="false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customFormat="false" ht="15.75" hidden="false" customHeight="false" outlineLevel="0" collapsed="false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customFormat="false" ht="15.75" hidden="false" customHeight="false" outlineLevel="0" collapsed="false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customFormat="false" ht="15.75" hidden="false" customHeight="false" outlineLevel="0" collapsed="false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customFormat="false" ht="15.75" hidden="false" customHeight="false" outlineLevel="0" collapsed="false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customFormat="false" ht="15.75" hidden="false" customHeight="false" outlineLevel="0" collapsed="false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customFormat="false" ht="15.75" hidden="false" customHeight="false" outlineLevel="0" collapsed="false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customFormat="false" ht="15.75" hidden="false" customHeight="false" outlineLevel="0" collapsed="false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customFormat="false" ht="15.75" hidden="false" customHeight="false" outlineLevel="0" collapsed="false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customFormat="false" ht="15.75" hidden="false" customHeight="false" outlineLevel="0" collapsed="false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customFormat="false" ht="15.75" hidden="false" customHeight="false" outlineLevel="0" collapsed="false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customFormat="false" ht="15.75" hidden="false" customHeight="false" outlineLevel="0" collapsed="false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customFormat="false" ht="15.75" hidden="false" customHeight="false" outlineLevel="0" collapsed="false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customFormat="false" ht="15.75" hidden="false" customHeight="false" outlineLevel="0" collapsed="false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customFormat="false" ht="15.75" hidden="false" customHeight="false" outlineLevel="0" collapsed="false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customFormat="false" ht="15.75" hidden="false" customHeight="false" outlineLevel="0" collapsed="false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customFormat="false" ht="15.75" hidden="false" customHeight="false" outlineLevel="0" collapsed="false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customFormat="false" ht="15.75" hidden="false" customHeight="false" outlineLevel="0" collapsed="false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customFormat="false" ht="15.75" hidden="false" customHeight="false" outlineLevel="0" collapsed="false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customFormat="false" ht="15.75" hidden="false" customHeight="false" outlineLevel="0" collapsed="false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customFormat="false" ht="15.75" hidden="false" customHeight="false" outlineLevel="0" collapsed="false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customFormat="false" ht="15.75" hidden="false" customHeight="false" outlineLevel="0" collapsed="false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customFormat="false" ht="15.75" hidden="false" customHeight="false" outlineLevel="0" collapsed="false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customFormat="false" ht="15.75" hidden="false" customHeight="false" outlineLevel="0" collapsed="false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customFormat="false" ht="15.75" hidden="false" customHeight="false" outlineLevel="0" collapsed="false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customFormat="false" ht="15.75" hidden="false" customHeight="false" outlineLevel="0" collapsed="false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customFormat="false" ht="15.75" hidden="false" customHeight="false" outlineLevel="0" collapsed="false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customFormat="false" ht="15.75" hidden="false" customHeight="false" outlineLevel="0" collapsed="false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customFormat="false" ht="15.75" hidden="false" customHeight="false" outlineLevel="0" collapsed="false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customFormat="false" ht="15.75" hidden="false" customHeight="false" outlineLevel="0" collapsed="false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customFormat="false" ht="15.75" hidden="false" customHeight="false" outlineLevel="0" collapsed="false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customFormat="false" ht="15.75" hidden="false" customHeight="false" outlineLevel="0" collapsed="false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customFormat="false" ht="15.75" hidden="false" customHeight="false" outlineLevel="0" collapsed="false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customFormat="false" ht="15.75" hidden="false" customHeight="false" outlineLevel="0" collapsed="false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customFormat="false" ht="15.75" hidden="false" customHeight="false" outlineLevel="0" collapsed="false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customFormat="false" ht="15.75" hidden="false" customHeight="false" outlineLevel="0" collapsed="false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customFormat="false" ht="15.75" hidden="false" customHeight="false" outlineLevel="0" collapsed="false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customFormat="false" ht="15.75" hidden="false" customHeight="false" outlineLevel="0" collapsed="false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customFormat="false" ht="15.75" hidden="false" customHeight="false" outlineLevel="0" collapsed="false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customFormat="false" ht="15.75" hidden="false" customHeight="false" outlineLevel="0" collapsed="false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customFormat="false" ht="15.75" hidden="false" customHeight="false" outlineLevel="0" collapsed="false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customFormat="false" ht="15.75" hidden="false" customHeight="false" outlineLevel="0" collapsed="false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customFormat="false" ht="15.75" hidden="false" customHeight="false" outlineLevel="0" collapsed="false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customFormat="false" ht="15.75" hidden="false" customHeight="false" outlineLevel="0" collapsed="false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customFormat="false" ht="15.75" hidden="false" customHeight="false" outlineLevel="0" collapsed="false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customFormat="false" ht="15.75" hidden="false" customHeight="false" outlineLevel="0" collapsed="false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customFormat="false" ht="15.75" hidden="false" customHeight="false" outlineLevel="0" collapsed="false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customFormat="false" ht="15.75" hidden="false" customHeight="false" outlineLevel="0" collapsed="false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customFormat="false" ht="15.75" hidden="false" customHeight="false" outlineLevel="0" collapsed="false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customFormat="false" ht="15.75" hidden="false" customHeight="false" outlineLevel="0" collapsed="false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customFormat="false" ht="15.75" hidden="false" customHeight="false" outlineLevel="0" collapsed="false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customFormat="false" ht="15.75" hidden="false" customHeight="false" outlineLevel="0" collapsed="false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customFormat="false" ht="15.75" hidden="false" customHeight="false" outlineLevel="0" collapsed="false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customFormat="false" ht="15.75" hidden="false" customHeight="false" outlineLevel="0" collapsed="false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customFormat="false" ht="15.75" hidden="false" customHeight="false" outlineLevel="0" collapsed="false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customFormat="false" ht="15.75" hidden="false" customHeight="false" outlineLevel="0" collapsed="false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customFormat="false" ht="15.75" hidden="false" customHeight="false" outlineLevel="0" collapsed="false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customFormat="false" ht="15.75" hidden="false" customHeight="false" outlineLevel="0" collapsed="false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customFormat="false" ht="15.75" hidden="false" customHeight="false" outlineLevel="0" collapsed="false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customFormat="false" ht="15.75" hidden="false" customHeight="false" outlineLevel="0" collapsed="false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customFormat="false" ht="15.75" hidden="false" customHeight="false" outlineLevel="0" collapsed="false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customFormat="false" ht="15.75" hidden="false" customHeight="false" outlineLevel="0" collapsed="false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customFormat="false" ht="15.75" hidden="false" customHeight="false" outlineLevel="0" collapsed="false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customFormat="false" ht="15.75" hidden="false" customHeight="false" outlineLevel="0" collapsed="false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customFormat="false" ht="15.75" hidden="false" customHeight="false" outlineLevel="0" collapsed="false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customFormat="false" ht="15.75" hidden="false" customHeight="false" outlineLevel="0" collapsed="false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customFormat="false" ht="15.75" hidden="false" customHeight="false" outlineLevel="0" collapsed="false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customFormat="false" ht="15.75" hidden="false" customHeight="false" outlineLevel="0" collapsed="false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customFormat="false" ht="15.75" hidden="false" customHeight="false" outlineLevel="0" collapsed="false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customFormat="false" ht="15.75" hidden="false" customHeight="false" outlineLevel="0" collapsed="false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customFormat="false" ht="15.75" hidden="false" customHeight="false" outlineLevel="0" collapsed="false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customFormat="false" ht="15.75" hidden="false" customHeight="false" outlineLevel="0" collapsed="false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customFormat="false" ht="15.75" hidden="false" customHeight="false" outlineLevel="0" collapsed="false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customFormat="false" ht="15.75" hidden="false" customHeight="false" outlineLevel="0" collapsed="false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customFormat="false" ht="15.75" hidden="false" customHeight="false" outlineLevel="0" collapsed="false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customFormat="false" ht="15.75" hidden="false" customHeight="false" outlineLevel="0" collapsed="false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customFormat="false" ht="15.75" hidden="false" customHeight="false" outlineLevel="0" collapsed="false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customFormat="false" ht="15.75" hidden="false" customHeight="false" outlineLevel="0" collapsed="false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customFormat="false" ht="15.75" hidden="false" customHeight="false" outlineLevel="0" collapsed="false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customFormat="false" ht="15.75" hidden="false" customHeight="false" outlineLevel="0" collapsed="false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customFormat="false" ht="15.75" hidden="false" customHeight="false" outlineLevel="0" collapsed="false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customFormat="false" ht="15.75" hidden="false" customHeight="false" outlineLevel="0" collapsed="false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customFormat="false" ht="15.75" hidden="false" customHeight="false" outlineLevel="0" collapsed="false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customFormat="false" ht="15.75" hidden="false" customHeight="false" outlineLevel="0" collapsed="false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customFormat="false" ht="15.75" hidden="false" customHeight="false" outlineLevel="0" collapsed="false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customFormat="false" ht="15.75" hidden="false" customHeight="false" outlineLevel="0" collapsed="false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customFormat="false" ht="15.75" hidden="false" customHeight="false" outlineLevel="0" collapsed="false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customFormat="false" ht="15.75" hidden="false" customHeight="false" outlineLevel="0" collapsed="false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customFormat="false" ht="15.75" hidden="false" customHeight="false" outlineLevel="0" collapsed="false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customFormat="false" ht="15.75" hidden="false" customHeight="false" outlineLevel="0" collapsed="false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customFormat="false" ht="15.75" hidden="false" customHeight="false" outlineLevel="0" collapsed="false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customFormat="false" ht="15.75" hidden="false" customHeight="false" outlineLevel="0" collapsed="false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customFormat="false" ht="15.75" hidden="false" customHeight="false" outlineLevel="0" collapsed="false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customFormat="false" ht="15.75" hidden="false" customHeight="false" outlineLevel="0" collapsed="false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customFormat="false" ht="15.75" hidden="false" customHeight="false" outlineLevel="0" collapsed="false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customFormat="false" ht="15.75" hidden="false" customHeight="false" outlineLevel="0" collapsed="false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customFormat="false" ht="15.75" hidden="false" customHeight="false" outlineLevel="0" collapsed="false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customFormat="false" ht="15.75" hidden="false" customHeight="false" outlineLevel="0" collapsed="false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customFormat="false" ht="15.75" hidden="false" customHeight="false" outlineLevel="0" collapsed="false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customFormat="false" ht="15.75" hidden="false" customHeight="false" outlineLevel="0" collapsed="false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customFormat="false" ht="15.75" hidden="false" customHeight="false" outlineLevel="0" collapsed="false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customFormat="false" ht="15.75" hidden="false" customHeight="false" outlineLevel="0" collapsed="false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customFormat="false" ht="15.75" hidden="false" customHeight="false" outlineLevel="0" collapsed="false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customFormat="false" ht="15.75" hidden="false" customHeight="false" outlineLevel="0" collapsed="false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customFormat="false" ht="15.75" hidden="false" customHeight="false" outlineLevel="0" collapsed="false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customFormat="false" ht="15.75" hidden="false" customHeight="false" outlineLevel="0" collapsed="false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customFormat="false" ht="15.75" hidden="false" customHeight="false" outlineLevel="0" collapsed="false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customFormat="false" ht="15.75" hidden="false" customHeight="false" outlineLevel="0" collapsed="false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customFormat="false" ht="15.75" hidden="false" customHeight="false" outlineLevel="0" collapsed="false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customFormat="false" ht="15.75" hidden="false" customHeight="false" outlineLevel="0" collapsed="false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customFormat="false" ht="15.75" hidden="false" customHeight="false" outlineLevel="0" collapsed="false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customFormat="false" ht="15.75" hidden="false" customHeight="false" outlineLevel="0" collapsed="false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customFormat="false" ht="15.75" hidden="false" customHeight="false" outlineLevel="0" collapsed="false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customFormat="false" ht="15.75" hidden="false" customHeight="false" outlineLevel="0" collapsed="false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customFormat="false" ht="15.75" hidden="false" customHeight="false" outlineLevel="0" collapsed="false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customFormat="false" ht="15.75" hidden="false" customHeight="false" outlineLevel="0" collapsed="false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customFormat="false" ht="15.75" hidden="false" customHeight="false" outlineLevel="0" collapsed="false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customFormat="false" ht="15.75" hidden="false" customHeight="false" outlineLevel="0" collapsed="false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customFormat="false" ht="15.75" hidden="false" customHeight="false" outlineLevel="0" collapsed="false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customFormat="false" ht="15.75" hidden="false" customHeight="false" outlineLevel="0" collapsed="false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customFormat="false" ht="15.75" hidden="false" customHeight="false" outlineLevel="0" collapsed="false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customFormat="false" ht="15.75" hidden="false" customHeight="false" outlineLevel="0" collapsed="false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customFormat="false" ht="15.75" hidden="false" customHeight="false" outlineLevel="0" collapsed="false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customFormat="false" ht="15.75" hidden="false" customHeight="false" outlineLevel="0" collapsed="false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customFormat="false" ht="15.75" hidden="false" customHeight="false" outlineLevel="0" collapsed="false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customFormat="false" ht="15.75" hidden="false" customHeight="false" outlineLevel="0" collapsed="false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customFormat="false" ht="15.75" hidden="false" customHeight="false" outlineLevel="0" collapsed="false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customFormat="false" ht="15.75" hidden="false" customHeight="false" outlineLevel="0" collapsed="false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customFormat="false" ht="15.75" hidden="false" customHeight="false" outlineLevel="0" collapsed="false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customFormat="false" ht="15.75" hidden="false" customHeight="false" outlineLevel="0" collapsed="false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customFormat="false" ht="15.75" hidden="false" customHeight="false" outlineLevel="0" collapsed="false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customFormat="false" ht="15.75" hidden="false" customHeight="false" outlineLevel="0" collapsed="false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customFormat="false" ht="15.75" hidden="false" customHeight="false" outlineLevel="0" collapsed="false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customFormat="false" ht="15.75" hidden="false" customHeight="false" outlineLevel="0" collapsed="false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customFormat="false" ht="15.75" hidden="false" customHeight="false" outlineLevel="0" collapsed="false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customFormat="false" ht="15.75" hidden="false" customHeight="false" outlineLevel="0" collapsed="false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customFormat="false" ht="15.75" hidden="false" customHeight="false" outlineLevel="0" collapsed="false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customFormat="false" ht="15.75" hidden="false" customHeight="false" outlineLevel="0" collapsed="false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customFormat="false" ht="15.75" hidden="false" customHeight="false" outlineLevel="0" collapsed="false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customFormat="false" ht="15.75" hidden="false" customHeight="false" outlineLevel="0" collapsed="false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customFormat="false" ht="15.75" hidden="false" customHeight="false" outlineLevel="0" collapsed="false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customFormat="false" ht="15.75" hidden="false" customHeight="false" outlineLevel="0" collapsed="false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customFormat="false" ht="15.75" hidden="false" customHeight="false" outlineLevel="0" collapsed="false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customFormat="false" ht="15.75" hidden="false" customHeight="false" outlineLevel="0" collapsed="false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customFormat="false" ht="15.75" hidden="false" customHeight="false" outlineLevel="0" collapsed="false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customFormat="false" ht="15.75" hidden="false" customHeight="false" outlineLevel="0" collapsed="false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customFormat="false" ht="15.75" hidden="false" customHeight="false" outlineLevel="0" collapsed="false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customFormat="false" ht="15.75" hidden="false" customHeight="false" outlineLevel="0" collapsed="false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customFormat="false" ht="15.75" hidden="false" customHeight="false" outlineLevel="0" collapsed="false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customFormat="false" ht="15.75" hidden="false" customHeight="false" outlineLevel="0" collapsed="false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customFormat="false" ht="15.75" hidden="false" customHeight="false" outlineLevel="0" collapsed="false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customFormat="false" ht="15.75" hidden="false" customHeight="false" outlineLevel="0" collapsed="false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customFormat="false" ht="15.75" hidden="false" customHeight="false" outlineLevel="0" collapsed="false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customFormat="false" ht="15.75" hidden="false" customHeight="false" outlineLevel="0" collapsed="false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customFormat="false" ht="15.75" hidden="false" customHeight="false" outlineLevel="0" collapsed="false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customFormat="false" ht="15.75" hidden="false" customHeight="false" outlineLevel="0" collapsed="false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customFormat="false" ht="15.75" hidden="false" customHeight="false" outlineLevel="0" collapsed="false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customFormat="false" ht="15.75" hidden="false" customHeight="false" outlineLevel="0" collapsed="false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customFormat="false" ht="15.75" hidden="false" customHeight="false" outlineLevel="0" collapsed="false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customFormat="false" ht="15.75" hidden="false" customHeight="false" outlineLevel="0" collapsed="false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customFormat="false" ht="15.75" hidden="false" customHeight="false" outlineLevel="0" collapsed="false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customFormat="false" ht="15.75" hidden="false" customHeight="false" outlineLevel="0" collapsed="false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customFormat="false" ht="15.75" hidden="false" customHeight="false" outlineLevel="0" collapsed="false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customFormat="false" ht="15.75" hidden="false" customHeight="false" outlineLevel="0" collapsed="false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customFormat="false" ht="15.75" hidden="false" customHeight="false" outlineLevel="0" collapsed="false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customFormat="false" ht="15.75" hidden="false" customHeight="false" outlineLevel="0" collapsed="false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customFormat="false" ht="15.75" hidden="false" customHeight="false" outlineLevel="0" collapsed="false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customFormat="false" ht="15.75" hidden="false" customHeight="false" outlineLevel="0" collapsed="false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customFormat="false" ht="15.75" hidden="false" customHeight="false" outlineLevel="0" collapsed="false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customFormat="false" ht="15.75" hidden="false" customHeight="false" outlineLevel="0" collapsed="false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customFormat="false" ht="15.75" hidden="false" customHeight="false" outlineLevel="0" collapsed="false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customFormat="false" ht="15.75" hidden="false" customHeight="false" outlineLevel="0" collapsed="false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customFormat="false" ht="15.75" hidden="false" customHeight="false" outlineLevel="0" collapsed="false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customFormat="false" ht="15.75" hidden="false" customHeight="false" outlineLevel="0" collapsed="false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customFormat="false" ht="15.75" hidden="false" customHeight="false" outlineLevel="0" collapsed="false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customFormat="false" ht="15.75" hidden="false" customHeight="false" outlineLevel="0" collapsed="false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customFormat="false" ht="15.75" hidden="false" customHeight="false" outlineLevel="0" collapsed="false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customFormat="false" ht="15.75" hidden="false" customHeight="false" outlineLevel="0" collapsed="false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customFormat="false" ht="15.75" hidden="false" customHeight="false" outlineLevel="0" collapsed="false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customFormat="false" ht="15.75" hidden="false" customHeight="false" outlineLevel="0" collapsed="false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customFormat="false" ht="15.75" hidden="false" customHeight="false" outlineLevel="0" collapsed="false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customFormat="false" ht="15.75" hidden="false" customHeight="false" outlineLevel="0" collapsed="false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customFormat="false" ht="15.75" hidden="false" customHeight="false" outlineLevel="0" collapsed="false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customFormat="false" ht="15.75" hidden="false" customHeight="false" outlineLevel="0" collapsed="false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customFormat="false" ht="15.75" hidden="false" customHeight="false" outlineLevel="0" collapsed="false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customFormat="false" ht="15.75" hidden="false" customHeight="false" outlineLevel="0" collapsed="false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customFormat="false" ht="15.75" hidden="false" customHeight="false" outlineLevel="0" collapsed="false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customFormat="false" ht="15.75" hidden="false" customHeight="false" outlineLevel="0" collapsed="false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customFormat="false" ht="15.75" hidden="false" customHeight="false" outlineLevel="0" collapsed="false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customFormat="false" ht="15.75" hidden="false" customHeight="false" outlineLevel="0" collapsed="false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customFormat="false" ht="15.75" hidden="false" customHeight="false" outlineLevel="0" collapsed="false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customFormat="false" ht="15.75" hidden="false" customHeight="false" outlineLevel="0" collapsed="false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customFormat="false" ht="15.75" hidden="false" customHeight="false" outlineLevel="0" collapsed="false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customFormat="false" ht="15.75" hidden="false" customHeight="false" outlineLevel="0" collapsed="false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customFormat="false" ht="15.75" hidden="false" customHeight="false" outlineLevel="0" collapsed="false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customFormat="false" ht="15.75" hidden="false" customHeight="false" outlineLevel="0" collapsed="false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customFormat="false" ht="15.75" hidden="false" customHeight="false" outlineLevel="0" collapsed="false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customFormat="false" ht="15.75" hidden="false" customHeight="false" outlineLevel="0" collapsed="false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customFormat="false" ht="15.75" hidden="false" customHeight="false" outlineLevel="0" collapsed="false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customFormat="false" ht="15.75" hidden="false" customHeight="false" outlineLevel="0" collapsed="false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customFormat="false" ht="15.75" hidden="false" customHeight="false" outlineLevel="0" collapsed="false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customFormat="false" ht="15.75" hidden="false" customHeight="false" outlineLevel="0" collapsed="false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customFormat="false" ht="15.75" hidden="false" customHeight="false" outlineLevel="0" collapsed="false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customFormat="false" ht="15.75" hidden="false" customHeight="false" outlineLevel="0" collapsed="false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customFormat="false" ht="15.75" hidden="false" customHeight="false" outlineLevel="0" collapsed="false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customFormat="false" ht="15.75" hidden="false" customHeight="false" outlineLevel="0" collapsed="false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customFormat="false" ht="15.75" hidden="false" customHeight="false" outlineLevel="0" collapsed="false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customFormat="false" ht="15.75" hidden="false" customHeight="false" outlineLevel="0" collapsed="false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customFormat="false" ht="15.75" hidden="false" customHeight="false" outlineLevel="0" collapsed="false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customFormat="false" ht="15.75" hidden="false" customHeight="false" outlineLevel="0" collapsed="false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customFormat="false" ht="15.75" hidden="false" customHeight="false" outlineLevel="0" collapsed="false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customFormat="false" ht="15.75" hidden="false" customHeight="false" outlineLevel="0" collapsed="false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customFormat="false" ht="15.75" hidden="false" customHeight="false" outlineLevel="0" collapsed="false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customFormat="false" ht="15.75" hidden="false" customHeight="false" outlineLevel="0" collapsed="false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customFormat="false" ht="15.75" hidden="false" customHeight="false" outlineLevel="0" collapsed="false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customFormat="false" ht="15.75" hidden="false" customHeight="false" outlineLevel="0" collapsed="false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customFormat="false" ht="15.75" hidden="false" customHeight="false" outlineLevel="0" collapsed="false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customFormat="false" ht="15.75" hidden="false" customHeight="false" outlineLevel="0" collapsed="false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customFormat="false" ht="15.75" hidden="false" customHeight="false" outlineLevel="0" collapsed="false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customFormat="false" ht="15.75" hidden="false" customHeight="false" outlineLevel="0" collapsed="false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customFormat="false" ht="15.75" hidden="false" customHeight="false" outlineLevel="0" collapsed="false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customFormat="false" ht="15.75" hidden="false" customHeight="false" outlineLevel="0" collapsed="false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customFormat="false" ht="15.75" hidden="false" customHeight="false" outlineLevel="0" collapsed="false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customFormat="false" ht="15.75" hidden="false" customHeight="false" outlineLevel="0" collapsed="false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customFormat="false" ht="15.75" hidden="false" customHeight="false" outlineLevel="0" collapsed="false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customFormat="false" ht="15.75" hidden="false" customHeight="false" outlineLevel="0" collapsed="false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customFormat="false" ht="15.75" hidden="false" customHeight="false" outlineLevel="0" collapsed="false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customFormat="false" ht="15.75" hidden="false" customHeight="false" outlineLevel="0" collapsed="false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customFormat="false" ht="15.75" hidden="false" customHeight="false" outlineLevel="0" collapsed="false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customFormat="false" ht="15.75" hidden="false" customHeight="false" outlineLevel="0" collapsed="false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customFormat="false" ht="15.75" hidden="false" customHeight="false" outlineLevel="0" collapsed="false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customFormat="false" ht="15.75" hidden="false" customHeight="false" outlineLevel="0" collapsed="false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customFormat="false" ht="15.75" hidden="false" customHeight="false" outlineLevel="0" collapsed="false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customFormat="false" ht="15.75" hidden="false" customHeight="false" outlineLevel="0" collapsed="false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customFormat="false" ht="15.75" hidden="false" customHeight="false" outlineLevel="0" collapsed="false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customFormat="false" ht="15.75" hidden="false" customHeight="false" outlineLevel="0" collapsed="false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customFormat="false" ht="15.75" hidden="false" customHeight="false" outlineLevel="0" collapsed="false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customFormat="false" ht="15.75" hidden="false" customHeight="false" outlineLevel="0" collapsed="false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customFormat="false" ht="15.75" hidden="false" customHeight="false" outlineLevel="0" collapsed="false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 customFormat="false" ht="15.75" hidden="false" customHeight="false" outlineLevel="0" collapsed="false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  <row r="1001" customFormat="false" ht="15.75" hidden="false" customHeight="false" outlineLevel="0" collapsed="false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44" t="s">
        <v>104</v>
      </c>
      <c r="B1" s="144" t="s">
        <v>76</v>
      </c>
      <c r="C1" s="144" t="s">
        <v>25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customFormat="false" ht="15.75" hidden="false" customHeight="false" outlineLevel="0" collapsed="false">
      <c r="A2" s="144" t="s">
        <v>78</v>
      </c>
      <c r="B2" s="144" t="s">
        <v>78</v>
      </c>
      <c r="C2" s="144" t="s">
        <v>24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customFormat="false" ht="15.75" hidden="false" customHeight="false" outlineLevel="0" collapsed="false">
      <c r="A3" s="144" t="s">
        <v>105</v>
      </c>
      <c r="B3" s="144" t="s">
        <v>106</v>
      </c>
      <c r="C3" s="144" t="s">
        <v>27</v>
      </c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customFormat="false" ht="15.75" hidden="false" customHeight="false" outlineLevel="0" collapsed="false">
      <c r="A4" s="144" t="s">
        <v>106</v>
      </c>
      <c r="B4" s="144"/>
      <c r="C4" s="144" t="s">
        <v>21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customFormat="false" ht="15.75" hidden="false" customHeight="false" outlineLevel="0" collapsed="false">
      <c r="A5" s="144"/>
      <c r="B5" s="144"/>
      <c r="C5" s="144" t="s">
        <v>42</v>
      </c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customFormat="false" ht="15.75" hidden="false" customHeight="false" outlineLevel="0" collapsed="false">
      <c r="A6" s="144"/>
      <c r="B6" s="144"/>
      <c r="C6" s="144" t="s">
        <v>26</v>
      </c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customFormat="false" ht="15.75" hidden="false" customHeight="false" outlineLevel="0" collapsed="false">
      <c r="A7" s="144"/>
      <c r="B7" s="144"/>
      <c r="C7" s="144" t="s">
        <v>28</v>
      </c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customFormat="false" ht="15.75" hidden="false" customHeight="false" outlineLevel="0" collapsed="false">
      <c r="A8" s="144"/>
      <c r="B8" s="144"/>
      <c r="C8" s="144" t="s">
        <v>23</v>
      </c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customFormat="false" ht="15.75" hidden="false" customHeight="false" outlineLevel="0" collapsed="false">
      <c r="A9" s="144"/>
      <c r="B9" s="144"/>
      <c r="C9" s="144" t="s">
        <v>22</v>
      </c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customFormat="false" ht="15.75" hidden="false" customHeight="false" outlineLevel="0" collapsed="false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customFormat="false" ht="15.75" hidden="false" customHeight="false" outlineLevel="0" collapsed="false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customFormat="false" ht="15.75" hidden="false" customHeight="false" outlineLevel="0" collapsed="false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customFormat="false" ht="15.75" hidden="false" customHeight="false" outlineLevel="0" collapsed="false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customFormat="false" ht="15.75" hidden="false" customHeight="false" outlineLevel="0" collapsed="false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customFormat="false" ht="15.75" hidden="false" customHeight="false" outlineLevel="0" collapsed="false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customFormat="false" ht="15.75" hidden="false" customHeight="false" outlineLevel="0" collapsed="false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customFormat="false" ht="15.75" hidden="false" customHeight="false" outlineLevel="0" collapsed="false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customFormat="false" ht="15.75" hidden="false" customHeight="false" outlineLevel="0" collapsed="false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customFormat="false" ht="15.75" hidden="false" customHeight="false" outlineLevel="0" collapsed="false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customFormat="false" ht="15.75" hidden="false" customHeight="false" outlineLevel="0" collapsed="false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 customFormat="false" ht="15.75" hidden="false" customHeight="false" outlineLevel="0" collapsed="false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customFormat="false" ht="15.75" hidden="false" customHeight="false" outlineLevel="0" collapsed="false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customFormat="false" ht="15.75" hidden="false" customHeight="false" outlineLevel="0" collapsed="false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customFormat="false" ht="15.75" hidden="false" customHeight="false" outlineLevel="0" collapsed="false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customFormat="false" ht="15.75" hidden="false" customHeight="false" outlineLevel="0" collapsed="false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customFormat="false" ht="15.75" hidden="false" customHeight="false" outlineLevel="0" collapsed="false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customFormat="false" ht="15.75" hidden="false" customHeight="false" outlineLevel="0" collapsed="false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customFormat="false" ht="15.75" hidden="false" customHeight="false" outlineLevel="0" collapsed="false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customFormat="false" ht="15.75" hidden="false" customHeight="false" outlineLevel="0" collapsed="false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customFormat="false" ht="15.75" hidden="false" customHeight="false" outlineLevel="0" collapsed="false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customFormat="false" ht="15.75" hidden="false" customHeight="false" outlineLevel="0" collapsed="false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customFormat="false" ht="15.75" hidden="false" customHeight="false" outlineLevel="0" collapsed="false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customFormat="false" ht="15.75" hidden="false" customHeight="false" outlineLevel="0" collapsed="false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customFormat="false" ht="15.75" hidden="false" customHeight="false" outlineLevel="0" collapsed="false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customFormat="false" ht="15.75" hidden="false" customHeight="false" outlineLevel="0" collapsed="false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customFormat="false" ht="15.75" hidden="false" customHeight="false" outlineLevel="0" collapsed="false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customFormat="false" ht="15.75" hidden="false" customHeight="false" outlineLevel="0" collapsed="false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customFormat="false" ht="15.75" hidden="false" customHeight="false" outlineLevel="0" collapsed="false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customFormat="false" ht="15.75" hidden="false" customHeight="false" outlineLevel="0" collapsed="false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customFormat="false" ht="15.75" hidden="false" customHeight="false" outlineLevel="0" collapsed="false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customFormat="false" ht="15.75" hidden="false" customHeight="false" outlineLevel="0" collapsed="false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customFormat="false" ht="15.75" hidden="false" customHeight="false" outlineLevel="0" collapsed="false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customFormat="false" ht="15.75" hidden="false" customHeight="false" outlineLevel="0" collapsed="false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customFormat="false" ht="15.75" hidden="false" customHeight="false" outlineLevel="0" collapsed="false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customFormat="false" ht="15.75" hidden="false" customHeight="false" outlineLevel="0" collapsed="false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customFormat="false" ht="15.75" hidden="false" customHeight="false" outlineLevel="0" collapsed="false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customFormat="false" ht="15.75" hidden="false" customHeight="false" outlineLevel="0" collapsed="false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customFormat="false" ht="15.75" hidden="false" customHeight="false" outlineLevel="0" collapsed="false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customFormat="false" ht="15.75" hidden="false" customHeight="false" outlineLevel="0" collapsed="false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customFormat="false" ht="15.75" hidden="false" customHeight="false" outlineLevel="0" collapsed="false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customFormat="false" ht="15.75" hidden="false" customHeight="false" outlineLevel="0" collapsed="false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customFormat="false" ht="15.75" hidden="false" customHeight="false" outlineLevel="0" collapsed="false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customFormat="false" ht="15.75" hidden="false" customHeight="false" outlineLevel="0" collapsed="false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customFormat="false" ht="15.75" hidden="false" customHeight="false" outlineLevel="0" collapsed="false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customFormat="false" ht="15.75" hidden="false" customHeight="false" outlineLevel="0" collapsed="false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customFormat="false" ht="15.75" hidden="false" customHeight="false" outlineLevel="0" collapsed="false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customFormat="false" ht="15.75" hidden="false" customHeight="false" outlineLevel="0" collapsed="false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customFormat="false" ht="15.75" hidden="false" customHeight="false" outlineLevel="0" collapsed="false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customFormat="false" ht="15.75" hidden="false" customHeight="false" outlineLevel="0" collapsed="false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customFormat="false" ht="15.75" hidden="false" customHeight="false" outlineLevel="0" collapsed="false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customFormat="false" ht="15.75" hidden="false" customHeight="false" outlineLevel="0" collapsed="false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customFormat="false" ht="15.75" hidden="false" customHeight="false" outlineLevel="0" collapsed="false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customFormat="false" ht="15.75" hidden="false" customHeight="false" outlineLevel="0" collapsed="false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customFormat="false" ht="15.75" hidden="false" customHeight="false" outlineLevel="0" collapsed="false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customFormat="false" ht="15.75" hidden="false" customHeight="false" outlineLevel="0" collapsed="false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customFormat="false" ht="15.75" hidden="false" customHeight="false" outlineLevel="0" collapsed="false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customFormat="false" ht="15.75" hidden="false" customHeight="false" outlineLevel="0" collapsed="false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customFormat="false" ht="15.75" hidden="false" customHeight="false" outlineLevel="0" collapsed="false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customFormat="false" ht="15.75" hidden="false" customHeight="false" outlineLevel="0" collapsed="false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customFormat="false" ht="15.75" hidden="false" customHeight="false" outlineLevel="0" collapsed="false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customFormat="false" ht="15.75" hidden="false" customHeight="false" outlineLevel="0" collapsed="false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customFormat="false" ht="15.75" hidden="false" customHeight="false" outlineLevel="0" collapsed="false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customFormat="false" ht="15.75" hidden="false" customHeight="false" outlineLevel="0" collapsed="false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customFormat="false" ht="15.75" hidden="false" customHeight="false" outlineLevel="0" collapsed="false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customFormat="false" ht="15.75" hidden="false" customHeight="false" outlineLevel="0" collapsed="false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customFormat="false" ht="15.75" hidden="false" customHeight="false" outlineLevel="0" collapsed="false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customFormat="false" ht="15.75" hidden="false" customHeight="false" outlineLevel="0" collapsed="false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customFormat="false" ht="15.75" hidden="false" customHeight="false" outlineLevel="0" collapsed="false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customFormat="false" ht="15.75" hidden="false" customHeight="false" outlineLevel="0" collapsed="false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customFormat="false" ht="15.75" hidden="false" customHeight="false" outlineLevel="0" collapsed="false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customFormat="false" ht="15.75" hidden="false" customHeight="false" outlineLevel="0" collapsed="false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customFormat="false" ht="15.75" hidden="false" customHeight="false" outlineLevel="0" collapsed="false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customFormat="false" ht="15.75" hidden="false" customHeight="false" outlineLevel="0" collapsed="false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customFormat="false" ht="15.75" hidden="false" customHeight="false" outlineLevel="0" collapsed="false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customFormat="false" ht="15.75" hidden="false" customHeight="false" outlineLevel="0" collapsed="false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customFormat="false" ht="15.75" hidden="false" customHeight="false" outlineLevel="0" collapsed="false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customFormat="false" ht="15.75" hidden="false" customHeight="false" outlineLevel="0" collapsed="false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customFormat="false" ht="15.75" hidden="false" customHeight="false" outlineLevel="0" collapsed="false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customFormat="false" ht="15.75" hidden="false" customHeight="false" outlineLevel="0" collapsed="false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customFormat="false" ht="15.75" hidden="false" customHeight="false" outlineLevel="0" collapsed="false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customFormat="false" ht="15.75" hidden="false" customHeight="false" outlineLevel="0" collapsed="false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customFormat="false" ht="15.75" hidden="false" customHeight="false" outlineLevel="0" collapsed="false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customFormat="false" ht="15.75" hidden="false" customHeight="false" outlineLevel="0" collapsed="false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customFormat="false" ht="15.75" hidden="false" customHeight="false" outlineLevel="0" collapsed="false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customFormat="false" ht="15.75" hidden="false" customHeight="false" outlineLevel="0" collapsed="false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customFormat="false" ht="15.75" hidden="false" customHeight="false" outlineLevel="0" collapsed="false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customFormat="false" ht="15.75" hidden="false" customHeight="false" outlineLevel="0" collapsed="false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customFormat="false" ht="15.75" hidden="false" customHeight="false" outlineLevel="0" collapsed="false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customFormat="false" ht="15.75" hidden="false" customHeight="false" outlineLevel="0" collapsed="false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customFormat="false" ht="15.75" hidden="false" customHeight="false" outlineLevel="0" collapsed="false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customFormat="false" ht="15.75" hidden="false" customHeight="false" outlineLevel="0" collapsed="false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customFormat="false" ht="15.75" hidden="false" customHeight="false" outlineLevel="0" collapsed="false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customFormat="false" ht="15.75" hidden="false" customHeight="false" outlineLevel="0" collapsed="false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customFormat="false" ht="15.75" hidden="false" customHeight="false" outlineLevel="0" collapsed="false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customFormat="false" ht="15.75" hidden="false" customHeight="false" outlineLevel="0" collapsed="false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customFormat="false" ht="15.75" hidden="false" customHeight="false" outlineLevel="0" collapsed="false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customFormat="false" ht="15.75" hidden="false" customHeight="false" outlineLevel="0" collapsed="false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customFormat="false" ht="15.75" hidden="false" customHeight="false" outlineLevel="0" collapsed="false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customFormat="false" ht="15.75" hidden="false" customHeight="false" outlineLevel="0" collapsed="false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customFormat="false" ht="15.75" hidden="false" customHeight="false" outlineLevel="0" collapsed="false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customFormat="false" ht="15.75" hidden="false" customHeight="false" outlineLevel="0" collapsed="false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customFormat="false" ht="15.75" hidden="false" customHeight="false" outlineLevel="0" collapsed="false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customFormat="false" ht="15.75" hidden="false" customHeight="false" outlineLevel="0" collapsed="false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customFormat="false" ht="15.75" hidden="false" customHeight="false" outlineLevel="0" collapsed="false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customFormat="false" ht="15.75" hidden="false" customHeight="false" outlineLevel="0" collapsed="false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customFormat="false" ht="15.75" hidden="false" customHeight="false" outlineLevel="0" collapsed="false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customFormat="false" ht="15.75" hidden="false" customHeight="false" outlineLevel="0" collapsed="false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customFormat="false" ht="15.75" hidden="false" customHeight="false" outlineLevel="0" collapsed="false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customFormat="false" ht="15.75" hidden="false" customHeight="false" outlineLevel="0" collapsed="false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customFormat="false" ht="15.75" hidden="false" customHeight="false" outlineLevel="0" collapsed="false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customFormat="false" ht="15.75" hidden="false" customHeight="false" outlineLevel="0" collapsed="false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customFormat="false" ht="15.75" hidden="false" customHeight="false" outlineLevel="0" collapsed="false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customFormat="false" ht="15.75" hidden="false" customHeight="false" outlineLevel="0" collapsed="false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customFormat="false" ht="15.75" hidden="false" customHeight="false" outlineLevel="0" collapsed="false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customFormat="false" ht="15.75" hidden="false" customHeight="false" outlineLevel="0" collapsed="false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customFormat="false" ht="15.75" hidden="false" customHeight="false" outlineLevel="0" collapsed="false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customFormat="false" ht="15.75" hidden="false" customHeight="false" outlineLevel="0" collapsed="false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customFormat="false" ht="15.75" hidden="false" customHeight="false" outlineLevel="0" collapsed="false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customFormat="false" ht="15.75" hidden="false" customHeight="false" outlineLevel="0" collapsed="false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customFormat="false" ht="15.75" hidden="false" customHeight="false" outlineLevel="0" collapsed="false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customFormat="false" ht="15.75" hidden="false" customHeight="false" outlineLevel="0" collapsed="false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customFormat="false" ht="15.75" hidden="false" customHeight="false" outlineLevel="0" collapsed="false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customFormat="false" ht="15.75" hidden="false" customHeight="false" outlineLevel="0" collapsed="false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customFormat="false" ht="15.75" hidden="false" customHeight="false" outlineLevel="0" collapsed="false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customFormat="false" ht="15.75" hidden="false" customHeight="false" outlineLevel="0" collapsed="false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customFormat="false" ht="15.75" hidden="false" customHeight="false" outlineLevel="0" collapsed="false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customFormat="false" ht="15.75" hidden="false" customHeight="false" outlineLevel="0" collapsed="false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customFormat="false" ht="15.75" hidden="false" customHeight="false" outlineLevel="0" collapsed="false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customFormat="false" ht="15.75" hidden="false" customHeight="false" outlineLevel="0" collapsed="false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customFormat="false" ht="15.75" hidden="false" customHeight="false" outlineLevel="0" collapsed="false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customFormat="false" ht="15.75" hidden="false" customHeight="false" outlineLevel="0" collapsed="false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customFormat="false" ht="15.75" hidden="false" customHeight="false" outlineLevel="0" collapsed="false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customFormat="false" ht="15.75" hidden="false" customHeight="false" outlineLevel="0" collapsed="false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customFormat="false" ht="15.75" hidden="false" customHeight="false" outlineLevel="0" collapsed="false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customFormat="false" ht="15.75" hidden="false" customHeight="false" outlineLevel="0" collapsed="false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customFormat="false" ht="15.75" hidden="false" customHeight="false" outlineLevel="0" collapsed="false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customFormat="false" ht="15.75" hidden="false" customHeight="false" outlineLevel="0" collapsed="false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customFormat="false" ht="15.75" hidden="false" customHeight="false" outlineLevel="0" collapsed="false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customFormat="false" ht="15.75" hidden="false" customHeight="false" outlineLevel="0" collapsed="false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customFormat="false" ht="15.75" hidden="false" customHeight="false" outlineLevel="0" collapsed="false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customFormat="false" ht="15.75" hidden="false" customHeight="false" outlineLevel="0" collapsed="false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customFormat="false" ht="15.75" hidden="false" customHeight="false" outlineLevel="0" collapsed="false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customFormat="false" ht="15.75" hidden="false" customHeight="false" outlineLevel="0" collapsed="false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customFormat="false" ht="15.75" hidden="false" customHeight="false" outlineLevel="0" collapsed="false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customFormat="false" ht="15.75" hidden="false" customHeight="false" outlineLevel="0" collapsed="false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customFormat="false" ht="15.75" hidden="false" customHeight="false" outlineLevel="0" collapsed="false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customFormat="false" ht="15.75" hidden="false" customHeight="false" outlineLevel="0" collapsed="false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customFormat="false" ht="15.75" hidden="false" customHeight="false" outlineLevel="0" collapsed="false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customFormat="false" ht="15.75" hidden="false" customHeight="false" outlineLevel="0" collapsed="false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customFormat="false" ht="15.75" hidden="false" customHeight="false" outlineLevel="0" collapsed="false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customFormat="false" ht="15.75" hidden="false" customHeight="false" outlineLevel="0" collapsed="false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customFormat="false" ht="15.75" hidden="false" customHeight="false" outlineLevel="0" collapsed="false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customFormat="false" ht="15.75" hidden="false" customHeight="false" outlineLevel="0" collapsed="false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customFormat="false" ht="15.75" hidden="false" customHeight="false" outlineLevel="0" collapsed="false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customFormat="false" ht="15.75" hidden="false" customHeight="false" outlineLevel="0" collapsed="false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customFormat="false" ht="15.75" hidden="false" customHeight="false" outlineLevel="0" collapsed="false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customFormat="false" ht="15.75" hidden="false" customHeight="false" outlineLevel="0" collapsed="false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customFormat="false" ht="15.75" hidden="false" customHeight="false" outlineLevel="0" collapsed="false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customFormat="false" ht="15.75" hidden="false" customHeight="false" outlineLevel="0" collapsed="false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customFormat="false" ht="15.75" hidden="false" customHeight="false" outlineLevel="0" collapsed="false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customFormat="false" ht="15.75" hidden="false" customHeight="false" outlineLevel="0" collapsed="false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customFormat="false" ht="15.75" hidden="false" customHeight="false" outlineLevel="0" collapsed="false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customFormat="false" ht="15.75" hidden="false" customHeight="false" outlineLevel="0" collapsed="false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customFormat="false" ht="15.75" hidden="false" customHeight="false" outlineLevel="0" collapsed="false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customFormat="false" ht="15.75" hidden="false" customHeight="false" outlineLevel="0" collapsed="false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customFormat="false" ht="15.75" hidden="false" customHeight="false" outlineLevel="0" collapsed="false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customFormat="false" ht="15.75" hidden="false" customHeight="false" outlineLevel="0" collapsed="false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customFormat="false" ht="15.75" hidden="false" customHeight="false" outlineLevel="0" collapsed="false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customFormat="false" ht="15.75" hidden="false" customHeight="false" outlineLevel="0" collapsed="false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customFormat="false" ht="15.75" hidden="false" customHeight="false" outlineLevel="0" collapsed="false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customFormat="false" ht="15.75" hidden="false" customHeight="false" outlineLevel="0" collapsed="false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customFormat="false" ht="15.75" hidden="false" customHeight="false" outlineLevel="0" collapsed="false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customFormat="false" ht="15.75" hidden="false" customHeight="false" outlineLevel="0" collapsed="false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customFormat="false" ht="15.75" hidden="false" customHeight="false" outlineLevel="0" collapsed="false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customFormat="false" ht="15.75" hidden="false" customHeight="false" outlineLevel="0" collapsed="false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customFormat="false" ht="15.75" hidden="false" customHeight="false" outlineLevel="0" collapsed="false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customFormat="false" ht="15.75" hidden="false" customHeight="false" outlineLevel="0" collapsed="false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customFormat="false" ht="15.75" hidden="false" customHeight="false" outlineLevel="0" collapsed="false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customFormat="false" ht="15.75" hidden="false" customHeight="false" outlineLevel="0" collapsed="false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customFormat="false" ht="15.75" hidden="false" customHeight="false" outlineLevel="0" collapsed="false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customFormat="false" ht="15.75" hidden="false" customHeight="false" outlineLevel="0" collapsed="false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customFormat="false" ht="15.75" hidden="false" customHeight="false" outlineLevel="0" collapsed="false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customFormat="false" ht="15.75" hidden="false" customHeight="false" outlineLevel="0" collapsed="false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customFormat="false" ht="15.75" hidden="false" customHeight="false" outlineLevel="0" collapsed="false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customFormat="false" ht="15.75" hidden="false" customHeight="false" outlineLevel="0" collapsed="false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customFormat="false" ht="15.75" hidden="false" customHeight="false" outlineLevel="0" collapsed="false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customFormat="false" ht="15.75" hidden="false" customHeight="false" outlineLevel="0" collapsed="false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customFormat="false" ht="15.75" hidden="false" customHeight="false" outlineLevel="0" collapsed="false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customFormat="false" ht="15.75" hidden="false" customHeight="false" outlineLevel="0" collapsed="false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customFormat="false" ht="15.75" hidden="false" customHeight="false" outlineLevel="0" collapsed="false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customFormat="false" ht="15.75" hidden="false" customHeight="false" outlineLevel="0" collapsed="false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customFormat="false" ht="15.75" hidden="false" customHeight="false" outlineLevel="0" collapsed="false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customFormat="false" ht="15.75" hidden="false" customHeight="false" outlineLevel="0" collapsed="false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customFormat="false" ht="15.75" hidden="false" customHeight="false" outlineLevel="0" collapsed="false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customFormat="false" ht="15.75" hidden="false" customHeight="false" outlineLevel="0" collapsed="false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customFormat="false" ht="15.75" hidden="false" customHeight="false" outlineLevel="0" collapsed="false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customFormat="false" ht="15.75" hidden="false" customHeight="false" outlineLevel="0" collapsed="false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customFormat="false" ht="15.75" hidden="false" customHeight="false" outlineLevel="0" collapsed="false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customFormat="false" ht="15.75" hidden="false" customHeight="false" outlineLevel="0" collapsed="false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customFormat="false" ht="15.75" hidden="false" customHeight="false" outlineLevel="0" collapsed="false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customFormat="false" ht="15.75" hidden="false" customHeight="false" outlineLevel="0" collapsed="false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customFormat="false" ht="15.75" hidden="false" customHeight="false" outlineLevel="0" collapsed="false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customFormat="false" ht="15.75" hidden="false" customHeight="false" outlineLevel="0" collapsed="false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customFormat="false" ht="15.75" hidden="false" customHeight="false" outlineLevel="0" collapsed="false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customFormat="false" ht="15.75" hidden="false" customHeight="false" outlineLevel="0" collapsed="false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customFormat="false" ht="15.75" hidden="false" customHeight="false" outlineLevel="0" collapsed="false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customFormat="false" ht="15.75" hidden="false" customHeight="false" outlineLevel="0" collapsed="false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customFormat="false" ht="15.75" hidden="false" customHeight="false" outlineLevel="0" collapsed="false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customFormat="false" ht="15.75" hidden="false" customHeight="false" outlineLevel="0" collapsed="false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customFormat="false" ht="15.75" hidden="false" customHeight="false" outlineLevel="0" collapsed="false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customFormat="false" ht="15.75" hidden="false" customHeight="false" outlineLevel="0" collapsed="false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customFormat="false" ht="15.75" hidden="false" customHeight="false" outlineLevel="0" collapsed="false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customFormat="false" ht="15.75" hidden="false" customHeight="false" outlineLevel="0" collapsed="false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 customFormat="false" ht="15.75" hidden="false" customHeight="false" outlineLevel="0" collapsed="false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 customFormat="false" ht="15.75" hidden="false" customHeight="false" outlineLevel="0" collapsed="false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 customFormat="false" ht="15.75" hidden="false" customHeight="false" outlineLevel="0" collapsed="false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 customFormat="false" ht="15.75" hidden="false" customHeight="false" outlineLevel="0" collapsed="false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 customFormat="false" ht="15.75" hidden="false" customHeight="false" outlineLevel="0" collapsed="false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customFormat="false" ht="15.75" hidden="false" customHeight="false" outlineLevel="0" collapsed="false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customFormat="false" ht="15.75" hidden="false" customHeight="false" outlineLevel="0" collapsed="false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customFormat="false" ht="15.75" hidden="false" customHeight="false" outlineLevel="0" collapsed="false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customFormat="false" ht="15.75" hidden="false" customHeight="false" outlineLevel="0" collapsed="false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customFormat="false" ht="15.75" hidden="false" customHeight="false" outlineLevel="0" collapsed="false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customFormat="false" ht="15.75" hidden="false" customHeight="false" outlineLevel="0" collapsed="false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 customFormat="false" ht="15.75" hidden="false" customHeight="false" outlineLevel="0" collapsed="false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 customFormat="false" ht="15.75" hidden="false" customHeight="false" outlineLevel="0" collapsed="false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 customFormat="false" ht="15.75" hidden="false" customHeight="false" outlineLevel="0" collapsed="false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 customFormat="false" ht="15.75" hidden="false" customHeight="false" outlineLevel="0" collapsed="false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 customFormat="false" ht="15.75" hidden="false" customHeight="false" outlineLevel="0" collapsed="false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 customFormat="false" ht="15.75" hidden="false" customHeight="false" outlineLevel="0" collapsed="false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 customFormat="false" ht="15.75" hidden="false" customHeight="false" outlineLevel="0" collapsed="false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 customFormat="false" ht="15.75" hidden="false" customHeight="false" outlineLevel="0" collapsed="false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 customFormat="false" ht="15.75" hidden="false" customHeight="false" outlineLevel="0" collapsed="false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customFormat="false" ht="15.75" hidden="false" customHeight="false" outlineLevel="0" collapsed="false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customFormat="false" ht="15.75" hidden="false" customHeight="false" outlineLevel="0" collapsed="false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customFormat="false" ht="15.75" hidden="false" customHeight="false" outlineLevel="0" collapsed="false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customFormat="false" ht="15.75" hidden="false" customHeight="false" outlineLevel="0" collapsed="false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customFormat="false" ht="15.75" hidden="false" customHeight="false" outlineLevel="0" collapsed="false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customFormat="false" ht="15.75" hidden="false" customHeight="false" outlineLevel="0" collapsed="false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customFormat="false" ht="15.75" hidden="false" customHeight="false" outlineLevel="0" collapsed="false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customFormat="false" ht="15.75" hidden="false" customHeight="false" outlineLevel="0" collapsed="false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customFormat="false" ht="15.75" hidden="false" customHeight="false" outlineLevel="0" collapsed="false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customFormat="false" ht="15.75" hidden="false" customHeight="false" outlineLevel="0" collapsed="false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customFormat="false" ht="15.75" hidden="false" customHeight="false" outlineLevel="0" collapsed="false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customFormat="false" ht="15.75" hidden="false" customHeight="false" outlineLevel="0" collapsed="false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customFormat="false" ht="15.75" hidden="false" customHeight="false" outlineLevel="0" collapsed="false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customFormat="false" ht="15.75" hidden="false" customHeight="false" outlineLevel="0" collapsed="false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customFormat="false" ht="15.75" hidden="false" customHeight="false" outlineLevel="0" collapsed="false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customFormat="false" ht="15.75" hidden="false" customHeight="false" outlineLevel="0" collapsed="false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customFormat="false" ht="15.75" hidden="false" customHeight="false" outlineLevel="0" collapsed="false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customFormat="false" ht="15.75" hidden="false" customHeight="false" outlineLevel="0" collapsed="false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customFormat="false" ht="15.75" hidden="false" customHeight="false" outlineLevel="0" collapsed="false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customFormat="false" ht="15.75" hidden="false" customHeight="false" outlineLevel="0" collapsed="false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customFormat="false" ht="15.75" hidden="false" customHeight="false" outlineLevel="0" collapsed="false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customFormat="false" ht="15.75" hidden="false" customHeight="false" outlineLevel="0" collapsed="false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customFormat="false" ht="15.75" hidden="false" customHeight="false" outlineLevel="0" collapsed="false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customFormat="false" ht="15.75" hidden="false" customHeight="false" outlineLevel="0" collapsed="false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customFormat="false" ht="15.75" hidden="false" customHeight="false" outlineLevel="0" collapsed="false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customFormat="false" ht="15.75" hidden="false" customHeight="false" outlineLevel="0" collapsed="false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customFormat="false" ht="15.75" hidden="false" customHeight="false" outlineLevel="0" collapsed="false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customFormat="false" ht="15.75" hidden="false" customHeight="false" outlineLevel="0" collapsed="false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customFormat="false" ht="15.75" hidden="false" customHeight="false" outlineLevel="0" collapsed="false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customFormat="false" ht="15.75" hidden="false" customHeight="false" outlineLevel="0" collapsed="false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customFormat="false" ht="15.75" hidden="false" customHeight="false" outlineLevel="0" collapsed="false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customFormat="false" ht="15.75" hidden="false" customHeight="false" outlineLevel="0" collapsed="false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customFormat="false" ht="15.75" hidden="false" customHeight="false" outlineLevel="0" collapsed="false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customFormat="false" ht="15.75" hidden="false" customHeight="false" outlineLevel="0" collapsed="false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customFormat="false" ht="15.75" hidden="false" customHeight="false" outlineLevel="0" collapsed="false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customFormat="false" ht="15.75" hidden="false" customHeight="false" outlineLevel="0" collapsed="false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customFormat="false" ht="15.75" hidden="false" customHeight="false" outlineLevel="0" collapsed="false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customFormat="false" ht="15.75" hidden="false" customHeight="false" outlineLevel="0" collapsed="false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customFormat="false" ht="15.75" hidden="false" customHeight="false" outlineLevel="0" collapsed="false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customFormat="false" ht="15.75" hidden="false" customHeight="false" outlineLevel="0" collapsed="false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customFormat="false" ht="15.75" hidden="false" customHeight="false" outlineLevel="0" collapsed="false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customFormat="false" ht="15.75" hidden="false" customHeight="false" outlineLevel="0" collapsed="false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customFormat="false" ht="15.75" hidden="false" customHeight="false" outlineLevel="0" collapsed="false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customFormat="false" ht="15.75" hidden="false" customHeight="false" outlineLevel="0" collapsed="false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customFormat="false" ht="15.75" hidden="false" customHeight="false" outlineLevel="0" collapsed="false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customFormat="false" ht="15.75" hidden="false" customHeight="false" outlineLevel="0" collapsed="false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customFormat="false" ht="15.75" hidden="false" customHeight="false" outlineLevel="0" collapsed="false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customFormat="false" ht="15.75" hidden="false" customHeight="false" outlineLevel="0" collapsed="false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customFormat="false" ht="15.75" hidden="false" customHeight="false" outlineLevel="0" collapsed="false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customFormat="false" ht="15.75" hidden="false" customHeight="false" outlineLevel="0" collapsed="false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customFormat="false" ht="15.75" hidden="false" customHeight="false" outlineLevel="0" collapsed="false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customFormat="false" ht="15.75" hidden="false" customHeight="false" outlineLevel="0" collapsed="false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customFormat="false" ht="15.75" hidden="false" customHeight="false" outlineLevel="0" collapsed="false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customFormat="false" ht="15.75" hidden="false" customHeight="false" outlineLevel="0" collapsed="false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customFormat="false" ht="15.75" hidden="false" customHeight="false" outlineLevel="0" collapsed="false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customFormat="false" ht="15.75" hidden="false" customHeight="false" outlineLevel="0" collapsed="false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customFormat="false" ht="15.75" hidden="false" customHeight="false" outlineLevel="0" collapsed="false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customFormat="false" ht="15.75" hidden="false" customHeight="false" outlineLevel="0" collapsed="false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customFormat="false" ht="15.75" hidden="false" customHeight="false" outlineLevel="0" collapsed="false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customFormat="false" ht="15.75" hidden="false" customHeight="false" outlineLevel="0" collapsed="false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customFormat="false" ht="15.75" hidden="false" customHeight="false" outlineLevel="0" collapsed="false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customFormat="false" ht="15.75" hidden="false" customHeight="false" outlineLevel="0" collapsed="false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customFormat="false" ht="15.75" hidden="false" customHeight="false" outlineLevel="0" collapsed="false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customFormat="false" ht="15.75" hidden="false" customHeight="false" outlineLevel="0" collapsed="false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customFormat="false" ht="15.75" hidden="false" customHeight="false" outlineLevel="0" collapsed="false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customFormat="false" ht="15.75" hidden="false" customHeight="false" outlineLevel="0" collapsed="false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customFormat="false" ht="15.75" hidden="false" customHeight="false" outlineLevel="0" collapsed="false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customFormat="false" ht="15.75" hidden="false" customHeight="false" outlineLevel="0" collapsed="false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customFormat="false" ht="15.75" hidden="false" customHeight="false" outlineLevel="0" collapsed="false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customFormat="false" ht="15.75" hidden="false" customHeight="false" outlineLevel="0" collapsed="false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customFormat="false" ht="15.75" hidden="false" customHeight="false" outlineLevel="0" collapsed="false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customFormat="false" ht="15.75" hidden="false" customHeight="false" outlineLevel="0" collapsed="false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customFormat="false" ht="15.75" hidden="false" customHeight="false" outlineLevel="0" collapsed="false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customFormat="false" ht="15.75" hidden="false" customHeight="false" outlineLevel="0" collapsed="false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customFormat="false" ht="15.75" hidden="false" customHeight="false" outlineLevel="0" collapsed="false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customFormat="false" ht="15.75" hidden="false" customHeight="false" outlineLevel="0" collapsed="false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customFormat="false" ht="15.75" hidden="false" customHeight="false" outlineLevel="0" collapsed="false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customFormat="false" ht="15.75" hidden="false" customHeight="false" outlineLevel="0" collapsed="false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customFormat="false" ht="15.75" hidden="false" customHeight="false" outlineLevel="0" collapsed="false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customFormat="false" ht="15.75" hidden="false" customHeight="false" outlineLevel="0" collapsed="false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customFormat="false" ht="15.75" hidden="false" customHeight="false" outlineLevel="0" collapsed="false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customFormat="false" ht="15.75" hidden="false" customHeight="false" outlineLevel="0" collapsed="false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customFormat="false" ht="15.75" hidden="false" customHeight="false" outlineLevel="0" collapsed="false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customFormat="false" ht="15.75" hidden="false" customHeight="false" outlineLevel="0" collapsed="false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customFormat="false" ht="15.75" hidden="false" customHeight="false" outlineLevel="0" collapsed="false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customFormat="false" ht="15.75" hidden="false" customHeight="false" outlineLevel="0" collapsed="false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customFormat="false" ht="15.75" hidden="false" customHeight="false" outlineLevel="0" collapsed="false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customFormat="false" ht="15.75" hidden="false" customHeight="false" outlineLevel="0" collapsed="false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customFormat="false" ht="15.75" hidden="false" customHeight="false" outlineLevel="0" collapsed="false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customFormat="false" ht="15.75" hidden="false" customHeight="false" outlineLevel="0" collapsed="false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customFormat="false" ht="15.75" hidden="false" customHeight="false" outlineLevel="0" collapsed="false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customFormat="false" ht="15.75" hidden="false" customHeight="false" outlineLevel="0" collapsed="false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customFormat="false" ht="15.75" hidden="false" customHeight="false" outlineLevel="0" collapsed="false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customFormat="false" ht="15.75" hidden="false" customHeight="false" outlineLevel="0" collapsed="false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customFormat="false" ht="15.75" hidden="false" customHeight="false" outlineLevel="0" collapsed="false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customFormat="false" ht="15.75" hidden="false" customHeight="false" outlineLevel="0" collapsed="false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customFormat="false" ht="15.75" hidden="false" customHeight="false" outlineLevel="0" collapsed="false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customFormat="false" ht="15.75" hidden="false" customHeight="false" outlineLevel="0" collapsed="false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customFormat="false" ht="15.75" hidden="false" customHeight="false" outlineLevel="0" collapsed="false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customFormat="false" ht="15.75" hidden="false" customHeight="false" outlineLevel="0" collapsed="false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customFormat="false" ht="15.75" hidden="false" customHeight="false" outlineLevel="0" collapsed="false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customFormat="false" ht="15.75" hidden="false" customHeight="false" outlineLevel="0" collapsed="false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customFormat="false" ht="15.75" hidden="false" customHeight="false" outlineLevel="0" collapsed="false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customFormat="false" ht="15.75" hidden="false" customHeight="false" outlineLevel="0" collapsed="false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customFormat="false" ht="15.75" hidden="false" customHeight="false" outlineLevel="0" collapsed="false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customFormat="false" ht="15.75" hidden="false" customHeight="false" outlineLevel="0" collapsed="false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customFormat="false" ht="15.75" hidden="false" customHeight="false" outlineLevel="0" collapsed="false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customFormat="false" ht="15.75" hidden="false" customHeight="false" outlineLevel="0" collapsed="false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customFormat="false" ht="15.75" hidden="false" customHeight="false" outlineLevel="0" collapsed="false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customFormat="false" ht="15.75" hidden="false" customHeight="false" outlineLevel="0" collapsed="false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customFormat="false" ht="15.75" hidden="false" customHeight="false" outlineLevel="0" collapsed="false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customFormat="false" ht="15.75" hidden="false" customHeight="false" outlineLevel="0" collapsed="false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customFormat="false" ht="15.75" hidden="false" customHeight="false" outlineLevel="0" collapsed="false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customFormat="false" ht="15.75" hidden="false" customHeight="false" outlineLevel="0" collapsed="false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customFormat="false" ht="15.75" hidden="false" customHeight="false" outlineLevel="0" collapsed="false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customFormat="false" ht="15.75" hidden="false" customHeight="false" outlineLevel="0" collapsed="false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customFormat="false" ht="15.75" hidden="false" customHeight="false" outlineLevel="0" collapsed="false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customFormat="false" ht="15.75" hidden="false" customHeight="false" outlineLevel="0" collapsed="false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customFormat="false" ht="15.75" hidden="false" customHeight="false" outlineLevel="0" collapsed="false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customFormat="false" ht="15.75" hidden="false" customHeight="false" outlineLevel="0" collapsed="false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customFormat="false" ht="15.75" hidden="false" customHeight="false" outlineLevel="0" collapsed="false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customFormat="false" ht="15.75" hidden="false" customHeight="false" outlineLevel="0" collapsed="false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customFormat="false" ht="15.75" hidden="false" customHeight="false" outlineLevel="0" collapsed="false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customFormat="false" ht="15.75" hidden="false" customHeight="false" outlineLevel="0" collapsed="false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customFormat="false" ht="15.75" hidden="false" customHeight="false" outlineLevel="0" collapsed="false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customFormat="false" ht="15.75" hidden="false" customHeight="false" outlineLevel="0" collapsed="false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customFormat="false" ht="15.75" hidden="false" customHeight="false" outlineLevel="0" collapsed="false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customFormat="false" ht="15.75" hidden="false" customHeight="false" outlineLevel="0" collapsed="false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customFormat="false" ht="15.75" hidden="false" customHeight="false" outlineLevel="0" collapsed="false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customFormat="false" ht="15.75" hidden="false" customHeight="false" outlineLevel="0" collapsed="false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customFormat="false" ht="15.75" hidden="false" customHeight="false" outlineLevel="0" collapsed="false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customFormat="false" ht="15.75" hidden="false" customHeight="false" outlineLevel="0" collapsed="false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customFormat="false" ht="15.75" hidden="false" customHeight="false" outlineLevel="0" collapsed="false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customFormat="false" ht="15.75" hidden="false" customHeight="false" outlineLevel="0" collapsed="false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customFormat="false" ht="15.75" hidden="false" customHeight="false" outlineLevel="0" collapsed="false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customFormat="false" ht="15.75" hidden="false" customHeight="false" outlineLevel="0" collapsed="false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customFormat="false" ht="15.75" hidden="false" customHeight="false" outlineLevel="0" collapsed="false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customFormat="false" ht="15.75" hidden="false" customHeight="false" outlineLevel="0" collapsed="false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customFormat="false" ht="15.75" hidden="false" customHeight="false" outlineLevel="0" collapsed="false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customFormat="false" ht="15.75" hidden="false" customHeight="false" outlineLevel="0" collapsed="false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customFormat="false" ht="15.75" hidden="false" customHeight="false" outlineLevel="0" collapsed="false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customFormat="false" ht="15.75" hidden="false" customHeight="false" outlineLevel="0" collapsed="false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customFormat="false" ht="15.75" hidden="false" customHeight="false" outlineLevel="0" collapsed="false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customFormat="false" ht="15.75" hidden="false" customHeight="false" outlineLevel="0" collapsed="false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customFormat="false" ht="15.75" hidden="false" customHeight="false" outlineLevel="0" collapsed="false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customFormat="false" ht="15.75" hidden="false" customHeight="false" outlineLevel="0" collapsed="false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customFormat="false" ht="15.75" hidden="false" customHeight="false" outlineLevel="0" collapsed="false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customFormat="false" ht="15.75" hidden="false" customHeight="false" outlineLevel="0" collapsed="false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customFormat="false" ht="15.75" hidden="false" customHeight="false" outlineLevel="0" collapsed="false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customFormat="false" ht="15.75" hidden="false" customHeight="false" outlineLevel="0" collapsed="false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customFormat="false" ht="15.75" hidden="false" customHeight="false" outlineLevel="0" collapsed="false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customFormat="false" ht="15.75" hidden="false" customHeight="false" outlineLevel="0" collapsed="false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customFormat="false" ht="15.75" hidden="false" customHeight="false" outlineLevel="0" collapsed="false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customFormat="false" ht="15.75" hidden="false" customHeight="false" outlineLevel="0" collapsed="false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customFormat="false" ht="15.75" hidden="false" customHeight="false" outlineLevel="0" collapsed="false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customFormat="false" ht="15.75" hidden="false" customHeight="false" outlineLevel="0" collapsed="false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customFormat="false" ht="15.75" hidden="false" customHeight="false" outlineLevel="0" collapsed="false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customFormat="false" ht="15.75" hidden="false" customHeight="false" outlineLevel="0" collapsed="false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customFormat="false" ht="15.75" hidden="false" customHeight="false" outlineLevel="0" collapsed="false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customFormat="false" ht="15.75" hidden="false" customHeight="false" outlineLevel="0" collapsed="false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customFormat="false" ht="15.75" hidden="false" customHeight="false" outlineLevel="0" collapsed="false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customFormat="false" ht="15.75" hidden="false" customHeight="false" outlineLevel="0" collapsed="false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customFormat="false" ht="15.75" hidden="false" customHeight="false" outlineLevel="0" collapsed="false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customFormat="false" ht="15.75" hidden="false" customHeight="false" outlineLevel="0" collapsed="false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customFormat="false" ht="15.75" hidden="false" customHeight="false" outlineLevel="0" collapsed="false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customFormat="false" ht="15.75" hidden="false" customHeight="false" outlineLevel="0" collapsed="false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customFormat="false" ht="15.75" hidden="false" customHeight="false" outlineLevel="0" collapsed="false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customFormat="false" ht="15.75" hidden="false" customHeight="false" outlineLevel="0" collapsed="false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customFormat="false" ht="15.75" hidden="false" customHeight="false" outlineLevel="0" collapsed="false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customFormat="false" ht="15.75" hidden="false" customHeight="false" outlineLevel="0" collapsed="false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customFormat="false" ht="15.75" hidden="false" customHeight="false" outlineLevel="0" collapsed="false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customFormat="false" ht="15.75" hidden="false" customHeight="false" outlineLevel="0" collapsed="false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customFormat="false" ht="15.75" hidden="false" customHeight="false" outlineLevel="0" collapsed="false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customFormat="false" ht="15.75" hidden="false" customHeight="false" outlineLevel="0" collapsed="false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customFormat="false" ht="15.75" hidden="false" customHeight="false" outlineLevel="0" collapsed="false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customFormat="false" ht="15.75" hidden="false" customHeight="false" outlineLevel="0" collapsed="false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customFormat="false" ht="15.75" hidden="false" customHeight="false" outlineLevel="0" collapsed="false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customFormat="false" ht="15.75" hidden="false" customHeight="false" outlineLevel="0" collapsed="false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customFormat="false" ht="15.75" hidden="false" customHeight="false" outlineLevel="0" collapsed="false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customFormat="false" ht="15.75" hidden="false" customHeight="false" outlineLevel="0" collapsed="false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customFormat="false" ht="15.75" hidden="false" customHeight="false" outlineLevel="0" collapsed="false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customFormat="false" ht="15.75" hidden="false" customHeight="false" outlineLevel="0" collapsed="false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customFormat="false" ht="15.75" hidden="false" customHeight="false" outlineLevel="0" collapsed="false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customFormat="false" ht="15.75" hidden="false" customHeight="false" outlineLevel="0" collapsed="false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customFormat="false" ht="15.75" hidden="false" customHeight="false" outlineLevel="0" collapsed="false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customFormat="false" ht="15.75" hidden="false" customHeight="false" outlineLevel="0" collapsed="false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customFormat="false" ht="15.75" hidden="false" customHeight="false" outlineLevel="0" collapsed="false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customFormat="false" ht="15.75" hidden="false" customHeight="false" outlineLevel="0" collapsed="false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customFormat="false" ht="15.75" hidden="false" customHeight="false" outlineLevel="0" collapsed="false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customFormat="false" ht="15.75" hidden="false" customHeight="false" outlineLevel="0" collapsed="false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customFormat="false" ht="15.75" hidden="false" customHeight="false" outlineLevel="0" collapsed="false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customFormat="false" ht="15.75" hidden="false" customHeight="false" outlineLevel="0" collapsed="false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customFormat="false" ht="15.75" hidden="false" customHeight="false" outlineLevel="0" collapsed="false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customFormat="false" ht="15.75" hidden="false" customHeight="false" outlineLevel="0" collapsed="false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customFormat="false" ht="15.75" hidden="false" customHeight="false" outlineLevel="0" collapsed="false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customFormat="false" ht="15.75" hidden="false" customHeight="false" outlineLevel="0" collapsed="false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customFormat="false" ht="15.75" hidden="false" customHeight="false" outlineLevel="0" collapsed="false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customFormat="false" ht="15.75" hidden="false" customHeight="false" outlineLevel="0" collapsed="false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customFormat="false" ht="15.75" hidden="false" customHeight="false" outlineLevel="0" collapsed="false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customFormat="false" ht="15.75" hidden="false" customHeight="false" outlineLevel="0" collapsed="false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customFormat="false" ht="15.75" hidden="false" customHeight="false" outlineLevel="0" collapsed="false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customFormat="false" ht="15.75" hidden="false" customHeight="false" outlineLevel="0" collapsed="false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customFormat="false" ht="15.75" hidden="false" customHeight="false" outlineLevel="0" collapsed="false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customFormat="false" ht="15.75" hidden="false" customHeight="false" outlineLevel="0" collapsed="false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customFormat="false" ht="15.75" hidden="false" customHeight="false" outlineLevel="0" collapsed="false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customFormat="false" ht="15.75" hidden="false" customHeight="false" outlineLevel="0" collapsed="false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customFormat="false" ht="15.75" hidden="false" customHeight="false" outlineLevel="0" collapsed="false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customFormat="false" ht="15.75" hidden="false" customHeight="false" outlineLevel="0" collapsed="false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customFormat="false" ht="15.75" hidden="false" customHeight="false" outlineLevel="0" collapsed="false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customFormat="false" ht="15.75" hidden="false" customHeight="false" outlineLevel="0" collapsed="false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customFormat="false" ht="15.75" hidden="false" customHeight="false" outlineLevel="0" collapsed="false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customFormat="false" ht="15.75" hidden="false" customHeight="false" outlineLevel="0" collapsed="false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customFormat="false" ht="15.75" hidden="false" customHeight="false" outlineLevel="0" collapsed="false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customFormat="false" ht="15.75" hidden="false" customHeight="false" outlineLevel="0" collapsed="false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customFormat="false" ht="15.75" hidden="false" customHeight="false" outlineLevel="0" collapsed="false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customFormat="false" ht="15.75" hidden="false" customHeight="false" outlineLevel="0" collapsed="false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customFormat="false" ht="15.75" hidden="false" customHeight="false" outlineLevel="0" collapsed="false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customFormat="false" ht="15.75" hidden="false" customHeight="false" outlineLevel="0" collapsed="false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customFormat="false" ht="15.75" hidden="false" customHeight="false" outlineLevel="0" collapsed="false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customFormat="false" ht="15.75" hidden="false" customHeight="false" outlineLevel="0" collapsed="false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customFormat="false" ht="15.75" hidden="false" customHeight="false" outlineLevel="0" collapsed="false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customFormat="false" ht="15.75" hidden="false" customHeight="false" outlineLevel="0" collapsed="false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customFormat="false" ht="15.75" hidden="false" customHeight="false" outlineLevel="0" collapsed="false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customFormat="false" ht="15.75" hidden="false" customHeight="false" outlineLevel="0" collapsed="false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customFormat="false" ht="15.75" hidden="false" customHeight="false" outlineLevel="0" collapsed="false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customFormat="false" ht="15.75" hidden="false" customHeight="false" outlineLevel="0" collapsed="false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customFormat="false" ht="15.75" hidden="false" customHeight="false" outlineLevel="0" collapsed="false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customFormat="false" ht="15.75" hidden="false" customHeight="false" outlineLevel="0" collapsed="false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customFormat="false" ht="15.75" hidden="false" customHeight="false" outlineLevel="0" collapsed="false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customFormat="false" ht="15.75" hidden="false" customHeight="false" outlineLevel="0" collapsed="false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customFormat="false" ht="15.75" hidden="false" customHeight="false" outlineLevel="0" collapsed="false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customFormat="false" ht="15.75" hidden="false" customHeight="false" outlineLevel="0" collapsed="false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customFormat="false" ht="15.75" hidden="false" customHeight="false" outlineLevel="0" collapsed="false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customFormat="false" ht="15.75" hidden="false" customHeight="false" outlineLevel="0" collapsed="false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customFormat="false" ht="15.75" hidden="false" customHeight="false" outlineLevel="0" collapsed="false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customFormat="false" ht="15.75" hidden="false" customHeight="false" outlineLevel="0" collapsed="false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customFormat="false" ht="15.75" hidden="false" customHeight="false" outlineLevel="0" collapsed="false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customFormat="false" ht="15.75" hidden="false" customHeight="false" outlineLevel="0" collapsed="false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customFormat="false" ht="15.75" hidden="false" customHeight="false" outlineLevel="0" collapsed="false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customFormat="false" ht="15.75" hidden="false" customHeight="false" outlineLevel="0" collapsed="false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customFormat="false" ht="15.75" hidden="false" customHeight="false" outlineLevel="0" collapsed="false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customFormat="false" ht="15.75" hidden="false" customHeight="false" outlineLevel="0" collapsed="false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customFormat="false" ht="15.75" hidden="false" customHeight="false" outlineLevel="0" collapsed="false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customFormat="false" ht="15.75" hidden="false" customHeight="false" outlineLevel="0" collapsed="false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customFormat="false" ht="15.75" hidden="false" customHeight="false" outlineLevel="0" collapsed="false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customFormat="false" ht="15.75" hidden="false" customHeight="false" outlineLevel="0" collapsed="false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customFormat="false" ht="15.75" hidden="false" customHeight="false" outlineLevel="0" collapsed="false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customFormat="false" ht="15.75" hidden="false" customHeight="false" outlineLevel="0" collapsed="false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customFormat="false" ht="15.75" hidden="false" customHeight="false" outlineLevel="0" collapsed="false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customFormat="false" ht="15.75" hidden="false" customHeight="false" outlineLevel="0" collapsed="false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customFormat="false" ht="15.75" hidden="false" customHeight="false" outlineLevel="0" collapsed="false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customFormat="false" ht="15.75" hidden="false" customHeight="false" outlineLevel="0" collapsed="false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customFormat="false" ht="15.75" hidden="false" customHeight="false" outlineLevel="0" collapsed="false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customFormat="false" ht="15.75" hidden="false" customHeight="false" outlineLevel="0" collapsed="false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customFormat="false" ht="15.75" hidden="false" customHeight="false" outlineLevel="0" collapsed="false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customFormat="false" ht="15.75" hidden="false" customHeight="false" outlineLevel="0" collapsed="false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customFormat="false" ht="15.75" hidden="false" customHeight="false" outlineLevel="0" collapsed="false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customFormat="false" ht="15.75" hidden="false" customHeight="false" outlineLevel="0" collapsed="false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customFormat="false" ht="15.75" hidden="false" customHeight="false" outlineLevel="0" collapsed="false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customFormat="false" ht="15.75" hidden="false" customHeight="false" outlineLevel="0" collapsed="false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customFormat="false" ht="15.75" hidden="false" customHeight="false" outlineLevel="0" collapsed="false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customFormat="false" ht="15.75" hidden="false" customHeight="false" outlineLevel="0" collapsed="false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customFormat="false" ht="15.75" hidden="false" customHeight="false" outlineLevel="0" collapsed="false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customFormat="false" ht="15.75" hidden="false" customHeight="false" outlineLevel="0" collapsed="false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customFormat="false" ht="15.75" hidden="false" customHeight="false" outlineLevel="0" collapsed="false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customFormat="false" ht="15.75" hidden="false" customHeight="false" outlineLevel="0" collapsed="false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customFormat="false" ht="15.75" hidden="false" customHeight="false" outlineLevel="0" collapsed="false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customFormat="false" ht="15.75" hidden="false" customHeight="false" outlineLevel="0" collapsed="false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customFormat="false" ht="15.75" hidden="false" customHeight="false" outlineLevel="0" collapsed="false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customFormat="false" ht="15.75" hidden="false" customHeight="false" outlineLevel="0" collapsed="false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customFormat="false" ht="15.75" hidden="false" customHeight="false" outlineLevel="0" collapsed="false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customFormat="false" ht="15.75" hidden="false" customHeight="false" outlineLevel="0" collapsed="false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customFormat="false" ht="15.75" hidden="false" customHeight="false" outlineLevel="0" collapsed="false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customFormat="false" ht="15.75" hidden="false" customHeight="false" outlineLevel="0" collapsed="false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customFormat="false" ht="15.75" hidden="false" customHeight="false" outlineLevel="0" collapsed="false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customFormat="false" ht="15.75" hidden="false" customHeight="false" outlineLevel="0" collapsed="false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customFormat="false" ht="15.75" hidden="false" customHeight="false" outlineLevel="0" collapsed="false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customFormat="false" ht="15.75" hidden="false" customHeight="false" outlineLevel="0" collapsed="false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customFormat="false" ht="15.75" hidden="false" customHeight="false" outlineLevel="0" collapsed="false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customFormat="false" ht="15.75" hidden="false" customHeight="false" outlineLevel="0" collapsed="false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customFormat="false" ht="15.75" hidden="false" customHeight="false" outlineLevel="0" collapsed="false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customFormat="false" ht="15.75" hidden="false" customHeight="false" outlineLevel="0" collapsed="false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customFormat="false" ht="15.75" hidden="false" customHeight="false" outlineLevel="0" collapsed="false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customFormat="false" ht="15.75" hidden="false" customHeight="false" outlineLevel="0" collapsed="false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customFormat="false" ht="15.75" hidden="false" customHeight="false" outlineLevel="0" collapsed="false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customFormat="false" ht="15.75" hidden="false" customHeight="false" outlineLevel="0" collapsed="false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customFormat="false" ht="15.75" hidden="false" customHeight="false" outlineLevel="0" collapsed="false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customFormat="false" ht="15.75" hidden="false" customHeight="false" outlineLevel="0" collapsed="false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customFormat="false" ht="15.75" hidden="false" customHeight="false" outlineLevel="0" collapsed="false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customFormat="false" ht="15.75" hidden="false" customHeight="false" outlineLevel="0" collapsed="false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customFormat="false" ht="15.75" hidden="false" customHeight="false" outlineLevel="0" collapsed="false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customFormat="false" ht="15.75" hidden="false" customHeight="false" outlineLevel="0" collapsed="false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customFormat="false" ht="15.75" hidden="false" customHeight="false" outlineLevel="0" collapsed="false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customFormat="false" ht="15.75" hidden="false" customHeight="false" outlineLevel="0" collapsed="false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customFormat="false" ht="15.75" hidden="false" customHeight="false" outlineLevel="0" collapsed="false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customFormat="false" ht="15.75" hidden="false" customHeight="false" outlineLevel="0" collapsed="false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customFormat="false" ht="15.75" hidden="false" customHeight="false" outlineLevel="0" collapsed="false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customFormat="false" ht="15.75" hidden="false" customHeight="false" outlineLevel="0" collapsed="false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customFormat="false" ht="15.75" hidden="false" customHeight="false" outlineLevel="0" collapsed="false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customFormat="false" ht="15.75" hidden="false" customHeight="false" outlineLevel="0" collapsed="false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customFormat="false" ht="15.75" hidden="false" customHeight="false" outlineLevel="0" collapsed="false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customFormat="false" ht="15.75" hidden="false" customHeight="false" outlineLevel="0" collapsed="false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customFormat="false" ht="15.75" hidden="false" customHeight="false" outlineLevel="0" collapsed="false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customFormat="false" ht="15.75" hidden="false" customHeight="false" outlineLevel="0" collapsed="false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customFormat="false" ht="15.75" hidden="false" customHeight="false" outlineLevel="0" collapsed="false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customFormat="false" ht="15.75" hidden="false" customHeight="false" outlineLevel="0" collapsed="false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customFormat="false" ht="15.75" hidden="false" customHeight="false" outlineLevel="0" collapsed="false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customFormat="false" ht="15.75" hidden="false" customHeight="false" outlineLevel="0" collapsed="false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customFormat="false" ht="15.75" hidden="false" customHeight="false" outlineLevel="0" collapsed="false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customFormat="false" ht="15.75" hidden="false" customHeight="false" outlineLevel="0" collapsed="false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customFormat="false" ht="15.75" hidden="false" customHeight="false" outlineLevel="0" collapsed="false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customFormat="false" ht="15.75" hidden="false" customHeight="false" outlineLevel="0" collapsed="false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customFormat="false" ht="15.75" hidden="false" customHeight="false" outlineLevel="0" collapsed="false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customFormat="false" ht="15.75" hidden="false" customHeight="false" outlineLevel="0" collapsed="false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customFormat="false" ht="15.75" hidden="false" customHeight="false" outlineLevel="0" collapsed="false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customFormat="false" ht="15.75" hidden="false" customHeight="false" outlineLevel="0" collapsed="false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customFormat="false" ht="15.75" hidden="false" customHeight="false" outlineLevel="0" collapsed="false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customFormat="false" ht="15.75" hidden="false" customHeight="false" outlineLevel="0" collapsed="false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customFormat="false" ht="15.75" hidden="false" customHeight="false" outlineLevel="0" collapsed="false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customFormat="false" ht="15.75" hidden="false" customHeight="false" outlineLevel="0" collapsed="false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customFormat="false" ht="15.75" hidden="false" customHeight="false" outlineLevel="0" collapsed="false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customFormat="false" ht="15.75" hidden="false" customHeight="false" outlineLevel="0" collapsed="false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customFormat="false" ht="15.75" hidden="false" customHeight="false" outlineLevel="0" collapsed="false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customFormat="false" ht="15.75" hidden="false" customHeight="false" outlineLevel="0" collapsed="false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customFormat="false" ht="15.75" hidden="false" customHeight="false" outlineLevel="0" collapsed="false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customFormat="false" ht="15.75" hidden="false" customHeight="false" outlineLevel="0" collapsed="false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customFormat="false" ht="15.75" hidden="false" customHeight="false" outlineLevel="0" collapsed="false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customFormat="false" ht="15.75" hidden="false" customHeight="false" outlineLevel="0" collapsed="false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customFormat="false" ht="15.75" hidden="false" customHeight="false" outlineLevel="0" collapsed="false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customFormat="false" ht="15.75" hidden="false" customHeight="false" outlineLevel="0" collapsed="false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customFormat="false" ht="15.75" hidden="false" customHeight="false" outlineLevel="0" collapsed="false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customFormat="false" ht="15.75" hidden="false" customHeight="false" outlineLevel="0" collapsed="false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customFormat="false" ht="15.75" hidden="false" customHeight="false" outlineLevel="0" collapsed="false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customFormat="false" ht="15.75" hidden="false" customHeight="false" outlineLevel="0" collapsed="false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customFormat="false" ht="15.75" hidden="false" customHeight="false" outlineLevel="0" collapsed="false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customFormat="false" ht="15.75" hidden="false" customHeight="false" outlineLevel="0" collapsed="false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customFormat="false" ht="15.75" hidden="false" customHeight="false" outlineLevel="0" collapsed="false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customFormat="false" ht="15.75" hidden="false" customHeight="false" outlineLevel="0" collapsed="false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customFormat="false" ht="15.75" hidden="false" customHeight="false" outlineLevel="0" collapsed="false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customFormat="false" ht="15.75" hidden="false" customHeight="false" outlineLevel="0" collapsed="false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customFormat="false" ht="15.75" hidden="false" customHeight="false" outlineLevel="0" collapsed="false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customFormat="false" ht="15.75" hidden="false" customHeight="false" outlineLevel="0" collapsed="false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customFormat="false" ht="15.75" hidden="false" customHeight="false" outlineLevel="0" collapsed="false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customFormat="false" ht="15.75" hidden="false" customHeight="false" outlineLevel="0" collapsed="false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customFormat="false" ht="15.75" hidden="false" customHeight="false" outlineLevel="0" collapsed="false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customFormat="false" ht="15.75" hidden="false" customHeight="false" outlineLevel="0" collapsed="false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customFormat="false" ht="15.75" hidden="false" customHeight="false" outlineLevel="0" collapsed="false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customFormat="false" ht="15.75" hidden="false" customHeight="false" outlineLevel="0" collapsed="false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customFormat="false" ht="15.75" hidden="false" customHeight="false" outlineLevel="0" collapsed="false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customFormat="false" ht="15.75" hidden="false" customHeight="false" outlineLevel="0" collapsed="false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customFormat="false" ht="15.75" hidden="false" customHeight="false" outlineLevel="0" collapsed="false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customFormat="false" ht="15.75" hidden="false" customHeight="false" outlineLevel="0" collapsed="false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customFormat="false" ht="15.75" hidden="false" customHeight="false" outlineLevel="0" collapsed="false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customFormat="false" ht="15.75" hidden="false" customHeight="false" outlineLevel="0" collapsed="false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customFormat="false" ht="15.75" hidden="false" customHeight="false" outlineLevel="0" collapsed="false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customFormat="false" ht="15.75" hidden="false" customHeight="false" outlineLevel="0" collapsed="false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customFormat="false" ht="15.75" hidden="false" customHeight="false" outlineLevel="0" collapsed="false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customFormat="false" ht="15.75" hidden="false" customHeight="false" outlineLevel="0" collapsed="false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customFormat="false" ht="15.75" hidden="false" customHeight="false" outlineLevel="0" collapsed="false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customFormat="false" ht="15.75" hidden="false" customHeight="false" outlineLevel="0" collapsed="false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customFormat="false" ht="15.75" hidden="false" customHeight="false" outlineLevel="0" collapsed="false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customFormat="false" ht="15.75" hidden="false" customHeight="false" outlineLevel="0" collapsed="false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customFormat="false" ht="15.75" hidden="false" customHeight="false" outlineLevel="0" collapsed="false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customFormat="false" ht="15.75" hidden="false" customHeight="false" outlineLevel="0" collapsed="false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customFormat="false" ht="15.75" hidden="false" customHeight="false" outlineLevel="0" collapsed="false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customFormat="false" ht="15.75" hidden="false" customHeight="false" outlineLevel="0" collapsed="false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customFormat="false" ht="15.75" hidden="false" customHeight="false" outlineLevel="0" collapsed="false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customFormat="false" ht="15.75" hidden="false" customHeight="false" outlineLevel="0" collapsed="false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customFormat="false" ht="15.75" hidden="false" customHeight="false" outlineLevel="0" collapsed="false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customFormat="false" ht="15.75" hidden="false" customHeight="false" outlineLevel="0" collapsed="false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customFormat="false" ht="15.75" hidden="false" customHeight="false" outlineLevel="0" collapsed="false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customFormat="false" ht="15.75" hidden="false" customHeight="false" outlineLevel="0" collapsed="false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customFormat="false" ht="15.75" hidden="false" customHeight="false" outlineLevel="0" collapsed="false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customFormat="false" ht="15.75" hidden="false" customHeight="false" outlineLevel="0" collapsed="false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customFormat="false" ht="15.75" hidden="false" customHeight="false" outlineLevel="0" collapsed="false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customFormat="false" ht="15.75" hidden="false" customHeight="false" outlineLevel="0" collapsed="false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customFormat="false" ht="15.75" hidden="false" customHeight="false" outlineLevel="0" collapsed="false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customFormat="false" ht="15.75" hidden="false" customHeight="false" outlineLevel="0" collapsed="false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customFormat="false" ht="15.75" hidden="false" customHeight="false" outlineLevel="0" collapsed="false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customFormat="false" ht="15.75" hidden="false" customHeight="false" outlineLevel="0" collapsed="false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customFormat="false" ht="15.75" hidden="false" customHeight="false" outlineLevel="0" collapsed="false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customFormat="false" ht="15.75" hidden="false" customHeight="false" outlineLevel="0" collapsed="false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customFormat="false" ht="15.75" hidden="false" customHeight="false" outlineLevel="0" collapsed="false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customFormat="false" ht="15.75" hidden="false" customHeight="false" outlineLevel="0" collapsed="false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customFormat="false" ht="15.75" hidden="false" customHeight="false" outlineLevel="0" collapsed="false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customFormat="false" ht="15.75" hidden="false" customHeight="false" outlineLevel="0" collapsed="false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customFormat="false" ht="15.75" hidden="false" customHeight="false" outlineLevel="0" collapsed="false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customFormat="false" ht="15.75" hidden="false" customHeight="false" outlineLevel="0" collapsed="false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customFormat="false" ht="15.75" hidden="false" customHeight="false" outlineLevel="0" collapsed="false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customFormat="false" ht="15.75" hidden="false" customHeight="false" outlineLevel="0" collapsed="false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customFormat="false" ht="15.75" hidden="false" customHeight="false" outlineLevel="0" collapsed="false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customFormat="false" ht="15.75" hidden="false" customHeight="false" outlineLevel="0" collapsed="false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customFormat="false" ht="15.75" hidden="false" customHeight="false" outlineLevel="0" collapsed="false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customFormat="false" ht="15.75" hidden="false" customHeight="false" outlineLevel="0" collapsed="false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customFormat="false" ht="15.75" hidden="false" customHeight="false" outlineLevel="0" collapsed="false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customFormat="false" ht="15.75" hidden="false" customHeight="false" outlineLevel="0" collapsed="false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customFormat="false" ht="15.75" hidden="false" customHeight="false" outlineLevel="0" collapsed="false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customFormat="false" ht="15.75" hidden="false" customHeight="false" outlineLevel="0" collapsed="false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customFormat="false" ht="15.75" hidden="false" customHeight="false" outlineLevel="0" collapsed="false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customFormat="false" ht="15.75" hidden="false" customHeight="false" outlineLevel="0" collapsed="false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customFormat="false" ht="15.75" hidden="false" customHeight="false" outlineLevel="0" collapsed="false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customFormat="false" ht="15.75" hidden="false" customHeight="false" outlineLevel="0" collapsed="false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customFormat="false" ht="15.75" hidden="false" customHeight="false" outlineLevel="0" collapsed="false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customFormat="false" ht="15.75" hidden="false" customHeight="false" outlineLevel="0" collapsed="false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customFormat="false" ht="15.75" hidden="false" customHeight="false" outlineLevel="0" collapsed="false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customFormat="false" ht="15.75" hidden="false" customHeight="false" outlineLevel="0" collapsed="false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customFormat="false" ht="15.75" hidden="false" customHeight="false" outlineLevel="0" collapsed="false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customFormat="false" ht="15.75" hidden="false" customHeight="false" outlineLevel="0" collapsed="false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customFormat="false" ht="15.75" hidden="false" customHeight="false" outlineLevel="0" collapsed="false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customFormat="false" ht="15.75" hidden="false" customHeight="false" outlineLevel="0" collapsed="false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customFormat="false" ht="15.75" hidden="false" customHeight="false" outlineLevel="0" collapsed="false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customFormat="false" ht="15.75" hidden="false" customHeight="false" outlineLevel="0" collapsed="false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customFormat="false" ht="15.75" hidden="false" customHeight="false" outlineLevel="0" collapsed="false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customFormat="false" ht="15.75" hidden="false" customHeight="false" outlineLevel="0" collapsed="false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customFormat="false" ht="15.75" hidden="false" customHeight="false" outlineLevel="0" collapsed="false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customFormat="false" ht="15.75" hidden="false" customHeight="false" outlineLevel="0" collapsed="false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customFormat="false" ht="15.75" hidden="false" customHeight="false" outlineLevel="0" collapsed="false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customFormat="false" ht="15.75" hidden="false" customHeight="false" outlineLevel="0" collapsed="false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customFormat="false" ht="15.75" hidden="false" customHeight="false" outlineLevel="0" collapsed="false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customFormat="false" ht="15.75" hidden="false" customHeight="false" outlineLevel="0" collapsed="false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customFormat="false" ht="15.75" hidden="false" customHeight="false" outlineLevel="0" collapsed="false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customFormat="false" ht="15.75" hidden="false" customHeight="false" outlineLevel="0" collapsed="false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customFormat="false" ht="15.75" hidden="false" customHeight="false" outlineLevel="0" collapsed="false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customFormat="false" ht="15.75" hidden="false" customHeight="false" outlineLevel="0" collapsed="false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customFormat="false" ht="15.75" hidden="false" customHeight="false" outlineLevel="0" collapsed="false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customFormat="false" ht="15.75" hidden="false" customHeight="false" outlineLevel="0" collapsed="false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customFormat="false" ht="15.75" hidden="false" customHeight="false" outlineLevel="0" collapsed="false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customFormat="false" ht="15.75" hidden="false" customHeight="false" outlineLevel="0" collapsed="false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customFormat="false" ht="15.75" hidden="false" customHeight="false" outlineLevel="0" collapsed="false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customFormat="false" ht="15.75" hidden="false" customHeight="false" outlineLevel="0" collapsed="false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customFormat="false" ht="15.75" hidden="false" customHeight="false" outlineLevel="0" collapsed="false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customFormat="false" ht="15.75" hidden="false" customHeight="false" outlineLevel="0" collapsed="false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customFormat="false" ht="15.75" hidden="false" customHeight="false" outlineLevel="0" collapsed="false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customFormat="false" ht="15.75" hidden="false" customHeight="false" outlineLevel="0" collapsed="false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customFormat="false" ht="15.75" hidden="false" customHeight="false" outlineLevel="0" collapsed="false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customFormat="false" ht="15.75" hidden="false" customHeight="false" outlineLevel="0" collapsed="false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customFormat="false" ht="15.75" hidden="false" customHeight="false" outlineLevel="0" collapsed="false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customFormat="false" ht="15.75" hidden="false" customHeight="false" outlineLevel="0" collapsed="false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customFormat="false" ht="15.75" hidden="false" customHeight="false" outlineLevel="0" collapsed="false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customFormat="false" ht="15.75" hidden="false" customHeight="false" outlineLevel="0" collapsed="false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customFormat="false" ht="15.75" hidden="false" customHeight="false" outlineLevel="0" collapsed="false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customFormat="false" ht="15.75" hidden="false" customHeight="false" outlineLevel="0" collapsed="false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customFormat="false" ht="15.75" hidden="false" customHeight="false" outlineLevel="0" collapsed="false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customFormat="false" ht="15.75" hidden="false" customHeight="false" outlineLevel="0" collapsed="false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customFormat="false" ht="15.75" hidden="false" customHeight="false" outlineLevel="0" collapsed="false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customFormat="false" ht="15.75" hidden="false" customHeight="false" outlineLevel="0" collapsed="false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customFormat="false" ht="15.75" hidden="false" customHeight="false" outlineLevel="0" collapsed="false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customFormat="false" ht="15.75" hidden="false" customHeight="false" outlineLevel="0" collapsed="false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customFormat="false" ht="15.75" hidden="false" customHeight="false" outlineLevel="0" collapsed="false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customFormat="false" ht="15.75" hidden="false" customHeight="false" outlineLevel="0" collapsed="false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customFormat="false" ht="15.75" hidden="false" customHeight="false" outlineLevel="0" collapsed="false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customFormat="false" ht="15.75" hidden="false" customHeight="false" outlineLevel="0" collapsed="false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customFormat="false" ht="15.75" hidden="false" customHeight="false" outlineLevel="0" collapsed="false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customFormat="false" ht="15.75" hidden="false" customHeight="false" outlineLevel="0" collapsed="false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customFormat="false" ht="15.75" hidden="false" customHeight="false" outlineLevel="0" collapsed="false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customFormat="false" ht="15.75" hidden="false" customHeight="false" outlineLevel="0" collapsed="false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customFormat="false" ht="15.75" hidden="false" customHeight="false" outlineLevel="0" collapsed="false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customFormat="false" ht="15.75" hidden="false" customHeight="false" outlineLevel="0" collapsed="false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customFormat="false" ht="15.75" hidden="false" customHeight="false" outlineLevel="0" collapsed="false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customFormat="false" ht="15.75" hidden="false" customHeight="false" outlineLevel="0" collapsed="false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customFormat="false" ht="15.75" hidden="false" customHeight="false" outlineLevel="0" collapsed="false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customFormat="false" ht="15.75" hidden="false" customHeight="false" outlineLevel="0" collapsed="false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customFormat="false" ht="15.75" hidden="false" customHeight="false" outlineLevel="0" collapsed="false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customFormat="false" ht="15.75" hidden="false" customHeight="false" outlineLevel="0" collapsed="false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customFormat="false" ht="15.75" hidden="false" customHeight="false" outlineLevel="0" collapsed="false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customFormat="false" ht="15.75" hidden="false" customHeight="false" outlineLevel="0" collapsed="false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customFormat="false" ht="15.75" hidden="false" customHeight="false" outlineLevel="0" collapsed="false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customFormat="false" ht="15.75" hidden="false" customHeight="false" outlineLevel="0" collapsed="false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customFormat="false" ht="15.75" hidden="false" customHeight="false" outlineLevel="0" collapsed="false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customFormat="false" ht="15.75" hidden="false" customHeight="false" outlineLevel="0" collapsed="false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customFormat="false" ht="15.75" hidden="false" customHeight="false" outlineLevel="0" collapsed="false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customFormat="false" ht="15.75" hidden="false" customHeight="false" outlineLevel="0" collapsed="false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customFormat="false" ht="15.75" hidden="false" customHeight="false" outlineLevel="0" collapsed="false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customFormat="false" ht="15.75" hidden="false" customHeight="false" outlineLevel="0" collapsed="false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customFormat="false" ht="15.75" hidden="false" customHeight="false" outlineLevel="0" collapsed="false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customFormat="false" ht="15.75" hidden="false" customHeight="false" outlineLevel="0" collapsed="false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customFormat="false" ht="15.75" hidden="false" customHeight="false" outlineLevel="0" collapsed="false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customFormat="false" ht="15.75" hidden="false" customHeight="false" outlineLevel="0" collapsed="false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customFormat="false" ht="15.75" hidden="false" customHeight="false" outlineLevel="0" collapsed="false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customFormat="false" ht="15.75" hidden="false" customHeight="false" outlineLevel="0" collapsed="false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customFormat="false" ht="15.75" hidden="false" customHeight="false" outlineLevel="0" collapsed="false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customFormat="false" ht="15.75" hidden="false" customHeight="false" outlineLevel="0" collapsed="false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customFormat="false" ht="15.75" hidden="false" customHeight="false" outlineLevel="0" collapsed="false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customFormat="false" ht="15.75" hidden="false" customHeight="false" outlineLevel="0" collapsed="false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customFormat="false" ht="15.75" hidden="false" customHeight="false" outlineLevel="0" collapsed="false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customFormat="false" ht="15.75" hidden="false" customHeight="false" outlineLevel="0" collapsed="false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customFormat="false" ht="15.75" hidden="false" customHeight="false" outlineLevel="0" collapsed="false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customFormat="false" ht="15.75" hidden="false" customHeight="false" outlineLevel="0" collapsed="false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customFormat="false" ht="15.75" hidden="false" customHeight="false" outlineLevel="0" collapsed="false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customFormat="false" ht="15.75" hidden="false" customHeight="false" outlineLevel="0" collapsed="false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customFormat="false" ht="15.75" hidden="false" customHeight="false" outlineLevel="0" collapsed="false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customFormat="false" ht="15.75" hidden="false" customHeight="false" outlineLevel="0" collapsed="false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customFormat="false" ht="15.75" hidden="false" customHeight="false" outlineLevel="0" collapsed="false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customFormat="false" ht="15.75" hidden="false" customHeight="false" outlineLevel="0" collapsed="false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customFormat="false" ht="15.75" hidden="false" customHeight="false" outlineLevel="0" collapsed="false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customFormat="false" ht="15.75" hidden="false" customHeight="false" outlineLevel="0" collapsed="false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customFormat="false" ht="15.75" hidden="false" customHeight="false" outlineLevel="0" collapsed="false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customFormat="false" ht="15.75" hidden="false" customHeight="false" outlineLevel="0" collapsed="false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customFormat="false" ht="15.75" hidden="false" customHeight="false" outlineLevel="0" collapsed="false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customFormat="false" ht="15.75" hidden="false" customHeight="false" outlineLevel="0" collapsed="false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customFormat="false" ht="15.75" hidden="false" customHeight="false" outlineLevel="0" collapsed="false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customFormat="false" ht="15.75" hidden="false" customHeight="false" outlineLevel="0" collapsed="false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customFormat="false" ht="15.75" hidden="false" customHeight="false" outlineLevel="0" collapsed="false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customFormat="false" ht="15.75" hidden="false" customHeight="false" outlineLevel="0" collapsed="false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customFormat="false" ht="15.75" hidden="false" customHeight="false" outlineLevel="0" collapsed="false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customFormat="false" ht="15.75" hidden="false" customHeight="false" outlineLevel="0" collapsed="false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customFormat="false" ht="15.75" hidden="false" customHeight="false" outlineLevel="0" collapsed="false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customFormat="false" ht="15.75" hidden="false" customHeight="false" outlineLevel="0" collapsed="false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customFormat="false" ht="15.75" hidden="false" customHeight="false" outlineLevel="0" collapsed="false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customFormat="false" ht="15.75" hidden="false" customHeight="false" outlineLevel="0" collapsed="false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customFormat="false" ht="15.75" hidden="false" customHeight="false" outlineLevel="0" collapsed="false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customFormat="false" ht="15.75" hidden="false" customHeight="false" outlineLevel="0" collapsed="false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customFormat="false" ht="15.75" hidden="false" customHeight="false" outlineLevel="0" collapsed="false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customFormat="false" ht="15.75" hidden="false" customHeight="false" outlineLevel="0" collapsed="false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customFormat="false" ht="15.75" hidden="false" customHeight="false" outlineLevel="0" collapsed="false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customFormat="false" ht="15.75" hidden="false" customHeight="false" outlineLevel="0" collapsed="false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customFormat="false" ht="15.75" hidden="false" customHeight="false" outlineLevel="0" collapsed="false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customFormat="false" ht="15.75" hidden="false" customHeight="false" outlineLevel="0" collapsed="false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customFormat="false" ht="15.75" hidden="false" customHeight="false" outlineLevel="0" collapsed="false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customFormat="false" ht="15.75" hidden="false" customHeight="false" outlineLevel="0" collapsed="false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customFormat="false" ht="15.75" hidden="false" customHeight="false" outlineLevel="0" collapsed="false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customFormat="false" ht="15.75" hidden="false" customHeight="false" outlineLevel="0" collapsed="false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customFormat="false" ht="15.75" hidden="false" customHeight="false" outlineLevel="0" collapsed="false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customFormat="false" ht="15.75" hidden="false" customHeight="false" outlineLevel="0" collapsed="false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customFormat="false" ht="15.75" hidden="false" customHeight="false" outlineLevel="0" collapsed="false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customFormat="false" ht="15.75" hidden="false" customHeight="false" outlineLevel="0" collapsed="false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customFormat="false" ht="15.75" hidden="false" customHeight="false" outlineLevel="0" collapsed="false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customFormat="false" ht="15.75" hidden="false" customHeight="false" outlineLevel="0" collapsed="false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customFormat="false" ht="15.75" hidden="false" customHeight="false" outlineLevel="0" collapsed="false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customFormat="false" ht="15.75" hidden="false" customHeight="false" outlineLevel="0" collapsed="false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customFormat="false" ht="15.75" hidden="false" customHeight="false" outlineLevel="0" collapsed="false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customFormat="false" ht="15.75" hidden="false" customHeight="false" outlineLevel="0" collapsed="false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customFormat="false" ht="15.75" hidden="false" customHeight="false" outlineLevel="0" collapsed="false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customFormat="false" ht="15.75" hidden="false" customHeight="false" outlineLevel="0" collapsed="false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customFormat="false" ht="15.75" hidden="false" customHeight="false" outlineLevel="0" collapsed="false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customFormat="false" ht="15.75" hidden="false" customHeight="false" outlineLevel="0" collapsed="false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customFormat="false" ht="15.75" hidden="false" customHeight="false" outlineLevel="0" collapsed="false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customFormat="false" ht="15.75" hidden="false" customHeight="false" outlineLevel="0" collapsed="false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customFormat="false" ht="15.75" hidden="false" customHeight="false" outlineLevel="0" collapsed="false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customFormat="false" ht="15.75" hidden="false" customHeight="false" outlineLevel="0" collapsed="false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customFormat="false" ht="15.75" hidden="false" customHeight="false" outlineLevel="0" collapsed="false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customFormat="false" ht="15.75" hidden="false" customHeight="false" outlineLevel="0" collapsed="false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customFormat="false" ht="15.75" hidden="false" customHeight="false" outlineLevel="0" collapsed="false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customFormat="false" ht="15.75" hidden="false" customHeight="false" outlineLevel="0" collapsed="false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customFormat="false" ht="15.75" hidden="false" customHeight="false" outlineLevel="0" collapsed="false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customFormat="false" ht="15.75" hidden="false" customHeight="false" outlineLevel="0" collapsed="false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customFormat="false" ht="15.75" hidden="false" customHeight="false" outlineLevel="0" collapsed="false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customFormat="false" ht="15.75" hidden="false" customHeight="false" outlineLevel="0" collapsed="false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customFormat="false" ht="15.75" hidden="false" customHeight="false" outlineLevel="0" collapsed="false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customFormat="false" ht="15.75" hidden="false" customHeight="false" outlineLevel="0" collapsed="false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customFormat="false" ht="15.75" hidden="false" customHeight="false" outlineLevel="0" collapsed="false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customFormat="false" ht="15.75" hidden="false" customHeight="false" outlineLevel="0" collapsed="false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customFormat="false" ht="15.75" hidden="false" customHeight="false" outlineLevel="0" collapsed="false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customFormat="false" ht="15.75" hidden="false" customHeight="false" outlineLevel="0" collapsed="false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customFormat="false" ht="15.75" hidden="false" customHeight="false" outlineLevel="0" collapsed="false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customFormat="false" ht="15.75" hidden="false" customHeight="false" outlineLevel="0" collapsed="false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customFormat="false" ht="15.75" hidden="false" customHeight="false" outlineLevel="0" collapsed="false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customFormat="false" ht="15.75" hidden="false" customHeight="false" outlineLevel="0" collapsed="false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customFormat="false" ht="15.75" hidden="false" customHeight="false" outlineLevel="0" collapsed="false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customFormat="false" ht="15.75" hidden="false" customHeight="false" outlineLevel="0" collapsed="false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customFormat="false" ht="15.75" hidden="false" customHeight="false" outlineLevel="0" collapsed="false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customFormat="false" ht="15.75" hidden="false" customHeight="false" outlineLevel="0" collapsed="false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customFormat="false" ht="15.75" hidden="false" customHeight="false" outlineLevel="0" collapsed="false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customFormat="false" ht="15.75" hidden="false" customHeight="false" outlineLevel="0" collapsed="false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customFormat="false" ht="15.75" hidden="false" customHeight="false" outlineLevel="0" collapsed="false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customFormat="false" ht="15.75" hidden="false" customHeight="false" outlineLevel="0" collapsed="false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customFormat="false" ht="15.75" hidden="false" customHeight="false" outlineLevel="0" collapsed="false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customFormat="false" ht="15.75" hidden="false" customHeight="false" outlineLevel="0" collapsed="false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customFormat="false" ht="15.75" hidden="false" customHeight="false" outlineLevel="0" collapsed="false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customFormat="false" ht="15.75" hidden="false" customHeight="false" outlineLevel="0" collapsed="false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customFormat="false" ht="15.75" hidden="false" customHeight="false" outlineLevel="0" collapsed="false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customFormat="false" ht="15.75" hidden="false" customHeight="false" outlineLevel="0" collapsed="false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customFormat="false" ht="15.75" hidden="false" customHeight="false" outlineLevel="0" collapsed="false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customFormat="false" ht="15.75" hidden="false" customHeight="false" outlineLevel="0" collapsed="false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customFormat="false" ht="15.75" hidden="false" customHeight="false" outlineLevel="0" collapsed="false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customFormat="false" ht="15.75" hidden="false" customHeight="false" outlineLevel="0" collapsed="false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customFormat="false" ht="15.75" hidden="false" customHeight="false" outlineLevel="0" collapsed="false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customFormat="false" ht="15.75" hidden="false" customHeight="false" outlineLevel="0" collapsed="false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customFormat="false" ht="15.75" hidden="false" customHeight="false" outlineLevel="0" collapsed="false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customFormat="false" ht="15.75" hidden="false" customHeight="false" outlineLevel="0" collapsed="false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customFormat="false" ht="15.75" hidden="false" customHeight="false" outlineLevel="0" collapsed="false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customFormat="false" ht="15.75" hidden="false" customHeight="false" outlineLevel="0" collapsed="false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customFormat="false" ht="15.75" hidden="false" customHeight="false" outlineLevel="0" collapsed="false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customFormat="false" ht="15.75" hidden="false" customHeight="false" outlineLevel="0" collapsed="false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customFormat="false" ht="15.75" hidden="false" customHeight="false" outlineLevel="0" collapsed="false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customFormat="false" ht="15.75" hidden="false" customHeight="false" outlineLevel="0" collapsed="false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customFormat="false" ht="15.75" hidden="false" customHeight="false" outlineLevel="0" collapsed="false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customFormat="false" ht="15.75" hidden="false" customHeight="false" outlineLevel="0" collapsed="false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customFormat="false" ht="15.75" hidden="false" customHeight="false" outlineLevel="0" collapsed="false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customFormat="false" ht="15.75" hidden="false" customHeight="false" outlineLevel="0" collapsed="false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customFormat="false" ht="15.75" hidden="false" customHeight="false" outlineLevel="0" collapsed="false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customFormat="false" ht="15.75" hidden="false" customHeight="false" outlineLevel="0" collapsed="false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customFormat="false" ht="15.75" hidden="false" customHeight="false" outlineLevel="0" collapsed="false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customFormat="false" ht="15.75" hidden="false" customHeight="false" outlineLevel="0" collapsed="false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customFormat="false" ht="15.75" hidden="false" customHeight="false" outlineLevel="0" collapsed="false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customFormat="false" ht="15.75" hidden="false" customHeight="false" outlineLevel="0" collapsed="false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customFormat="false" ht="15.75" hidden="false" customHeight="false" outlineLevel="0" collapsed="false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customFormat="false" ht="15.75" hidden="false" customHeight="false" outlineLevel="0" collapsed="false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customFormat="false" ht="15.75" hidden="false" customHeight="false" outlineLevel="0" collapsed="false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customFormat="false" ht="15.75" hidden="false" customHeight="false" outlineLevel="0" collapsed="false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customFormat="false" ht="15.75" hidden="false" customHeight="false" outlineLevel="0" collapsed="false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customFormat="false" ht="15.75" hidden="false" customHeight="false" outlineLevel="0" collapsed="false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customFormat="false" ht="15.75" hidden="false" customHeight="false" outlineLevel="0" collapsed="false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customFormat="false" ht="15.75" hidden="false" customHeight="false" outlineLevel="0" collapsed="false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customFormat="false" ht="15.75" hidden="false" customHeight="false" outlineLevel="0" collapsed="false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customFormat="false" ht="15.75" hidden="false" customHeight="false" outlineLevel="0" collapsed="false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customFormat="false" ht="15.75" hidden="false" customHeight="false" outlineLevel="0" collapsed="false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customFormat="false" ht="15.75" hidden="false" customHeight="false" outlineLevel="0" collapsed="false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customFormat="false" ht="15.75" hidden="false" customHeight="false" outlineLevel="0" collapsed="false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customFormat="false" ht="15.75" hidden="false" customHeight="false" outlineLevel="0" collapsed="false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customFormat="false" ht="15.75" hidden="false" customHeight="false" outlineLevel="0" collapsed="false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customFormat="false" ht="15.75" hidden="false" customHeight="false" outlineLevel="0" collapsed="false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customFormat="false" ht="15.75" hidden="false" customHeight="false" outlineLevel="0" collapsed="false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customFormat="false" ht="15.75" hidden="false" customHeight="false" outlineLevel="0" collapsed="false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customFormat="false" ht="15.75" hidden="false" customHeight="false" outlineLevel="0" collapsed="false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customFormat="false" ht="15.75" hidden="false" customHeight="false" outlineLevel="0" collapsed="false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customFormat="false" ht="15.75" hidden="false" customHeight="false" outlineLevel="0" collapsed="false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customFormat="false" ht="15.75" hidden="false" customHeight="false" outlineLevel="0" collapsed="false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customFormat="false" ht="15.75" hidden="false" customHeight="false" outlineLevel="0" collapsed="false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customFormat="false" ht="15.75" hidden="false" customHeight="false" outlineLevel="0" collapsed="false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customFormat="false" ht="15.75" hidden="false" customHeight="false" outlineLevel="0" collapsed="false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customFormat="false" ht="15.75" hidden="false" customHeight="false" outlineLevel="0" collapsed="false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customFormat="false" ht="15.75" hidden="false" customHeight="false" outlineLevel="0" collapsed="false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customFormat="false" ht="15.75" hidden="false" customHeight="false" outlineLevel="0" collapsed="false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customFormat="false" ht="15.75" hidden="false" customHeight="false" outlineLevel="0" collapsed="false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customFormat="false" ht="15.75" hidden="false" customHeight="false" outlineLevel="0" collapsed="false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customFormat="false" ht="15.75" hidden="false" customHeight="false" outlineLevel="0" collapsed="false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customFormat="false" ht="15.75" hidden="false" customHeight="false" outlineLevel="0" collapsed="false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customFormat="false" ht="15.75" hidden="false" customHeight="false" outlineLevel="0" collapsed="false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customFormat="false" ht="15.75" hidden="false" customHeight="false" outlineLevel="0" collapsed="false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customFormat="false" ht="15.75" hidden="false" customHeight="false" outlineLevel="0" collapsed="false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customFormat="false" ht="15.75" hidden="false" customHeight="false" outlineLevel="0" collapsed="false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customFormat="false" ht="15.75" hidden="false" customHeight="false" outlineLevel="0" collapsed="false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customFormat="false" ht="15.75" hidden="false" customHeight="false" outlineLevel="0" collapsed="false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customFormat="false" ht="15.75" hidden="false" customHeight="false" outlineLevel="0" collapsed="false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customFormat="false" ht="15.75" hidden="false" customHeight="false" outlineLevel="0" collapsed="false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customFormat="false" ht="15.75" hidden="false" customHeight="false" outlineLevel="0" collapsed="false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customFormat="false" ht="15.75" hidden="false" customHeight="false" outlineLevel="0" collapsed="false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customFormat="false" ht="15.75" hidden="false" customHeight="false" outlineLevel="0" collapsed="false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customFormat="false" ht="15.75" hidden="false" customHeight="false" outlineLevel="0" collapsed="false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customFormat="false" ht="15.75" hidden="false" customHeight="false" outlineLevel="0" collapsed="false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customFormat="false" ht="15.75" hidden="false" customHeight="false" outlineLevel="0" collapsed="false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customFormat="false" ht="15.75" hidden="false" customHeight="false" outlineLevel="0" collapsed="false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customFormat="false" ht="15.75" hidden="false" customHeight="false" outlineLevel="0" collapsed="false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customFormat="false" ht="15.75" hidden="false" customHeight="false" outlineLevel="0" collapsed="false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customFormat="false" ht="15.75" hidden="false" customHeight="false" outlineLevel="0" collapsed="false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customFormat="false" ht="15.75" hidden="false" customHeight="false" outlineLevel="0" collapsed="false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customFormat="false" ht="15.75" hidden="false" customHeight="false" outlineLevel="0" collapsed="false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customFormat="false" ht="15.75" hidden="false" customHeight="false" outlineLevel="0" collapsed="false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customFormat="false" ht="15.75" hidden="false" customHeight="false" outlineLevel="0" collapsed="false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customFormat="false" ht="15.75" hidden="false" customHeight="false" outlineLevel="0" collapsed="false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customFormat="false" ht="15.75" hidden="false" customHeight="false" outlineLevel="0" collapsed="false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customFormat="false" ht="15.75" hidden="false" customHeight="false" outlineLevel="0" collapsed="false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customFormat="false" ht="15.75" hidden="false" customHeight="false" outlineLevel="0" collapsed="false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customFormat="false" ht="15.75" hidden="false" customHeight="false" outlineLevel="0" collapsed="false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customFormat="false" ht="15.75" hidden="false" customHeight="false" outlineLevel="0" collapsed="false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customFormat="false" ht="15.75" hidden="false" customHeight="false" outlineLevel="0" collapsed="false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customFormat="false" ht="15.75" hidden="false" customHeight="false" outlineLevel="0" collapsed="false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customFormat="false" ht="15.75" hidden="false" customHeight="false" outlineLevel="0" collapsed="false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customFormat="false" ht="15.75" hidden="false" customHeight="false" outlineLevel="0" collapsed="false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customFormat="false" ht="15.75" hidden="false" customHeight="false" outlineLevel="0" collapsed="false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customFormat="false" ht="15.75" hidden="false" customHeight="false" outlineLevel="0" collapsed="false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customFormat="false" ht="15.75" hidden="false" customHeight="false" outlineLevel="0" collapsed="false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customFormat="false" ht="15.75" hidden="false" customHeight="false" outlineLevel="0" collapsed="false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customFormat="false" ht="15.75" hidden="false" customHeight="false" outlineLevel="0" collapsed="false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customFormat="false" ht="15.75" hidden="false" customHeight="false" outlineLevel="0" collapsed="false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customFormat="false" ht="15.75" hidden="false" customHeight="false" outlineLevel="0" collapsed="false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customFormat="false" ht="15.75" hidden="false" customHeight="false" outlineLevel="0" collapsed="false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customFormat="false" ht="15.75" hidden="false" customHeight="false" outlineLevel="0" collapsed="false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customFormat="false" ht="15.75" hidden="false" customHeight="false" outlineLevel="0" collapsed="false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customFormat="false" ht="15.75" hidden="false" customHeight="false" outlineLevel="0" collapsed="false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customFormat="false" ht="15.75" hidden="false" customHeight="false" outlineLevel="0" collapsed="false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customFormat="false" ht="15.75" hidden="false" customHeight="false" outlineLevel="0" collapsed="false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customFormat="false" ht="15.75" hidden="false" customHeight="false" outlineLevel="0" collapsed="false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customFormat="false" ht="15.75" hidden="false" customHeight="false" outlineLevel="0" collapsed="false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customFormat="false" ht="15.75" hidden="false" customHeight="false" outlineLevel="0" collapsed="false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customFormat="false" ht="15.75" hidden="false" customHeight="false" outlineLevel="0" collapsed="false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customFormat="false" ht="15.75" hidden="false" customHeight="false" outlineLevel="0" collapsed="false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customFormat="false" ht="15.75" hidden="false" customHeight="false" outlineLevel="0" collapsed="false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customFormat="false" ht="15.75" hidden="false" customHeight="false" outlineLevel="0" collapsed="false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customFormat="false" ht="15.75" hidden="false" customHeight="false" outlineLevel="0" collapsed="false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customFormat="false" ht="15.75" hidden="false" customHeight="false" outlineLevel="0" collapsed="false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customFormat="false" ht="15.75" hidden="false" customHeight="false" outlineLevel="0" collapsed="false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customFormat="false" ht="15.75" hidden="false" customHeight="false" outlineLevel="0" collapsed="false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customFormat="false" ht="15.75" hidden="false" customHeight="false" outlineLevel="0" collapsed="false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customFormat="false" ht="15.75" hidden="false" customHeight="false" outlineLevel="0" collapsed="false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customFormat="false" ht="15.75" hidden="false" customHeight="false" outlineLevel="0" collapsed="false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customFormat="false" ht="15.75" hidden="false" customHeight="false" outlineLevel="0" collapsed="false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customFormat="false" ht="15.75" hidden="false" customHeight="false" outlineLevel="0" collapsed="false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customFormat="false" ht="15.75" hidden="false" customHeight="false" outlineLevel="0" collapsed="false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customFormat="false" ht="15.75" hidden="false" customHeight="false" outlineLevel="0" collapsed="false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customFormat="false" ht="15.75" hidden="false" customHeight="false" outlineLevel="0" collapsed="false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customFormat="false" ht="15.75" hidden="false" customHeight="false" outlineLevel="0" collapsed="false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customFormat="false" ht="15.75" hidden="false" customHeight="false" outlineLevel="0" collapsed="false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customFormat="false" ht="15.75" hidden="false" customHeight="false" outlineLevel="0" collapsed="false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customFormat="false" ht="15.75" hidden="false" customHeight="false" outlineLevel="0" collapsed="false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customFormat="false" ht="15.75" hidden="false" customHeight="false" outlineLevel="0" collapsed="false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customFormat="false" ht="15.75" hidden="false" customHeight="false" outlineLevel="0" collapsed="false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customFormat="false" ht="15.75" hidden="false" customHeight="false" outlineLevel="0" collapsed="false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customFormat="false" ht="15.75" hidden="false" customHeight="false" outlineLevel="0" collapsed="false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customFormat="false" ht="15.75" hidden="false" customHeight="false" outlineLevel="0" collapsed="false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customFormat="false" ht="15.75" hidden="false" customHeight="false" outlineLevel="0" collapsed="false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customFormat="false" ht="15.75" hidden="false" customHeight="false" outlineLevel="0" collapsed="false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customFormat="false" ht="15.75" hidden="false" customHeight="false" outlineLevel="0" collapsed="false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customFormat="false" ht="15.75" hidden="false" customHeight="false" outlineLevel="0" collapsed="false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customFormat="false" ht="15.75" hidden="false" customHeight="false" outlineLevel="0" collapsed="false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customFormat="false" ht="15.75" hidden="false" customHeight="false" outlineLevel="0" collapsed="false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customFormat="false" ht="15.75" hidden="false" customHeight="false" outlineLevel="0" collapsed="false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customFormat="false" ht="15.75" hidden="false" customHeight="false" outlineLevel="0" collapsed="false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customFormat="false" ht="15.75" hidden="false" customHeight="false" outlineLevel="0" collapsed="false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customFormat="false" ht="15.75" hidden="false" customHeight="false" outlineLevel="0" collapsed="false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customFormat="false" ht="15.75" hidden="false" customHeight="false" outlineLevel="0" collapsed="false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customFormat="false" ht="15.75" hidden="false" customHeight="false" outlineLevel="0" collapsed="false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customFormat="false" ht="15.75" hidden="false" customHeight="false" outlineLevel="0" collapsed="false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customFormat="false" ht="15.75" hidden="false" customHeight="false" outlineLevel="0" collapsed="false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customFormat="false" ht="15.75" hidden="false" customHeight="false" outlineLevel="0" collapsed="false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customFormat="false" ht="15.75" hidden="false" customHeight="false" outlineLevel="0" collapsed="false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customFormat="false" ht="15.75" hidden="false" customHeight="false" outlineLevel="0" collapsed="false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customFormat="false" ht="15.75" hidden="false" customHeight="false" outlineLevel="0" collapsed="false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customFormat="false" ht="15.75" hidden="false" customHeight="false" outlineLevel="0" collapsed="false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customFormat="false" ht="15.75" hidden="false" customHeight="false" outlineLevel="0" collapsed="false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customFormat="false" ht="15.75" hidden="false" customHeight="false" outlineLevel="0" collapsed="false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customFormat="false" ht="15.75" hidden="false" customHeight="false" outlineLevel="0" collapsed="false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customFormat="false" ht="15.75" hidden="false" customHeight="false" outlineLevel="0" collapsed="false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customFormat="false" ht="15.75" hidden="false" customHeight="false" outlineLevel="0" collapsed="false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customFormat="false" ht="15.75" hidden="false" customHeight="false" outlineLevel="0" collapsed="false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customFormat="false" ht="15.75" hidden="false" customHeight="false" outlineLevel="0" collapsed="false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customFormat="false" ht="15.75" hidden="false" customHeight="false" outlineLevel="0" collapsed="false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customFormat="false" ht="15.75" hidden="false" customHeight="false" outlineLevel="0" collapsed="false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customFormat="false" ht="15.75" hidden="false" customHeight="false" outlineLevel="0" collapsed="false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customFormat="false" ht="15.75" hidden="false" customHeight="false" outlineLevel="0" collapsed="false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customFormat="false" ht="15.75" hidden="false" customHeight="false" outlineLevel="0" collapsed="false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customFormat="false" ht="15.75" hidden="false" customHeight="false" outlineLevel="0" collapsed="false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customFormat="false" ht="15.75" hidden="false" customHeight="false" outlineLevel="0" collapsed="false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customFormat="false" ht="15.75" hidden="false" customHeight="false" outlineLevel="0" collapsed="false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customFormat="false" ht="15.75" hidden="false" customHeight="false" outlineLevel="0" collapsed="false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customFormat="false" ht="15.75" hidden="false" customHeight="false" outlineLevel="0" collapsed="false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customFormat="false" ht="15.75" hidden="false" customHeight="false" outlineLevel="0" collapsed="false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customFormat="false" ht="15.75" hidden="false" customHeight="false" outlineLevel="0" collapsed="false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customFormat="false" ht="15.75" hidden="false" customHeight="false" outlineLevel="0" collapsed="false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customFormat="false" ht="15.75" hidden="false" customHeight="false" outlineLevel="0" collapsed="false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customFormat="false" ht="15.75" hidden="false" customHeight="false" outlineLevel="0" collapsed="false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customFormat="false" ht="15.75" hidden="false" customHeight="false" outlineLevel="0" collapsed="false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customFormat="false" ht="15.75" hidden="false" customHeight="false" outlineLevel="0" collapsed="false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customFormat="false" ht="15.75" hidden="false" customHeight="false" outlineLevel="0" collapsed="false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customFormat="false" ht="15.75" hidden="false" customHeight="false" outlineLevel="0" collapsed="false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customFormat="false" ht="15.75" hidden="false" customHeight="false" outlineLevel="0" collapsed="false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customFormat="false" ht="15.75" hidden="false" customHeight="false" outlineLevel="0" collapsed="false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customFormat="false" ht="15.75" hidden="false" customHeight="false" outlineLevel="0" collapsed="false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customFormat="false" ht="15.75" hidden="false" customHeight="false" outlineLevel="0" collapsed="false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customFormat="false" ht="15.75" hidden="false" customHeight="false" outlineLevel="0" collapsed="false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customFormat="false" ht="15.75" hidden="false" customHeight="false" outlineLevel="0" collapsed="false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customFormat="false" ht="15.75" hidden="false" customHeight="false" outlineLevel="0" collapsed="false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customFormat="false" ht="15.75" hidden="false" customHeight="false" outlineLevel="0" collapsed="false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customFormat="false" ht="15.75" hidden="false" customHeight="false" outlineLevel="0" collapsed="false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customFormat="false" ht="15.75" hidden="false" customHeight="false" outlineLevel="0" collapsed="false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 customFormat="false" ht="15.75" hidden="false" customHeight="false" outlineLevel="0" collapsed="false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52" t="s">
        <v>25</v>
      </c>
      <c r="B1" s="152" t="s">
        <v>24</v>
      </c>
      <c r="C1" s="152" t="s">
        <v>27</v>
      </c>
      <c r="D1" s="152" t="s">
        <v>21</v>
      </c>
      <c r="E1" s="152" t="s">
        <v>42</v>
      </c>
      <c r="F1" s="152" t="s">
        <v>26</v>
      </c>
      <c r="G1" s="152" t="s">
        <v>28</v>
      </c>
      <c r="H1" s="152" t="s">
        <v>23</v>
      </c>
      <c r="I1" s="152" t="s">
        <v>22</v>
      </c>
    </row>
    <row r="2" customFormat="false" ht="15.75" hidden="false" customHeight="false" outlineLevel="0" collapsed="false">
      <c r="A2" s="152" t="str">
        <f aca="false">Scoring!BD8</f>
        <v/>
      </c>
      <c r="B2" s="152" t="str">
        <f aca="false">Scoring!BC8</f>
        <v/>
      </c>
      <c r="C2" s="152" t="n">
        <f aca="false">Scoring!C8</f>
        <v>0</v>
      </c>
      <c r="D2" s="153" t="str">
        <f aca="false">Scoring!AZ8</f>
        <v/>
      </c>
      <c r="E2" s="152" t="str">
        <f aca="false">Scoring!AF8</f>
        <v/>
      </c>
      <c r="F2" s="152" t="n">
        <f aca="false">Scoring!B8</f>
        <v>0</v>
      </c>
      <c r="G2" s="152" t="n">
        <f aca="false">Scoring!D8</f>
        <v>0</v>
      </c>
      <c r="H2" s="152" t="str">
        <f aca="false">Scoring!BB8</f>
        <v/>
      </c>
      <c r="I2" s="154" t="str">
        <f aca="false">Scoring!BA8</f>
        <v/>
      </c>
    </row>
    <row r="3" customFormat="false" ht="15.75" hidden="false" customHeight="false" outlineLevel="0" collapsed="false">
      <c r="A3" s="152" t="str">
        <f aca="false">Scoring!BD9</f>
        <v/>
      </c>
      <c r="B3" s="152" t="str">
        <f aca="false">Scoring!BC9</f>
        <v/>
      </c>
      <c r="C3" s="152" t="n">
        <f aca="false">Scoring!C9</f>
        <v>0</v>
      </c>
      <c r="D3" s="153" t="str">
        <f aca="false">Scoring!AZ9</f>
        <v/>
      </c>
      <c r="E3" s="152" t="str">
        <f aca="false">Scoring!AF9</f>
        <v/>
      </c>
      <c r="F3" s="152" t="n">
        <f aca="false">Scoring!B9</f>
        <v>0</v>
      </c>
      <c r="G3" s="152" t="n">
        <f aca="false">Scoring!D9</f>
        <v>0</v>
      </c>
      <c r="H3" s="152" t="str">
        <f aca="false">Scoring!BB9</f>
        <v/>
      </c>
      <c r="I3" s="154" t="str">
        <f aca="false">Scoring!BA9</f>
        <v/>
      </c>
    </row>
    <row r="4" customFormat="false" ht="15.75" hidden="false" customHeight="false" outlineLevel="0" collapsed="false">
      <c r="A4" s="152" t="str">
        <f aca="false">Scoring!BD10</f>
        <v/>
      </c>
      <c r="B4" s="152" t="str">
        <f aca="false">Scoring!BC10</f>
        <v/>
      </c>
      <c r="C4" s="152" t="n">
        <f aca="false">Scoring!C10</f>
        <v>0</v>
      </c>
      <c r="D4" s="153" t="str">
        <f aca="false">Scoring!AZ10</f>
        <v/>
      </c>
      <c r="E4" s="152" t="str">
        <f aca="false">Scoring!AF10</f>
        <v/>
      </c>
      <c r="F4" s="152" t="n">
        <f aca="false">Scoring!B10</f>
        <v>0</v>
      </c>
      <c r="G4" s="152" t="n">
        <f aca="false">Scoring!D10</f>
        <v>0</v>
      </c>
      <c r="H4" s="152" t="str">
        <f aca="false">Scoring!BB10</f>
        <v/>
      </c>
      <c r="I4" s="154" t="str">
        <f aca="false">Scoring!BA10</f>
        <v/>
      </c>
    </row>
    <row r="5" customFormat="false" ht="15.75" hidden="false" customHeight="false" outlineLevel="0" collapsed="false">
      <c r="A5" s="152" t="str">
        <f aca="false">Scoring!BD11</f>
        <v/>
      </c>
      <c r="B5" s="152" t="str">
        <f aca="false">Scoring!BC11</f>
        <v/>
      </c>
      <c r="C5" s="152" t="n">
        <f aca="false">Scoring!C11</f>
        <v>0</v>
      </c>
      <c r="D5" s="153" t="str">
        <f aca="false">Scoring!AZ11</f>
        <v/>
      </c>
      <c r="E5" s="152" t="str">
        <f aca="false">Scoring!AF11</f>
        <v/>
      </c>
      <c r="F5" s="152" t="n">
        <f aca="false">Scoring!B11</f>
        <v>0</v>
      </c>
      <c r="G5" s="152" t="n">
        <f aca="false">Scoring!D11</f>
        <v>0</v>
      </c>
      <c r="H5" s="152" t="str">
        <f aca="false">Scoring!BB11</f>
        <v/>
      </c>
      <c r="I5" s="154" t="str">
        <f aca="false">Scoring!BA11</f>
        <v/>
      </c>
    </row>
    <row r="6" customFormat="false" ht="15.75" hidden="false" customHeight="false" outlineLevel="0" collapsed="false">
      <c r="A6" s="152" t="str">
        <f aca="false">Scoring!BD12</f>
        <v/>
      </c>
      <c r="B6" s="152" t="str">
        <f aca="false">Scoring!BC12</f>
        <v/>
      </c>
      <c r="C6" s="152" t="n">
        <f aca="false">Scoring!C12</f>
        <v>0</v>
      </c>
      <c r="D6" s="153" t="str">
        <f aca="false">Scoring!AZ12</f>
        <v/>
      </c>
      <c r="E6" s="152" t="str">
        <f aca="false">Scoring!AF12</f>
        <v/>
      </c>
      <c r="F6" s="152" t="n">
        <f aca="false">Scoring!B12</f>
        <v>0</v>
      </c>
      <c r="G6" s="152" t="n">
        <f aca="false">Scoring!D12</f>
        <v>0</v>
      </c>
      <c r="H6" s="152" t="str">
        <f aca="false">Scoring!BB12</f>
        <v/>
      </c>
      <c r="I6" s="154" t="str">
        <f aca="false">Scoring!BA12</f>
        <v/>
      </c>
    </row>
    <row r="7" customFormat="false" ht="15.75" hidden="false" customHeight="false" outlineLevel="0" collapsed="false">
      <c r="A7" s="152" t="str">
        <f aca="false">Scoring!BD13</f>
        <v/>
      </c>
      <c r="B7" s="152" t="str">
        <f aca="false">Scoring!BC13</f>
        <v/>
      </c>
      <c r="C7" s="152" t="n">
        <f aca="false">Scoring!C13</f>
        <v>0</v>
      </c>
      <c r="D7" s="153" t="str">
        <f aca="false">Scoring!AZ13</f>
        <v/>
      </c>
      <c r="E7" s="152" t="str">
        <f aca="false">Scoring!AF13</f>
        <v/>
      </c>
      <c r="F7" s="152" t="n">
        <f aca="false">Scoring!B13</f>
        <v>0</v>
      </c>
      <c r="G7" s="152" t="n">
        <f aca="false">Scoring!D13</f>
        <v>0</v>
      </c>
      <c r="H7" s="152" t="str">
        <f aca="false">Scoring!BB13</f>
        <v/>
      </c>
      <c r="I7" s="154" t="str">
        <f aca="false">Scoring!BA13</f>
        <v/>
      </c>
    </row>
    <row r="8" customFormat="false" ht="15.75" hidden="false" customHeight="false" outlineLevel="0" collapsed="false">
      <c r="A8" s="152" t="str">
        <f aca="false">Scoring!BD14</f>
        <v/>
      </c>
      <c r="B8" s="152" t="str">
        <f aca="false">Scoring!BC14</f>
        <v/>
      </c>
      <c r="C8" s="152" t="n">
        <f aca="false">Scoring!C14</f>
        <v>0</v>
      </c>
      <c r="D8" s="153" t="str">
        <f aca="false">Scoring!AZ14</f>
        <v/>
      </c>
      <c r="E8" s="152" t="str">
        <f aca="false">Scoring!AF14</f>
        <v/>
      </c>
      <c r="F8" s="152" t="n">
        <f aca="false">Scoring!B14</f>
        <v>0</v>
      </c>
      <c r="G8" s="152" t="n">
        <f aca="false">Scoring!D14</f>
        <v>0</v>
      </c>
      <c r="H8" s="152" t="str">
        <f aca="false">Scoring!BB14</f>
        <v/>
      </c>
      <c r="I8" s="154" t="str">
        <f aca="false">Scoring!BA14</f>
        <v/>
      </c>
    </row>
    <row r="9" customFormat="false" ht="15.75" hidden="false" customHeight="false" outlineLevel="0" collapsed="false">
      <c r="A9" s="152" t="str">
        <f aca="false">Scoring!BD15</f>
        <v/>
      </c>
      <c r="B9" s="152" t="str">
        <f aca="false">Scoring!BC15</f>
        <v/>
      </c>
      <c r="C9" s="152" t="n">
        <f aca="false">Scoring!C15</f>
        <v>0</v>
      </c>
      <c r="D9" s="153" t="str">
        <f aca="false">Scoring!AZ15</f>
        <v/>
      </c>
      <c r="E9" s="152" t="str">
        <f aca="false">Scoring!AF15</f>
        <v/>
      </c>
      <c r="F9" s="152" t="n">
        <f aca="false">Scoring!B15</f>
        <v>0</v>
      </c>
      <c r="G9" s="152" t="n">
        <f aca="false">Scoring!D15</f>
        <v>0</v>
      </c>
      <c r="H9" s="152" t="str">
        <f aca="false">Scoring!BB15</f>
        <v/>
      </c>
      <c r="I9" s="154" t="str">
        <f aca="false">Scoring!BA15</f>
        <v/>
      </c>
    </row>
    <row r="10" customFormat="false" ht="15.75" hidden="false" customHeight="false" outlineLevel="0" collapsed="false">
      <c r="A10" s="152" t="str">
        <f aca="false">Scoring!BD16</f>
        <v/>
      </c>
      <c r="B10" s="152" t="str">
        <f aca="false">Scoring!BC16</f>
        <v/>
      </c>
      <c r="C10" s="152" t="n">
        <f aca="false">Scoring!C16</f>
        <v>0</v>
      </c>
      <c r="D10" s="153" t="str">
        <f aca="false">Scoring!AZ16</f>
        <v/>
      </c>
      <c r="E10" s="152" t="str">
        <f aca="false">Scoring!AF16</f>
        <v/>
      </c>
      <c r="F10" s="152" t="n">
        <f aca="false">Scoring!B16</f>
        <v>0</v>
      </c>
      <c r="G10" s="152" t="n">
        <f aca="false">Scoring!D16</f>
        <v>0</v>
      </c>
      <c r="H10" s="152" t="str">
        <f aca="false">Scoring!BB16</f>
        <v/>
      </c>
      <c r="I10" s="154" t="str">
        <f aca="false">Scoring!BA16</f>
        <v/>
      </c>
    </row>
    <row r="11" customFormat="false" ht="15.75" hidden="false" customHeight="false" outlineLevel="0" collapsed="false">
      <c r="A11" s="152" t="str">
        <f aca="false">Scoring!BD17</f>
        <v/>
      </c>
      <c r="B11" s="152" t="str">
        <f aca="false">Scoring!BC17</f>
        <v/>
      </c>
      <c r="C11" s="152" t="n">
        <f aca="false">Scoring!C17</f>
        <v>0</v>
      </c>
      <c r="D11" s="153" t="str">
        <f aca="false">Scoring!AZ17</f>
        <v/>
      </c>
      <c r="E11" s="152" t="str">
        <f aca="false">Scoring!AF17</f>
        <v/>
      </c>
      <c r="F11" s="152" t="n">
        <f aca="false">Scoring!B17</f>
        <v>0</v>
      </c>
      <c r="G11" s="152" t="n">
        <f aca="false">Scoring!D17</f>
        <v>0</v>
      </c>
      <c r="H11" s="152" t="str">
        <f aca="false">Scoring!BB17</f>
        <v/>
      </c>
      <c r="I11" s="154" t="str">
        <f aca="false">Scoring!BA17</f>
        <v/>
      </c>
    </row>
    <row r="12" customFormat="false" ht="15.75" hidden="false" customHeight="false" outlineLevel="0" collapsed="false">
      <c r="A12" s="152" t="str">
        <f aca="false">Scoring!BD18</f>
        <v/>
      </c>
      <c r="B12" s="152" t="str">
        <f aca="false">Scoring!BC18</f>
        <v/>
      </c>
      <c r="C12" s="152" t="n">
        <f aca="false">Scoring!C18</f>
        <v>0</v>
      </c>
      <c r="D12" s="153" t="str">
        <f aca="false">Scoring!AZ18</f>
        <v/>
      </c>
      <c r="E12" s="152" t="str">
        <f aca="false">Scoring!AF18</f>
        <v/>
      </c>
      <c r="F12" s="152" t="n">
        <f aca="false">Scoring!B18</f>
        <v>0</v>
      </c>
      <c r="G12" s="152" t="n">
        <f aca="false">Scoring!D18</f>
        <v>0</v>
      </c>
      <c r="H12" s="152" t="str">
        <f aca="false">Scoring!BB18</f>
        <v/>
      </c>
      <c r="I12" s="154" t="str">
        <f aca="false">Scoring!BA18</f>
        <v/>
      </c>
    </row>
    <row r="13" customFormat="false" ht="15.75" hidden="false" customHeight="false" outlineLevel="0" collapsed="false">
      <c r="A13" s="152" t="str">
        <f aca="false">Scoring!BD19</f>
        <v/>
      </c>
      <c r="B13" s="152" t="str">
        <f aca="false">Scoring!BC19</f>
        <v/>
      </c>
      <c r="C13" s="152" t="n">
        <f aca="false">Scoring!C19</f>
        <v>0</v>
      </c>
      <c r="D13" s="153" t="str">
        <f aca="false">Scoring!AZ19</f>
        <v/>
      </c>
      <c r="E13" s="152" t="str">
        <f aca="false">Scoring!AF19</f>
        <v/>
      </c>
      <c r="F13" s="152" t="n">
        <f aca="false">Scoring!B19</f>
        <v>0</v>
      </c>
      <c r="G13" s="152" t="n">
        <f aca="false">Scoring!D19</f>
        <v>0</v>
      </c>
      <c r="H13" s="152" t="str">
        <f aca="false">Scoring!BB19</f>
        <v/>
      </c>
      <c r="I13" s="154" t="str">
        <f aca="false">Scoring!BA19</f>
        <v/>
      </c>
    </row>
    <row r="14" customFormat="false" ht="15.75" hidden="false" customHeight="false" outlineLevel="0" collapsed="false">
      <c r="A14" s="152" t="str">
        <f aca="false">Scoring!BD20</f>
        <v/>
      </c>
      <c r="B14" s="152" t="str">
        <f aca="false">Scoring!BC20</f>
        <v/>
      </c>
      <c r="C14" s="152" t="n">
        <f aca="false">Scoring!C20</f>
        <v>0</v>
      </c>
      <c r="D14" s="153" t="str">
        <f aca="false">Scoring!AZ20</f>
        <v/>
      </c>
      <c r="E14" s="152" t="str">
        <f aca="false">Scoring!AF20</f>
        <v/>
      </c>
      <c r="F14" s="152" t="n">
        <f aca="false">Scoring!B20</f>
        <v>0</v>
      </c>
      <c r="G14" s="152" t="n">
        <f aca="false">Scoring!D20</f>
        <v>0</v>
      </c>
      <c r="H14" s="152" t="str">
        <f aca="false">Scoring!BB20</f>
        <v/>
      </c>
      <c r="I14" s="154" t="str">
        <f aca="false">Scoring!BA20</f>
        <v/>
      </c>
    </row>
    <row r="15" customFormat="false" ht="15.75" hidden="false" customHeight="false" outlineLevel="0" collapsed="false">
      <c r="A15" s="152" t="str">
        <f aca="false">Scoring!BD21</f>
        <v/>
      </c>
      <c r="B15" s="152" t="str">
        <f aca="false">Scoring!BC21</f>
        <v/>
      </c>
      <c r="C15" s="152" t="n">
        <f aca="false">Scoring!C21</f>
        <v>0</v>
      </c>
      <c r="D15" s="153" t="str">
        <f aca="false">Scoring!AZ21</f>
        <v/>
      </c>
      <c r="E15" s="152" t="str">
        <f aca="false">Scoring!AF21</f>
        <v/>
      </c>
      <c r="F15" s="152" t="n">
        <f aca="false">Scoring!B21</f>
        <v>0</v>
      </c>
      <c r="G15" s="152" t="n">
        <f aca="false">Scoring!D21</f>
        <v>0</v>
      </c>
      <c r="H15" s="152" t="str">
        <f aca="false">Scoring!BB21</f>
        <v/>
      </c>
      <c r="I15" s="154" t="str">
        <f aca="false">Scoring!BA21</f>
        <v/>
      </c>
    </row>
    <row r="16" customFormat="false" ht="15.75" hidden="false" customHeight="false" outlineLevel="0" collapsed="false">
      <c r="A16" s="152" t="str">
        <f aca="false">Scoring!BD22</f>
        <v/>
      </c>
      <c r="B16" s="152" t="str">
        <f aca="false">Scoring!BC22</f>
        <v/>
      </c>
      <c r="C16" s="152" t="n">
        <f aca="false">Scoring!C22</f>
        <v>0</v>
      </c>
      <c r="D16" s="153" t="str">
        <f aca="false">Scoring!AZ22</f>
        <v/>
      </c>
      <c r="E16" s="152" t="str">
        <f aca="false">Scoring!AF22</f>
        <v/>
      </c>
      <c r="F16" s="152" t="n">
        <f aca="false">Scoring!B22</f>
        <v>0</v>
      </c>
      <c r="G16" s="152" t="n">
        <f aca="false">Scoring!D22</f>
        <v>0</v>
      </c>
      <c r="H16" s="152" t="str">
        <f aca="false">Scoring!BB22</f>
        <v/>
      </c>
      <c r="I16" s="154" t="str">
        <f aca="false">Scoring!BA22</f>
        <v/>
      </c>
    </row>
    <row r="17" customFormat="false" ht="15.75" hidden="false" customHeight="false" outlineLevel="0" collapsed="false">
      <c r="A17" s="152" t="str">
        <f aca="false">Scoring!BD23</f>
        <v/>
      </c>
      <c r="B17" s="152" t="str">
        <f aca="false">Scoring!BC23</f>
        <v/>
      </c>
      <c r="C17" s="152" t="n">
        <f aca="false">Scoring!C23</f>
        <v>0</v>
      </c>
      <c r="D17" s="153" t="str">
        <f aca="false">Scoring!AZ23</f>
        <v/>
      </c>
      <c r="E17" s="152" t="str">
        <f aca="false">Scoring!AF23</f>
        <v/>
      </c>
      <c r="F17" s="152" t="n">
        <f aca="false">Scoring!B23</f>
        <v>0</v>
      </c>
      <c r="G17" s="152" t="n">
        <f aca="false">Scoring!D23</f>
        <v>0</v>
      </c>
      <c r="H17" s="152" t="str">
        <f aca="false">Scoring!BB23</f>
        <v/>
      </c>
      <c r="I17" s="154" t="str">
        <f aca="false">Scoring!BA23</f>
        <v/>
      </c>
    </row>
    <row r="18" customFormat="false" ht="15.75" hidden="false" customHeight="false" outlineLevel="0" collapsed="false">
      <c r="A18" s="152" t="str">
        <f aca="false">Scoring!BD24</f>
        <v/>
      </c>
      <c r="B18" s="152" t="str">
        <f aca="false">Scoring!BC24</f>
        <v/>
      </c>
      <c r="C18" s="152" t="n">
        <f aca="false">Scoring!C24</f>
        <v>0</v>
      </c>
      <c r="D18" s="153" t="str">
        <f aca="false">Scoring!AZ24</f>
        <v/>
      </c>
      <c r="E18" s="152" t="str">
        <f aca="false">Scoring!AF24</f>
        <v/>
      </c>
      <c r="F18" s="152" t="n">
        <f aca="false">Scoring!B24</f>
        <v>0</v>
      </c>
      <c r="G18" s="152" t="n">
        <f aca="false">Scoring!D24</f>
        <v>0</v>
      </c>
      <c r="H18" s="152" t="str">
        <f aca="false">Scoring!BB24</f>
        <v/>
      </c>
      <c r="I18" s="154" t="str">
        <f aca="false">Scoring!BA24</f>
        <v/>
      </c>
    </row>
    <row r="19" customFormat="false" ht="15.75" hidden="false" customHeight="false" outlineLevel="0" collapsed="false">
      <c r="A19" s="152" t="str">
        <f aca="false">Scoring!BD25</f>
        <v/>
      </c>
      <c r="B19" s="152" t="str">
        <f aca="false">Scoring!BC25</f>
        <v/>
      </c>
      <c r="C19" s="152" t="n">
        <f aca="false">Scoring!C25</f>
        <v>0</v>
      </c>
      <c r="D19" s="153" t="str">
        <f aca="false">Scoring!AZ25</f>
        <v/>
      </c>
      <c r="E19" s="152" t="str">
        <f aca="false">Scoring!AF25</f>
        <v/>
      </c>
      <c r="F19" s="152" t="n">
        <f aca="false">Scoring!B25</f>
        <v>0</v>
      </c>
      <c r="G19" s="152" t="n">
        <f aca="false">Scoring!D25</f>
        <v>0</v>
      </c>
      <c r="H19" s="152" t="str">
        <f aca="false">Scoring!BB25</f>
        <v/>
      </c>
      <c r="I19" s="154" t="str">
        <f aca="false">Scoring!BA25</f>
        <v/>
      </c>
    </row>
    <row r="20" customFormat="false" ht="15.75" hidden="false" customHeight="false" outlineLevel="0" collapsed="false">
      <c r="A20" s="152" t="str">
        <f aca="false">Scoring!BD26</f>
        <v/>
      </c>
      <c r="B20" s="152" t="str">
        <f aca="false">Scoring!BC26</f>
        <v/>
      </c>
      <c r="C20" s="152" t="n">
        <f aca="false">Scoring!C26</f>
        <v>0</v>
      </c>
      <c r="D20" s="153" t="str">
        <f aca="false">Scoring!AZ26</f>
        <v/>
      </c>
      <c r="E20" s="152" t="str">
        <f aca="false">Scoring!AF26</f>
        <v/>
      </c>
      <c r="F20" s="152" t="n">
        <f aca="false">Scoring!B26</f>
        <v>0</v>
      </c>
      <c r="G20" s="152" t="n">
        <f aca="false">Scoring!D26</f>
        <v>0</v>
      </c>
      <c r="H20" s="152" t="str">
        <f aca="false">Scoring!BB26</f>
        <v/>
      </c>
      <c r="I20" s="154" t="str">
        <f aca="false">Scoring!BA26</f>
        <v/>
      </c>
    </row>
    <row r="21" customFormat="false" ht="15.75" hidden="false" customHeight="false" outlineLevel="0" collapsed="false">
      <c r="A21" s="152" t="str">
        <f aca="false">Scoring!BD27</f>
        <v/>
      </c>
      <c r="B21" s="152" t="str">
        <f aca="false">Scoring!BC27</f>
        <v/>
      </c>
      <c r="C21" s="152" t="n">
        <f aca="false">Scoring!C27</f>
        <v>0</v>
      </c>
      <c r="D21" s="153" t="str">
        <f aca="false">Scoring!AZ27</f>
        <v/>
      </c>
      <c r="E21" s="152" t="str">
        <f aca="false">Scoring!AF27</f>
        <v/>
      </c>
      <c r="F21" s="152" t="n">
        <f aca="false">Scoring!B27</f>
        <v>0</v>
      </c>
      <c r="G21" s="152" t="n">
        <f aca="false">Scoring!D27</f>
        <v>0</v>
      </c>
      <c r="H21" s="152" t="str">
        <f aca="false">Scoring!BB27</f>
        <v/>
      </c>
      <c r="I21" s="154" t="str">
        <f aca="false">Scoring!BA27</f>
        <v/>
      </c>
    </row>
    <row r="22" customFormat="false" ht="15.75" hidden="false" customHeight="false" outlineLevel="0" collapsed="false">
      <c r="A22" s="152" t="str">
        <f aca="false">Scoring!BD28</f>
        <v/>
      </c>
      <c r="B22" s="152" t="str">
        <f aca="false">Scoring!BC28</f>
        <v/>
      </c>
      <c r="C22" s="152" t="n">
        <f aca="false">Scoring!C28</f>
        <v>0</v>
      </c>
      <c r="D22" s="153" t="str">
        <f aca="false">Scoring!AZ28</f>
        <v/>
      </c>
      <c r="E22" s="152" t="str">
        <f aca="false">Scoring!AF28</f>
        <v/>
      </c>
      <c r="F22" s="152" t="n">
        <f aca="false">Scoring!B28</f>
        <v>0</v>
      </c>
      <c r="G22" s="152" t="n">
        <f aca="false">Scoring!D28</f>
        <v>0</v>
      </c>
      <c r="H22" s="152" t="str">
        <f aca="false">Scoring!BB28</f>
        <v/>
      </c>
      <c r="I22" s="154" t="str">
        <f aca="false">Scoring!BA28</f>
        <v/>
      </c>
    </row>
    <row r="23" customFormat="false" ht="15.75" hidden="false" customHeight="false" outlineLevel="0" collapsed="false">
      <c r="A23" s="152" t="str">
        <f aca="false">Scoring!BD29</f>
        <v/>
      </c>
      <c r="B23" s="152" t="str">
        <f aca="false">Scoring!BC29</f>
        <v/>
      </c>
      <c r="C23" s="152" t="n">
        <f aca="false">Scoring!C29</f>
        <v>0</v>
      </c>
      <c r="D23" s="153" t="str">
        <f aca="false">Scoring!AZ29</f>
        <v/>
      </c>
      <c r="E23" s="152" t="str">
        <f aca="false">Scoring!AF29</f>
        <v/>
      </c>
      <c r="F23" s="152" t="n">
        <f aca="false">Scoring!B29</f>
        <v>0</v>
      </c>
      <c r="G23" s="152" t="n">
        <f aca="false">Scoring!D29</f>
        <v>0</v>
      </c>
      <c r="H23" s="152" t="str">
        <f aca="false">Scoring!BB29</f>
        <v/>
      </c>
      <c r="I23" s="154" t="str">
        <f aca="false">Scoring!BA29</f>
        <v/>
      </c>
    </row>
    <row r="24" customFormat="false" ht="15.75" hidden="false" customHeight="false" outlineLevel="0" collapsed="false">
      <c r="A24" s="152" t="str">
        <f aca="false">Scoring!BD30</f>
        <v/>
      </c>
      <c r="B24" s="152" t="str">
        <f aca="false">Scoring!BC30</f>
        <v/>
      </c>
      <c r="C24" s="152" t="n">
        <f aca="false">Scoring!C30</f>
        <v>0</v>
      </c>
      <c r="D24" s="153" t="str">
        <f aca="false">Scoring!AZ30</f>
        <v/>
      </c>
      <c r="E24" s="152" t="str">
        <f aca="false">Scoring!AF30</f>
        <v/>
      </c>
      <c r="F24" s="152" t="n">
        <f aca="false">Scoring!B30</f>
        <v>0</v>
      </c>
      <c r="G24" s="152" t="n">
        <f aca="false">Scoring!D30</f>
        <v>0</v>
      </c>
      <c r="H24" s="152" t="str">
        <f aca="false">Scoring!BB30</f>
        <v/>
      </c>
      <c r="I24" s="154" t="str">
        <f aca="false">Scoring!BA30</f>
        <v/>
      </c>
    </row>
    <row r="25" customFormat="false" ht="15.75" hidden="false" customHeight="false" outlineLevel="0" collapsed="false">
      <c r="A25" s="152" t="str">
        <f aca="false">Scoring!BD31</f>
        <v/>
      </c>
      <c r="B25" s="152" t="str">
        <f aca="false">Scoring!BC31</f>
        <v/>
      </c>
      <c r="C25" s="152" t="n">
        <f aca="false">Scoring!C31</f>
        <v>0</v>
      </c>
      <c r="D25" s="153" t="str">
        <f aca="false">Scoring!AZ31</f>
        <v/>
      </c>
      <c r="E25" s="152" t="str">
        <f aca="false">Scoring!AF31</f>
        <v/>
      </c>
      <c r="F25" s="152" t="n">
        <f aca="false">Scoring!B31</f>
        <v>0</v>
      </c>
      <c r="G25" s="152" t="n">
        <f aca="false">Scoring!D31</f>
        <v>0</v>
      </c>
      <c r="H25" s="152" t="str">
        <f aca="false">Scoring!BB31</f>
        <v/>
      </c>
      <c r="I25" s="154" t="str">
        <f aca="false">Scoring!BA31</f>
        <v/>
      </c>
    </row>
    <row r="26" customFormat="false" ht="15.75" hidden="false" customHeight="false" outlineLevel="0" collapsed="false">
      <c r="A26" s="152" t="str">
        <f aca="false">Scoring!BD32</f>
        <v/>
      </c>
      <c r="B26" s="152" t="str">
        <f aca="false">Scoring!BC32</f>
        <v/>
      </c>
      <c r="C26" s="152" t="n">
        <f aca="false">Scoring!C32</f>
        <v>0</v>
      </c>
      <c r="D26" s="153" t="str">
        <f aca="false">Scoring!AZ32</f>
        <v/>
      </c>
      <c r="E26" s="152" t="str">
        <f aca="false">Scoring!AF32</f>
        <v/>
      </c>
      <c r="F26" s="152" t="n">
        <f aca="false">Scoring!B32</f>
        <v>0</v>
      </c>
      <c r="G26" s="152" t="n">
        <f aca="false">Scoring!D32</f>
        <v>0</v>
      </c>
      <c r="H26" s="152" t="str">
        <f aca="false">Scoring!BB32</f>
        <v/>
      </c>
      <c r="I26" s="154" t="str">
        <f aca="false">Scoring!BA32</f>
        <v/>
      </c>
    </row>
    <row r="27" customFormat="false" ht="15.75" hidden="false" customHeight="false" outlineLevel="0" collapsed="false">
      <c r="A27" s="152" t="str">
        <f aca="false">Scoring!BD33</f>
        <v/>
      </c>
      <c r="B27" s="152" t="str">
        <f aca="false">Scoring!BC33</f>
        <v/>
      </c>
      <c r="C27" s="152" t="n">
        <f aca="false">Scoring!C33</f>
        <v>0</v>
      </c>
      <c r="D27" s="153" t="str">
        <f aca="false">Scoring!AZ33</f>
        <v/>
      </c>
      <c r="E27" s="152" t="str">
        <f aca="false">Scoring!AF33</f>
        <v/>
      </c>
      <c r="F27" s="152" t="n">
        <f aca="false">Scoring!B33</f>
        <v>0</v>
      </c>
      <c r="G27" s="152" t="n">
        <f aca="false">Scoring!D33</f>
        <v>0</v>
      </c>
      <c r="H27" s="152" t="str">
        <f aca="false">Scoring!BB33</f>
        <v/>
      </c>
      <c r="I27" s="154" t="str">
        <f aca="false">Scoring!BA33</f>
        <v/>
      </c>
    </row>
    <row r="28" customFormat="false" ht="15.75" hidden="false" customHeight="false" outlineLevel="0" collapsed="false">
      <c r="A28" s="152" t="str">
        <f aca="false">Scoring!BD34</f>
        <v/>
      </c>
      <c r="B28" s="152" t="str">
        <f aca="false">Scoring!BC34</f>
        <v/>
      </c>
      <c r="C28" s="152" t="n">
        <f aca="false">Scoring!C34</f>
        <v>0</v>
      </c>
      <c r="D28" s="153" t="str">
        <f aca="false">Scoring!AZ34</f>
        <v/>
      </c>
      <c r="E28" s="152" t="str">
        <f aca="false">Scoring!AF34</f>
        <v/>
      </c>
      <c r="F28" s="152" t="n">
        <f aca="false">Scoring!B34</f>
        <v>0</v>
      </c>
      <c r="G28" s="152" t="n">
        <f aca="false">Scoring!D34</f>
        <v>0</v>
      </c>
      <c r="H28" s="152" t="str">
        <f aca="false">Scoring!BB34</f>
        <v/>
      </c>
      <c r="I28" s="154" t="str">
        <f aca="false">Scoring!BA34</f>
        <v/>
      </c>
    </row>
    <row r="29" customFormat="false" ht="15.75" hidden="false" customHeight="false" outlineLevel="0" collapsed="false">
      <c r="A29" s="152" t="str">
        <f aca="false">Scoring!BD35</f>
        <v/>
      </c>
      <c r="B29" s="152" t="str">
        <f aca="false">Scoring!BC35</f>
        <v/>
      </c>
      <c r="C29" s="152" t="n">
        <f aca="false">Scoring!C35</f>
        <v>0</v>
      </c>
      <c r="D29" s="153" t="str">
        <f aca="false">Scoring!AZ35</f>
        <v/>
      </c>
      <c r="E29" s="152" t="str">
        <f aca="false">Scoring!AF35</f>
        <v/>
      </c>
      <c r="F29" s="152" t="n">
        <f aca="false">Scoring!B35</f>
        <v>0</v>
      </c>
      <c r="G29" s="152" t="n">
        <f aca="false">Scoring!D35</f>
        <v>0</v>
      </c>
      <c r="H29" s="152" t="str">
        <f aca="false">Scoring!BB35</f>
        <v/>
      </c>
      <c r="I29" s="154" t="str">
        <f aca="false">Scoring!BA35</f>
        <v/>
      </c>
    </row>
    <row r="30" customFormat="false" ht="15.75" hidden="false" customHeight="false" outlineLevel="0" collapsed="false">
      <c r="A30" s="152" t="str">
        <f aca="false">Scoring!BD36</f>
        <v/>
      </c>
      <c r="B30" s="152" t="str">
        <f aca="false">Scoring!BC36</f>
        <v/>
      </c>
      <c r="C30" s="152" t="n">
        <f aca="false">Scoring!C36</f>
        <v>0</v>
      </c>
      <c r="D30" s="153" t="str">
        <f aca="false">Scoring!AZ36</f>
        <v/>
      </c>
      <c r="E30" s="152" t="str">
        <f aca="false">Scoring!AF36</f>
        <v/>
      </c>
      <c r="F30" s="152" t="n">
        <f aca="false">Scoring!B36</f>
        <v>0</v>
      </c>
      <c r="G30" s="152" t="n">
        <f aca="false">Scoring!D36</f>
        <v>0</v>
      </c>
      <c r="H30" s="152" t="str">
        <f aca="false">Scoring!BB36</f>
        <v/>
      </c>
      <c r="I30" s="154" t="str">
        <f aca="false">Scoring!BA36</f>
        <v/>
      </c>
    </row>
    <row r="31" customFormat="false" ht="15.75" hidden="false" customHeight="false" outlineLevel="0" collapsed="false">
      <c r="A31" s="152" t="str">
        <f aca="false">Scoring!BD37</f>
        <v/>
      </c>
      <c r="B31" s="152" t="str">
        <f aca="false">Scoring!BC37</f>
        <v/>
      </c>
      <c r="C31" s="152" t="n">
        <f aca="false">Scoring!C37</f>
        <v>0</v>
      </c>
      <c r="D31" s="153" t="str">
        <f aca="false">Scoring!AZ37</f>
        <v/>
      </c>
      <c r="E31" s="152" t="str">
        <f aca="false">Scoring!AF37</f>
        <v/>
      </c>
      <c r="F31" s="152" t="n">
        <f aca="false">Scoring!B37</f>
        <v>0</v>
      </c>
      <c r="G31" s="152" t="n">
        <f aca="false">Scoring!D37</f>
        <v>0</v>
      </c>
      <c r="H31" s="152" t="str">
        <f aca="false">Scoring!BB37</f>
        <v/>
      </c>
      <c r="I31" s="154" t="str">
        <f aca="false">Scoring!BA37</f>
        <v/>
      </c>
    </row>
    <row r="32" customFormat="false" ht="15.75" hidden="false" customHeight="false" outlineLevel="0" collapsed="false">
      <c r="A32" s="152" t="str">
        <f aca="false">Scoring!BD38</f>
        <v/>
      </c>
      <c r="B32" s="152" t="str">
        <f aca="false">Scoring!BC38</f>
        <v/>
      </c>
      <c r="C32" s="152" t="n">
        <f aca="false">Scoring!C38</f>
        <v>0</v>
      </c>
      <c r="D32" s="153" t="str">
        <f aca="false">Scoring!AZ38</f>
        <v/>
      </c>
      <c r="E32" s="152" t="str">
        <f aca="false">Scoring!AF38</f>
        <v/>
      </c>
      <c r="F32" s="152" t="n">
        <f aca="false">Scoring!B38</f>
        <v>0</v>
      </c>
      <c r="G32" s="152" t="n">
        <f aca="false">Scoring!D38</f>
        <v>0</v>
      </c>
      <c r="H32" s="152" t="str">
        <f aca="false">Scoring!BB38</f>
        <v/>
      </c>
      <c r="I32" s="154" t="str">
        <f aca="false">Scoring!BA38</f>
        <v/>
      </c>
    </row>
    <row r="33" customFormat="false" ht="15.75" hidden="false" customHeight="false" outlineLevel="0" collapsed="false">
      <c r="A33" s="152" t="str">
        <f aca="false">Scoring!BD39</f>
        <v/>
      </c>
      <c r="B33" s="152" t="str">
        <f aca="false">Scoring!BC39</f>
        <v/>
      </c>
      <c r="C33" s="152" t="n">
        <f aca="false">Scoring!C39</f>
        <v>0</v>
      </c>
      <c r="D33" s="153" t="str">
        <f aca="false">Scoring!AZ39</f>
        <v/>
      </c>
      <c r="E33" s="152" t="str">
        <f aca="false">Scoring!AF39</f>
        <v/>
      </c>
      <c r="F33" s="152" t="n">
        <f aca="false">Scoring!B39</f>
        <v>0</v>
      </c>
      <c r="G33" s="152" t="n">
        <f aca="false">Scoring!D39</f>
        <v>0</v>
      </c>
      <c r="H33" s="152" t="str">
        <f aca="false">Scoring!BB39</f>
        <v/>
      </c>
      <c r="I33" s="154" t="str">
        <f aca="false">Scoring!BA39</f>
        <v/>
      </c>
    </row>
    <row r="34" customFormat="false" ht="15.75" hidden="false" customHeight="false" outlineLevel="0" collapsed="false">
      <c r="A34" s="152" t="str">
        <f aca="false">Scoring!BD40</f>
        <v/>
      </c>
      <c r="B34" s="152" t="str">
        <f aca="false">Scoring!BC40</f>
        <v/>
      </c>
      <c r="C34" s="152" t="n">
        <f aca="false">Scoring!C40</f>
        <v>0</v>
      </c>
      <c r="D34" s="153" t="str">
        <f aca="false">Scoring!AZ40</f>
        <v/>
      </c>
      <c r="E34" s="152" t="str">
        <f aca="false">Scoring!AF40</f>
        <v/>
      </c>
      <c r="F34" s="152" t="n">
        <f aca="false">Scoring!B40</f>
        <v>0</v>
      </c>
      <c r="G34" s="152" t="n">
        <f aca="false">Scoring!D40</f>
        <v>0</v>
      </c>
      <c r="H34" s="152" t="str">
        <f aca="false">Scoring!BB40</f>
        <v/>
      </c>
      <c r="I34" s="154" t="str">
        <f aca="false">Scoring!BA40</f>
        <v/>
      </c>
    </row>
    <row r="35" customFormat="false" ht="15.75" hidden="false" customHeight="false" outlineLevel="0" collapsed="false">
      <c r="A35" s="152" t="str">
        <f aca="false">Scoring!BD41</f>
        <v/>
      </c>
      <c r="B35" s="152" t="str">
        <f aca="false">Scoring!BC41</f>
        <v/>
      </c>
      <c r="C35" s="152" t="n">
        <f aca="false">Scoring!C41</f>
        <v>0</v>
      </c>
      <c r="D35" s="153" t="str">
        <f aca="false">Scoring!AZ41</f>
        <v/>
      </c>
      <c r="E35" s="152" t="str">
        <f aca="false">Scoring!AF41</f>
        <v/>
      </c>
      <c r="F35" s="152" t="n">
        <f aca="false">Scoring!B41</f>
        <v>0</v>
      </c>
      <c r="G35" s="152" t="n">
        <f aca="false">Scoring!D41</f>
        <v>0</v>
      </c>
      <c r="H35" s="152" t="str">
        <f aca="false">Scoring!BB41</f>
        <v/>
      </c>
      <c r="I35" s="154" t="str">
        <f aca="false">Scoring!BA41</f>
        <v/>
      </c>
    </row>
    <row r="36" customFormat="false" ht="15.75" hidden="false" customHeight="false" outlineLevel="0" collapsed="false">
      <c r="A36" s="152" t="str">
        <f aca="false">Scoring!BD42</f>
        <v/>
      </c>
      <c r="B36" s="152" t="str">
        <f aca="false">Scoring!BC42</f>
        <v/>
      </c>
      <c r="C36" s="152" t="n">
        <f aca="false">Scoring!C42</f>
        <v>0</v>
      </c>
      <c r="D36" s="153" t="str">
        <f aca="false">Scoring!AZ42</f>
        <v/>
      </c>
      <c r="E36" s="152" t="str">
        <f aca="false">Scoring!AF42</f>
        <v/>
      </c>
      <c r="F36" s="152" t="n">
        <f aca="false">Scoring!B42</f>
        <v>0</v>
      </c>
      <c r="G36" s="152" t="n">
        <f aca="false">Scoring!D42</f>
        <v>0</v>
      </c>
      <c r="H36" s="152" t="str">
        <f aca="false">Scoring!BB42</f>
        <v/>
      </c>
      <c r="I36" s="154" t="str">
        <f aca="false">Scoring!BA42</f>
        <v/>
      </c>
    </row>
    <row r="37" customFormat="false" ht="15.75" hidden="false" customHeight="false" outlineLevel="0" collapsed="false">
      <c r="A37" s="152" t="str">
        <f aca="false">Scoring!BD43</f>
        <v/>
      </c>
      <c r="B37" s="152" t="str">
        <f aca="false">Scoring!BC43</f>
        <v/>
      </c>
      <c r="C37" s="152" t="n">
        <f aca="false">Scoring!C43</f>
        <v>0</v>
      </c>
      <c r="D37" s="153" t="str">
        <f aca="false">Scoring!AZ43</f>
        <v/>
      </c>
      <c r="E37" s="152" t="str">
        <f aca="false">Scoring!AF43</f>
        <v/>
      </c>
      <c r="F37" s="152" t="n">
        <f aca="false">Scoring!B43</f>
        <v>0</v>
      </c>
      <c r="G37" s="152" t="n">
        <f aca="false">Scoring!D43</f>
        <v>0</v>
      </c>
      <c r="H37" s="152" t="str">
        <f aca="false">Scoring!BB43</f>
        <v/>
      </c>
      <c r="I37" s="154" t="str">
        <f aca="false">Scoring!BA43</f>
        <v/>
      </c>
    </row>
    <row r="38" customFormat="false" ht="15.75" hidden="false" customHeight="false" outlineLevel="0" collapsed="false">
      <c r="A38" s="152" t="str">
        <f aca="false">Scoring!BD44</f>
        <v/>
      </c>
      <c r="B38" s="152" t="str">
        <f aca="false">Scoring!BC44</f>
        <v/>
      </c>
      <c r="C38" s="152" t="n">
        <f aca="false">Scoring!C44</f>
        <v>0</v>
      </c>
      <c r="D38" s="153" t="str">
        <f aca="false">Scoring!AZ44</f>
        <v/>
      </c>
      <c r="E38" s="152" t="str">
        <f aca="false">Scoring!AF44</f>
        <v/>
      </c>
      <c r="F38" s="152" t="n">
        <f aca="false">Scoring!B44</f>
        <v>0</v>
      </c>
      <c r="G38" s="152" t="n">
        <f aca="false">Scoring!D44</f>
        <v>0</v>
      </c>
      <c r="H38" s="152" t="str">
        <f aca="false">Scoring!BB44</f>
        <v/>
      </c>
      <c r="I38" s="154" t="str">
        <f aca="false">Scoring!BA44</f>
        <v/>
      </c>
    </row>
    <row r="39" customFormat="false" ht="15.75" hidden="false" customHeight="false" outlineLevel="0" collapsed="false">
      <c r="A39" s="152" t="str">
        <f aca="false">Scoring!BD45</f>
        <v/>
      </c>
      <c r="B39" s="152" t="str">
        <f aca="false">Scoring!BC45</f>
        <v/>
      </c>
      <c r="C39" s="152" t="n">
        <f aca="false">Scoring!C45</f>
        <v>0</v>
      </c>
      <c r="D39" s="153" t="str">
        <f aca="false">Scoring!AZ45</f>
        <v/>
      </c>
      <c r="E39" s="152" t="str">
        <f aca="false">Scoring!AF45</f>
        <v/>
      </c>
      <c r="F39" s="152" t="n">
        <f aca="false">Scoring!B45</f>
        <v>0</v>
      </c>
      <c r="G39" s="152" t="n">
        <f aca="false">Scoring!D45</f>
        <v>0</v>
      </c>
      <c r="H39" s="152" t="str">
        <f aca="false">Scoring!BB45</f>
        <v/>
      </c>
      <c r="I39" s="154" t="str">
        <f aca="false">Scoring!BA45</f>
        <v/>
      </c>
    </row>
    <row r="40" customFormat="false" ht="15.75" hidden="false" customHeight="false" outlineLevel="0" collapsed="false">
      <c r="A40" s="152" t="str">
        <f aca="false">Scoring!BD46</f>
        <v/>
      </c>
      <c r="B40" s="152" t="str">
        <f aca="false">Scoring!BC46</f>
        <v/>
      </c>
      <c r="C40" s="152" t="n">
        <f aca="false">Scoring!C46</f>
        <v>0</v>
      </c>
      <c r="D40" s="153" t="str">
        <f aca="false">Scoring!AZ46</f>
        <v/>
      </c>
      <c r="E40" s="152" t="str">
        <f aca="false">Scoring!AF46</f>
        <v/>
      </c>
      <c r="F40" s="152" t="n">
        <f aca="false">Scoring!B46</f>
        <v>0</v>
      </c>
      <c r="G40" s="152" t="n">
        <f aca="false">Scoring!D46</f>
        <v>0</v>
      </c>
      <c r="H40" s="152" t="str">
        <f aca="false">Scoring!BB46</f>
        <v/>
      </c>
      <c r="I40" s="154" t="str">
        <f aca="false">Scoring!BA46</f>
        <v/>
      </c>
    </row>
    <row r="41" customFormat="false" ht="15.75" hidden="false" customHeight="false" outlineLevel="0" collapsed="false">
      <c r="A41" s="152" t="str">
        <f aca="false">Scoring!BD47</f>
        <v/>
      </c>
      <c r="B41" s="152" t="str">
        <f aca="false">Scoring!BC47</f>
        <v/>
      </c>
      <c r="C41" s="152" t="n">
        <f aca="false">Scoring!C47</f>
        <v>0</v>
      </c>
      <c r="D41" s="153" t="str">
        <f aca="false">Scoring!AZ47</f>
        <v/>
      </c>
      <c r="E41" s="152" t="str">
        <f aca="false">Scoring!AF47</f>
        <v/>
      </c>
      <c r="F41" s="152" t="n">
        <f aca="false">Scoring!B47</f>
        <v>0</v>
      </c>
      <c r="G41" s="152" t="n">
        <f aca="false">Scoring!D47</f>
        <v>0</v>
      </c>
      <c r="H41" s="152" t="str">
        <f aca="false">Scoring!BB47</f>
        <v/>
      </c>
      <c r="I41" s="154" t="str">
        <f aca="false">Scoring!BA47</f>
        <v/>
      </c>
    </row>
    <row r="42" customFormat="false" ht="15.75" hidden="false" customHeight="false" outlineLevel="0" collapsed="false">
      <c r="A42" s="152" t="str">
        <f aca="false">Scoring!BD48</f>
        <v/>
      </c>
      <c r="B42" s="152" t="str">
        <f aca="false">Scoring!BC48</f>
        <v/>
      </c>
      <c r="C42" s="152" t="n">
        <f aca="false">Scoring!C48</f>
        <v>0</v>
      </c>
      <c r="D42" s="153" t="str">
        <f aca="false">Scoring!AZ48</f>
        <v/>
      </c>
      <c r="E42" s="152" t="str">
        <f aca="false">Scoring!AF48</f>
        <v/>
      </c>
      <c r="F42" s="152" t="n">
        <f aca="false">Scoring!B48</f>
        <v>0</v>
      </c>
      <c r="G42" s="152" t="n">
        <f aca="false">Scoring!D48</f>
        <v>0</v>
      </c>
      <c r="H42" s="152" t="str">
        <f aca="false">Scoring!BB48</f>
        <v/>
      </c>
      <c r="I42" s="154" t="str">
        <f aca="false">Scoring!BA48</f>
        <v/>
      </c>
    </row>
    <row r="43" customFormat="false" ht="15.75" hidden="false" customHeight="false" outlineLevel="0" collapsed="false">
      <c r="A43" s="152" t="str">
        <f aca="false">Scoring!BD49</f>
        <v/>
      </c>
      <c r="B43" s="152" t="str">
        <f aca="false">Scoring!BC49</f>
        <v/>
      </c>
      <c r="C43" s="152" t="n">
        <f aca="false">Scoring!C49</f>
        <v>0</v>
      </c>
      <c r="D43" s="153" t="str">
        <f aca="false">Scoring!AZ49</f>
        <v/>
      </c>
      <c r="E43" s="152" t="str">
        <f aca="false">Scoring!AF49</f>
        <v/>
      </c>
      <c r="F43" s="152" t="n">
        <f aca="false">Scoring!B49</f>
        <v>0</v>
      </c>
      <c r="G43" s="152" t="n">
        <f aca="false">Scoring!D49</f>
        <v>0</v>
      </c>
      <c r="H43" s="152" t="str">
        <f aca="false">Scoring!BB49</f>
        <v/>
      </c>
      <c r="I43" s="154" t="str">
        <f aca="false">Scoring!BA49</f>
        <v/>
      </c>
    </row>
    <row r="44" customFormat="false" ht="15.75" hidden="false" customHeight="false" outlineLevel="0" collapsed="false">
      <c r="A44" s="152" t="str">
        <f aca="false">Scoring!BD50</f>
        <v/>
      </c>
      <c r="B44" s="152" t="str">
        <f aca="false">Scoring!BC50</f>
        <v/>
      </c>
      <c r="C44" s="152" t="n">
        <f aca="false">Scoring!C50</f>
        <v>0</v>
      </c>
      <c r="D44" s="153" t="str">
        <f aca="false">Scoring!AZ50</f>
        <v/>
      </c>
      <c r="E44" s="152" t="str">
        <f aca="false">Scoring!AF50</f>
        <v/>
      </c>
      <c r="F44" s="152" t="n">
        <f aca="false">Scoring!B50</f>
        <v>0</v>
      </c>
      <c r="G44" s="152" t="n">
        <f aca="false">Scoring!D50</f>
        <v>0</v>
      </c>
      <c r="H44" s="152" t="str">
        <f aca="false">Scoring!BB50</f>
        <v/>
      </c>
      <c r="I44" s="154" t="str">
        <f aca="false">Scoring!BA50</f>
        <v/>
      </c>
    </row>
    <row r="45" customFormat="false" ht="15.75" hidden="false" customHeight="false" outlineLevel="0" collapsed="false">
      <c r="A45" s="152" t="str">
        <f aca="false">Scoring!BD51</f>
        <v/>
      </c>
      <c r="B45" s="152" t="str">
        <f aca="false">Scoring!BC51</f>
        <v/>
      </c>
      <c r="C45" s="152" t="n">
        <f aca="false">Scoring!C51</f>
        <v>0</v>
      </c>
      <c r="D45" s="153" t="str">
        <f aca="false">Scoring!AZ51</f>
        <v/>
      </c>
      <c r="E45" s="152" t="str">
        <f aca="false">Scoring!AF51</f>
        <v/>
      </c>
      <c r="F45" s="152" t="n">
        <f aca="false">Scoring!B51</f>
        <v>0</v>
      </c>
      <c r="G45" s="152" t="n">
        <f aca="false">Scoring!D51</f>
        <v>0</v>
      </c>
      <c r="H45" s="152" t="str">
        <f aca="false">Scoring!BB51</f>
        <v/>
      </c>
      <c r="I45" s="154" t="str">
        <f aca="false">Scoring!BA51</f>
        <v/>
      </c>
    </row>
    <row r="46" customFormat="false" ht="15.75" hidden="false" customHeight="false" outlineLevel="0" collapsed="false">
      <c r="A46" s="152" t="str">
        <f aca="false">Scoring!BD52</f>
        <v/>
      </c>
      <c r="B46" s="152" t="str">
        <f aca="false">Scoring!BC52</f>
        <v/>
      </c>
      <c r="C46" s="152" t="n">
        <f aca="false">Scoring!C52</f>
        <v>0</v>
      </c>
      <c r="D46" s="153" t="str">
        <f aca="false">Scoring!AZ52</f>
        <v/>
      </c>
      <c r="E46" s="152" t="str">
        <f aca="false">Scoring!AF52</f>
        <v/>
      </c>
      <c r="F46" s="152" t="n">
        <f aca="false">Scoring!B52</f>
        <v>0</v>
      </c>
      <c r="G46" s="152" t="n">
        <f aca="false">Scoring!D52</f>
        <v>0</v>
      </c>
      <c r="H46" s="152" t="str">
        <f aca="false">Scoring!BB52</f>
        <v/>
      </c>
      <c r="I46" s="154" t="str">
        <f aca="false">Scoring!BA52</f>
        <v/>
      </c>
    </row>
    <row r="47" customFormat="false" ht="15.75" hidden="false" customHeight="false" outlineLevel="0" collapsed="false">
      <c r="A47" s="152" t="str">
        <f aca="false">Scoring!BD53</f>
        <v/>
      </c>
      <c r="B47" s="152" t="str">
        <f aca="false">Scoring!BC53</f>
        <v/>
      </c>
      <c r="C47" s="152" t="n">
        <f aca="false">Scoring!C53</f>
        <v>0</v>
      </c>
      <c r="D47" s="153" t="str">
        <f aca="false">Scoring!AZ53</f>
        <v/>
      </c>
      <c r="E47" s="152" t="str">
        <f aca="false">Scoring!AF53</f>
        <v/>
      </c>
      <c r="F47" s="152" t="n">
        <f aca="false">Scoring!B53</f>
        <v>0</v>
      </c>
      <c r="G47" s="152" t="n">
        <f aca="false">Scoring!D53</f>
        <v>0</v>
      </c>
      <c r="H47" s="152" t="str">
        <f aca="false">Scoring!BB53</f>
        <v/>
      </c>
      <c r="I47" s="154" t="str">
        <f aca="false">Scoring!BA53</f>
        <v/>
      </c>
    </row>
    <row r="48" customFormat="false" ht="15.75" hidden="false" customHeight="false" outlineLevel="0" collapsed="false">
      <c r="A48" s="152" t="str">
        <f aca="false">Scoring!BD54</f>
        <v/>
      </c>
      <c r="B48" s="152" t="str">
        <f aca="false">Scoring!BC54</f>
        <v/>
      </c>
      <c r="C48" s="152" t="n">
        <f aca="false">Scoring!C54</f>
        <v>0</v>
      </c>
      <c r="D48" s="153" t="str">
        <f aca="false">Scoring!AZ54</f>
        <v/>
      </c>
      <c r="E48" s="152" t="str">
        <f aca="false">Scoring!AF54</f>
        <v/>
      </c>
      <c r="F48" s="152" t="n">
        <f aca="false">Scoring!B54</f>
        <v>0</v>
      </c>
      <c r="G48" s="152" t="n">
        <f aca="false">Scoring!D54</f>
        <v>0</v>
      </c>
      <c r="H48" s="152" t="str">
        <f aca="false">Scoring!BB54</f>
        <v/>
      </c>
      <c r="I48" s="154" t="str">
        <f aca="false">Scoring!BA54</f>
        <v/>
      </c>
    </row>
    <row r="49" customFormat="false" ht="15.75" hidden="false" customHeight="false" outlineLevel="0" collapsed="false">
      <c r="A49" s="152" t="str">
        <f aca="false">Scoring!BD55</f>
        <v/>
      </c>
      <c r="B49" s="152" t="str">
        <f aca="false">Scoring!BC55</f>
        <v/>
      </c>
      <c r="C49" s="152" t="n">
        <f aca="false">Scoring!C55</f>
        <v>0</v>
      </c>
      <c r="D49" s="153" t="str">
        <f aca="false">Scoring!AZ55</f>
        <v/>
      </c>
      <c r="E49" s="152" t="str">
        <f aca="false">Scoring!AF55</f>
        <v/>
      </c>
      <c r="F49" s="152" t="n">
        <f aca="false">Scoring!B55</f>
        <v>0</v>
      </c>
      <c r="G49" s="152" t="n">
        <f aca="false">Scoring!D55</f>
        <v>0</v>
      </c>
      <c r="H49" s="152" t="str">
        <f aca="false">Scoring!BB55</f>
        <v/>
      </c>
      <c r="I49" s="154" t="str">
        <f aca="false">Scoring!BA55</f>
        <v/>
      </c>
    </row>
    <row r="50" customFormat="false" ht="15.75" hidden="false" customHeight="false" outlineLevel="0" collapsed="false">
      <c r="A50" s="152" t="str">
        <f aca="false">Scoring!BD56</f>
        <v/>
      </c>
      <c r="B50" s="152" t="str">
        <f aca="false">Scoring!BC56</f>
        <v/>
      </c>
      <c r="C50" s="152" t="n">
        <f aca="false">Scoring!C56</f>
        <v>0</v>
      </c>
      <c r="D50" s="153" t="str">
        <f aca="false">Scoring!AZ56</f>
        <v/>
      </c>
      <c r="E50" s="152" t="str">
        <f aca="false">Scoring!AF56</f>
        <v/>
      </c>
      <c r="F50" s="152" t="n">
        <f aca="false">Scoring!B56</f>
        <v>0</v>
      </c>
      <c r="G50" s="152" t="n">
        <f aca="false">Scoring!D56</f>
        <v>0</v>
      </c>
      <c r="H50" s="152" t="str">
        <f aca="false">Scoring!BB56</f>
        <v/>
      </c>
      <c r="I50" s="154" t="str">
        <f aca="false">Scoring!BA56</f>
        <v/>
      </c>
    </row>
    <row r="51" customFormat="false" ht="15.75" hidden="false" customHeight="false" outlineLevel="0" collapsed="false">
      <c r="A51" s="152" t="str">
        <f aca="false">Scoring!BD57</f>
        <v/>
      </c>
      <c r="B51" s="152" t="str">
        <f aca="false">Scoring!BC57</f>
        <v/>
      </c>
      <c r="C51" s="152" t="n">
        <f aca="false">Scoring!C57</f>
        <v>0</v>
      </c>
      <c r="D51" s="153" t="str">
        <f aca="false">Scoring!AZ57</f>
        <v/>
      </c>
      <c r="E51" s="152" t="str">
        <f aca="false">Scoring!AF57</f>
        <v/>
      </c>
      <c r="F51" s="152" t="n">
        <f aca="false">Scoring!B57</f>
        <v>0</v>
      </c>
      <c r="G51" s="152" t="n">
        <f aca="false">Scoring!D57</f>
        <v>0</v>
      </c>
      <c r="H51" s="152" t="str">
        <f aca="false">Scoring!BB57</f>
        <v/>
      </c>
      <c r="I51" s="154" t="str">
        <f aca="false">Scoring!BA57</f>
        <v/>
      </c>
    </row>
    <row r="52" customFormat="false" ht="15.75" hidden="false" customHeight="false" outlineLevel="0" collapsed="false">
      <c r="A52" s="152" t="str">
        <f aca="false">Scoring!BD58</f>
        <v/>
      </c>
      <c r="B52" s="152" t="str">
        <f aca="false">Scoring!BC58</f>
        <v/>
      </c>
      <c r="C52" s="152" t="n">
        <f aca="false">Scoring!C58</f>
        <v>0</v>
      </c>
      <c r="D52" s="153" t="str">
        <f aca="false">Scoring!AZ58</f>
        <v/>
      </c>
      <c r="E52" s="152" t="str">
        <f aca="false">Scoring!AF58</f>
        <v/>
      </c>
      <c r="F52" s="152" t="n">
        <f aca="false">Scoring!B58</f>
        <v>0</v>
      </c>
      <c r="G52" s="152" t="n">
        <f aca="false">Scoring!D58</f>
        <v>0</v>
      </c>
      <c r="H52" s="152" t="str">
        <f aca="false">Scoring!BB58</f>
        <v/>
      </c>
      <c r="I52" s="154" t="str">
        <f aca="false">Scoring!BA58</f>
        <v/>
      </c>
    </row>
    <row r="53" customFormat="false" ht="15.75" hidden="false" customHeight="false" outlineLevel="0" collapsed="false">
      <c r="A53" s="152" t="str">
        <f aca="false">Scoring!BD59</f>
        <v/>
      </c>
      <c r="B53" s="152" t="str">
        <f aca="false">Scoring!BC59</f>
        <v/>
      </c>
      <c r="C53" s="152" t="n">
        <f aca="false">Scoring!C59</f>
        <v>0</v>
      </c>
      <c r="D53" s="153" t="str">
        <f aca="false">Scoring!AZ59</f>
        <v/>
      </c>
      <c r="E53" s="152" t="str">
        <f aca="false">Scoring!AF59</f>
        <v/>
      </c>
      <c r="F53" s="152" t="n">
        <f aca="false">Scoring!B59</f>
        <v>0</v>
      </c>
      <c r="G53" s="152" t="n">
        <f aca="false">Scoring!D59</f>
        <v>0</v>
      </c>
      <c r="H53" s="152" t="str">
        <f aca="false">Scoring!BB59</f>
        <v/>
      </c>
      <c r="I53" s="154" t="str">
        <f aca="false">Scoring!BA59</f>
        <v/>
      </c>
    </row>
    <row r="54" customFormat="false" ht="15.75" hidden="false" customHeight="false" outlineLevel="0" collapsed="false">
      <c r="A54" s="152" t="str">
        <f aca="false">Scoring!BD60</f>
        <v/>
      </c>
      <c r="B54" s="152" t="str">
        <f aca="false">Scoring!BC60</f>
        <v/>
      </c>
      <c r="C54" s="152" t="n">
        <f aca="false">Scoring!C60</f>
        <v>0</v>
      </c>
      <c r="D54" s="153" t="str">
        <f aca="false">Scoring!AZ60</f>
        <v/>
      </c>
      <c r="E54" s="152" t="str">
        <f aca="false">Scoring!AF60</f>
        <v/>
      </c>
      <c r="F54" s="152" t="n">
        <f aca="false">Scoring!B60</f>
        <v>0</v>
      </c>
      <c r="G54" s="152" t="n">
        <f aca="false">Scoring!D60</f>
        <v>0</v>
      </c>
      <c r="H54" s="152" t="str">
        <f aca="false">Scoring!BB60</f>
        <v/>
      </c>
      <c r="I54" s="154" t="str">
        <f aca="false">Scoring!BA60</f>
        <v/>
      </c>
    </row>
    <row r="55" customFormat="false" ht="15.75" hidden="false" customHeight="false" outlineLevel="0" collapsed="false">
      <c r="A55" s="152" t="str">
        <f aca="false">Scoring!BD61</f>
        <v/>
      </c>
      <c r="B55" s="152" t="str">
        <f aca="false">Scoring!BC61</f>
        <v/>
      </c>
      <c r="C55" s="152" t="n">
        <f aca="false">Scoring!C61</f>
        <v>0</v>
      </c>
      <c r="D55" s="153" t="str">
        <f aca="false">Scoring!AZ61</f>
        <v/>
      </c>
      <c r="E55" s="152" t="str">
        <f aca="false">Scoring!AF61</f>
        <v/>
      </c>
      <c r="F55" s="152" t="n">
        <f aca="false">Scoring!B61</f>
        <v>0</v>
      </c>
      <c r="G55" s="152" t="n">
        <f aca="false">Scoring!D61</f>
        <v>0</v>
      </c>
      <c r="H55" s="152" t="str">
        <f aca="false">Scoring!BB61</f>
        <v/>
      </c>
      <c r="I55" s="154" t="str">
        <f aca="false">Scoring!BA61</f>
        <v/>
      </c>
    </row>
    <row r="56" customFormat="false" ht="15.75" hidden="false" customHeight="false" outlineLevel="0" collapsed="false">
      <c r="A56" s="152" t="str">
        <f aca="false">Scoring!BD62</f>
        <v/>
      </c>
      <c r="B56" s="152" t="str">
        <f aca="false">Scoring!BC62</f>
        <v/>
      </c>
      <c r="C56" s="152" t="n">
        <f aca="false">Scoring!C62</f>
        <v>0</v>
      </c>
      <c r="D56" s="153" t="str">
        <f aca="false">Scoring!AZ62</f>
        <v/>
      </c>
      <c r="E56" s="152" t="str">
        <f aca="false">Scoring!AF62</f>
        <v/>
      </c>
      <c r="F56" s="152" t="n">
        <f aca="false">Scoring!B62</f>
        <v>0</v>
      </c>
      <c r="G56" s="152" t="n">
        <f aca="false">Scoring!D62</f>
        <v>0</v>
      </c>
      <c r="H56" s="152" t="str">
        <f aca="false">Scoring!BB62</f>
        <v/>
      </c>
      <c r="I56" s="154" t="str">
        <f aca="false">Scoring!BA62</f>
        <v/>
      </c>
    </row>
    <row r="57" customFormat="false" ht="15.75" hidden="false" customHeight="false" outlineLevel="0" collapsed="false">
      <c r="A57" s="152" t="str">
        <f aca="false">Scoring!BD63</f>
        <v/>
      </c>
      <c r="B57" s="152" t="str">
        <f aca="false">Scoring!BC63</f>
        <v/>
      </c>
      <c r="C57" s="152" t="n">
        <f aca="false">Scoring!C63</f>
        <v>0</v>
      </c>
      <c r="D57" s="153" t="str">
        <f aca="false">Scoring!AZ63</f>
        <v/>
      </c>
      <c r="E57" s="152" t="str">
        <f aca="false">Scoring!AF63</f>
        <v/>
      </c>
      <c r="F57" s="152" t="n">
        <f aca="false">Scoring!B63</f>
        <v>0</v>
      </c>
      <c r="G57" s="152" t="n">
        <f aca="false">Scoring!D63</f>
        <v>0</v>
      </c>
      <c r="H57" s="152" t="str">
        <f aca="false">Scoring!BB63</f>
        <v/>
      </c>
      <c r="I57" s="154" t="str">
        <f aca="false">Scoring!BA63</f>
        <v/>
      </c>
    </row>
    <row r="58" customFormat="false" ht="15.75" hidden="false" customHeight="false" outlineLevel="0" collapsed="false">
      <c r="A58" s="152" t="str">
        <f aca="false">Scoring!BD64</f>
        <v/>
      </c>
      <c r="B58" s="152" t="str">
        <f aca="false">Scoring!BC64</f>
        <v/>
      </c>
      <c r="C58" s="152" t="n">
        <f aca="false">Scoring!C64</f>
        <v>0</v>
      </c>
      <c r="D58" s="153" t="str">
        <f aca="false">Scoring!AZ64</f>
        <v/>
      </c>
      <c r="E58" s="152" t="str">
        <f aca="false">Scoring!AF64</f>
        <v/>
      </c>
      <c r="F58" s="152" t="n">
        <f aca="false">Scoring!B64</f>
        <v>0</v>
      </c>
      <c r="G58" s="152" t="n">
        <f aca="false">Scoring!D64</f>
        <v>0</v>
      </c>
      <c r="H58" s="152" t="str">
        <f aca="false">Scoring!BB64</f>
        <v/>
      </c>
      <c r="I58" s="154" t="str">
        <f aca="false">Scoring!BA64</f>
        <v/>
      </c>
    </row>
    <row r="59" customFormat="false" ht="15.75" hidden="false" customHeight="false" outlineLevel="0" collapsed="false">
      <c r="A59" s="152" t="str">
        <f aca="false">Scoring!BD65</f>
        <v/>
      </c>
      <c r="B59" s="152" t="str">
        <f aca="false">Scoring!BC65</f>
        <v/>
      </c>
      <c r="C59" s="152" t="n">
        <f aca="false">Scoring!C65</f>
        <v>0</v>
      </c>
      <c r="D59" s="153" t="str">
        <f aca="false">Scoring!AZ65</f>
        <v/>
      </c>
      <c r="E59" s="152" t="str">
        <f aca="false">Scoring!AF65</f>
        <v/>
      </c>
      <c r="F59" s="152" t="n">
        <f aca="false">Scoring!B65</f>
        <v>0</v>
      </c>
      <c r="G59" s="152" t="n">
        <f aca="false">Scoring!D65</f>
        <v>0</v>
      </c>
      <c r="H59" s="152" t="str">
        <f aca="false">Scoring!BB65</f>
        <v/>
      </c>
      <c r="I59" s="154" t="str">
        <f aca="false">Scoring!BA65</f>
        <v/>
      </c>
    </row>
    <row r="60" customFormat="false" ht="15.75" hidden="false" customHeight="false" outlineLevel="0" collapsed="false">
      <c r="A60" s="152" t="str">
        <f aca="false">Scoring!BD66</f>
        <v/>
      </c>
      <c r="B60" s="152" t="str">
        <f aca="false">Scoring!BC66</f>
        <v/>
      </c>
      <c r="C60" s="152" t="n">
        <f aca="false">Scoring!C66</f>
        <v>0</v>
      </c>
      <c r="D60" s="153" t="str">
        <f aca="false">Scoring!AZ66</f>
        <v/>
      </c>
      <c r="E60" s="152" t="str">
        <f aca="false">Scoring!AF66</f>
        <v/>
      </c>
      <c r="F60" s="152" t="n">
        <f aca="false">Scoring!B66</f>
        <v>0</v>
      </c>
      <c r="G60" s="152" t="n">
        <f aca="false">Scoring!D66</f>
        <v>0</v>
      </c>
      <c r="H60" s="152" t="str">
        <f aca="false">Scoring!BB66</f>
        <v/>
      </c>
      <c r="I60" s="154" t="str">
        <f aca="false">Scoring!BA66</f>
        <v/>
      </c>
    </row>
    <row r="61" customFormat="false" ht="15.75" hidden="false" customHeight="false" outlineLevel="0" collapsed="false">
      <c r="A61" s="152" t="str">
        <f aca="false">Scoring!BD67</f>
        <v/>
      </c>
      <c r="B61" s="152" t="str">
        <f aca="false">Scoring!BC67</f>
        <v/>
      </c>
      <c r="C61" s="152" t="n">
        <f aca="false">Scoring!C67</f>
        <v>0</v>
      </c>
      <c r="D61" s="153" t="str">
        <f aca="false">Scoring!AZ67</f>
        <v/>
      </c>
      <c r="E61" s="152" t="str">
        <f aca="false">Scoring!AF67</f>
        <v/>
      </c>
      <c r="F61" s="152" t="n">
        <f aca="false">Scoring!B67</f>
        <v>0</v>
      </c>
      <c r="G61" s="152" t="n">
        <f aca="false">Scoring!D67</f>
        <v>0</v>
      </c>
      <c r="H61" s="152" t="str">
        <f aca="false">Scoring!BB67</f>
        <v/>
      </c>
      <c r="I61" s="154" t="str">
        <f aca="false">Scoring!BA67</f>
        <v/>
      </c>
    </row>
    <row r="62" customFormat="false" ht="15.75" hidden="false" customHeight="false" outlineLevel="0" collapsed="false">
      <c r="A62" s="152" t="str">
        <f aca="false">Scoring!BD68</f>
        <v/>
      </c>
      <c r="B62" s="152" t="str">
        <f aca="false">Scoring!BC68</f>
        <v/>
      </c>
      <c r="C62" s="152" t="n">
        <f aca="false">Scoring!C68</f>
        <v>0</v>
      </c>
      <c r="D62" s="153" t="str">
        <f aca="false">Scoring!AZ68</f>
        <v/>
      </c>
      <c r="E62" s="152" t="str">
        <f aca="false">Scoring!AF68</f>
        <v/>
      </c>
      <c r="F62" s="152" t="n">
        <f aca="false">Scoring!B68</f>
        <v>0</v>
      </c>
      <c r="G62" s="152" t="n">
        <f aca="false">Scoring!D68</f>
        <v>0</v>
      </c>
      <c r="H62" s="152" t="str">
        <f aca="false">Scoring!BB68</f>
        <v/>
      </c>
      <c r="I62" s="154" t="str">
        <f aca="false">Scoring!BA68</f>
        <v/>
      </c>
    </row>
    <row r="63" customFormat="false" ht="15.75" hidden="false" customHeight="false" outlineLevel="0" collapsed="false">
      <c r="A63" s="152" t="str">
        <f aca="false">Scoring!BD69</f>
        <v/>
      </c>
      <c r="B63" s="152" t="str">
        <f aca="false">Scoring!BC69</f>
        <v/>
      </c>
      <c r="C63" s="152" t="n">
        <f aca="false">Scoring!C69</f>
        <v>0</v>
      </c>
      <c r="D63" s="153" t="str">
        <f aca="false">Scoring!AZ69</f>
        <v/>
      </c>
      <c r="E63" s="152" t="str">
        <f aca="false">Scoring!AF69</f>
        <v/>
      </c>
      <c r="F63" s="152" t="n">
        <f aca="false">Scoring!B69</f>
        <v>0</v>
      </c>
      <c r="G63" s="152" t="n">
        <f aca="false">Scoring!D69</f>
        <v>0</v>
      </c>
      <c r="H63" s="152" t="str">
        <f aca="false">Scoring!BB69</f>
        <v/>
      </c>
      <c r="I63" s="154" t="str">
        <f aca="false">Scoring!BA69</f>
        <v/>
      </c>
    </row>
    <row r="64" customFormat="false" ht="15.75" hidden="false" customHeight="false" outlineLevel="0" collapsed="false">
      <c r="A64" s="152" t="str">
        <f aca="false">Scoring!BD70</f>
        <v/>
      </c>
      <c r="B64" s="152" t="str">
        <f aca="false">Scoring!BC70</f>
        <v/>
      </c>
      <c r="C64" s="152" t="n">
        <f aca="false">Scoring!C70</f>
        <v>0</v>
      </c>
      <c r="D64" s="153" t="str">
        <f aca="false">Scoring!AZ70</f>
        <v/>
      </c>
      <c r="E64" s="152" t="str">
        <f aca="false">Scoring!AF70</f>
        <v/>
      </c>
      <c r="F64" s="152" t="n">
        <f aca="false">Scoring!B70</f>
        <v>0</v>
      </c>
      <c r="G64" s="152" t="n">
        <f aca="false">Scoring!D70</f>
        <v>0</v>
      </c>
      <c r="H64" s="152" t="str">
        <f aca="false">Scoring!BB70</f>
        <v/>
      </c>
      <c r="I64" s="154" t="str">
        <f aca="false">Scoring!BA70</f>
        <v/>
      </c>
    </row>
    <row r="65" customFormat="false" ht="15.75" hidden="false" customHeight="false" outlineLevel="0" collapsed="false">
      <c r="A65" s="152" t="str">
        <f aca="false">Scoring!BD71</f>
        <v/>
      </c>
      <c r="B65" s="152" t="str">
        <f aca="false">Scoring!BC71</f>
        <v/>
      </c>
      <c r="C65" s="152" t="n">
        <f aca="false">Scoring!C71</f>
        <v>0</v>
      </c>
      <c r="D65" s="153" t="str">
        <f aca="false">Scoring!AZ71</f>
        <v/>
      </c>
      <c r="E65" s="152" t="str">
        <f aca="false">Scoring!AF71</f>
        <v/>
      </c>
      <c r="F65" s="152" t="n">
        <f aca="false">Scoring!B71</f>
        <v>0</v>
      </c>
      <c r="G65" s="152" t="n">
        <f aca="false">Scoring!D71</f>
        <v>0</v>
      </c>
      <c r="H65" s="152" t="str">
        <f aca="false">Scoring!BB71</f>
        <v/>
      </c>
      <c r="I65" s="154" t="str">
        <f aca="false">Scoring!BA71</f>
        <v/>
      </c>
    </row>
    <row r="66" customFormat="false" ht="15.75" hidden="false" customHeight="false" outlineLevel="0" collapsed="false">
      <c r="A66" s="152" t="str">
        <f aca="false">Scoring!BD72</f>
        <v/>
      </c>
      <c r="B66" s="152" t="str">
        <f aca="false">Scoring!BC72</f>
        <v/>
      </c>
      <c r="C66" s="152" t="n">
        <f aca="false">Scoring!C72</f>
        <v>0</v>
      </c>
      <c r="D66" s="153" t="str">
        <f aca="false">Scoring!AZ72</f>
        <v/>
      </c>
      <c r="E66" s="152" t="str">
        <f aca="false">Scoring!AF72</f>
        <v/>
      </c>
      <c r="F66" s="152" t="n">
        <f aca="false">Scoring!B72</f>
        <v>0</v>
      </c>
      <c r="G66" s="152" t="n">
        <f aca="false">Scoring!D72</f>
        <v>0</v>
      </c>
      <c r="H66" s="152" t="str">
        <f aca="false">Scoring!BB72</f>
        <v/>
      </c>
      <c r="I66" s="154" t="str">
        <f aca="false">Scoring!BA72</f>
        <v/>
      </c>
    </row>
    <row r="67" customFormat="false" ht="15.75" hidden="false" customHeight="false" outlineLevel="0" collapsed="false">
      <c r="A67" s="152" t="str">
        <f aca="false">Scoring!BD73</f>
        <v/>
      </c>
      <c r="B67" s="152" t="str">
        <f aca="false">Scoring!BC73</f>
        <v/>
      </c>
      <c r="C67" s="152" t="n">
        <f aca="false">Scoring!C73</f>
        <v>0</v>
      </c>
      <c r="D67" s="153" t="str">
        <f aca="false">Scoring!AZ73</f>
        <v/>
      </c>
      <c r="E67" s="152" t="str">
        <f aca="false">Scoring!AF73</f>
        <v/>
      </c>
      <c r="F67" s="152" t="n">
        <f aca="false">Scoring!B73</f>
        <v>0</v>
      </c>
      <c r="G67" s="152" t="n">
        <f aca="false">Scoring!D73</f>
        <v>0</v>
      </c>
      <c r="H67" s="152" t="str">
        <f aca="false">Scoring!BB73</f>
        <v/>
      </c>
      <c r="I67" s="154" t="str">
        <f aca="false">Scoring!BA73</f>
        <v/>
      </c>
    </row>
    <row r="68" customFormat="false" ht="15.75" hidden="false" customHeight="false" outlineLevel="0" collapsed="false">
      <c r="A68" s="152" t="str">
        <f aca="false">Scoring!BD74</f>
        <v/>
      </c>
      <c r="B68" s="152" t="str">
        <f aca="false">Scoring!BC74</f>
        <v/>
      </c>
      <c r="C68" s="152" t="n">
        <f aca="false">Scoring!C74</f>
        <v>0</v>
      </c>
      <c r="D68" s="153" t="str">
        <f aca="false">Scoring!AZ74</f>
        <v/>
      </c>
      <c r="E68" s="152" t="str">
        <f aca="false">Scoring!AF74</f>
        <v/>
      </c>
      <c r="F68" s="152" t="n">
        <f aca="false">Scoring!B74</f>
        <v>0</v>
      </c>
      <c r="G68" s="152" t="n">
        <f aca="false">Scoring!D74</f>
        <v>0</v>
      </c>
      <c r="H68" s="152" t="str">
        <f aca="false">Scoring!BB74</f>
        <v/>
      </c>
      <c r="I68" s="154" t="str">
        <f aca="false">Scoring!BA74</f>
        <v/>
      </c>
    </row>
    <row r="69" customFormat="false" ht="15.75" hidden="false" customHeight="false" outlineLevel="0" collapsed="false">
      <c r="A69" s="152" t="str">
        <f aca="false">Scoring!BD75</f>
        <v/>
      </c>
      <c r="B69" s="152" t="str">
        <f aca="false">Scoring!BC75</f>
        <v/>
      </c>
      <c r="C69" s="152" t="n">
        <f aca="false">Scoring!C75</f>
        <v>0</v>
      </c>
      <c r="D69" s="153" t="str">
        <f aca="false">Scoring!AZ75</f>
        <v/>
      </c>
      <c r="E69" s="152" t="str">
        <f aca="false">Scoring!AF75</f>
        <v/>
      </c>
      <c r="F69" s="152" t="n">
        <f aca="false">Scoring!B75</f>
        <v>0</v>
      </c>
      <c r="G69" s="152" t="n">
        <f aca="false">Scoring!D75</f>
        <v>0</v>
      </c>
      <c r="H69" s="152" t="str">
        <f aca="false">Scoring!BB75</f>
        <v/>
      </c>
      <c r="I69" s="154" t="str">
        <f aca="false">Scoring!BA75</f>
        <v/>
      </c>
    </row>
    <row r="70" customFormat="false" ht="15.75" hidden="false" customHeight="false" outlineLevel="0" collapsed="false">
      <c r="A70" s="152" t="str">
        <f aca="false">Scoring!BD76</f>
        <v/>
      </c>
      <c r="B70" s="152" t="str">
        <f aca="false">Scoring!BC76</f>
        <v/>
      </c>
      <c r="C70" s="152" t="n">
        <f aca="false">Scoring!C76</f>
        <v>0</v>
      </c>
      <c r="D70" s="153" t="str">
        <f aca="false">Scoring!AZ76</f>
        <v/>
      </c>
      <c r="E70" s="152" t="str">
        <f aca="false">Scoring!AF76</f>
        <v/>
      </c>
      <c r="F70" s="152" t="n">
        <f aca="false">Scoring!B76</f>
        <v>0</v>
      </c>
      <c r="G70" s="152" t="n">
        <f aca="false">Scoring!D76</f>
        <v>0</v>
      </c>
      <c r="H70" s="152" t="str">
        <f aca="false">Scoring!BB76</f>
        <v/>
      </c>
      <c r="I70" s="154" t="str">
        <f aca="false">Scoring!BA76</f>
        <v/>
      </c>
    </row>
    <row r="71" customFormat="false" ht="15.75" hidden="false" customHeight="false" outlineLevel="0" collapsed="false">
      <c r="A71" s="152" t="str">
        <f aca="false">Scoring!BD77</f>
        <v/>
      </c>
      <c r="B71" s="152" t="str">
        <f aca="false">Scoring!BC77</f>
        <v/>
      </c>
      <c r="C71" s="152" t="n">
        <f aca="false">Scoring!C77</f>
        <v>0</v>
      </c>
      <c r="D71" s="153" t="str">
        <f aca="false">Scoring!AZ77</f>
        <v/>
      </c>
      <c r="E71" s="152" t="str">
        <f aca="false">Scoring!AF77</f>
        <v/>
      </c>
      <c r="F71" s="152" t="n">
        <f aca="false">Scoring!B77</f>
        <v>0</v>
      </c>
      <c r="G71" s="152" t="n">
        <f aca="false">Scoring!D77</f>
        <v>0</v>
      </c>
      <c r="H71" s="152" t="str">
        <f aca="false">Scoring!BB77</f>
        <v/>
      </c>
      <c r="I71" s="154" t="str">
        <f aca="false">Scoring!BA77</f>
        <v/>
      </c>
    </row>
    <row r="72" customFormat="false" ht="15.75" hidden="false" customHeight="false" outlineLevel="0" collapsed="false">
      <c r="A72" s="152" t="str">
        <f aca="false">Scoring!BD78</f>
        <v/>
      </c>
      <c r="B72" s="152" t="str">
        <f aca="false">Scoring!BC78</f>
        <v/>
      </c>
      <c r="C72" s="152" t="n">
        <f aca="false">Scoring!C78</f>
        <v>0</v>
      </c>
      <c r="D72" s="153" t="str">
        <f aca="false">Scoring!AZ78</f>
        <v/>
      </c>
      <c r="E72" s="152" t="str">
        <f aca="false">Scoring!AF78</f>
        <v/>
      </c>
      <c r="F72" s="152" t="n">
        <f aca="false">Scoring!B78</f>
        <v>0</v>
      </c>
      <c r="G72" s="152" t="n">
        <f aca="false">Scoring!D78</f>
        <v>0</v>
      </c>
      <c r="H72" s="152" t="str">
        <f aca="false">Scoring!BB78</f>
        <v/>
      </c>
      <c r="I72" s="154" t="str">
        <f aca="false">Scoring!BA78</f>
        <v/>
      </c>
    </row>
    <row r="73" customFormat="false" ht="15.75" hidden="false" customHeight="false" outlineLevel="0" collapsed="false">
      <c r="A73" s="152" t="str">
        <f aca="false">Scoring!BD79</f>
        <v/>
      </c>
      <c r="B73" s="152" t="str">
        <f aca="false">Scoring!BC79</f>
        <v/>
      </c>
      <c r="C73" s="152" t="n">
        <f aca="false">Scoring!C79</f>
        <v>0</v>
      </c>
      <c r="D73" s="153" t="str">
        <f aca="false">Scoring!AZ79</f>
        <v/>
      </c>
      <c r="E73" s="152" t="str">
        <f aca="false">Scoring!AF79</f>
        <v/>
      </c>
      <c r="F73" s="152" t="n">
        <f aca="false">Scoring!B79</f>
        <v>0</v>
      </c>
      <c r="G73" s="152" t="n">
        <f aca="false">Scoring!D79</f>
        <v>0</v>
      </c>
      <c r="H73" s="152" t="str">
        <f aca="false">Scoring!BB79</f>
        <v/>
      </c>
      <c r="I73" s="154" t="str">
        <f aca="false">Scoring!BA79</f>
        <v/>
      </c>
    </row>
    <row r="74" customFormat="false" ht="15.75" hidden="false" customHeight="false" outlineLevel="0" collapsed="false">
      <c r="A74" s="152" t="str">
        <f aca="false">Scoring!BD80</f>
        <v/>
      </c>
      <c r="B74" s="152" t="str">
        <f aca="false">Scoring!BC80</f>
        <v/>
      </c>
      <c r="C74" s="152" t="n">
        <f aca="false">Scoring!C80</f>
        <v>0</v>
      </c>
      <c r="D74" s="153" t="str">
        <f aca="false">Scoring!AZ80</f>
        <v/>
      </c>
      <c r="E74" s="152" t="str">
        <f aca="false">Scoring!AF80</f>
        <v/>
      </c>
      <c r="F74" s="152" t="n">
        <f aca="false">Scoring!B80</f>
        <v>0</v>
      </c>
      <c r="G74" s="152" t="n">
        <f aca="false">Scoring!D80</f>
        <v>0</v>
      </c>
      <c r="H74" s="152" t="str">
        <f aca="false">Scoring!BB80</f>
        <v/>
      </c>
      <c r="I74" s="154" t="str">
        <f aca="false">Scoring!BA80</f>
        <v/>
      </c>
    </row>
    <row r="75" customFormat="false" ht="15.75" hidden="false" customHeight="false" outlineLevel="0" collapsed="false">
      <c r="A75" s="152" t="str">
        <f aca="false">Scoring!BD81</f>
        <v/>
      </c>
      <c r="B75" s="152" t="str">
        <f aca="false">Scoring!BC81</f>
        <v/>
      </c>
      <c r="C75" s="152" t="n">
        <f aca="false">Scoring!C81</f>
        <v>0</v>
      </c>
      <c r="D75" s="153" t="str">
        <f aca="false">Scoring!AZ81</f>
        <v/>
      </c>
      <c r="E75" s="152" t="str">
        <f aca="false">Scoring!AF81</f>
        <v/>
      </c>
      <c r="F75" s="152" t="n">
        <f aca="false">Scoring!B81</f>
        <v>0</v>
      </c>
      <c r="G75" s="152" t="n">
        <f aca="false">Scoring!D81</f>
        <v>0</v>
      </c>
      <c r="H75" s="152" t="str">
        <f aca="false">Scoring!BB81</f>
        <v/>
      </c>
      <c r="I75" s="154" t="str">
        <f aca="false">Scoring!BA81</f>
        <v/>
      </c>
    </row>
    <row r="76" customFormat="false" ht="15.75" hidden="false" customHeight="false" outlineLevel="0" collapsed="false">
      <c r="A76" s="152" t="str">
        <f aca="false">Scoring!BD82</f>
        <v/>
      </c>
      <c r="B76" s="152" t="str">
        <f aca="false">Scoring!BC82</f>
        <v/>
      </c>
      <c r="C76" s="152" t="n">
        <f aca="false">Scoring!C82</f>
        <v>0</v>
      </c>
      <c r="D76" s="153" t="str">
        <f aca="false">Scoring!AZ82</f>
        <v/>
      </c>
      <c r="E76" s="152" t="str">
        <f aca="false">Scoring!AF82</f>
        <v/>
      </c>
      <c r="F76" s="152" t="n">
        <f aca="false">Scoring!B82</f>
        <v>0</v>
      </c>
      <c r="G76" s="152" t="n">
        <f aca="false">Scoring!D82</f>
        <v>0</v>
      </c>
      <c r="H76" s="152" t="str">
        <f aca="false">Scoring!BB82</f>
        <v/>
      </c>
      <c r="I76" s="154" t="str">
        <f aca="false">Scoring!BA82</f>
        <v/>
      </c>
    </row>
    <row r="77" customFormat="false" ht="15.75" hidden="false" customHeight="false" outlineLevel="0" collapsed="false">
      <c r="A77" s="152" t="str">
        <f aca="false">Scoring!BD83</f>
        <v/>
      </c>
      <c r="B77" s="152" t="str">
        <f aca="false">Scoring!BC83</f>
        <v/>
      </c>
      <c r="C77" s="152" t="n">
        <f aca="false">Scoring!C83</f>
        <v>0</v>
      </c>
      <c r="D77" s="153" t="str">
        <f aca="false">Scoring!AZ83</f>
        <v/>
      </c>
      <c r="E77" s="152" t="str">
        <f aca="false">Scoring!AF83</f>
        <v/>
      </c>
      <c r="F77" s="152" t="n">
        <f aca="false">Scoring!B83</f>
        <v>0</v>
      </c>
      <c r="G77" s="152" t="n">
        <f aca="false">Scoring!D83</f>
        <v>0</v>
      </c>
      <c r="H77" s="152" t="str">
        <f aca="false">Scoring!BB83</f>
        <v/>
      </c>
      <c r="I77" s="154" t="str">
        <f aca="false">Scoring!BA83</f>
        <v/>
      </c>
    </row>
    <row r="78" customFormat="false" ht="15.75" hidden="false" customHeight="false" outlineLevel="0" collapsed="false">
      <c r="A78" s="152" t="str">
        <f aca="false">Scoring!BD84</f>
        <v/>
      </c>
      <c r="B78" s="152" t="str">
        <f aca="false">Scoring!BC84</f>
        <v/>
      </c>
      <c r="C78" s="152" t="n">
        <f aca="false">Scoring!C84</f>
        <v>0</v>
      </c>
      <c r="D78" s="153" t="str">
        <f aca="false">Scoring!AZ84</f>
        <v/>
      </c>
      <c r="E78" s="152" t="str">
        <f aca="false">Scoring!AF84</f>
        <v/>
      </c>
      <c r="F78" s="152" t="n">
        <f aca="false">Scoring!B84</f>
        <v>0</v>
      </c>
      <c r="G78" s="152" t="n">
        <f aca="false">Scoring!D84</f>
        <v>0</v>
      </c>
      <c r="H78" s="152" t="str">
        <f aca="false">Scoring!BB84</f>
        <v/>
      </c>
      <c r="I78" s="154" t="str">
        <f aca="false">Scoring!BA84</f>
        <v/>
      </c>
    </row>
    <row r="79" customFormat="false" ht="15.75" hidden="false" customHeight="false" outlineLevel="0" collapsed="false">
      <c r="A79" s="152" t="str">
        <f aca="false">Scoring!BD85</f>
        <v/>
      </c>
      <c r="B79" s="152" t="str">
        <f aca="false">Scoring!BC85</f>
        <v/>
      </c>
      <c r="C79" s="152" t="n">
        <f aca="false">Scoring!C85</f>
        <v>0</v>
      </c>
      <c r="D79" s="153" t="str">
        <f aca="false">Scoring!AZ85</f>
        <v/>
      </c>
      <c r="E79" s="152" t="str">
        <f aca="false">Scoring!AF85</f>
        <v/>
      </c>
      <c r="F79" s="152" t="n">
        <f aca="false">Scoring!B85</f>
        <v>0</v>
      </c>
      <c r="G79" s="152" t="n">
        <f aca="false">Scoring!D85</f>
        <v>0</v>
      </c>
      <c r="H79" s="152" t="str">
        <f aca="false">Scoring!BB85</f>
        <v/>
      </c>
      <c r="I79" s="154" t="str">
        <f aca="false">Scoring!BA85</f>
        <v/>
      </c>
    </row>
    <row r="80" customFormat="false" ht="15.75" hidden="false" customHeight="false" outlineLevel="0" collapsed="false">
      <c r="A80" s="152" t="str">
        <f aca="false">Scoring!BD86</f>
        <v/>
      </c>
      <c r="B80" s="152" t="str">
        <f aca="false">Scoring!BC86</f>
        <v/>
      </c>
      <c r="C80" s="152" t="n">
        <f aca="false">Scoring!C86</f>
        <v>0</v>
      </c>
      <c r="D80" s="153" t="str">
        <f aca="false">Scoring!AZ86</f>
        <v/>
      </c>
      <c r="E80" s="152" t="str">
        <f aca="false">Scoring!AF86</f>
        <v/>
      </c>
      <c r="F80" s="152" t="n">
        <f aca="false">Scoring!B86</f>
        <v>0</v>
      </c>
      <c r="G80" s="152" t="n">
        <f aca="false">Scoring!D86</f>
        <v>0</v>
      </c>
      <c r="H80" s="152" t="str">
        <f aca="false">Scoring!BB86</f>
        <v/>
      </c>
      <c r="I80" s="154" t="str">
        <f aca="false">Scoring!BA86</f>
        <v/>
      </c>
    </row>
    <row r="81" customFormat="false" ht="15.75" hidden="false" customHeight="false" outlineLevel="0" collapsed="false">
      <c r="A81" s="152" t="str">
        <f aca="false">Scoring!BD87</f>
        <v/>
      </c>
      <c r="B81" s="152" t="str">
        <f aca="false">Scoring!BC87</f>
        <v/>
      </c>
      <c r="C81" s="152" t="n">
        <f aca="false">Scoring!C87</f>
        <v>0</v>
      </c>
      <c r="D81" s="153" t="str">
        <f aca="false">Scoring!AZ87</f>
        <v/>
      </c>
      <c r="E81" s="152" t="str">
        <f aca="false">Scoring!AF87</f>
        <v/>
      </c>
      <c r="F81" s="152" t="n">
        <f aca="false">Scoring!B87</f>
        <v>0</v>
      </c>
      <c r="G81" s="152" t="n">
        <f aca="false">Scoring!D87</f>
        <v>0</v>
      </c>
      <c r="H81" s="152" t="str">
        <f aca="false">Scoring!BB87</f>
        <v/>
      </c>
      <c r="I81" s="154" t="str">
        <f aca="false">Scoring!BA87</f>
        <v/>
      </c>
    </row>
    <row r="82" customFormat="false" ht="15.75" hidden="false" customHeight="false" outlineLevel="0" collapsed="false">
      <c r="A82" s="152" t="str">
        <f aca="false">Scoring!BD88</f>
        <v/>
      </c>
      <c r="B82" s="152" t="str">
        <f aca="false">Scoring!BC88</f>
        <v/>
      </c>
      <c r="C82" s="152" t="n">
        <f aca="false">Scoring!C88</f>
        <v>0</v>
      </c>
      <c r="D82" s="153" t="str">
        <f aca="false">Scoring!AZ88</f>
        <v/>
      </c>
      <c r="E82" s="152" t="str">
        <f aca="false">Scoring!AF88</f>
        <v/>
      </c>
      <c r="F82" s="152" t="n">
        <f aca="false">Scoring!B88</f>
        <v>0</v>
      </c>
      <c r="G82" s="152" t="n">
        <f aca="false">Scoring!D88</f>
        <v>0</v>
      </c>
      <c r="H82" s="152" t="str">
        <f aca="false">Scoring!BB88</f>
        <v/>
      </c>
      <c r="I82" s="154" t="str">
        <f aca="false">Scoring!BA88</f>
        <v/>
      </c>
    </row>
    <row r="83" customFormat="false" ht="15.75" hidden="false" customHeight="false" outlineLevel="0" collapsed="false">
      <c r="A83" s="152" t="str">
        <f aca="false">Scoring!BD89</f>
        <v/>
      </c>
      <c r="B83" s="152" t="str">
        <f aca="false">Scoring!BC89</f>
        <v/>
      </c>
      <c r="C83" s="152" t="n">
        <f aca="false">Scoring!C89</f>
        <v>0</v>
      </c>
      <c r="D83" s="153" t="str">
        <f aca="false">Scoring!AZ89</f>
        <v/>
      </c>
      <c r="E83" s="152" t="str">
        <f aca="false">Scoring!AF89</f>
        <v/>
      </c>
      <c r="F83" s="152" t="n">
        <f aca="false">Scoring!B89</f>
        <v>0</v>
      </c>
      <c r="G83" s="152" t="n">
        <f aca="false">Scoring!D89</f>
        <v>0</v>
      </c>
      <c r="H83" s="152" t="str">
        <f aca="false">Scoring!BB89</f>
        <v/>
      </c>
      <c r="I83" s="154" t="str">
        <f aca="false">Scoring!BA89</f>
        <v/>
      </c>
    </row>
    <row r="84" customFormat="false" ht="15.75" hidden="false" customHeight="false" outlineLevel="0" collapsed="false">
      <c r="A84" s="152" t="str">
        <f aca="false">Scoring!BD90</f>
        <v/>
      </c>
      <c r="B84" s="152" t="str">
        <f aca="false">Scoring!BC90</f>
        <v/>
      </c>
      <c r="C84" s="152" t="n">
        <f aca="false">Scoring!C90</f>
        <v>0</v>
      </c>
      <c r="D84" s="153" t="str">
        <f aca="false">Scoring!AZ90</f>
        <v/>
      </c>
      <c r="E84" s="152" t="str">
        <f aca="false">Scoring!AF90</f>
        <v/>
      </c>
      <c r="F84" s="152" t="n">
        <f aca="false">Scoring!B90</f>
        <v>0</v>
      </c>
      <c r="G84" s="152" t="n">
        <f aca="false">Scoring!D90</f>
        <v>0</v>
      </c>
      <c r="H84" s="152" t="str">
        <f aca="false">Scoring!BB90</f>
        <v/>
      </c>
      <c r="I84" s="154" t="str">
        <f aca="false">Scoring!BA90</f>
        <v/>
      </c>
    </row>
    <row r="85" customFormat="false" ht="15.75" hidden="false" customHeight="false" outlineLevel="0" collapsed="false">
      <c r="A85" s="152" t="str">
        <f aca="false">Scoring!BD91</f>
        <v/>
      </c>
      <c r="B85" s="152" t="str">
        <f aca="false">Scoring!BC91</f>
        <v/>
      </c>
      <c r="C85" s="152" t="n">
        <f aca="false">Scoring!C91</f>
        <v>0</v>
      </c>
      <c r="D85" s="153" t="str">
        <f aca="false">Scoring!AZ91</f>
        <v/>
      </c>
      <c r="E85" s="152" t="str">
        <f aca="false">Scoring!AF91</f>
        <v/>
      </c>
      <c r="F85" s="152" t="n">
        <f aca="false">Scoring!B91</f>
        <v>0</v>
      </c>
      <c r="G85" s="152" t="n">
        <f aca="false">Scoring!D91</f>
        <v>0</v>
      </c>
      <c r="H85" s="152" t="str">
        <f aca="false">Scoring!BB91</f>
        <v/>
      </c>
      <c r="I85" s="154" t="str">
        <f aca="false">Scoring!BA91</f>
        <v/>
      </c>
    </row>
    <row r="86" customFormat="false" ht="15.75" hidden="false" customHeight="false" outlineLevel="0" collapsed="false">
      <c r="A86" s="152" t="str">
        <f aca="false">Scoring!BD92</f>
        <v/>
      </c>
      <c r="B86" s="152" t="str">
        <f aca="false">Scoring!BC92</f>
        <v/>
      </c>
      <c r="C86" s="152" t="n">
        <f aca="false">Scoring!C92</f>
        <v>0</v>
      </c>
      <c r="D86" s="153" t="str">
        <f aca="false">Scoring!AZ92</f>
        <v/>
      </c>
      <c r="E86" s="152" t="str">
        <f aca="false">Scoring!AF92</f>
        <v/>
      </c>
      <c r="F86" s="152" t="n">
        <f aca="false">Scoring!B92</f>
        <v>0</v>
      </c>
      <c r="G86" s="152" t="n">
        <f aca="false">Scoring!D92</f>
        <v>0</v>
      </c>
      <c r="H86" s="152" t="str">
        <f aca="false">Scoring!BB92</f>
        <v/>
      </c>
      <c r="I86" s="154" t="str">
        <f aca="false">Scoring!BA92</f>
        <v/>
      </c>
    </row>
    <row r="87" customFormat="false" ht="15.75" hidden="false" customHeight="false" outlineLevel="0" collapsed="false">
      <c r="A87" s="152" t="str">
        <f aca="false">Scoring!BD93</f>
        <v/>
      </c>
      <c r="B87" s="152" t="str">
        <f aca="false">Scoring!BC93</f>
        <v/>
      </c>
      <c r="C87" s="152" t="n">
        <f aca="false">Scoring!C93</f>
        <v>0</v>
      </c>
      <c r="D87" s="153" t="str">
        <f aca="false">Scoring!AZ93</f>
        <v/>
      </c>
      <c r="E87" s="152" t="str">
        <f aca="false">Scoring!AF93</f>
        <v/>
      </c>
      <c r="F87" s="152" t="n">
        <f aca="false">Scoring!B93</f>
        <v>0</v>
      </c>
      <c r="G87" s="152" t="n">
        <f aca="false">Scoring!D93</f>
        <v>0</v>
      </c>
      <c r="H87" s="152" t="str">
        <f aca="false">Scoring!BB93</f>
        <v/>
      </c>
      <c r="I87" s="154" t="str">
        <f aca="false">Scoring!BA93</f>
        <v/>
      </c>
    </row>
    <row r="88" customFormat="false" ht="15.75" hidden="false" customHeight="false" outlineLevel="0" collapsed="false">
      <c r="A88" s="152" t="str">
        <f aca="false">Scoring!BD94</f>
        <v/>
      </c>
      <c r="B88" s="152" t="str">
        <f aca="false">Scoring!BC94</f>
        <v/>
      </c>
      <c r="C88" s="152" t="n">
        <f aca="false">Scoring!C94</f>
        <v>0</v>
      </c>
      <c r="D88" s="153" t="str">
        <f aca="false">Scoring!AZ94</f>
        <v/>
      </c>
      <c r="E88" s="152" t="str">
        <f aca="false">Scoring!AF94</f>
        <v/>
      </c>
      <c r="F88" s="152" t="n">
        <f aca="false">Scoring!B94</f>
        <v>0</v>
      </c>
      <c r="G88" s="152" t="n">
        <f aca="false">Scoring!D94</f>
        <v>0</v>
      </c>
      <c r="H88" s="152" t="str">
        <f aca="false">Scoring!BB94</f>
        <v/>
      </c>
      <c r="I88" s="154" t="str">
        <f aca="false">Scoring!BA94</f>
        <v/>
      </c>
    </row>
    <row r="89" customFormat="false" ht="15.75" hidden="false" customHeight="false" outlineLevel="0" collapsed="false">
      <c r="A89" s="152" t="str">
        <f aca="false">Scoring!BD95</f>
        <v/>
      </c>
      <c r="B89" s="152" t="str">
        <f aca="false">Scoring!BC95</f>
        <v/>
      </c>
      <c r="C89" s="152" t="n">
        <f aca="false">Scoring!C95</f>
        <v>0</v>
      </c>
      <c r="D89" s="153" t="str">
        <f aca="false">Scoring!AZ95</f>
        <v/>
      </c>
      <c r="E89" s="152" t="str">
        <f aca="false">Scoring!AF95</f>
        <v/>
      </c>
      <c r="F89" s="152" t="n">
        <f aca="false">Scoring!B95</f>
        <v>0</v>
      </c>
      <c r="G89" s="152" t="n">
        <f aca="false">Scoring!D95</f>
        <v>0</v>
      </c>
      <c r="H89" s="152" t="str">
        <f aca="false">Scoring!BB95</f>
        <v/>
      </c>
      <c r="I89" s="154" t="str">
        <f aca="false">Scoring!BA95</f>
        <v/>
      </c>
    </row>
    <row r="90" customFormat="false" ht="15.75" hidden="false" customHeight="false" outlineLevel="0" collapsed="false">
      <c r="A90" s="152" t="str">
        <f aca="false">Scoring!BD96</f>
        <v/>
      </c>
      <c r="B90" s="152" t="str">
        <f aca="false">Scoring!BC96</f>
        <v/>
      </c>
      <c r="C90" s="152" t="n">
        <f aca="false">Scoring!C96</f>
        <v>0</v>
      </c>
      <c r="D90" s="153" t="str">
        <f aca="false">Scoring!AZ96</f>
        <v/>
      </c>
      <c r="E90" s="152" t="str">
        <f aca="false">Scoring!AF96</f>
        <v/>
      </c>
      <c r="F90" s="152" t="n">
        <f aca="false">Scoring!B96</f>
        <v>0</v>
      </c>
      <c r="G90" s="152" t="n">
        <f aca="false">Scoring!D96</f>
        <v>0</v>
      </c>
      <c r="H90" s="152" t="str">
        <f aca="false">Scoring!BB96</f>
        <v/>
      </c>
      <c r="I90" s="154" t="str">
        <f aca="false">Scoring!BA96</f>
        <v/>
      </c>
    </row>
    <row r="91" customFormat="false" ht="15.75" hidden="false" customHeight="false" outlineLevel="0" collapsed="false">
      <c r="A91" s="152" t="str">
        <f aca="false">Scoring!BD97</f>
        <v/>
      </c>
      <c r="B91" s="152" t="str">
        <f aca="false">Scoring!BC97</f>
        <v/>
      </c>
      <c r="C91" s="152" t="n">
        <f aca="false">Scoring!C97</f>
        <v>0</v>
      </c>
      <c r="D91" s="153" t="str">
        <f aca="false">Scoring!AZ97</f>
        <v/>
      </c>
      <c r="E91" s="152" t="str">
        <f aca="false">Scoring!AF97</f>
        <v/>
      </c>
      <c r="F91" s="152" t="n">
        <f aca="false">Scoring!B97</f>
        <v>0</v>
      </c>
      <c r="G91" s="152" t="n">
        <f aca="false">Scoring!D97</f>
        <v>0</v>
      </c>
      <c r="H91" s="152" t="str">
        <f aca="false">Scoring!BB97</f>
        <v/>
      </c>
      <c r="I91" s="154" t="str">
        <f aca="false">Scoring!BA97</f>
        <v/>
      </c>
    </row>
    <row r="92" customFormat="false" ht="15.75" hidden="false" customHeight="false" outlineLevel="0" collapsed="false">
      <c r="A92" s="152" t="str">
        <f aca="false">Scoring!BD98</f>
        <v/>
      </c>
      <c r="B92" s="152" t="str">
        <f aca="false">Scoring!BC98</f>
        <v/>
      </c>
      <c r="C92" s="152" t="n">
        <f aca="false">Scoring!C98</f>
        <v>0</v>
      </c>
      <c r="D92" s="153" t="str">
        <f aca="false">Scoring!AZ98</f>
        <v/>
      </c>
      <c r="E92" s="152" t="str">
        <f aca="false">Scoring!AF98</f>
        <v/>
      </c>
      <c r="F92" s="152" t="n">
        <f aca="false">Scoring!B98</f>
        <v>0</v>
      </c>
      <c r="G92" s="152" t="n">
        <f aca="false">Scoring!D98</f>
        <v>0</v>
      </c>
      <c r="H92" s="152" t="str">
        <f aca="false">Scoring!BB98</f>
        <v/>
      </c>
      <c r="I92" s="154" t="str">
        <f aca="false">Scoring!BA98</f>
        <v/>
      </c>
    </row>
    <row r="93" customFormat="false" ht="15.75" hidden="false" customHeight="false" outlineLevel="0" collapsed="false">
      <c r="A93" s="152" t="str">
        <f aca="false">Scoring!BD99</f>
        <v/>
      </c>
      <c r="B93" s="152" t="str">
        <f aca="false">Scoring!BC99</f>
        <v/>
      </c>
      <c r="C93" s="152" t="n">
        <f aca="false">Scoring!C99</f>
        <v>0</v>
      </c>
      <c r="D93" s="153" t="str">
        <f aca="false">Scoring!AZ99</f>
        <v/>
      </c>
      <c r="E93" s="152" t="str">
        <f aca="false">Scoring!AF99</f>
        <v/>
      </c>
      <c r="F93" s="152" t="n">
        <f aca="false">Scoring!B99</f>
        <v>0</v>
      </c>
      <c r="G93" s="152" t="n">
        <f aca="false">Scoring!D99</f>
        <v>0</v>
      </c>
      <c r="H93" s="152" t="str">
        <f aca="false">Scoring!BB99</f>
        <v/>
      </c>
      <c r="I93" s="154" t="str">
        <f aca="false">Scoring!BA99</f>
        <v/>
      </c>
    </row>
    <row r="94" customFormat="false" ht="15.75" hidden="false" customHeight="false" outlineLevel="0" collapsed="false">
      <c r="A94" s="152" t="str">
        <f aca="false">Scoring!BD100</f>
        <v/>
      </c>
      <c r="B94" s="152" t="str">
        <f aca="false">Scoring!BC100</f>
        <v/>
      </c>
      <c r="C94" s="152" t="n">
        <f aca="false">Scoring!C100</f>
        <v>0</v>
      </c>
      <c r="D94" s="153" t="str">
        <f aca="false">Scoring!AZ100</f>
        <v/>
      </c>
      <c r="E94" s="152" t="str">
        <f aca="false">Scoring!AF100</f>
        <v/>
      </c>
      <c r="F94" s="152" t="n">
        <f aca="false">Scoring!B100</f>
        <v>0</v>
      </c>
      <c r="G94" s="152" t="n">
        <f aca="false">Scoring!D100</f>
        <v>0</v>
      </c>
      <c r="H94" s="152" t="str">
        <f aca="false">Scoring!BB100</f>
        <v/>
      </c>
      <c r="I94" s="154" t="str">
        <f aca="false">Scoring!BA100</f>
        <v/>
      </c>
    </row>
    <row r="95" customFormat="false" ht="15.75" hidden="false" customHeight="false" outlineLevel="0" collapsed="false">
      <c r="A95" s="152" t="str">
        <f aca="false">Scoring!BD101</f>
        <v/>
      </c>
      <c r="B95" s="152" t="str">
        <f aca="false">Scoring!BC101</f>
        <v/>
      </c>
      <c r="C95" s="152" t="n">
        <f aca="false">Scoring!C101</f>
        <v>0</v>
      </c>
      <c r="D95" s="153" t="str">
        <f aca="false">Scoring!AZ101</f>
        <v/>
      </c>
      <c r="E95" s="152" t="str">
        <f aca="false">Scoring!AF101</f>
        <v/>
      </c>
      <c r="F95" s="152" t="n">
        <f aca="false">Scoring!B101</f>
        <v>0</v>
      </c>
      <c r="G95" s="152" t="n">
        <f aca="false">Scoring!D101</f>
        <v>0</v>
      </c>
      <c r="H95" s="152" t="str">
        <f aca="false">Scoring!BB101</f>
        <v/>
      </c>
      <c r="I95" s="154" t="str">
        <f aca="false">Scoring!BA101</f>
        <v/>
      </c>
    </row>
    <row r="96" customFormat="false" ht="15.75" hidden="false" customHeight="false" outlineLevel="0" collapsed="false">
      <c r="A96" s="152" t="str">
        <f aca="false">Scoring!BD102</f>
        <v/>
      </c>
      <c r="B96" s="152" t="str">
        <f aca="false">Scoring!BC102</f>
        <v/>
      </c>
      <c r="C96" s="152" t="n">
        <f aca="false">Scoring!C102</f>
        <v>0</v>
      </c>
      <c r="D96" s="153" t="str">
        <f aca="false">Scoring!AZ102</f>
        <v/>
      </c>
      <c r="E96" s="152" t="str">
        <f aca="false">Scoring!AF102</f>
        <v/>
      </c>
      <c r="F96" s="152" t="n">
        <f aca="false">Scoring!B102</f>
        <v>0</v>
      </c>
      <c r="G96" s="152" t="n">
        <f aca="false">Scoring!D102</f>
        <v>0</v>
      </c>
      <c r="H96" s="152" t="str">
        <f aca="false">Scoring!BB102</f>
        <v/>
      </c>
      <c r="I96" s="154" t="str">
        <f aca="false">Scoring!BA102</f>
        <v/>
      </c>
    </row>
    <row r="97" customFormat="false" ht="15.75" hidden="false" customHeight="false" outlineLevel="0" collapsed="false">
      <c r="A97" s="152" t="str">
        <f aca="false">Scoring!BD103</f>
        <v/>
      </c>
      <c r="B97" s="152" t="str">
        <f aca="false">Scoring!BC103</f>
        <v/>
      </c>
      <c r="C97" s="152" t="n">
        <f aca="false">Scoring!C103</f>
        <v>0</v>
      </c>
      <c r="D97" s="153" t="str">
        <f aca="false">Scoring!AZ103</f>
        <v/>
      </c>
      <c r="E97" s="152" t="str">
        <f aca="false">Scoring!AF103</f>
        <v/>
      </c>
      <c r="F97" s="152" t="n">
        <f aca="false">Scoring!B103</f>
        <v>0</v>
      </c>
      <c r="G97" s="152" t="n">
        <f aca="false">Scoring!D103</f>
        <v>0</v>
      </c>
      <c r="H97" s="152" t="str">
        <f aca="false">Scoring!BB103</f>
        <v/>
      </c>
      <c r="I97" s="154" t="str">
        <f aca="false">Scoring!BA103</f>
        <v/>
      </c>
    </row>
    <row r="98" customFormat="false" ht="15.75" hidden="false" customHeight="false" outlineLevel="0" collapsed="false">
      <c r="A98" s="152" t="str">
        <f aca="false">Scoring!BD104</f>
        <v/>
      </c>
      <c r="B98" s="152" t="str">
        <f aca="false">Scoring!BC104</f>
        <v/>
      </c>
      <c r="C98" s="152" t="n">
        <f aca="false">Scoring!C104</f>
        <v>0</v>
      </c>
      <c r="D98" s="153" t="str">
        <f aca="false">Scoring!AZ104</f>
        <v/>
      </c>
      <c r="E98" s="152" t="str">
        <f aca="false">Scoring!AF104</f>
        <v/>
      </c>
      <c r="F98" s="152" t="n">
        <f aca="false">Scoring!B104</f>
        <v>0</v>
      </c>
      <c r="G98" s="152" t="n">
        <f aca="false">Scoring!D104</f>
        <v>0</v>
      </c>
      <c r="H98" s="152" t="str">
        <f aca="false">Scoring!BB104</f>
        <v/>
      </c>
      <c r="I98" s="154" t="str">
        <f aca="false">Scoring!BA104</f>
        <v/>
      </c>
    </row>
    <row r="99" customFormat="false" ht="15.75" hidden="false" customHeight="false" outlineLevel="0" collapsed="false">
      <c r="A99" s="152" t="str">
        <f aca="false">Scoring!BD105</f>
        <v/>
      </c>
      <c r="B99" s="152" t="str">
        <f aca="false">Scoring!BC105</f>
        <v/>
      </c>
      <c r="C99" s="152" t="n">
        <f aca="false">Scoring!C105</f>
        <v>0</v>
      </c>
      <c r="D99" s="153" t="str">
        <f aca="false">Scoring!AZ105</f>
        <v/>
      </c>
      <c r="E99" s="152" t="str">
        <f aca="false">Scoring!AF105</f>
        <v/>
      </c>
      <c r="F99" s="152" t="n">
        <f aca="false">Scoring!B105</f>
        <v>0</v>
      </c>
      <c r="G99" s="152" t="n">
        <f aca="false">Scoring!D105</f>
        <v>0</v>
      </c>
      <c r="H99" s="152" t="str">
        <f aca="false">Scoring!BB105</f>
        <v/>
      </c>
      <c r="I99" s="154" t="str">
        <f aca="false">Scoring!BA105</f>
        <v/>
      </c>
    </row>
    <row r="100" customFormat="false" ht="15.75" hidden="false" customHeight="false" outlineLevel="0" collapsed="false">
      <c r="A100" s="152" t="str">
        <f aca="false">Scoring!BD106</f>
        <v/>
      </c>
      <c r="B100" s="152" t="str">
        <f aca="false">Scoring!BC106</f>
        <v/>
      </c>
      <c r="C100" s="152" t="n">
        <f aca="false">Scoring!C106</f>
        <v>0</v>
      </c>
      <c r="D100" s="153" t="str">
        <f aca="false">Scoring!AZ106</f>
        <v/>
      </c>
      <c r="E100" s="152" t="str">
        <f aca="false">Scoring!AF106</f>
        <v/>
      </c>
      <c r="F100" s="152" t="n">
        <f aca="false">Scoring!B106</f>
        <v>0</v>
      </c>
      <c r="G100" s="152" t="n">
        <f aca="false">Scoring!D106</f>
        <v>0</v>
      </c>
      <c r="H100" s="152" t="str">
        <f aca="false">Scoring!BB106</f>
        <v/>
      </c>
      <c r="I100" s="154" t="str">
        <f aca="false">Scoring!BA106</f>
        <v/>
      </c>
    </row>
    <row r="101" customFormat="false" ht="15.75" hidden="false" customHeight="false" outlineLevel="0" collapsed="false">
      <c r="A101" s="152" t="str">
        <f aca="false">Scoring!BD107</f>
        <v/>
      </c>
      <c r="B101" s="152" t="str">
        <f aca="false">Scoring!BC107</f>
        <v/>
      </c>
      <c r="C101" s="152" t="n">
        <f aca="false">Scoring!C107</f>
        <v>0</v>
      </c>
      <c r="D101" s="153" t="str">
        <f aca="false">Scoring!AZ107</f>
        <v/>
      </c>
      <c r="E101" s="152" t="str">
        <f aca="false">Scoring!AF107</f>
        <v/>
      </c>
      <c r="F101" s="152" t="n">
        <f aca="false">Scoring!B107</f>
        <v>0</v>
      </c>
      <c r="G101" s="152" t="n">
        <f aca="false">Scoring!D107</f>
        <v>0</v>
      </c>
      <c r="H101" s="152" t="str">
        <f aca="false">Scoring!BB107</f>
        <v/>
      </c>
      <c r="I101" s="154" t="str">
        <f aca="false">Scoring!BA107</f>
        <v/>
      </c>
    </row>
    <row r="102" customFormat="false" ht="15.75" hidden="false" customHeight="false" outlineLevel="0" collapsed="false">
      <c r="A102" s="152" t="str">
        <f aca="false">Scoring!BD108</f>
        <v/>
      </c>
      <c r="B102" s="152" t="str">
        <f aca="false">Scoring!BC108</f>
        <v/>
      </c>
      <c r="C102" s="152" t="n">
        <f aca="false">Scoring!C108</f>
        <v>0</v>
      </c>
      <c r="D102" s="153" t="str">
        <f aca="false">Scoring!AZ108</f>
        <v/>
      </c>
      <c r="E102" s="152" t="str">
        <f aca="false">Scoring!AF108</f>
        <v/>
      </c>
      <c r="F102" s="152" t="n">
        <f aca="false">Scoring!B108</f>
        <v>0</v>
      </c>
      <c r="G102" s="152" t="n">
        <f aca="false">Scoring!D108</f>
        <v>0</v>
      </c>
      <c r="H102" s="152" t="str">
        <f aca="false">Scoring!BB108</f>
        <v/>
      </c>
      <c r="I102" s="154" t="str">
        <f aca="false">Scoring!BA108</f>
        <v/>
      </c>
    </row>
    <row r="103" customFormat="false" ht="15.75" hidden="false" customHeight="false" outlineLevel="0" collapsed="false">
      <c r="A103" s="152" t="str">
        <f aca="false">Scoring!BD109</f>
        <v/>
      </c>
      <c r="B103" s="152" t="str">
        <f aca="false">Scoring!BC109</f>
        <v/>
      </c>
      <c r="C103" s="152" t="n">
        <f aca="false">Scoring!C109</f>
        <v>0</v>
      </c>
      <c r="D103" s="153" t="str">
        <f aca="false">Scoring!AZ109</f>
        <v/>
      </c>
      <c r="E103" s="152" t="str">
        <f aca="false">Scoring!AF109</f>
        <v/>
      </c>
      <c r="F103" s="152" t="n">
        <f aca="false">Scoring!B109</f>
        <v>0</v>
      </c>
      <c r="G103" s="152" t="n">
        <f aca="false">Scoring!D109</f>
        <v>0</v>
      </c>
      <c r="H103" s="152" t="str">
        <f aca="false">Scoring!BB109</f>
        <v/>
      </c>
      <c r="I103" s="154" t="str">
        <f aca="false">Scoring!BA109</f>
        <v/>
      </c>
    </row>
    <row r="104" customFormat="false" ht="15.75" hidden="false" customHeight="false" outlineLevel="0" collapsed="false">
      <c r="A104" s="152" t="str">
        <f aca="false">Scoring!BD110</f>
        <v/>
      </c>
      <c r="B104" s="152" t="str">
        <f aca="false">Scoring!BC110</f>
        <v/>
      </c>
      <c r="C104" s="152" t="n">
        <f aca="false">Scoring!C110</f>
        <v>0</v>
      </c>
      <c r="D104" s="153" t="str">
        <f aca="false">Scoring!AZ110</f>
        <v/>
      </c>
      <c r="E104" s="152" t="str">
        <f aca="false">Scoring!AF110</f>
        <v/>
      </c>
      <c r="F104" s="152" t="n">
        <f aca="false">Scoring!B110</f>
        <v>0</v>
      </c>
      <c r="G104" s="152" t="n">
        <f aca="false">Scoring!D110</f>
        <v>0</v>
      </c>
      <c r="H104" s="152" t="str">
        <f aca="false">Scoring!BB110</f>
        <v/>
      </c>
      <c r="I104" s="154" t="str">
        <f aca="false">Scoring!BA110</f>
        <v/>
      </c>
    </row>
    <row r="105" customFormat="false" ht="15.75" hidden="false" customHeight="false" outlineLevel="0" collapsed="false">
      <c r="A105" s="152" t="str">
        <f aca="false">Scoring!BD111</f>
        <v/>
      </c>
      <c r="B105" s="152" t="str">
        <f aca="false">Scoring!BC111</f>
        <v/>
      </c>
      <c r="C105" s="152" t="n">
        <f aca="false">Scoring!C111</f>
        <v>0</v>
      </c>
      <c r="D105" s="153" t="str">
        <f aca="false">Scoring!AZ111</f>
        <v/>
      </c>
      <c r="E105" s="152" t="str">
        <f aca="false">Scoring!AF111</f>
        <v/>
      </c>
      <c r="F105" s="152" t="n">
        <f aca="false">Scoring!B111</f>
        <v>0</v>
      </c>
      <c r="G105" s="152" t="n">
        <f aca="false">Scoring!D111</f>
        <v>0</v>
      </c>
      <c r="H105" s="152" t="str">
        <f aca="false">Scoring!BB111</f>
        <v/>
      </c>
      <c r="I105" s="154" t="str">
        <f aca="false">Scoring!BA111</f>
        <v/>
      </c>
    </row>
    <row r="106" customFormat="false" ht="15.75" hidden="false" customHeight="false" outlineLevel="0" collapsed="false">
      <c r="A106" s="152" t="str">
        <f aca="false">Scoring!BD112</f>
        <v/>
      </c>
      <c r="B106" s="152" t="str">
        <f aca="false">Scoring!BC112</f>
        <v/>
      </c>
      <c r="C106" s="152" t="n">
        <f aca="false">Scoring!C112</f>
        <v>0</v>
      </c>
      <c r="D106" s="153" t="str">
        <f aca="false">Scoring!AZ112</f>
        <v/>
      </c>
      <c r="E106" s="152" t="str">
        <f aca="false">Scoring!AF112</f>
        <v/>
      </c>
      <c r="F106" s="152" t="n">
        <f aca="false">Scoring!B112</f>
        <v>0</v>
      </c>
      <c r="G106" s="152" t="n">
        <f aca="false">Scoring!D112</f>
        <v>0</v>
      </c>
      <c r="H106" s="152" t="str">
        <f aca="false">Scoring!BB112</f>
        <v/>
      </c>
      <c r="I106" s="154" t="str">
        <f aca="false">Scoring!BA112</f>
        <v/>
      </c>
    </row>
    <row r="107" customFormat="false" ht="15.75" hidden="false" customHeight="false" outlineLevel="0" collapsed="false">
      <c r="A107" s="152" t="str">
        <f aca="false">Scoring!BD113</f>
        <v/>
      </c>
      <c r="B107" s="152" t="str">
        <f aca="false">Scoring!BC113</f>
        <v/>
      </c>
      <c r="C107" s="152" t="n">
        <f aca="false">Scoring!C113</f>
        <v>0</v>
      </c>
      <c r="D107" s="153" t="str">
        <f aca="false">Scoring!AZ113</f>
        <v/>
      </c>
      <c r="E107" s="152" t="str">
        <f aca="false">Scoring!AF113</f>
        <v/>
      </c>
      <c r="F107" s="152" t="n">
        <f aca="false">Scoring!B113</f>
        <v>0</v>
      </c>
      <c r="G107" s="152" t="n">
        <f aca="false">Scoring!D113</f>
        <v>0</v>
      </c>
      <c r="H107" s="152" t="str">
        <f aca="false">Scoring!BB113</f>
        <v/>
      </c>
      <c r="I107" s="154" t="str">
        <f aca="false">Scoring!BA113</f>
        <v/>
      </c>
    </row>
    <row r="108" customFormat="false" ht="15.75" hidden="false" customHeight="false" outlineLevel="0" collapsed="false">
      <c r="A108" s="152" t="str">
        <f aca="false">Scoring!BD114</f>
        <v/>
      </c>
      <c r="B108" s="152" t="str">
        <f aca="false">Scoring!BC114</f>
        <v/>
      </c>
      <c r="C108" s="152" t="n">
        <f aca="false">Scoring!C114</f>
        <v>0</v>
      </c>
      <c r="D108" s="153" t="str">
        <f aca="false">Scoring!AZ114</f>
        <v/>
      </c>
      <c r="E108" s="152" t="str">
        <f aca="false">Scoring!AF114</f>
        <v/>
      </c>
      <c r="F108" s="152" t="n">
        <f aca="false">Scoring!B114</f>
        <v>0</v>
      </c>
      <c r="G108" s="152" t="n">
        <f aca="false">Scoring!D114</f>
        <v>0</v>
      </c>
      <c r="H108" s="152" t="str">
        <f aca="false">Scoring!BB114</f>
        <v/>
      </c>
      <c r="I108" s="154" t="str">
        <f aca="false">Scoring!BA114</f>
        <v/>
      </c>
    </row>
    <row r="109" customFormat="false" ht="15.75" hidden="false" customHeight="false" outlineLevel="0" collapsed="false">
      <c r="A109" s="152" t="str">
        <f aca="false">Scoring!BD115</f>
        <v/>
      </c>
      <c r="B109" s="152" t="str">
        <f aca="false">Scoring!BC115</f>
        <v/>
      </c>
      <c r="C109" s="152" t="n">
        <f aca="false">Scoring!C115</f>
        <v>0</v>
      </c>
      <c r="D109" s="153" t="str">
        <f aca="false">Scoring!AZ115</f>
        <v/>
      </c>
      <c r="E109" s="152" t="str">
        <f aca="false">Scoring!AF115</f>
        <v/>
      </c>
      <c r="F109" s="152" t="n">
        <f aca="false">Scoring!B115</f>
        <v>0</v>
      </c>
      <c r="G109" s="152" t="n">
        <f aca="false">Scoring!D115</f>
        <v>0</v>
      </c>
      <c r="H109" s="152" t="str">
        <f aca="false">Scoring!BB115</f>
        <v/>
      </c>
      <c r="I109" s="154" t="str">
        <f aca="false">Scoring!BA115</f>
        <v/>
      </c>
    </row>
    <row r="110" customFormat="false" ht="15.75" hidden="false" customHeight="false" outlineLevel="0" collapsed="false">
      <c r="A110" s="152" t="str">
        <f aca="false">Scoring!BD116</f>
        <v/>
      </c>
      <c r="B110" s="152" t="str">
        <f aca="false">Scoring!BC116</f>
        <v/>
      </c>
      <c r="C110" s="152" t="n">
        <f aca="false">Scoring!C116</f>
        <v>0</v>
      </c>
      <c r="D110" s="153" t="str">
        <f aca="false">Scoring!AZ116</f>
        <v/>
      </c>
      <c r="E110" s="152" t="str">
        <f aca="false">Scoring!AF116</f>
        <v/>
      </c>
      <c r="F110" s="152" t="n">
        <f aca="false">Scoring!B116</f>
        <v>0</v>
      </c>
      <c r="G110" s="152" t="n">
        <f aca="false">Scoring!D116</f>
        <v>0</v>
      </c>
      <c r="H110" s="152" t="str">
        <f aca="false">Scoring!BB116</f>
        <v/>
      </c>
      <c r="I110" s="154" t="str">
        <f aca="false">Scoring!BA116</f>
        <v/>
      </c>
    </row>
    <row r="111" customFormat="false" ht="15.75" hidden="false" customHeight="false" outlineLevel="0" collapsed="false">
      <c r="A111" s="152" t="str">
        <f aca="false">Scoring!BD117</f>
        <v/>
      </c>
      <c r="B111" s="152" t="str">
        <f aca="false">Scoring!BC117</f>
        <v/>
      </c>
      <c r="C111" s="152" t="n">
        <f aca="false">Scoring!C117</f>
        <v>0</v>
      </c>
      <c r="D111" s="153" t="str">
        <f aca="false">Scoring!AZ117</f>
        <v/>
      </c>
      <c r="E111" s="152" t="str">
        <f aca="false">Scoring!AF117</f>
        <v/>
      </c>
      <c r="F111" s="152" t="n">
        <f aca="false">Scoring!B117</f>
        <v>0</v>
      </c>
      <c r="G111" s="152" t="n">
        <f aca="false">Scoring!D117</f>
        <v>0</v>
      </c>
      <c r="H111" s="152" t="str">
        <f aca="false">Scoring!BB117</f>
        <v/>
      </c>
      <c r="I111" s="154" t="str">
        <f aca="false">Scoring!BA117</f>
        <v/>
      </c>
    </row>
    <row r="112" customFormat="false" ht="15.75" hidden="false" customHeight="false" outlineLevel="0" collapsed="false">
      <c r="A112" s="152" t="str">
        <f aca="false">Scoring!BD118</f>
        <v/>
      </c>
      <c r="B112" s="152" t="str">
        <f aca="false">Scoring!BC118</f>
        <v/>
      </c>
      <c r="C112" s="152" t="n">
        <f aca="false">Scoring!C118</f>
        <v>0</v>
      </c>
      <c r="D112" s="153" t="str">
        <f aca="false">Scoring!AZ118</f>
        <v/>
      </c>
      <c r="E112" s="152" t="str">
        <f aca="false">Scoring!AF118</f>
        <v/>
      </c>
      <c r="F112" s="152" t="n">
        <f aca="false">Scoring!B118</f>
        <v>0</v>
      </c>
      <c r="G112" s="152" t="n">
        <f aca="false">Scoring!D118</f>
        <v>0</v>
      </c>
      <c r="H112" s="152" t="str">
        <f aca="false">Scoring!BB118</f>
        <v/>
      </c>
      <c r="I112" s="154" t="str">
        <f aca="false">Scoring!BA118</f>
        <v/>
      </c>
    </row>
    <row r="113" customFormat="false" ht="15.75" hidden="false" customHeight="false" outlineLevel="0" collapsed="false">
      <c r="A113" s="152" t="str">
        <f aca="false">Scoring!BD119</f>
        <v/>
      </c>
      <c r="B113" s="152" t="str">
        <f aca="false">Scoring!BC119</f>
        <v/>
      </c>
      <c r="C113" s="152" t="n">
        <f aca="false">Scoring!C119</f>
        <v>0</v>
      </c>
      <c r="D113" s="153" t="str">
        <f aca="false">Scoring!AZ119</f>
        <v/>
      </c>
      <c r="E113" s="152" t="str">
        <f aca="false">Scoring!AF119</f>
        <v/>
      </c>
      <c r="F113" s="152" t="n">
        <f aca="false">Scoring!B119</f>
        <v>0</v>
      </c>
      <c r="G113" s="152" t="n">
        <f aca="false">Scoring!D119</f>
        <v>0</v>
      </c>
      <c r="H113" s="152" t="str">
        <f aca="false">Scoring!BB119</f>
        <v/>
      </c>
      <c r="I113" s="154" t="str">
        <f aca="false">Scoring!BA119</f>
        <v/>
      </c>
    </row>
    <row r="114" customFormat="false" ht="15.75" hidden="false" customHeight="false" outlineLevel="0" collapsed="false">
      <c r="A114" s="152" t="str">
        <f aca="false">Scoring!BD120</f>
        <v/>
      </c>
      <c r="B114" s="152" t="str">
        <f aca="false">Scoring!BC120</f>
        <v/>
      </c>
      <c r="C114" s="152" t="n">
        <f aca="false">Scoring!C120</f>
        <v>0</v>
      </c>
      <c r="D114" s="153" t="str">
        <f aca="false">Scoring!AZ120</f>
        <v/>
      </c>
      <c r="E114" s="152" t="str">
        <f aca="false">Scoring!AF120</f>
        <v/>
      </c>
      <c r="F114" s="152" t="n">
        <f aca="false">Scoring!B120</f>
        <v>0</v>
      </c>
      <c r="G114" s="152" t="n">
        <f aca="false">Scoring!D120</f>
        <v>0</v>
      </c>
      <c r="H114" s="152" t="str">
        <f aca="false">Scoring!BB120</f>
        <v/>
      </c>
      <c r="I114" s="154" t="str">
        <f aca="false">Scoring!BA120</f>
        <v/>
      </c>
    </row>
    <row r="115" customFormat="false" ht="15.75" hidden="false" customHeight="false" outlineLevel="0" collapsed="false">
      <c r="A115" s="152" t="str">
        <f aca="false">Scoring!BD121</f>
        <v/>
      </c>
      <c r="B115" s="152" t="str">
        <f aca="false">Scoring!BC121</f>
        <v/>
      </c>
      <c r="C115" s="152" t="n">
        <f aca="false">Scoring!C121</f>
        <v>0</v>
      </c>
      <c r="D115" s="153" t="str">
        <f aca="false">Scoring!AZ121</f>
        <v/>
      </c>
      <c r="E115" s="152" t="str">
        <f aca="false">Scoring!AF121</f>
        <v/>
      </c>
      <c r="F115" s="152" t="n">
        <f aca="false">Scoring!B121</f>
        <v>0</v>
      </c>
      <c r="G115" s="152" t="n">
        <f aca="false">Scoring!D121</f>
        <v>0</v>
      </c>
      <c r="H115" s="152" t="str">
        <f aca="false">Scoring!BB121</f>
        <v/>
      </c>
      <c r="I115" s="154" t="str">
        <f aca="false">Scoring!BA121</f>
        <v/>
      </c>
    </row>
    <row r="116" customFormat="false" ht="15.75" hidden="false" customHeight="false" outlineLevel="0" collapsed="false">
      <c r="A116" s="152" t="str">
        <f aca="false">Scoring!BD122</f>
        <v/>
      </c>
      <c r="B116" s="152" t="str">
        <f aca="false">Scoring!BC122</f>
        <v/>
      </c>
      <c r="C116" s="152" t="n">
        <f aca="false">Scoring!C122</f>
        <v>0</v>
      </c>
      <c r="D116" s="153" t="str">
        <f aca="false">Scoring!AZ122</f>
        <v/>
      </c>
      <c r="E116" s="152" t="str">
        <f aca="false">Scoring!AF122</f>
        <v/>
      </c>
      <c r="F116" s="152" t="n">
        <f aca="false">Scoring!B122</f>
        <v>0</v>
      </c>
      <c r="G116" s="152" t="n">
        <f aca="false">Scoring!D122</f>
        <v>0</v>
      </c>
      <c r="H116" s="152" t="str">
        <f aca="false">Scoring!BB122</f>
        <v/>
      </c>
      <c r="I116" s="154" t="str">
        <f aca="false">Scoring!BA122</f>
        <v/>
      </c>
    </row>
    <row r="117" customFormat="false" ht="15.75" hidden="false" customHeight="false" outlineLevel="0" collapsed="false">
      <c r="A117" s="152" t="str">
        <f aca="false">Scoring!BD123</f>
        <v/>
      </c>
      <c r="B117" s="152" t="str">
        <f aca="false">Scoring!BC123</f>
        <v/>
      </c>
      <c r="C117" s="152" t="n">
        <f aca="false">Scoring!C123</f>
        <v>0</v>
      </c>
      <c r="D117" s="153" t="str">
        <f aca="false">Scoring!AZ123</f>
        <v/>
      </c>
      <c r="E117" s="152" t="str">
        <f aca="false">Scoring!AF123</f>
        <v/>
      </c>
      <c r="F117" s="152" t="n">
        <f aca="false">Scoring!B123</f>
        <v>0</v>
      </c>
      <c r="G117" s="152" t="n">
        <f aca="false">Scoring!D123</f>
        <v>0</v>
      </c>
      <c r="H117" s="152" t="str">
        <f aca="false">Scoring!BB123</f>
        <v/>
      </c>
      <c r="I117" s="154" t="str">
        <f aca="false">Scoring!BA123</f>
        <v/>
      </c>
    </row>
    <row r="118" customFormat="false" ht="15.75" hidden="false" customHeight="false" outlineLevel="0" collapsed="false">
      <c r="A118" s="152" t="str">
        <f aca="false">Scoring!BD124</f>
        <v/>
      </c>
      <c r="B118" s="152" t="str">
        <f aca="false">Scoring!BC124</f>
        <v/>
      </c>
      <c r="C118" s="152" t="n">
        <f aca="false">Scoring!C124</f>
        <v>0</v>
      </c>
      <c r="D118" s="153" t="str">
        <f aca="false">Scoring!AZ124</f>
        <v/>
      </c>
      <c r="E118" s="152" t="str">
        <f aca="false">Scoring!AF124</f>
        <v/>
      </c>
      <c r="F118" s="152" t="n">
        <f aca="false">Scoring!B124</f>
        <v>0</v>
      </c>
      <c r="G118" s="152" t="n">
        <f aca="false">Scoring!D124</f>
        <v>0</v>
      </c>
      <c r="H118" s="152" t="str">
        <f aca="false">Scoring!BB124</f>
        <v/>
      </c>
      <c r="I118" s="154" t="str">
        <f aca="false">Scoring!BA124</f>
        <v/>
      </c>
    </row>
    <row r="119" customFormat="false" ht="15.75" hidden="false" customHeight="false" outlineLevel="0" collapsed="false">
      <c r="A119" s="152" t="str">
        <f aca="false">Scoring!BD125</f>
        <v/>
      </c>
      <c r="B119" s="152" t="str">
        <f aca="false">Scoring!BC125</f>
        <v/>
      </c>
      <c r="C119" s="152" t="n">
        <f aca="false">Scoring!C125</f>
        <v>0</v>
      </c>
      <c r="D119" s="153" t="str">
        <f aca="false">Scoring!AZ125</f>
        <v/>
      </c>
      <c r="E119" s="152" t="str">
        <f aca="false">Scoring!AF125</f>
        <v/>
      </c>
      <c r="F119" s="152" t="n">
        <f aca="false">Scoring!B125</f>
        <v>0</v>
      </c>
      <c r="G119" s="152" t="n">
        <f aca="false">Scoring!D125</f>
        <v>0</v>
      </c>
      <c r="H119" s="152" t="str">
        <f aca="false">Scoring!BB125</f>
        <v/>
      </c>
      <c r="I119" s="154" t="str">
        <f aca="false">Scoring!BA125</f>
        <v/>
      </c>
    </row>
    <row r="120" customFormat="false" ht="15.75" hidden="false" customHeight="false" outlineLevel="0" collapsed="false">
      <c r="A120" s="152" t="str">
        <f aca="false">Scoring!BD126</f>
        <v/>
      </c>
      <c r="B120" s="152" t="str">
        <f aca="false">Scoring!BC126</f>
        <v/>
      </c>
      <c r="C120" s="152" t="n">
        <f aca="false">Scoring!C126</f>
        <v>0</v>
      </c>
      <c r="D120" s="153" t="str">
        <f aca="false">Scoring!AZ126</f>
        <v/>
      </c>
      <c r="E120" s="152" t="str">
        <f aca="false">Scoring!AF126</f>
        <v/>
      </c>
      <c r="F120" s="152" t="n">
        <f aca="false">Scoring!B126</f>
        <v>0</v>
      </c>
      <c r="G120" s="152" t="n">
        <f aca="false">Scoring!D126</f>
        <v>0</v>
      </c>
      <c r="H120" s="152" t="str">
        <f aca="false">Scoring!BB126</f>
        <v/>
      </c>
      <c r="I120" s="154" t="str">
        <f aca="false">Scoring!BA126</f>
        <v/>
      </c>
    </row>
    <row r="121" customFormat="false" ht="15.75" hidden="false" customHeight="false" outlineLevel="0" collapsed="false">
      <c r="A121" s="152" t="str">
        <f aca="false">Scoring!BD127</f>
        <v/>
      </c>
      <c r="B121" s="152" t="str">
        <f aca="false">Scoring!BC127</f>
        <v/>
      </c>
      <c r="C121" s="152" t="n">
        <f aca="false">Scoring!C127</f>
        <v>0</v>
      </c>
      <c r="D121" s="153" t="str">
        <f aca="false">Scoring!AZ127</f>
        <v/>
      </c>
      <c r="E121" s="152" t="str">
        <f aca="false">Scoring!AF127</f>
        <v/>
      </c>
      <c r="F121" s="152" t="n">
        <f aca="false">Scoring!B127</f>
        <v>0</v>
      </c>
      <c r="G121" s="152" t="n">
        <f aca="false">Scoring!D127</f>
        <v>0</v>
      </c>
      <c r="H121" s="152" t="str">
        <f aca="false">Scoring!BB127</f>
        <v/>
      </c>
      <c r="I121" s="154" t="str">
        <f aca="false">Scoring!BA127</f>
        <v/>
      </c>
    </row>
    <row r="122" customFormat="false" ht="15.75" hidden="false" customHeight="false" outlineLevel="0" collapsed="false">
      <c r="A122" s="152" t="str">
        <f aca="false">Scoring!BD128</f>
        <v/>
      </c>
      <c r="B122" s="152" t="str">
        <f aca="false">Scoring!BC128</f>
        <v/>
      </c>
      <c r="C122" s="152" t="n">
        <f aca="false">Scoring!C128</f>
        <v>0</v>
      </c>
      <c r="D122" s="153" t="str">
        <f aca="false">Scoring!AZ128</f>
        <v/>
      </c>
      <c r="E122" s="152" t="str">
        <f aca="false">Scoring!AF128</f>
        <v/>
      </c>
      <c r="F122" s="152" t="n">
        <f aca="false">Scoring!B128</f>
        <v>0</v>
      </c>
      <c r="G122" s="152" t="n">
        <f aca="false">Scoring!D128</f>
        <v>0</v>
      </c>
      <c r="H122" s="152" t="str">
        <f aca="false">Scoring!BB128</f>
        <v/>
      </c>
      <c r="I122" s="154" t="str">
        <f aca="false">Scoring!BA128</f>
        <v/>
      </c>
    </row>
    <row r="123" customFormat="false" ht="15.75" hidden="false" customHeight="false" outlineLevel="0" collapsed="false">
      <c r="A123" s="152" t="str">
        <f aca="false">Scoring!BD129</f>
        <v/>
      </c>
      <c r="B123" s="152" t="str">
        <f aca="false">Scoring!BC129</f>
        <v/>
      </c>
      <c r="C123" s="152" t="n">
        <f aca="false">Scoring!C129</f>
        <v>0</v>
      </c>
      <c r="D123" s="153" t="str">
        <f aca="false">Scoring!AZ129</f>
        <v/>
      </c>
      <c r="E123" s="152" t="str">
        <f aca="false">Scoring!AF129</f>
        <v/>
      </c>
      <c r="F123" s="152" t="n">
        <f aca="false">Scoring!B129</f>
        <v>0</v>
      </c>
      <c r="G123" s="152" t="n">
        <f aca="false">Scoring!D129</f>
        <v>0</v>
      </c>
      <c r="H123" s="152" t="str">
        <f aca="false">Scoring!BB129</f>
        <v/>
      </c>
      <c r="I123" s="154" t="str">
        <f aca="false">Scoring!BA129</f>
        <v/>
      </c>
    </row>
    <row r="124" customFormat="false" ht="15.75" hidden="false" customHeight="false" outlineLevel="0" collapsed="false">
      <c r="A124" s="152" t="str">
        <f aca="false">Scoring!BD130</f>
        <v/>
      </c>
      <c r="B124" s="152" t="str">
        <f aca="false">Scoring!BC130</f>
        <v/>
      </c>
      <c r="C124" s="152" t="n">
        <f aca="false">Scoring!C130</f>
        <v>0</v>
      </c>
      <c r="D124" s="153" t="str">
        <f aca="false">Scoring!AZ130</f>
        <v/>
      </c>
      <c r="E124" s="152" t="str">
        <f aca="false">Scoring!AF130</f>
        <v/>
      </c>
      <c r="F124" s="152" t="n">
        <f aca="false">Scoring!B130</f>
        <v>0</v>
      </c>
      <c r="G124" s="152" t="n">
        <f aca="false">Scoring!D130</f>
        <v>0</v>
      </c>
      <c r="H124" s="152" t="str">
        <f aca="false">Scoring!BB130</f>
        <v/>
      </c>
      <c r="I124" s="154" t="str">
        <f aca="false">Scoring!BA130</f>
        <v/>
      </c>
    </row>
    <row r="125" customFormat="false" ht="15.75" hidden="false" customHeight="false" outlineLevel="0" collapsed="false">
      <c r="A125" s="152" t="str">
        <f aca="false">Scoring!BD131</f>
        <v/>
      </c>
      <c r="B125" s="152" t="str">
        <f aca="false">Scoring!BC131</f>
        <v/>
      </c>
      <c r="C125" s="152" t="n">
        <f aca="false">Scoring!C131</f>
        <v>0</v>
      </c>
      <c r="D125" s="153" t="str">
        <f aca="false">Scoring!AZ131</f>
        <v/>
      </c>
      <c r="E125" s="152" t="str">
        <f aca="false">Scoring!AF131</f>
        <v/>
      </c>
      <c r="F125" s="152" t="n">
        <f aca="false">Scoring!B131</f>
        <v>0</v>
      </c>
      <c r="G125" s="152" t="n">
        <f aca="false">Scoring!D131</f>
        <v>0</v>
      </c>
      <c r="H125" s="152" t="str">
        <f aca="false">Scoring!BB131</f>
        <v/>
      </c>
      <c r="I125" s="154" t="str">
        <f aca="false">Scoring!BA131</f>
        <v/>
      </c>
    </row>
    <row r="126" customFormat="false" ht="15.75" hidden="false" customHeight="false" outlineLevel="0" collapsed="false">
      <c r="A126" s="152" t="str">
        <f aca="false">Scoring!BD132</f>
        <v/>
      </c>
      <c r="B126" s="152" t="str">
        <f aca="false">Scoring!BC132</f>
        <v/>
      </c>
      <c r="C126" s="152" t="n">
        <f aca="false">Scoring!C132</f>
        <v>0</v>
      </c>
      <c r="D126" s="153" t="str">
        <f aca="false">Scoring!AZ132</f>
        <v/>
      </c>
      <c r="E126" s="152" t="str">
        <f aca="false">Scoring!AF132</f>
        <v/>
      </c>
      <c r="F126" s="152" t="n">
        <f aca="false">Scoring!B132</f>
        <v>0</v>
      </c>
      <c r="G126" s="152" t="n">
        <f aca="false">Scoring!D132</f>
        <v>0</v>
      </c>
      <c r="H126" s="152" t="str">
        <f aca="false">Scoring!BB132</f>
        <v/>
      </c>
      <c r="I126" s="154" t="str">
        <f aca="false">Scoring!BA132</f>
        <v/>
      </c>
    </row>
    <row r="127" customFormat="false" ht="15.75" hidden="false" customHeight="false" outlineLevel="0" collapsed="false">
      <c r="A127" s="152" t="str">
        <f aca="false">Scoring!BD133</f>
        <v/>
      </c>
      <c r="B127" s="152" t="str">
        <f aca="false">Scoring!BC133</f>
        <v/>
      </c>
      <c r="C127" s="152" t="n">
        <f aca="false">Scoring!C133</f>
        <v>0</v>
      </c>
      <c r="D127" s="153" t="str">
        <f aca="false">Scoring!AZ133</f>
        <v/>
      </c>
      <c r="E127" s="152" t="str">
        <f aca="false">Scoring!AF133</f>
        <v/>
      </c>
      <c r="F127" s="152" t="n">
        <f aca="false">Scoring!B133</f>
        <v>0</v>
      </c>
      <c r="G127" s="152" t="n">
        <f aca="false">Scoring!D133</f>
        <v>0</v>
      </c>
      <c r="H127" s="152" t="str">
        <f aca="false">Scoring!BB133</f>
        <v/>
      </c>
      <c r="I127" s="154" t="str">
        <f aca="false">Scoring!BA133</f>
        <v/>
      </c>
    </row>
    <row r="128" customFormat="false" ht="15.75" hidden="false" customHeight="false" outlineLevel="0" collapsed="false">
      <c r="A128" s="152" t="str">
        <f aca="false">Scoring!BD134</f>
        <v/>
      </c>
      <c r="B128" s="152" t="str">
        <f aca="false">Scoring!BC134</f>
        <v/>
      </c>
      <c r="C128" s="152" t="n">
        <f aca="false">Scoring!C134</f>
        <v>0</v>
      </c>
      <c r="D128" s="153" t="str">
        <f aca="false">Scoring!AZ134</f>
        <v/>
      </c>
      <c r="E128" s="152" t="str">
        <f aca="false">Scoring!AF134</f>
        <v/>
      </c>
      <c r="F128" s="152" t="n">
        <f aca="false">Scoring!B134</f>
        <v>0</v>
      </c>
      <c r="G128" s="152" t="n">
        <f aca="false">Scoring!D134</f>
        <v>0</v>
      </c>
      <c r="H128" s="152" t="str">
        <f aca="false">Scoring!BB134</f>
        <v/>
      </c>
      <c r="I128" s="154" t="str">
        <f aca="false">Scoring!BA134</f>
        <v/>
      </c>
    </row>
    <row r="129" customFormat="false" ht="15.75" hidden="false" customHeight="false" outlineLevel="0" collapsed="false">
      <c r="A129" s="152" t="str">
        <f aca="false">Scoring!BD135</f>
        <v/>
      </c>
      <c r="B129" s="152" t="str">
        <f aca="false">Scoring!BC135</f>
        <v/>
      </c>
      <c r="C129" s="152" t="n">
        <f aca="false">Scoring!C135</f>
        <v>0</v>
      </c>
      <c r="D129" s="153" t="str">
        <f aca="false">Scoring!AZ135</f>
        <v/>
      </c>
      <c r="E129" s="152" t="str">
        <f aca="false">Scoring!AF135</f>
        <v/>
      </c>
      <c r="F129" s="152" t="n">
        <f aca="false">Scoring!B135</f>
        <v>0</v>
      </c>
      <c r="G129" s="152" t="n">
        <f aca="false">Scoring!D135</f>
        <v>0</v>
      </c>
      <c r="H129" s="152" t="str">
        <f aca="false">Scoring!BB135</f>
        <v/>
      </c>
      <c r="I129" s="154" t="str">
        <f aca="false">Scoring!BA135</f>
        <v/>
      </c>
    </row>
    <row r="130" customFormat="false" ht="15.75" hidden="false" customHeight="false" outlineLevel="0" collapsed="false">
      <c r="A130" s="152" t="str">
        <f aca="false">Scoring!BD136</f>
        <v/>
      </c>
      <c r="B130" s="152" t="str">
        <f aca="false">Scoring!BC136</f>
        <v/>
      </c>
      <c r="C130" s="152" t="n">
        <f aca="false">Scoring!C136</f>
        <v>0</v>
      </c>
      <c r="D130" s="153" t="str">
        <f aca="false">Scoring!AZ136</f>
        <v/>
      </c>
      <c r="E130" s="152" t="str">
        <f aca="false">Scoring!AF136</f>
        <v/>
      </c>
      <c r="F130" s="152" t="n">
        <f aca="false">Scoring!B136</f>
        <v>0</v>
      </c>
      <c r="G130" s="152" t="n">
        <f aca="false">Scoring!D136</f>
        <v>0</v>
      </c>
      <c r="H130" s="152" t="str">
        <f aca="false">Scoring!BB136</f>
        <v/>
      </c>
      <c r="I130" s="154" t="str">
        <f aca="false">Scoring!BA136</f>
        <v/>
      </c>
    </row>
    <row r="131" customFormat="false" ht="15.75" hidden="false" customHeight="false" outlineLevel="0" collapsed="false">
      <c r="A131" s="152" t="str">
        <f aca="false">Scoring!BD137</f>
        <v/>
      </c>
      <c r="B131" s="152" t="str">
        <f aca="false">Scoring!BC137</f>
        <v/>
      </c>
      <c r="C131" s="152" t="n">
        <f aca="false">Scoring!C137</f>
        <v>0</v>
      </c>
      <c r="D131" s="153" t="str">
        <f aca="false">Scoring!AZ137</f>
        <v/>
      </c>
      <c r="E131" s="152" t="str">
        <f aca="false">Scoring!AF137</f>
        <v/>
      </c>
      <c r="F131" s="152" t="n">
        <f aca="false">Scoring!B137</f>
        <v>0</v>
      </c>
      <c r="G131" s="152" t="n">
        <f aca="false">Scoring!D137</f>
        <v>0</v>
      </c>
      <c r="H131" s="152" t="str">
        <f aca="false">Scoring!BB137</f>
        <v/>
      </c>
      <c r="I131" s="154" t="str">
        <f aca="false">Scoring!BA137</f>
        <v/>
      </c>
    </row>
    <row r="132" customFormat="false" ht="15.75" hidden="false" customHeight="false" outlineLevel="0" collapsed="false">
      <c r="A132" s="152" t="str">
        <f aca="false">Scoring!BD138</f>
        <v/>
      </c>
      <c r="B132" s="152" t="str">
        <f aca="false">Scoring!BC138</f>
        <v/>
      </c>
      <c r="C132" s="152" t="n">
        <f aca="false">Scoring!C138</f>
        <v>0</v>
      </c>
      <c r="D132" s="153" t="str">
        <f aca="false">Scoring!AZ138</f>
        <v/>
      </c>
      <c r="E132" s="152" t="str">
        <f aca="false">Scoring!AF138</f>
        <v/>
      </c>
      <c r="F132" s="152" t="n">
        <f aca="false">Scoring!B138</f>
        <v>0</v>
      </c>
      <c r="G132" s="152" t="n">
        <f aca="false">Scoring!D138</f>
        <v>0</v>
      </c>
      <c r="H132" s="152" t="str">
        <f aca="false">Scoring!BB138</f>
        <v/>
      </c>
      <c r="I132" s="154" t="str">
        <f aca="false">Scoring!BA138</f>
        <v/>
      </c>
    </row>
    <row r="133" customFormat="false" ht="15.75" hidden="false" customHeight="false" outlineLevel="0" collapsed="false">
      <c r="A133" s="152" t="str">
        <f aca="false">Scoring!BD139</f>
        <v/>
      </c>
      <c r="B133" s="152" t="str">
        <f aca="false">Scoring!BC139</f>
        <v/>
      </c>
      <c r="C133" s="152" t="n">
        <f aca="false">Scoring!C139</f>
        <v>0</v>
      </c>
      <c r="D133" s="153" t="str">
        <f aca="false">Scoring!AZ139</f>
        <v/>
      </c>
      <c r="E133" s="152" t="str">
        <f aca="false">Scoring!AF139</f>
        <v/>
      </c>
      <c r="F133" s="152" t="n">
        <f aca="false">Scoring!B139</f>
        <v>0</v>
      </c>
      <c r="G133" s="152" t="n">
        <f aca="false">Scoring!D139</f>
        <v>0</v>
      </c>
      <c r="H133" s="152" t="str">
        <f aca="false">Scoring!BB139</f>
        <v/>
      </c>
      <c r="I133" s="154" t="str">
        <f aca="false">Scoring!BA139</f>
        <v/>
      </c>
    </row>
    <row r="134" customFormat="false" ht="15.75" hidden="false" customHeight="false" outlineLevel="0" collapsed="false">
      <c r="A134" s="152" t="str">
        <f aca="false">Scoring!BD140</f>
        <v/>
      </c>
      <c r="B134" s="152" t="str">
        <f aca="false">Scoring!BC140</f>
        <v/>
      </c>
      <c r="C134" s="152" t="n">
        <f aca="false">Scoring!C140</f>
        <v>0</v>
      </c>
      <c r="D134" s="153" t="str">
        <f aca="false">Scoring!AZ140</f>
        <v/>
      </c>
      <c r="E134" s="152" t="str">
        <f aca="false">Scoring!AF140</f>
        <v/>
      </c>
      <c r="F134" s="152" t="n">
        <f aca="false">Scoring!B140</f>
        <v>0</v>
      </c>
      <c r="G134" s="152" t="n">
        <f aca="false">Scoring!D140</f>
        <v>0</v>
      </c>
      <c r="H134" s="152" t="str">
        <f aca="false">Scoring!BB140</f>
        <v/>
      </c>
      <c r="I134" s="154" t="str">
        <f aca="false">Scoring!BA140</f>
        <v/>
      </c>
    </row>
    <row r="135" customFormat="false" ht="15.75" hidden="false" customHeight="false" outlineLevel="0" collapsed="false">
      <c r="A135" s="152" t="str">
        <f aca="false">Scoring!BD141</f>
        <v/>
      </c>
      <c r="B135" s="152" t="str">
        <f aca="false">Scoring!BC141</f>
        <v/>
      </c>
      <c r="C135" s="152" t="n">
        <f aca="false">Scoring!C141</f>
        <v>0</v>
      </c>
      <c r="D135" s="153" t="str">
        <f aca="false">Scoring!AZ141</f>
        <v/>
      </c>
      <c r="E135" s="152" t="str">
        <f aca="false">Scoring!AF141</f>
        <v/>
      </c>
      <c r="F135" s="152" t="n">
        <f aca="false">Scoring!B141</f>
        <v>0</v>
      </c>
      <c r="G135" s="152" t="n">
        <f aca="false">Scoring!D141</f>
        <v>0</v>
      </c>
      <c r="H135" s="152" t="str">
        <f aca="false">Scoring!BB141</f>
        <v/>
      </c>
      <c r="I135" s="154" t="str">
        <f aca="false">Scoring!BA141</f>
        <v/>
      </c>
    </row>
    <row r="136" customFormat="false" ht="15.75" hidden="false" customHeight="false" outlineLevel="0" collapsed="false">
      <c r="A136" s="152" t="str">
        <f aca="false">Scoring!BD142</f>
        <v/>
      </c>
      <c r="B136" s="152" t="str">
        <f aca="false">Scoring!BC142</f>
        <v/>
      </c>
      <c r="C136" s="152" t="n">
        <f aca="false">Scoring!C142</f>
        <v>0</v>
      </c>
      <c r="D136" s="153" t="str">
        <f aca="false">Scoring!AZ142</f>
        <v/>
      </c>
      <c r="E136" s="152" t="str">
        <f aca="false">Scoring!AF142</f>
        <v/>
      </c>
      <c r="F136" s="152" t="n">
        <f aca="false">Scoring!B142</f>
        <v>0</v>
      </c>
      <c r="G136" s="152" t="n">
        <f aca="false">Scoring!D142</f>
        <v>0</v>
      </c>
      <c r="H136" s="152" t="str">
        <f aca="false">Scoring!BB142</f>
        <v/>
      </c>
      <c r="I136" s="154" t="str">
        <f aca="false">Scoring!BA142</f>
        <v/>
      </c>
    </row>
    <row r="137" customFormat="false" ht="15.75" hidden="false" customHeight="false" outlineLevel="0" collapsed="false">
      <c r="A137" s="152" t="str">
        <f aca="false">Scoring!BD143</f>
        <v/>
      </c>
      <c r="B137" s="152" t="str">
        <f aca="false">Scoring!BC143</f>
        <v/>
      </c>
      <c r="C137" s="152" t="n">
        <f aca="false">Scoring!C143</f>
        <v>0</v>
      </c>
      <c r="D137" s="153" t="str">
        <f aca="false">Scoring!AZ143</f>
        <v/>
      </c>
      <c r="E137" s="152" t="str">
        <f aca="false">Scoring!AF143</f>
        <v/>
      </c>
      <c r="F137" s="152" t="n">
        <f aca="false">Scoring!B143</f>
        <v>0</v>
      </c>
      <c r="G137" s="152" t="n">
        <f aca="false">Scoring!D143</f>
        <v>0</v>
      </c>
      <c r="H137" s="152" t="str">
        <f aca="false">Scoring!BB143</f>
        <v/>
      </c>
      <c r="I137" s="154" t="str">
        <f aca="false">Scoring!BA143</f>
        <v/>
      </c>
    </row>
    <row r="138" customFormat="false" ht="15.75" hidden="false" customHeight="false" outlineLevel="0" collapsed="false">
      <c r="A138" s="152" t="str">
        <f aca="false">Scoring!BD144</f>
        <v/>
      </c>
      <c r="B138" s="152" t="str">
        <f aca="false">Scoring!BC144</f>
        <v/>
      </c>
      <c r="C138" s="152" t="n">
        <f aca="false">Scoring!C144</f>
        <v>0</v>
      </c>
      <c r="D138" s="153" t="str">
        <f aca="false">Scoring!AZ144</f>
        <v/>
      </c>
      <c r="E138" s="152" t="str">
        <f aca="false">Scoring!AF144</f>
        <v/>
      </c>
      <c r="F138" s="152" t="n">
        <f aca="false">Scoring!B144</f>
        <v>0</v>
      </c>
      <c r="G138" s="152" t="n">
        <f aca="false">Scoring!D144</f>
        <v>0</v>
      </c>
      <c r="H138" s="152" t="str">
        <f aca="false">Scoring!BB144</f>
        <v/>
      </c>
      <c r="I138" s="154" t="str">
        <f aca="false">Scoring!BA144</f>
        <v/>
      </c>
    </row>
    <row r="139" customFormat="false" ht="15.75" hidden="false" customHeight="false" outlineLevel="0" collapsed="false">
      <c r="A139" s="152" t="str">
        <f aca="false">Scoring!BD145</f>
        <v/>
      </c>
      <c r="B139" s="152" t="str">
        <f aca="false">Scoring!BC145</f>
        <v/>
      </c>
      <c r="C139" s="152" t="n">
        <f aca="false">Scoring!C145</f>
        <v>0</v>
      </c>
      <c r="D139" s="153" t="str">
        <f aca="false">Scoring!AZ145</f>
        <v/>
      </c>
      <c r="E139" s="152" t="str">
        <f aca="false">Scoring!AF145</f>
        <v/>
      </c>
      <c r="F139" s="152" t="n">
        <f aca="false">Scoring!B145</f>
        <v>0</v>
      </c>
      <c r="G139" s="152" t="n">
        <f aca="false">Scoring!D145</f>
        <v>0</v>
      </c>
      <c r="H139" s="152" t="str">
        <f aca="false">Scoring!BB145</f>
        <v/>
      </c>
      <c r="I139" s="154" t="str">
        <f aca="false">Scoring!BA145</f>
        <v/>
      </c>
    </row>
    <row r="140" customFormat="false" ht="15.75" hidden="false" customHeight="false" outlineLevel="0" collapsed="false">
      <c r="A140" s="152" t="str">
        <f aca="false">Scoring!BD146</f>
        <v/>
      </c>
      <c r="B140" s="152" t="str">
        <f aca="false">Scoring!BC146</f>
        <v/>
      </c>
      <c r="C140" s="152" t="n">
        <f aca="false">Scoring!C146</f>
        <v>0</v>
      </c>
      <c r="D140" s="153" t="str">
        <f aca="false">Scoring!AZ146</f>
        <v/>
      </c>
      <c r="E140" s="152" t="str">
        <f aca="false">Scoring!AF146</f>
        <v/>
      </c>
      <c r="F140" s="152" t="n">
        <f aca="false">Scoring!B146</f>
        <v>0</v>
      </c>
      <c r="G140" s="152" t="n">
        <f aca="false">Scoring!D146</f>
        <v>0</v>
      </c>
      <c r="H140" s="152" t="str">
        <f aca="false">Scoring!BB146</f>
        <v/>
      </c>
      <c r="I140" s="154" t="str">
        <f aca="false">Scoring!BA146</f>
        <v/>
      </c>
    </row>
    <row r="141" customFormat="false" ht="15.75" hidden="false" customHeight="false" outlineLevel="0" collapsed="false">
      <c r="A141" s="152" t="str">
        <f aca="false">Scoring!BD147</f>
        <v/>
      </c>
      <c r="B141" s="152" t="str">
        <f aca="false">Scoring!BC147</f>
        <v/>
      </c>
      <c r="C141" s="152" t="n">
        <f aca="false">Scoring!C147</f>
        <v>0</v>
      </c>
      <c r="D141" s="153" t="str">
        <f aca="false">Scoring!AZ147</f>
        <v/>
      </c>
      <c r="E141" s="152" t="str">
        <f aca="false">Scoring!AF147</f>
        <v/>
      </c>
      <c r="F141" s="152" t="n">
        <f aca="false">Scoring!B147</f>
        <v>0</v>
      </c>
      <c r="G141" s="152" t="n">
        <f aca="false">Scoring!D147</f>
        <v>0</v>
      </c>
      <c r="H141" s="152" t="str">
        <f aca="false">Scoring!BB147</f>
        <v/>
      </c>
      <c r="I141" s="154" t="str">
        <f aca="false">Scoring!BA147</f>
        <v/>
      </c>
    </row>
    <row r="142" customFormat="false" ht="15.75" hidden="false" customHeight="false" outlineLevel="0" collapsed="false">
      <c r="A142" s="152" t="str">
        <f aca="false">Scoring!BD148</f>
        <v/>
      </c>
      <c r="B142" s="152" t="str">
        <f aca="false">Scoring!BC148</f>
        <v/>
      </c>
      <c r="C142" s="152" t="n">
        <f aca="false">Scoring!C148</f>
        <v>0</v>
      </c>
      <c r="D142" s="153" t="str">
        <f aca="false">Scoring!AZ148</f>
        <v/>
      </c>
      <c r="E142" s="152" t="str">
        <f aca="false">Scoring!AF148</f>
        <v/>
      </c>
      <c r="F142" s="152" t="n">
        <f aca="false">Scoring!B148</f>
        <v>0</v>
      </c>
      <c r="G142" s="152" t="n">
        <f aca="false">Scoring!D148</f>
        <v>0</v>
      </c>
      <c r="H142" s="152" t="str">
        <f aca="false">Scoring!BB148</f>
        <v/>
      </c>
      <c r="I142" s="154" t="str">
        <f aca="false">Scoring!BA148</f>
        <v/>
      </c>
    </row>
    <row r="143" customFormat="false" ht="15.75" hidden="false" customHeight="false" outlineLevel="0" collapsed="false">
      <c r="A143" s="152" t="str">
        <f aca="false">Scoring!BD149</f>
        <v/>
      </c>
      <c r="B143" s="152" t="str">
        <f aca="false">Scoring!BC149</f>
        <v/>
      </c>
      <c r="C143" s="152" t="n">
        <f aca="false">Scoring!C149</f>
        <v>0</v>
      </c>
      <c r="D143" s="153" t="str">
        <f aca="false">Scoring!AZ149</f>
        <v/>
      </c>
      <c r="E143" s="152" t="str">
        <f aca="false">Scoring!AF149</f>
        <v/>
      </c>
      <c r="F143" s="152" t="n">
        <f aca="false">Scoring!B149</f>
        <v>0</v>
      </c>
      <c r="G143" s="152" t="n">
        <f aca="false">Scoring!D149</f>
        <v>0</v>
      </c>
      <c r="H143" s="152" t="str">
        <f aca="false">Scoring!BB149</f>
        <v/>
      </c>
      <c r="I143" s="154" t="str">
        <f aca="false">Scoring!BA149</f>
        <v/>
      </c>
    </row>
    <row r="144" customFormat="false" ht="15.75" hidden="false" customHeight="false" outlineLevel="0" collapsed="false">
      <c r="A144" s="152" t="str">
        <f aca="false">Scoring!BD150</f>
        <v/>
      </c>
      <c r="B144" s="152" t="str">
        <f aca="false">Scoring!BC150</f>
        <v/>
      </c>
      <c r="C144" s="152" t="n">
        <f aca="false">Scoring!C150</f>
        <v>0</v>
      </c>
      <c r="D144" s="153" t="str">
        <f aca="false">Scoring!AZ150</f>
        <v/>
      </c>
      <c r="E144" s="152" t="str">
        <f aca="false">Scoring!AF150</f>
        <v/>
      </c>
      <c r="F144" s="152" t="n">
        <f aca="false">Scoring!B150</f>
        <v>0</v>
      </c>
      <c r="G144" s="152" t="n">
        <f aca="false">Scoring!D150</f>
        <v>0</v>
      </c>
      <c r="H144" s="152" t="str">
        <f aca="false">Scoring!BB150</f>
        <v/>
      </c>
      <c r="I144" s="154" t="str">
        <f aca="false">Scoring!BA150</f>
        <v/>
      </c>
    </row>
    <row r="145" customFormat="false" ht="15.75" hidden="false" customHeight="false" outlineLevel="0" collapsed="false">
      <c r="A145" s="152" t="str">
        <f aca="false">Scoring!BD151</f>
        <v/>
      </c>
      <c r="B145" s="152" t="str">
        <f aca="false">Scoring!BC151</f>
        <v/>
      </c>
      <c r="C145" s="152" t="n">
        <f aca="false">Scoring!C151</f>
        <v>0</v>
      </c>
      <c r="D145" s="153" t="str">
        <f aca="false">Scoring!AZ151</f>
        <v/>
      </c>
      <c r="E145" s="152" t="str">
        <f aca="false">Scoring!AF151</f>
        <v/>
      </c>
      <c r="F145" s="152" t="n">
        <f aca="false">Scoring!B151</f>
        <v>0</v>
      </c>
      <c r="G145" s="152" t="n">
        <f aca="false">Scoring!D151</f>
        <v>0</v>
      </c>
      <c r="H145" s="152" t="str">
        <f aca="false">Scoring!BB151</f>
        <v/>
      </c>
      <c r="I145" s="154" t="str">
        <f aca="false">Scoring!BA151</f>
        <v/>
      </c>
    </row>
    <row r="146" customFormat="false" ht="15.75" hidden="false" customHeight="false" outlineLevel="0" collapsed="false">
      <c r="A146" s="152" t="str">
        <f aca="false">Scoring!BD152</f>
        <v/>
      </c>
      <c r="B146" s="152" t="str">
        <f aca="false">Scoring!BC152</f>
        <v/>
      </c>
      <c r="C146" s="152" t="n">
        <f aca="false">Scoring!C152</f>
        <v>0</v>
      </c>
      <c r="D146" s="153" t="str">
        <f aca="false">Scoring!AZ152</f>
        <v/>
      </c>
      <c r="E146" s="152" t="str">
        <f aca="false">Scoring!AF152</f>
        <v/>
      </c>
      <c r="F146" s="152" t="n">
        <f aca="false">Scoring!B152</f>
        <v>0</v>
      </c>
      <c r="G146" s="152" t="n">
        <f aca="false">Scoring!D152</f>
        <v>0</v>
      </c>
      <c r="H146" s="152" t="str">
        <f aca="false">Scoring!BB152</f>
        <v/>
      </c>
      <c r="I146" s="154" t="str">
        <f aca="false">Scoring!BA152</f>
        <v/>
      </c>
    </row>
    <row r="147" customFormat="false" ht="15.75" hidden="false" customHeight="false" outlineLevel="0" collapsed="false">
      <c r="A147" s="152" t="str">
        <f aca="false">Scoring!BD153</f>
        <v/>
      </c>
      <c r="B147" s="152" t="str">
        <f aca="false">Scoring!BC153</f>
        <v/>
      </c>
      <c r="C147" s="152" t="n">
        <f aca="false">Scoring!C153</f>
        <v>0</v>
      </c>
      <c r="D147" s="153" t="str">
        <f aca="false">Scoring!AZ153</f>
        <v/>
      </c>
      <c r="E147" s="152" t="str">
        <f aca="false">Scoring!AF153</f>
        <v/>
      </c>
      <c r="F147" s="152" t="n">
        <f aca="false">Scoring!B153</f>
        <v>0</v>
      </c>
      <c r="G147" s="152" t="n">
        <f aca="false">Scoring!D153</f>
        <v>0</v>
      </c>
      <c r="H147" s="152" t="str">
        <f aca="false">Scoring!BB153</f>
        <v/>
      </c>
      <c r="I147" s="154" t="str">
        <f aca="false">Scoring!BA153</f>
        <v/>
      </c>
    </row>
    <row r="148" customFormat="false" ht="15.75" hidden="false" customHeight="false" outlineLevel="0" collapsed="false">
      <c r="A148" s="152" t="str">
        <f aca="false">Scoring!BD154</f>
        <v/>
      </c>
      <c r="B148" s="152" t="str">
        <f aca="false">Scoring!BC154</f>
        <v/>
      </c>
      <c r="C148" s="152" t="n">
        <f aca="false">Scoring!C154</f>
        <v>0</v>
      </c>
      <c r="D148" s="153" t="str">
        <f aca="false">Scoring!AZ154</f>
        <v/>
      </c>
      <c r="E148" s="152" t="str">
        <f aca="false">Scoring!AF154</f>
        <v/>
      </c>
      <c r="F148" s="152" t="n">
        <f aca="false">Scoring!B154</f>
        <v>0</v>
      </c>
      <c r="G148" s="152" t="n">
        <f aca="false">Scoring!D154</f>
        <v>0</v>
      </c>
      <c r="H148" s="152" t="str">
        <f aca="false">Scoring!BB154</f>
        <v/>
      </c>
      <c r="I148" s="154" t="str">
        <f aca="false">Scoring!BA154</f>
        <v/>
      </c>
    </row>
    <row r="149" customFormat="false" ht="15.75" hidden="false" customHeight="false" outlineLevel="0" collapsed="false">
      <c r="A149" s="152" t="str">
        <f aca="false">Scoring!BD155</f>
        <v/>
      </c>
      <c r="B149" s="152" t="str">
        <f aca="false">Scoring!BC155</f>
        <v/>
      </c>
      <c r="C149" s="152" t="n">
        <f aca="false">Scoring!C155</f>
        <v>0</v>
      </c>
      <c r="D149" s="153" t="str">
        <f aca="false">Scoring!AZ155</f>
        <v/>
      </c>
      <c r="E149" s="152" t="str">
        <f aca="false">Scoring!AF155</f>
        <v/>
      </c>
      <c r="F149" s="152" t="n">
        <f aca="false">Scoring!B155</f>
        <v>0</v>
      </c>
      <c r="G149" s="152" t="n">
        <f aca="false">Scoring!D155</f>
        <v>0</v>
      </c>
      <c r="H149" s="152" t="str">
        <f aca="false">Scoring!BB155</f>
        <v/>
      </c>
      <c r="I149" s="154" t="str">
        <f aca="false">Scoring!BA155</f>
        <v/>
      </c>
    </row>
    <row r="150" customFormat="false" ht="15.75" hidden="false" customHeight="false" outlineLevel="0" collapsed="false">
      <c r="A150" s="152" t="str">
        <f aca="false">Scoring!BD156</f>
        <v/>
      </c>
      <c r="B150" s="152" t="str">
        <f aca="false">Scoring!BC156</f>
        <v/>
      </c>
      <c r="C150" s="152" t="n">
        <f aca="false">Scoring!C156</f>
        <v>0</v>
      </c>
      <c r="D150" s="153" t="str">
        <f aca="false">Scoring!AZ156</f>
        <v/>
      </c>
      <c r="E150" s="152" t="str">
        <f aca="false">Scoring!AF156</f>
        <v/>
      </c>
      <c r="F150" s="152" t="n">
        <f aca="false">Scoring!B156</f>
        <v>0</v>
      </c>
      <c r="G150" s="152" t="n">
        <f aca="false">Scoring!D156</f>
        <v>0</v>
      </c>
      <c r="H150" s="152" t="str">
        <f aca="false">Scoring!BB156</f>
        <v/>
      </c>
      <c r="I150" s="154" t="str">
        <f aca="false">Scoring!BA156</f>
        <v/>
      </c>
    </row>
    <row r="151" customFormat="false" ht="15.75" hidden="false" customHeight="false" outlineLevel="0" collapsed="false">
      <c r="A151" s="152" t="str">
        <f aca="false">Scoring!BD157</f>
        <v/>
      </c>
      <c r="B151" s="152" t="str">
        <f aca="false">Scoring!BC157</f>
        <v/>
      </c>
      <c r="C151" s="152" t="n">
        <f aca="false">Scoring!C157</f>
        <v>0</v>
      </c>
      <c r="D151" s="153" t="str">
        <f aca="false">Scoring!AZ157</f>
        <v/>
      </c>
      <c r="E151" s="152" t="str">
        <f aca="false">Scoring!AF157</f>
        <v/>
      </c>
      <c r="F151" s="152" t="n">
        <f aca="false">Scoring!B157</f>
        <v>0</v>
      </c>
      <c r="G151" s="152" t="n">
        <f aca="false">Scoring!D157</f>
        <v>0</v>
      </c>
      <c r="H151" s="152" t="str">
        <f aca="false">Scoring!BB157</f>
        <v/>
      </c>
      <c r="I151" s="154" t="str">
        <f aca="false">Scoring!BA157</f>
        <v/>
      </c>
    </row>
    <row r="152" customFormat="false" ht="15.75" hidden="false" customHeight="false" outlineLevel="0" collapsed="false">
      <c r="A152" s="152" t="str">
        <f aca="false">Scoring!BD158</f>
        <v/>
      </c>
      <c r="B152" s="152" t="str">
        <f aca="false">Scoring!BC158</f>
        <v/>
      </c>
      <c r="C152" s="152" t="n">
        <f aca="false">Scoring!C158</f>
        <v>0</v>
      </c>
      <c r="D152" s="153" t="str">
        <f aca="false">Scoring!AZ158</f>
        <v/>
      </c>
      <c r="E152" s="152" t="str">
        <f aca="false">Scoring!AF158</f>
        <v/>
      </c>
      <c r="F152" s="152" t="n">
        <f aca="false">Scoring!B158</f>
        <v>0</v>
      </c>
      <c r="G152" s="152" t="n">
        <f aca="false">Scoring!D158</f>
        <v>0</v>
      </c>
      <c r="H152" s="152" t="str">
        <f aca="false">Scoring!BB158</f>
        <v/>
      </c>
      <c r="I152" s="154" t="str">
        <f aca="false">Scoring!BA158</f>
        <v/>
      </c>
    </row>
    <row r="153" customFormat="false" ht="15.75" hidden="false" customHeight="false" outlineLevel="0" collapsed="false">
      <c r="A153" s="152" t="str">
        <f aca="false">Scoring!BD159</f>
        <v/>
      </c>
      <c r="B153" s="152" t="str">
        <f aca="false">Scoring!BC159</f>
        <v/>
      </c>
      <c r="C153" s="152" t="n">
        <f aca="false">Scoring!C159</f>
        <v>0</v>
      </c>
      <c r="D153" s="153" t="str">
        <f aca="false">Scoring!AZ159</f>
        <v/>
      </c>
      <c r="E153" s="152" t="str">
        <f aca="false">Scoring!AF159</f>
        <v/>
      </c>
      <c r="F153" s="152" t="n">
        <f aca="false">Scoring!B159</f>
        <v>0</v>
      </c>
      <c r="G153" s="152" t="n">
        <f aca="false">Scoring!D159</f>
        <v>0</v>
      </c>
      <c r="H153" s="152" t="str">
        <f aca="false">Scoring!BB159</f>
        <v/>
      </c>
      <c r="I153" s="154" t="str">
        <f aca="false">Scoring!BA159</f>
        <v/>
      </c>
    </row>
    <row r="154" customFormat="false" ht="15.75" hidden="false" customHeight="false" outlineLevel="0" collapsed="false">
      <c r="A154" s="152" t="str">
        <f aca="false">Scoring!BD160</f>
        <v/>
      </c>
      <c r="B154" s="152" t="str">
        <f aca="false">Scoring!BC160</f>
        <v/>
      </c>
      <c r="C154" s="152" t="n">
        <f aca="false">Scoring!C160</f>
        <v>0</v>
      </c>
      <c r="D154" s="153" t="str">
        <f aca="false">Scoring!AZ160</f>
        <v/>
      </c>
      <c r="E154" s="152" t="str">
        <f aca="false">Scoring!AF160</f>
        <v/>
      </c>
      <c r="F154" s="152" t="n">
        <f aca="false">Scoring!B160</f>
        <v>0</v>
      </c>
      <c r="G154" s="152" t="n">
        <f aca="false">Scoring!D160</f>
        <v>0</v>
      </c>
      <c r="H154" s="152" t="str">
        <f aca="false">Scoring!BB160</f>
        <v/>
      </c>
      <c r="I154" s="154" t="str">
        <f aca="false">Scoring!BA160</f>
        <v/>
      </c>
    </row>
    <row r="155" customFormat="false" ht="15.75" hidden="false" customHeight="false" outlineLevel="0" collapsed="false">
      <c r="A155" s="152" t="str">
        <f aca="false">Scoring!BD161</f>
        <v/>
      </c>
      <c r="B155" s="152" t="str">
        <f aca="false">Scoring!BC161</f>
        <v/>
      </c>
      <c r="C155" s="152" t="n">
        <f aca="false">Scoring!C161</f>
        <v>0</v>
      </c>
      <c r="D155" s="153" t="str">
        <f aca="false">Scoring!AZ161</f>
        <v/>
      </c>
      <c r="E155" s="152" t="str">
        <f aca="false">Scoring!AF161</f>
        <v/>
      </c>
      <c r="F155" s="152" t="n">
        <f aca="false">Scoring!B161</f>
        <v>0</v>
      </c>
      <c r="G155" s="152" t="n">
        <f aca="false">Scoring!D161</f>
        <v>0</v>
      </c>
      <c r="H155" s="152" t="str">
        <f aca="false">Scoring!BB161</f>
        <v/>
      </c>
      <c r="I155" s="154" t="str">
        <f aca="false">Scoring!BA161</f>
        <v/>
      </c>
    </row>
    <row r="156" customFormat="false" ht="15.75" hidden="false" customHeight="false" outlineLevel="0" collapsed="false">
      <c r="A156" s="152" t="str">
        <f aca="false">Scoring!BD162</f>
        <v/>
      </c>
      <c r="B156" s="152" t="str">
        <f aca="false">Scoring!BC162</f>
        <v/>
      </c>
      <c r="C156" s="152" t="n">
        <f aca="false">Scoring!C162</f>
        <v>0</v>
      </c>
      <c r="D156" s="153" t="str">
        <f aca="false">Scoring!AZ162</f>
        <v/>
      </c>
      <c r="E156" s="152" t="str">
        <f aca="false">Scoring!AF162</f>
        <v/>
      </c>
      <c r="F156" s="152" t="n">
        <f aca="false">Scoring!B162</f>
        <v>0</v>
      </c>
      <c r="G156" s="152" t="n">
        <f aca="false">Scoring!D162</f>
        <v>0</v>
      </c>
      <c r="H156" s="152" t="str">
        <f aca="false">Scoring!BB162</f>
        <v/>
      </c>
      <c r="I156" s="154" t="str">
        <f aca="false">Scoring!BA162</f>
        <v/>
      </c>
    </row>
    <row r="157" customFormat="false" ht="15.75" hidden="false" customHeight="false" outlineLevel="0" collapsed="false">
      <c r="A157" s="152" t="str">
        <f aca="false">Scoring!BD163</f>
        <v/>
      </c>
      <c r="B157" s="152" t="str">
        <f aca="false">Scoring!BC163</f>
        <v/>
      </c>
      <c r="C157" s="152" t="n">
        <f aca="false">Scoring!C163</f>
        <v>0</v>
      </c>
      <c r="D157" s="153" t="str">
        <f aca="false">Scoring!AZ163</f>
        <v/>
      </c>
      <c r="E157" s="152" t="str">
        <f aca="false">Scoring!AF163</f>
        <v/>
      </c>
      <c r="F157" s="152" t="n">
        <f aca="false">Scoring!B163</f>
        <v>0</v>
      </c>
      <c r="G157" s="152" t="n">
        <f aca="false">Scoring!D163</f>
        <v>0</v>
      </c>
      <c r="H157" s="152" t="str">
        <f aca="false">Scoring!BB163</f>
        <v/>
      </c>
      <c r="I157" s="154" t="str">
        <f aca="false">Scoring!BA163</f>
        <v/>
      </c>
    </row>
    <row r="158" customFormat="false" ht="15.75" hidden="false" customHeight="false" outlineLevel="0" collapsed="false">
      <c r="A158" s="152" t="str">
        <f aca="false">Scoring!BD164</f>
        <v/>
      </c>
      <c r="B158" s="152" t="str">
        <f aca="false">Scoring!BC164</f>
        <v/>
      </c>
      <c r="C158" s="152" t="n">
        <f aca="false">Scoring!C164</f>
        <v>0</v>
      </c>
      <c r="D158" s="153" t="str">
        <f aca="false">Scoring!AZ164</f>
        <v/>
      </c>
      <c r="E158" s="152" t="str">
        <f aca="false">Scoring!AF164</f>
        <v/>
      </c>
      <c r="F158" s="152" t="n">
        <f aca="false">Scoring!B164</f>
        <v>0</v>
      </c>
      <c r="G158" s="152" t="n">
        <f aca="false">Scoring!D164</f>
        <v>0</v>
      </c>
      <c r="H158" s="152" t="str">
        <f aca="false">Scoring!BB164</f>
        <v/>
      </c>
      <c r="I158" s="154" t="str">
        <f aca="false">Scoring!BA164</f>
        <v/>
      </c>
    </row>
    <row r="159" customFormat="false" ht="15.75" hidden="false" customHeight="false" outlineLevel="0" collapsed="false">
      <c r="A159" s="152" t="str">
        <f aca="false">Scoring!BD165</f>
        <v/>
      </c>
      <c r="B159" s="152" t="str">
        <f aca="false">Scoring!BC165</f>
        <v/>
      </c>
      <c r="C159" s="152" t="n">
        <f aca="false">Scoring!C165</f>
        <v>0</v>
      </c>
      <c r="D159" s="153" t="str">
        <f aca="false">Scoring!AZ165</f>
        <v/>
      </c>
      <c r="E159" s="152" t="str">
        <f aca="false">Scoring!AF165</f>
        <v/>
      </c>
      <c r="F159" s="152" t="n">
        <f aca="false">Scoring!B165</f>
        <v>0</v>
      </c>
      <c r="G159" s="152" t="n">
        <f aca="false">Scoring!D165</f>
        <v>0</v>
      </c>
      <c r="H159" s="152" t="str">
        <f aca="false">Scoring!BB165</f>
        <v/>
      </c>
      <c r="I159" s="154" t="str">
        <f aca="false">Scoring!BA165</f>
        <v/>
      </c>
    </row>
    <row r="160" customFormat="false" ht="15.75" hidden="false" customHeight="false" outlineLevel="0" collapsed="false">
      <c r="A160" s="152" t="str">
        <f aca="false">Scoring!BD166</f>
        <v/>
      </c>
      <c r="B160" s="152" t="str">
        <f aca="false">Scoring!BC166</f>
        <v/>
      </c>
      <c r="C160" s="152" t="n">
        <f aca="false">Scoring!C166</f>
        <v>0</v>
      </c>
      <c r="D160" s="153" t="str">
        <f aca="false">Scoring!AZ166</f>
        <v/>
      </c>
      <c r="E160" s="152" t="str">
        <f aca="false">Scoring!AF166</f>
        <v/>
      </c>
      <c r="F160" s="152" t="n">
        <f aca="false">Scoring!B166</f>
        <v>0</v>
      </c>
      <c r="G160" s="152" t="n">
        <f aca="false">Scoring!D166</f>
        <v>0</v>
      </c>
      <c r="H160" s="152" t="str">
        <f aca="false">Scoring!BB166</f>
        <v/>
      </c>
      <c r="I160" s="154" t="str">
        <f aca="false">Scoring!BA166</f>
        <v/>
      </c>
    </row>
    <row r="161" customFormat="false" ht="15.75" hidden="false" customHeight="false" outlineLevel="0" collapsed="false">
      <c r="A161" s="152" t="str">
        <f aca="false">Scoring!BD167</f>
        <v/>
      </c>
      <c r="B161" s="152" t="str">
        <f aca="false">Scoring!BC167</f>
        <v/>
      </c>
      <c r="C161" s="152" t="n">
        <f aca="false">Scoring!C167</f>
        <v>0</v>
      </c>
      <c r="D161" s="153" t="str">
        <f aca="false">Scoring!AZ167</f>
        <v/>
      </c>
      <c r="E161" s="152" t="str">
        <f aca="false">Scoring!AF167</f>
        <v/>
      </c>
      <c r="F161" s="152" t="n">
        <f aca="false">Scoring!B167</f>
        <v>0</v>
      </c>
      <c r="G161" s="152" t="n">
        <f aca="false">Scoring!D167</f>
        <v>0</v>
      </c>
      <c r="H161" s="152" t="str">
        <f aca="false">Scoring!BB167</f>
        <v/>
      </c>
      <c r="I161" s="154" t="str">
        <f aca="false">Scoring!BA167</f>
        <v/>
      </c>
    </row>
    <row r="162" customFormat="false" ht="15.75" hidden="false" customHeight="false" outlineLevel="0" collapsed="false">
      <c r="A162" s="152" t="str">
        <f aca="false">Scoring!BD168</f>
        <v/>
      </c>
      <c r="B162" s="152" t="str">
        <f aca="false">Scoring!BC168</f>
        <v/>
      </c>
      <c r="C162" s="152" t="n">
        <f aca="false">Scoring!C168</f>
        <v>0</v>
      </c>
      <c r="D162" s="153" t="str">
        <f aca="false">Scoring!AZ168</f>
        <v/>
      </c>
      <c r="E162" s="152" t="str">
        <f aca="false">Scoring!AF168</f>
        <v/>
      </c>
      <c r="F162" s="152" t="n">
        <f aca="false">Scoring!B168</f>
        <v>0</v>
      </c>
      <c r="G162" s="152" t="n">
        <f aca="false">Scoring!D168</f>
        <v>0</v>
      </c>
      <c r="H162" s="152" t="str">
        <f aca="false">Scoring!BB168</f>
        <v/>
      </c>
      <c r="I162" s="154" t="str">
        <f aca="false">Scoring!BA168</f>
        <v/>
      </c>
    </row>
    <row r="163" customFormat="false" ht="15.75" hidden="false" customHeight="false" outlineLevel="0" collapsed="false">
      <c r="A163" s="152" t="str">
        <f aca="false">Scoring!BD169</f>
        <v/>
      </c>
      <c r="B163" s="152" t="str">
        <f aca="false">Scoring!BC169</f>
        <v/>
      </c>
      <c r="C163" s="152" t="n">
        <f aca="false">Scoring!C169</f>
        <v>0</v>
      </c>
      <c r="D163" s="153" t="str">
        <f aca="false">Scoring!AZ169</f>
        <v/>
      </c>
      <c r="E163" s="152" t="str">
        <f aca="false">Scoring!AF169</f>
        <v/>
      </c>
      <c r="F163" s="152" t="n">
        <f aca="false">Scoring!B169</f>
        <v>0</v>
      </c>
      <c r="G163" s="152" t="n">
        <f aca="false">Scoring!D169</f>
        <v>0</v>
      </c>
      <c r="H163" s="152" t="str">
        <f aca="false">Scoring!BB169</f>
        <v/>
      </c>
      <c r="I163" s="154" t="str">
        <f aca="false">Scoring!BA169</f>
        <v/>
      </c>
    </row>
    <row r="164" customFormat="false" ht="15.75" hidden="false" customHeight="false" outlineLevel="0" collapsed="false">
      <c r="A164" s="152" t="str">
        <f aca="false">Scoring!BD170</f>
        <v/>
      </c>
      <c r="B164" s="152" t="str">
        <f aca="false">Scoring!BC170</f>
        <v/>
      </c>
      <c r="C164" s="152" t="n">
        <f aca="false">Scoring!C170</f>
        <v>0</v>
      </c>
      <c r="D164" s="153" t="str">
        <f aca="false">Scoring!AZ170</f>
        <v/>
      </c>
      <c r="E164" s="152" t="str">
        <f aca="false">Scoring!AF170</f>
        <v/>
      </c>
      <c r="F164" s="152" t="n">
        <f aca="false">Scoring!B170</f>
        <v>0</v>
      </c>
      <c r="G164" s="152" t="n">
        <f aca="false">Scoring!D170</f>
        <v>0</v>
      </c>
      <c r="H164" s="152" t="str">
        <f aca="false">Scoring!BB170</f>
        <v/>
      </c>
      <c r="I164" s="154" t="str">
        <f aca="false">Scoring!BA170</f>
        <v/>
      </c>
    </row>
    <row r="165" customFormat="false" ht="15.75" hidden="false" customHeight="false" outlineLevel="0" collapsed="false">
      <c r="A165" s="152" t="str">
        <f aca="false">Scoring!BD171</f>
        <v/>
      </c>
      <c r="B165" s="152" t="str">
        <f aca="false">Scoring!BC171</f>
        <v/>
      </c>
      <c r="C165" s="152" t="n">
        <f aca="false">Scoring!C171</f>
        <v>0</v>
      </c>
      <c r="D165" s="153" t="str">
        <f aca="false">Scoring!AZ171</f>
        <v/>
      </c>
      <c r="E165" s="152" t="str">
        <f aca="false">Scoring!AF171</f>
        <v/>
      </c>
      <c r="F165" s="152" t="n">
        <f aca="false">Scoring!B171</f>
        <v>0</v>
      </c>
      <c r="G165" s="152" t="n">
        <f aca="false">Scoring!D171</f>
        <v>0</v>
      </c>
      <c r="H165" s="152" t="str">
        <f aca="false">Scoring!BB171</f>
        <v/>
      </c>
      <c r="I165" s="154" t="str">
        <f aca="false">Scoring!BA171</f>
        <v/>
      </c>
    </row>
    <row r="166" customFormat="false" ht="15.75" hidden="false" customHeight="false" outlineLevel="0" collapsed="false">
      <c r="A166" s="152" t="str">
        <f aca="false">Scoring!BD172</f>
        <v/>
      </c>
      <c r="B166" s="152" t="str">
        <f aca="false">Scoring!BC172</f>
        <v/>
      </c>
      <c r="C166" s="152" t="n">
        <f aca="false">Scoring!C172</f>
        <v>0</v>
      </c>
      <c r="D166" s="153" t="str">
        <f aca="false">Scoring!AZ172</f>
        <v/>
      </c>
      <c r="E166" s="152" t="str">
        <f aca="false">Scoring!AF172</f>
        <v/>
      </c>
      <c r="F166" s="152" t="n">
        <f aca="false">Scoring!B172</f>
        <v>0</v>
      </c>
      <c r="G166" s="152" t="n">
        <f aca="false">Scoring!D172</f>
        <v>0</v>
      </c>
      <c r="H166" s="152" t="str">
        <f aca="false">Scoring!BB172</f>
        <v/>
      </c>
      <c r="I166" s="154" t="str">
        <f aca="false">Scoring!BA172</f>
        <v/>
      </c>
    </row>
    <row r="167" customFormat="false" ht="15.75" hidden="false" customHeight="false" outlineLevel="0" collapsed="false">
      <c r="A167" s="152" t="str">
        <f aca="false">Scoring!BD173</f>
        <v/>
      </c>
      <c r="B167" s="152" t="str">
        <f aca="false">Scoring!BC173</f>
        <v/>
      </c>
      <c r="C167" s="152" t="n">
        <f aca="false">Scoring!C173</f>
        <v>0</v>
      </c>
      <c r="D167" s="153" t="str">
        <f aca="false">Scoring!AZ173</f>
        <v/>
      </c>
      <c r="E167" s="152" t="str">
        <f aca="false">Scoring!AF173</f>
        <v/>
      </c>
      <c r="F167" s="152" t="n">
        <f aca="false">Scoring!B173</f>
        <v>0</v>
      </c>
      <c r="G167" s="152" t="n">
        <f aca="false">Scoring!D173</f>
        <v>0</v>
      </c>
      <c r="H167" s="152" t="str">
        <f aca="false">Scoring!BB173</f>
        <v/>
      </c>
      <c r="I167" s="154" t="str">
        <f aca="false">Scoring!BA173</f>
        <v/>
      </c>
    </row>
    <row r="168" customFormat="false" ht="15.75" hidden="false" customHeight="false" outlineLevel="0" collapsed="false">
      <c r="A168" s="152" t="str">
        <f aca="false">Scoring!BD174</f>
        <v/>
      </c>
      <c r="B168" s="152" t="str">
        <f aca="false">Scoring!BC174</f>
        <v/>
      </c>
      <c r="C168" s="152" t="n">
        <f aca="false">Scoring!C174</f>
        <v>0</v>
      </c>
      <c r="D168" s="153" t="str">
        <f aca="false">Scoring!AZ174</f>
        <v/>
      </c>
      <c r="E168" s="152" t="str">
        <f aca="false">Scoring!AF174</f>
        <v/>
      </c>
      <c r="F168" s="152" t="n">
        <f aca="false">Scoring!B174</f>
        <v>0</v>
      </c>
      <c r="G168" s="152" t="n">
        <f aca="false">Scoring!D174</f>
        <v>0</v>
      </c>
      <c r="H168" s="152" t="str">
        <f aca="false">Scoring!BB174</f>
        <v/>
      </c>
      <c r="I168" s="154" t="str">
        <f aca="false">Scoring!BA174</f>
        <v/>
      </c>
    </row>
    <row r="169" customFormat="false" ht="15.75" hidden="false" customHeight="false" outlineLevel="0" collapsed="false">
      <c r="A169" s="152" t="str">
        <f aca="false">Scoring!BD175</f>
        <v/>
      </c>
      <c r="B169" s="152" t="str">
        <f aca="false">Scoring!BC175</f>
        <v/>
      </c>
      <c r="C169" s="152" t="n">
        <f aca="false">Scoring!C175</f>
        <v>0</v>
      </c>
      <c r="D169" s="153" t="str">
        <f aca="false">Scoring!AZ175</f>
        <v/>
      </c>
      <c r="E169" s="152" t="str">
        <f aca="false">Scoring!AF175</f>
        <v/>
      </c>
      <c r="F169" s="152" t="n">
        <f aca="false">Scoring!B175</f>
        <v>0</v>
      </c>
      <c r="G169" s="152" t="n">
        <f aca="false">Scoring!D175</f>
        <v>0</v>
      </c>
      <c r="H169" s="152" t="str">
        <f aca="false">Scoring!BB175</f>
        <v/>
      </c>
      <c r="I169" s="154" t="str">
        <f aca="false">Scoring!BA175</f>
        <v/>
      </c>
    </row>
    <row r="170" customFormat="false" ht="15.75" hidden="false" customHeight="false" outlineLevel="0" collapsed="false">
      <c r="A170" s="152" t="str">
        <f aca="false">Scoring!BD176</f>
        <v/>
      </c>
      <c r="B170" s="152" t="str">
        <f aca="false">Scoring!BC176</f>
        <v/>
      </c>
      <c r="C170" s="152" t="n">
        <f aca="false">Scoring!C176</f>
        <v>0</v>
      </c>
      <c r="D170" s="153" t="str">
        <f aca="false">Scoring!AZ176</f>
        <v/>
      </c>
      <c r="E170" s="152" t="str">
        <f aca="false">Scoring!AF176</f>
        <v/>
      </c>
      <c r="F170" s="152" t="n">
        <f aca="false">Scoring!B176</f>
        <v>0</v>
      </c>
      <c r="G170" s="152" t="n">
        <f aca="false">Scoring!D176</f>
        <v>0</v>
      </c>
      <c r="H170" s="152" t="str">
        <f aca="false">Scoring!BB176</f>
        <v/>
      </c>
      <c r="I170" s="154" t="str">
        <f aca="false">Scoring!BA176</f>
        <v/>
      </c>
    </row>
    <row r="171" customFormat="false" ht="15.75" hidden="false" customHeight="false" outlineLevel="0" collapsed="false">
      <c r="A171" s="152" t="str">
        <f aca="false">Scoring!BD177</f>
        <v/>
      </c>
      <c r="B171" s="152" t="str">
        <f aca="false">Scoring!BC177</f>
        <v/>
      </c>
      <c r="C171" s="152" t="n">
        <f aca="false">Scoring!C177</f>
        <v>0</v>
      </c>
      <c r="D171" s="153" t="str">
        <f aca="false">Scoring!AZ177</f>
        <v/>
      </c>
      <c r="E171" s="152" t="str">
        <f aca="false">Scoring!AF177</f>
        <v/>
      </c>
      <c r="F171" s="152" t="n">
        <f aca="false">Scoring!B177</f>
        <v>0</v>
      </c>
      <c r="G171" s="152" t="n">
        <f aca="false">Scoring!D177</f>
        <v>0</v>
      </c>
      <c r="H171" s="152" t="str">
        <f aca="false">Scoring!BB177</f>
        <v/>
      </c>
      <c r="I171" s="154" t="str">
        <f aca="false">Scoring!BA177</f>
        <v/>
      </c>
    </row>
    <row r="172" customFormat="false" ht="15.75" hidden="false" customHeight="false" outlineLevel="0" collapsed="false">
      <c r="A172" s="152" t="str">
        <f aca="false">Scoring!BD178</f>
        <v/>
      </c>
      <c r="B172" s="152" t="str">
        <f aca="false">Scoring!BC178</f>
        <v/>
      </c>
      <c r="C172" s="152" t="n">
        <f aca="false">Scoring!C178</f>
        <v>0</v>
      </c>
      <c r="D172" s="153" t="str">
        <f aca="false">Scoring!AZ178</f>
        <v/>
      </c>
      <c r="E172" s="152" t="str">
        <f aca="false">Scoring!AF178</f>
        <v/>
      </c>
      <c r="F172" s="152" t="n">
        <f aca="false">Scoring!B178</f>
        <v>0</v>
      </c>
      <c r="G172" s="152" t="n">
        <f aca="false">Scoring!D178</f>
        <v>0</v>
      </c>
      <c r="H172" s="152" t="str">
        <f aca="false">Scoring!BB178</f>
        <v/>
      </c>
      <c r="I172" s="154" t="str">
        <f aca="false">Scoring!BA178</f>
        <v/>
      </c>
    </row>
    <row r="173" customFormat="false" ht="15.75" hidden="false" customHeight="false" outlineLevel="0" collapsed="false">
      <c r="A173" s="152" t="str">
        <f aca="false">Scoring!BD179</f>
        <v/>
      </c>
      <c r="B173" s="152" t="str">
        <f aca="false">Scoring!BC179</f>
        <v/>
      </c>
      <c r="C173" s="152" t="n">
        <f aca="false">Scoring!C179</f>
        <v>0</v>
      </c>
      <c r="D173" s="153" t="str">
        <f aca="false">Scoring!AZ179</f>
        <v/>
      </c>
      <c r="E173" s="152" t="str">
        <f aca="false">Scoring!AF179</f>
        <v/>
      </c>
      <c r="F173" s="152" t="n">
        <f aca="false">Scoring!B179</f>
        <v>0</v>
      </c>
      <c r="G173" s="152" t="n">
        <f aca="false">Scoring!D179</f>
        <v>0</v>
      </c>
      <c r="H173" s="152" t="str">
        <f aca="false">Scoring!BB179</f>
        <v/>
      </c>
      <c r="I173" s="154" t="str">
        <f aca="false">Scoring!BA179</f>
        <v/>
      </c>
    </row>
    <row r="174" customFormat="false" ht="15.75" hidden="false" customHeight="false" outlineLevel="0" collapsed="false">
      <c r="A174" s="152" t="str">
        <f aca="false">Scoring!BD180</f>
        <v/>
      </c>
      <c r="B174" s="152" t="str">
        <f aca="false">Scoring!BC180</f>
        <v/>
      </c>
      <c r="C174" s="152" t="n">
        <f aca="false">Scoring!C180</f>
        <v>0</v>
      </c>
      <c r="D174" s="153" t="str">
        <f aca="false">Scoring!AZ180</f>
        <v/>
      </c>
      <c r="E174" s="152" t="str">
        <f aca="false">Scoring!AF180</f>
        <v/>
      </c>
      <c r="F174" s="152" t="n">
        <f aca="false">Scoring!B180</f>
        <v>0</v>
      </c>
      <c r="G174" s="152" t="n">
        <f aca="false">Scoring!D180</f>
        <v>0</v>
      </c>
      <c r="H174" s="152" t="str">
        <f aca="false">Scoring!BB180</f>
        <v/>
      </c>
      <c r="I174" s="154" t="str">
        <f aca="false">Scoring!BA180</f>
        <v/>
      </c>
    </row>
    <row r="175" customFormat="false" ht="15.75" hidden="false" customHeight="false" outlineLevel="0" collapsed="false">
      <c r="A175" s="152" t="str">
        <f aca="false">Scoring!BD181</f>
        <v/>
      </c>
      <c r="B175" s="152" t="str">
        <f aca="false">Scoring!BC181</f>
        <v/>
      </c>
      <c r="C175" s="152" t="n">
        <f aca="false">Scoring!C181</f>
        <v>0</v>
      </c>
      <c r="D175" s="153" t="str">
        <f aca="false">Scoring!AZ181</f>
        <v/>
      </c>
      <c r="E175" s="152" t="str">
        <f aca="false">Scoring!AF181</f>
        <v/>
      </c>
      <c r="F175" s="152" t="n">
        <f aca="false">Scoring!B181</f>
        <v>0</v>
      </c>
      <c r="G175" s="152" t="n">
        <f aca="false">Scoring!D181</f>
        <v>0</v>
      </c>
      <c r="H175" s="152" t="str">
        <f aca="false">Scoring!BB181</f>
        <v/>
      </c>
      <c r="I175" s="154" t="str">
        <f aca="false">Scoring!BA181</f>
        <v/>
      </c>
    </row>
    <row r="176" customFormat="false" ht="15.75" hidden="false" customHeight="false" outlineLevel="0" collapsed="false">
      <c r="A176" s="152" t="str">
        <f aca="false">Scoring!BD182</f>
        <v/>
      </c>
      <c r="B176" s="152" t="str">
        <f aca="false">Scoring!BC182</f>
        <v/>
      </c>
      <c r="C176" s="152" t="n">
        <f aca="false">Scoring!C182</f>
        <v>0</v>
      </c>
      <c r="D176" s="153" t="str">
        <f aca="false">Scoring!AZ182</f>
        <v/>
      </c>
      <c r="E176" s="152" t="str">
        <f aca="false">Scoring!AF182</f>
        <v/>
      </c>
      <c r="F176" s="152" t="n">
        <f aca="false">Scoring!B182</f>
        <v>0</v>
      </c>
      <c r="G176" s="152" t="n">
        <f aca="false">Scoring!D182</f>
        <v>0</v>
      </c>
      <c r="H176" s="152" t="str">
        <f aca="false">Scoring!BB182</f>
        <v/>
      </c>
      <c r="I176" s="154" t="str">
        <f aca="false">Scoring!BA182</f>
        <v/>
      </c>
    </row>
    <row r="177" customFormat="false" ht="15.75" hidden="false" customHeight="false" outlineLevel="0" collapsed="false">
      <c r="A177" s="152" t="str">
        <f aca="false">Scoring!BD183</f>
        <v/>
      </c>
      <c r="B177" s="152" t="str">
        <f aca="false">Scoring!BC183</f>
        <v/>
      </c>
      <c r="C177" s="152" t="n">
        <f aca="false">Scoring!C183</f>
        <v>0</v>
      </c>
      <c r="D177" s="153" t="str">
        <f aca="false">Scoring!AZ183</f>
        <v/>
      </c>
      <c r="E177" s="152" t="str">
        <f aca="false">Scoring!AF183</f>
        <v/>
      </c>
      <c r="F177" s="152" t="n">
        <f aca="false">Scoring!B183</f>
        <v>0</v>
      </c>
      <c r="G177" s="152" t="n">
        <f aca="false">Scoring!D183</f>
        <v>0</v>
      </c>
      <c r="H177" s="152" t="str">
        <f aca="false">Scoring!BB183</f>
        <v/>
      </c>
      <c r="I177" s="154" t="str">
        <f aca="false">Scoring!BA183</f>
        <v/>
      </c>
    </row>
    <row r="178" customFormat="false" ht="15.75" hidden="false" customHeight="false" outlineLevel="0" collapsed="false">
      <c r="A178" s="152" t="str">
        <f aca="false">Scoring!BD184</f>
        <v/>
      </c>
      <c r="B178" s="152" t="str">
        <f aca="false">Scoring!BC184</f>
        <v/>
      </c>
      <c r="C178" s="152" t="n">
        <f aca="false">Scoring!C184</f>
        <v>0</v>
      </c>
      <c r="D178" s="153" t="str">
        <f aca="false">Scoring!AZ184</f>
        <v/>
      </c>
      <c r="E178" s="152" t="str">
        <f aca="false">Scoring!AF184</f>
        <v/>
      </c>
      <c r="F178" s="152" t="n">
        <f aca="false">Scoring!B184</f>
        <v>0</v>
      </c>
      <c r="G178" s="152" t="n">
        <f aca="false">Scoring!D184</f>
        <v>0</v>
      </c>
      <c r="H178" s="152" t="str">
        <f aca="false">Scoring!BB184</f>
        <v/>
      </c>
      <c r="I178" s="154" t="str">
        <f aca="false">Scoring!BA184</f>
        <v/>
      </c>
    </row>
    <row r="179" customFormat="false" ht="15.75" hidden="false" customHeight="false" outlineLevel="0" collapsed="false">
      <c r="A179" s="152" t="str">
        <f aca="false">Scoring!BD185</f>
        <v/>
      </c>
      <c r="B179" s="152" t="str">
        <f aca="false">Scoring!BC185</f>
        <v/>
      </c>
      <c r="C179" s="152" t="n">
        <f aca="false">Scoring!C185</f>
        <v>0</v>
      </c>
      <c r="D179" s="153" t="str">
        <f aca="false">Scoring!AZ185</f>
        <v/>
      </c>
      <c r="E179" s="152" t="str">
        <f aca="false">Scoring!AF185</f>
        <v/>
      </c>
      <c r="F179" s="152" t="n">
        <f aca="false">Scoring!B185</f>
        <v>0</v>
      </c>
      <c r="G179" s="152" t="n">
        <f aca="false">Scoring!D185</f>
        <v>0</v>
      </c>
      <c r="H179" s="152" t="str">
        <f aca="false">Scoring!BB185</f>
        <v/>
      </c>
      <c r="I179" s="154" t="str">
        <f aca="false">Scoring!BA185</f>
        <v/>
      </c>
    </row>
    <row r="180" customFormat="false" ht="15.75" hidden="false" customHeight="false" outlineLevel="0" collapsed="false">
      <c r="A180" s="152" t="str">
        <f aca="false">Scoring!BD186</f>
        <v/>
      </c>
      <c r="B180" s="152" t="str">
        <f aca="false">Scoring!BC186</f>
        <v/>
      </c>
      <c r="C180" s="152" t="n">
        <f aca="false">Scoring!C186</f>
        <v>0</v>
      </c>
      <c r="D180" s="153" t="str">
        <f aca="false">Scoring!AZ186</f>
        <v/>
      </c>
      <c r="E180" s="152" t="str">
        <f aca="false">Scoring!AF186</f>
        <v/>
      </c>
      <c r="F180" s="152" t="n">
        <f aca="false">Scoring!B186</f>
        <v>0</v>
      </c>
      <c r="G180" s="152" t="n">
        <f aca="false">Scoring!D186</f>
        <v>0</v>
      </c>
      <c r="H180" s="152" t="str">
        <f aca="false">Scoring!BB186</f>
        <v/>
      </c>
      <c r="I180" s="154" t="str">
        <f aca="false">Scoring!BA186</f>
        <v/>
      </c>
    </row>
    <row r="181" customFormat="false" ht="15.75" hidden="false" customHeight="false" outlineLevel="0" collapsed="false">
      <c r="A181" s="152" t="str">
        <f aca="false">Scoring!BD187</f>
        <v/>
      </c>
      <c r="B181" s="152" t="str">
        <f aca="false">Scoring!BC187</f>
        <v/>
      </c>
      <c r="C181" s="152" t="n">
        <f aca="false">Scoring!C187</f>
        <v>0</v>
      </c>
      <c r="D181" s="153" t="str">
        <f aca="false">Scoring!AZ187</f>
        <v/>
      </c>
      <c r="E181" s="152" t="str">
        <f aca="false">Scoring!AF187</f>
        <v/>
      </c>
      <c r="F181" s="152" t="n">
        <f aca="false">Scoring!B187</f>
        <v>0</v>
      </c>
      <c r="G181" s="152" t="n">
        <f aca="false">Scoring!D187</f>
        <v>0</v>
      </c>
      <c r="H181" s="152" t="str">
        <f aca="false">Scoring!BB187</f>
        <v/>
      </c>
      <c r="I181" s="154" t="str">
        <f aca="false">Scoring!BA187</f>
        <v/>
      </c>
    </row>
    <row r="182" customFormat="false" ht="15.75" hidden="false" customHeight="false" outlineLevel="0" collapsed="false">
      <c r="A182" s="152" t="str">
        <f aca="false">Scoring!BD188</f>
        <v/>
      </c>
      <c r="B182" s="152" t="str">
        <f aca="false">Scoring!BC188</f>
        <v/>
      </c>
      <c r="C182" s="152" t="n">
        <f aca="false">Scoring!C188</f>
        <v>0</v>
      </c>
      <c r="D182" s="153" t="str">
        <f aca="false">Scoring!AZ188</f>
        <v/>
      </c>
      <c r="E182" s="152" t="str">
        <f aca="false">Scoring!AF188</f>
        <v/>
      </c>
      <c r="F182" s="152" t="n">
        <f aca="false">Scoring!B188</f>
        <v>0</v>
      </c>
      <c r="G182" s="152" t="n">
        <f aca="false">Scoring!D188</f>
        <v>0</v>
      </c>
      <c r="H182" s="152" t="str">
        <f aca="false">Scoring!BB188</f>
        <v/>
      </c>
      <c r="I182" s="154" t="str">
        <f aca="false">Scoring!BA188</f>
        <v/>
      </c>
    </row>
    <row r="183" customFormat="false" ht="15.75" hidden="false" customHeight="false" outlineLevel="0" collapsed="false">
      <c r="A183" s="152" t="str">
        <f aca="false">Scoring!BD189</f>
        <v/>
      </c>
      <c r="B183" s="152" t="str">
        <f aca="false">Scoring!BC189</f>
        <v/>
      </c>
      <c r="C183" s="152" t="n">
        <f aca="false">Scoring!C189</f>
        <v>0</v>
      </c>
      <c r="D183" s="153" t="str">
        <f aca="false">Scoring!AZ189</f>
        <v/>
      </c>
      <c r="E183" s="152" t="str">
        <f aca="false">Scoring!AF189</f>
        <v/>
      </c>
      <c r="F183" s="152" t="n">
        <f aca="false">Scoring!B189</f>
        <v>0</v>
      </c>
      <c r="G183" s="152" t="n">
        <f aca="false">Scoring!D189</f>
        <v>0</v>
      </c>
      <c r="H183" s="152" t="str">
        <f aca="false">Scoring!BB189</f>
        <v/>
      </c>
      <c r="I183" s="154" t="str">
        <f aca="false">Scoring!BA189</f>
        <v/>
      </c>
    </row>
    <row r="184" customFormat="false" ht="15.75" hidden="false" customHeight="false" outlineLevel="0" collapsed="false">
      <c r="A184" s="152" t="str">
        <f aca="false">Scoring!BD190</f>
        <v/>
      </c>
      <c r="B184" s="152" t="str">
        <f aca="false">Scoring!BC190</f>
        <v/>
      </c>
      <c r="C184" s="152" t="n">
        <f aca="false">Scoring!C190</f>
        <v>0</v>
      </c>
      <c r="D184" s="153" t="str">
        <f aca="false">Scoring!AZ190</f>
        <v/>
      </c>
      <c r="E184" s="152" t="str">
        <f aca="false">Scoring!AF190</f>
        <v/>
      </c>
      <c r="F184" s="152" t="n">
        <f aca="false">Scoring!B190</f>
        <v>0</v>
      </c>
      <c r="G184" s="152" t="n">
        <f aca="false">Scoring!D190</f>
        <v>0</v>
      </c>
      <c r="H184" s="152" t="str">
        <f aca="false">Scoring!BB190</f>
        <v/>
      </c>
      <c r="I184" s="154" t="str">
        <f aca="false">Scoring!BA190</f>
        <v/>
      </c>
    </row>
    <row r="185" customFormat="false" ht="15.75" hidden="false" customHeight="false" outlineLevel="0" collapsed="false">
      <c r="A185" s="152" t="str">
        <f aca="false">Scoring!BD191</f>
        <v/>
      </c>
      <c r="B185" s="152" t="str">
        <f aca="false">Scoring!BC191</f>
        <v/>
      </c>
      <c r="C185" s="152" t="n">
        <f aca="false">Scoring!C191</f>
        <v>0</v>
      </c>
      <c r="D185" s="153" t="str">
        <f aca="false">Scoring!AZ191</f>
        <v/>
      </c>
      <c r="E185" s="152" t="str">
        <f aca="false">Scoring!AF191</f>
        <v/>
      </c>
      <c r="F185" s="152" t="n">
        <f aca="false">Scoring!B191</f>
        <v>0</v>
      </c>
      <c r="G185" s="152" t="n">
        <f aca="false">Scoring!D191</f>
        <v>0</v>
      </c>
      <c r="H185" s="152" t="str">
        <f aca="false">Scoring!BB191</f>
        <v/>
      </c>
      <c r="I185" s="154" t="str">
        <f aca="false">Scoring!BA191</f>
        <v/>
      </c>
    </row>
    <row r="186" customFormat="false" ht="15.75" hidden="false" customHeight="false" outlineLevel="0" collapsed="false">
      <c r="A186" s="152" t="str">
        <f aca="false">Scoring!BD192</f>
        <v/>
      </c>
      <c r="B186" s="152" t="str">
        <f aca="false">Scoring!BC192</f>
        <v/>
      </c>
      <c r="C186" s="152" t="n">
        <f aca="false">Scoring!C192</f>
        <v>0</v>
      </c>
      <c r="D186" s="153" t="str">
        <f aca="false">Scoring!AZ192</f>
        <v/>
      </c>
      <c r="E186" s="152" t="str">
        <f aca="false">Scoring!AF192</f>
        <v/>
      </c>
      <c r="F186" s="152" t="n">
        <f aca="false">Scoring!B192</f>
        <v>0</v>
      </c>
      <c r="G186" s="152" t="n">
        <f aca="false">Scoring!D192</f>
        <v>0</v>
      </c>
      <c r="H186" s="152" t="str">
        <f aca="false">Scoring!BB192</f>
        <v/>
      </c>
      <c r="I186" s="154" t="str">
        <f aca="false">Scoring!BA192</f>
        <v/>
      </c>
    </row>
    <row r="187" customFormat="false" ht="15.75" hidden="false" customHeight="false" outlineLevel="0" collapsed="false">
      <c r="A187" s="152" t="str">
        <f aca="false">Scoring!BD193</f>
        <v/>
      </c>
      <c r="B187" s="152" t="str">
        <f aca="false">Scoring!BC193</f>
        <v/>
      </c>
      <c r="C187" s="152" t="n">
        <f aca="false">Scoring!C193</f>
        <v>0</v>
      </c>
      <c r="D187" s="153" t="str">
        <f aca="false">Scoring!AZ193</f>
        <v/>
      </c>
      <c r="E187" s="152" t="str">
        <f aca="false">Scoring!AF193</f>
        <v/>
      </c>
      <c r="F187" s="152" t="n">
        <f aca="false">Scoring!B193</f>
        <v>0</v>
      </c>
      <c r="G187" s="152" t="n">
        <f aca="false">Scoring!D193</f>
        <v>0</v>
      </c>
      <c r="H187" s="152" t="str">
        <f aca="false">Scoring!BB193</f>
        <v/>
      </c>
      <c r="I187" s="154" t="str">
        <f aca="false">Scoring!BA193</f>
        <v/>
      </c>
    </row>
    <row r="188" customFormat="false" ht="15.75" hidden="false" customHeight="false" outlineLevel="0" collapsed="false">
      <c r="A188" s="152" t="str">
        <f aca="false">Scoring!BD194</f>
        <v/>
      </c>
      <c r="B188" s="152" t="str">
        <f aca="false">Scoring!BC194</f>
        <v/>
      </c>
      <c r="C188" s="152" t="n">
        <f aca="false">Scoring!C194</f>
        <v>0</v>
      </c>
      <c r="D188" s="153" t="str">
        <f aca="false">Scoring!AZ194</f>
        <v/>
      </c>
      <c r="E188" s="152" t="str">
        <f aca="false">Scoring!AF194</f>
        <v/>
      </c>
      <c r="F188" s="152" t="n">
        <f aca="false">Scoring!B194</f>
        <v>0</v>
      </c>
      <c r="G188" s="152" t="n">
        <f aca="false">Scoring!D194</f>
        <v>0</v>
      </c>
      <c r="H188" s="152" t="str">
        <f aca="false">Scoring!BB194</f>
        <v/>
      </c>
      <c r="I188" s="154" t="str">
        <f aca="false">Scoring!BA194</f>
        <v/>
      </c>
    </row>
    <row r="189" customFormat="false" ht="15.75" hidden="false" customHeight="false" outlineLevel="0" collapsed="false">
      <c r="A189" s="152" t="str">
        <f aca="false">Scoring!BD195</f>
        <v/>
      </c>
      <c r="B189" s="152" t="str">
        <f aca="false">Scoring!BC195</f>
        <v/>
      </c>
      <c r="C189" s="152" t="n">
        <f aca="false">Scoring!C195</f>
        <v>0</v>
      </c>
      <c r="D189" s="153" t="str">
        <f aca="false">Scoring!AZ195</f>
        <v/>
      </c>
      <c r="E189" s="152" t="str">
        <f aca="false">Scoring!AF195</f>
        <v/>
      </c>
      <c r="F189" s="152" t="n">
        <f aca="false">Scoring!B195</f>
        <v>0</v>
      </c>
      <c r="G189" s="152" t="n">
        <f aca="false">Scoring!D195</f>
        <v>0</v>
      </c>
      <c r="H189" s="152" t="str">
        <f aca="false">Scoring!BB195</f>
        <v/>
      </c>
      <c r="I189" s="154" t="str">
        <f aca="false">Scoring!BA195</f>
        <v/>
      </c>
    </row>
    <row r="190" customFormat="false" ht="15.75" hidden="false" customHeight="false" outlineLevel="0" collapsed="false">
      <c r="A190" s="152" t="str">
        <f aca="false">Scoring!BD196</f>
        <v/>
      </c>
      <c r="B190" s="152" t="str">
        <f aca="false">Scoring!BC196</f>
        <v/>
      </c>
      <c r="C190" s="152" t="n">
        <f aca="false">Scoring!C196</f>
        <v>0</v>
      </c>
      <c r="D190" s="153" t="str">
        <f aca="false">Scoring!AZ196</f>
        <v/>
      </c>
      <c r="E190" s="152" t="str">
        <f aca="false">Scoring!AF196</f>
        <v/>
      </c>
      <c r="F190" s="152" t="n">
        <f aca="false">Scoring!B196</f>
        <v>0</v>
      </c>
      <c r="G190" s="152" t="n">
        <f aca="false">Scoring!D196</f>
        <v>0</v>
      </c>
      <c r="H190" s="152" t="str">
        <f aca="false">Scoring!BB196</f>
        <v/>
      </c>
      <c r="I190" s="154" t="str">
        <f aca="false">Scoring!BA196</f>
        <v/>
      </c>
    </row>
    <row r="191" customFormat="false" ht="15.75" hidden="false" customHeight="false" outlineLevel="0" collapsed="false">
      <c r="A191" s="152" t="str">
        <f aca="false">Scoring!BD197</f>
        <v/>
      </c>
      <c r="B191" s="152" t="str">
        <f aca="false">Scoring!BC197</f>
        <v/>
      </c>
      <c r="C191" s="152" t="n">
        <f aca="false">Scoring!C197</f>
        <v>0</v>
      </c>
      <c r="D191" s="153" t="str">
        <f aca="false">Scoring!AZ197</f>
        <v/>
      </c>
      <c r="E191" s="152" t="str">
        <f aca="false">Scoring!AF197</f>
        <v/>
      </c>
      <c r="F191" s="152" t="n">
        <f aca="false">Scoring!B197</f>
        <v>0</v>
      </c>
      <c r="G191" s="152" t="n">
        <f aca="false">Scoring!D197</f>
        <v>0</v>
      </c>
      <c r="H191" s="152" t="str">
        <f aca="false">Scoring!BB197</f>
        <v/>
      </c>
      <c r="I191" s="154" t="str">
        <f aca="false">Scoring!BA197</f>
        <v/>
      </c>
    </row>
    <row r="192" customFormat="false" ht="15.75" hidden="false" customHeight="false" outlineLevel="0" collapsed="false">
      <c r="A192" s="152" t="str">
        <f aca="false">Scoring!BD198</f>
        <v/>
      </c>
      <c r="B192" s="152" t="str">
        <f aca="false">Scoring!BC198</f>
        <v/>
      </c>
      <c r="C192" s="152" t="n">
        <f aca="false">Scoring!C198</f>
        <v>0</v>
      </c>
      <c r="D192" s="153" t="str">
        <f aca="false">Scoring!AZ198</f>
        <v/>
      </c>
      <c r="E192" s="152" t="str">
        <f aca="false">Scoring!AF198</f>
        <v/>
      </c>
      <c r="F192" s="152" t="n">
        <f aca="false">Scoring!B198</f>
        <v>0</v>
      </c>
      <c r="G192" s="152" t="n">
        <f aca="false">Scoring!D198</f>
        <v>0</v>
      </c>
      <c r="H192" s="152" t="str">
        <f aca="false">Scoring!BB198</f>
        <v/>
      </c>
      <c r="I192" s="154" t="str">
        <f aca="false">Scoring!BA198</f>
        <v/>
      </c>
    </row>
    <row r="193" customFormat="false" ht="15.75" hidden="false" customHeight="false" outlineLevel="0" collapsed="false">
      <c r="A193" s="152" t="str">
        <f aca="false">Scoring!BD199</f>
        <v/>
      </c>
      <c r="B193" s="152" t="str">
        <f aca="false">Scoring!BC199</f>
        <v/>
      </c>
      <c r="C193" s="152" t="n">
        <f aca="false">Scoring!C199</f>
        <v>0</v>
      </c>
      <c r="D193" s="153" t="str">
        <f aca="false">Scoring!AZ199</f>
        <v/>
      </c>
      <c r="E193" s="152" t="str">
        <f aca="false">Scoring!AF199</f>
        <v/>
      </c>
      <c r="F193" s="152" t="n">
        <f aca="false">Scoring!B199</f>
        <v>0</v>
      </c>
      <c r="G193" s="152" t="n">
        <f aca="false">Scoring!D199</f>
        <v>0</v>
      </c>
      <c r="H193" s="152" t="str">
        <f aca="false">Scoring!BB199</f>
        <v/>
      </c>
      <c r="I193" s="154" t="str">
        <f aca="false">Scoring!BA199</f>
        <v/>
      </c>
    </row>
    <row r="194" customFormat="false" ht="15.75" hidden="false" customHeight="false" outlineLevel="0" collapsed="false">
      <c r="A194" s="152" t="str">
        <f aca="false">Scoring!BD200</f>
        <v/>
      </c>
      <c r="B194" s="152" t="str">
        <f aca="false">Scoring!BC200</f>
        <v/>
      </c>
      <c r="C194" s="152" t="n">
        <f aca="false">Scoring!C200</f>
        <v>0</v>
      </c>
      <c r="D194" s="153" t="str">
        <f aca="false">Scoring!AZ200</f>
        <v/>
      </c>
      <c r="E194" s="152" t="str">
        <f aca="false">Scoring!AF200</f>
        <v/>
      </c>
      <c r="F194" s="152" t="n">
        <f aca="false">Scoring!B200</f>
        <v>0</v>
      </c>
      <c r="G194" s="152" t="n">
        <f aca="false">Scoring!D200</f>
        <v>0</v>
      </c>
      <c r="H194" s="152" t="str">
        <f aca="false">Scoring!BB200</f>
        <v/>
      </c>
      <c r="I194" s="154" t="str">
        <f aca="false">Scoring!BA200</f>
        <v/>
      </c>
    </row>
    <row r="195" customFormat="false" ht="15.75" hidden="false" customHeight="false" outlineLevel="0" collapsed="false">
      <c r="A195" s="152" t="str">
        <f aca="false">Scoring!BD201</f>
        <v/>
      </c>
      <c r="B195" s="152" t="str">
        <f aca="false">Scoring!BC201</f>
        <v/>
      </c>
      <c r="C195" s="152" t="n">
        <f aca="false">Scoring!C201</f>
        <v>0</v>
      </c>
      <c r="D195" s="153" t="str">
        <f aca="false">Scoring!AZ201</f>
        <v/>
      </c>
      <c r="E195" s="152" t="str">
        <f aca="false">Scoring!AF201</f>
        <v/>
      </c>
      <c r="F195" s="152" t="n">
        <f aca="false">Scoring!B201</f>
        <v>0</v>
      </c>
      <c r="G195" s="152" t="n">
        <f aca="false">Scoring!D201</f>
        <v>0</v>
      </c>
      <c r="H195" s="152" t="str">
        <f aca="false">Scoring!BB201</f>
        <v/>
      </c>
      <c r="I195" s="154" t="str">
        <f aca="false">Scoring!BA201</f>
        <v/>
      </c>
    </row>
    <row r="196" customFormat="false" ht="15.75" hidden="false" customHeight="false" outlineLevel="0" collapsed="false">
      <c r="A196" s="152" t="str">
        <f aca="false">Scoring!BD202</f>
        <v/>
      </c>
      <c r="B196" s="152" t="str">
        <f aca="false">Scoring!BC202</f>
        <v/>
      </c>
      <c r="C196" s="152" t="n">
        <f aca="false">Scoring!C202</f>
        <v>0</v>
      </c>
      <c r="D196" s="153" t="str">
        <f aca="false">Scoring!AZ202</f>
        <v/>
      </c>
      <c r="E196" s="152" t="str">
        <f aca="false">Scoring!AF202</f>
        <v/>
      </c>
      <c r="F196" s="152" t="n">
        <f aca="false">Scoring!B202</f>
        <v>0</v>
      </c>
      <c r="G196" s="152" t="n">
        <f aca="false">Scoring!D202</f>
        <v>0</v>
      </c>
      <c r="H196" s="152" t="str">
        <f aca="false">Scoring!BB202</f>
        <v/>
      </c>
      <c r="I196" s="154" t="str">
        <f aca="false">Scoring!BA202</f>
        <v/>
      </c>
    </row>
    <row r="197" customFormat="false" ht="15.75" hidden="false" customHeight="false" outlineLevel="0" collapsed="false">
      <c r="A197" s="152" t="str">
        <f aca="false">Scoring!BD203</f>
        <v/>
      </c>
      <c r="B197" s="152" t="str">
        <f aca="false">Scoring!BC203</f>
        <v/>
      </c>
      <c r="C197" s="152" t="n">
        <f aca="false">Scoring!C203</f>
        <v>0</v>
      </c>
      <c r="D197" s="153" t="str">
        <f aca="false">Scoring!AZ203</f>
        <v/>
      </c>
      <c r="E197" s="152" t="str">
        <f aca="false">Scoring!AF203</f>
        <v/>
      </c>
      <c r="F197" s="152" t="n">
        <f aca="false">Scoring!B203</f>
        <v>0</v>
      </c>
      <c r="G197" s="152" t="n">
        <f aca="false">Scoring!D203</f>
        <v>0</v>
      </c>
      <c r="H197" s="152" t="str">
        <f aca="false">Scoring!BB203</f>
        <v/>
      </c>
      <c r="I197" s="154" t="str">
        <f aca="false">Scoring!BA203</f>
        <v/>
      </c>
    </row>
    <row r="198" customFormat="false" ht="15.75" hidden="false" customHeight="false" outlineLevel="0" collapsed="false">
      <c r="A198" s="152" t="str">
        <f aca="false">Scoring!BD204</f>
        <v/>
      </c>
      <c r="B198" s="152" t="str">
        <f aca="false">Scoring!BC204</f>
        <v/>
      </c>
      <c r="C198" s="152" t="n">
        <f aca="false">Scoring!C204</f>
        <v>0</v>
      </c>
      <c r="D198" s="153" t="str">
        <f aca="false">Scoring!AZ204</f>
        <v/>
      </c>
      <c r="E198" s="152" t="str">
        <f aca="false">Scoring!AF204</f>
        <v/>
      </c>
      <c r="F198" s="152" t="n">
        <f aca="false">Scoring!B204</f>
        <v>0</v>
      </c>
      <c r="G198" s="152" t="n">
        <f aca="false">Scoring!D204</f>
        <v>0</v>
      </c>
      <c r="H198" s="152" t="str">
        <f aca="false">Scoring!BB204</f>
        <v/>
      </c>
      <c r="I198" s="154" t="str">
        <f aca="false">Scoring!BA204</f>
        <v/>
      </c>
    </row>
    <row r="199" customFormat="false" ht="15.75" hidden="false" customHeight="false" outlineLevel="0" collapsed="false">
      <c r="A199" s="152" t="str">
        <f aca="false">Scoring!BD205</f>
        <v/>
      </c>
      <c r="B199" s="152" t="str">
        <f aca="false">Scoring!BC205</f>
        <v/>
      </c>
      <c r="C199" s="152" t="n">
        <f aca="false">Scoring!C205</f>
        <v>0</v>
      </c>
      <c r="D199" s="153" t="str">
        <f aca="false">Scoring!AZ205</f>
        <v/>
      </c>
      <c r="E199" s="152" t="str">
        <f aca="false">Scoring!AF205</f>
        <v/>
      </c>
      <c r="F199" s="152" t="n">
        <f aca="false">Scoring!B205</f>
        <v>0</v>
      </c>
      <c r="G199" s="152" t="n">
        <f aca="false">Scoring!D205</f>
        <v>0</v>
      </c>
      <c r="H199" s="152" t="str">
        <f aca="false">Scoring!BB205</f>
        <v/>
      </c>
      <c r="I199" s="154" t="str">
        <f aca="false">Scoring!BA205</f>
        <v/>
      </c>
    </row>
    <row r="200" customFormat="false" ht="15.75" hidden="false" customHeight="false" outlineLevel="0" collapsed="false">
      <c r="A200" s="152" t="str">
        <f aca="false">Scoring!BD206</f>
        <v/>
      </c>
      <c r="B200" s="152" t="str">
        <f aca="false">Scoring!BC206</f>
        <v/>
      </c>
      <c r="C200" s="152" t="n">
        <f aca="false">Scoring!C206</f>
        <v>0</v>
      </c>
      <c r="D200" s="153" t="str">
        <f aca="false">Scoring!AZ206</f>
        <v/>
      </c>
      <c r="E200" s="152" t="str">
        <f aca="false">Scoring!AF206</f>
        <v/>
      </c>
      <c r="F200" s="152" t="n">
        <f aca="false">Scoring!B206</f>
        <v>0</v>
      </c>
      <c r="G200" s="152" t="n">
        <f aca="false">Scoring!D206</f>
        <v>0</v>
      </c>
      <c r="H200" s="152" t="str">
        <f aca="false">Scoring!BB206</f>
        <v/>
      </c>
      <c r="I200" s="154" t="str">
        <f aca="false">Scoring!BA206</f>
        <v/>
      </c>
    </row>
    <row r="201" customFormat="false" ht="15.75" hidden="false" customHeight="false" outlineLevel="0" collapsed="false">
      <c r="A201" s="152" t="str">
        <f aca="false">Scoring!BD207</f>
        <v/>
      </c>
      <c r="B201" s="152" t="str">
        <f aca="false">Scoring!BC207</f>
        <v/>
      </c>
      <c r="C201" s="152" t="n">
        <f aca="false">Scoring!C207</f>
        <v>0</v>
      </c>
      <c r="D201" s="153" t="str">
        <f aca="false">Scoring!AZ207</f>
        <v/>
      </c>
      <c r="E201" s="152" t="str">
        <f aca="false">Scoring!AF207</f>
        <v/>
      </c>
      <c r="F201" s="152" t="n">
        <f aca="false">Scoring!B207</f>
        <v>0</v>
      </c>
      <c r="G201" s="152" t="n">
        <f aca="false">Scoring!D207</f>
        <v>0</v>
      </c>
      <c r="H201" s="152" t="str">
        <f aca="false">Scoring!BB207</f>
        <v/>
      </c>
      <c r="I201" s="154" t="str">
        <f aca="false">Scoring!BA207</f>
        <v/>
      </c>
    </row>
    <row r="202" customFormat="false" ht="15.75" hidden="false" customHeight="false" outlineLevel="0" collapsed="false">
      <c r="A202" s="152" t="str">
        <f aca="false">Scoring!BD208</f>
        <v/>
      </c>
      <c r="B202" s="152" t="str">
        <f aca="false">Scoring!BC208</f>
        <v/>
      </c>
      <c r="C202" s="152" t="n">
        <f aca="false">Scoring!C208</f>
        <v>0</v>
      </c>
      <c r="D202" s="153" t="str">
        <f aca="false">Scoring!AZ208</f>
        <v/>
      </c>
      <c r="E202" s="152" t="str">
        <f aca="false">Scoring!AF208</f>
        <v/>
      </c>
      <c r="F202" s="152" t="n">
        <f aca="false">Scoring!B208</f>
        <v>0</v>
      </c>
      <c r="G202" s="152" t="n">
        <f aca="false">Scoring!D208</f>
        <v>0</v>
      </c>
      <c r="H202" s="152" t="str">
        <f aca="false">Scoring!BB208</f>
        <v/>
      </c>
      <c r="I202" s="154" t="str">
        <f aca="false">Scoring!BA208</f>
        <v/>
      </c>
    </row>
    <row r="203" customFormat="false" ht="15.75" hidden="false" customHeight="false" outlineLevel="0" collapsed="false">
      <c r="A203" s="152" t="str">
        <f aca="false">Scoring!BD209</f>
        <v/>
      </c>
      <c r="B203" s="152" t="str">
        <f aca="false">Scoring!BC209</f>
        <v/>
      </c>
      <c r="C203" s="152" t="n">
        <f aca="false">Scoring!C209</f>
        <v>0</v>
      </c>
      <c r="D203" s="153" t="str">
        <f aca="false">Scoring!AZ209</f>
        <v/>
      </c>
      <c r="E203" s="152" t="str">
        <f aca="false">Scoring!AF209</f>
        <v/>
      </c>
      <c r="F203" s="152" t="n">
        <f aca="false">Scoring!B209</f>
        <v>0</v>
      </c>
      <c r="G203" s="152" t="n">
        <f aca="false">Scoring!D209</f>
        <v>0</v>
      </c>
      <c r="H203" s="152" t="str">
        <f aca="false">Scoring!BB209</f>
        <v/>
      </c>
      <c r="I203" s="154" t="str">
        <f aca="false">Scoring!BA209</f>
        <v/>
      </c>
    </row>
    <row r="204" customFormat="false" ht="15.75" hidden="false" customHeight="false" outlineLevel="0" collapsed="false">
      <c r="A204" s="152" t="str">
        <f aca="false">Scoring!BD210</f>
        <v/>
      </c>
      <c r="B204" s="152" t="str">
        <f aca="false">Scoring!BC210</f>
        <v/>
      </c>
      <c r="C204" s="152" t="n">
        <f aca="false">Scoring!C210</f>
        <v>0</v>
      </c>
      <c r="D204" s="153" t="str">
        <f aca="false">Scoring!AZ210</f>
        <v/>
      </c>
      <c r="E204" s="152" t="str">
        <f aca="false">Scoring!AF210</f>
        <v/>
      </c>
      <c r="F204" s="152" t="n">
        <f aca="false">Scoring!B210</f>
        <v>0</v>
      </c>
      <c r="G204" s="152" t="n">
        <f aca="false">Scoring!D210</f>
        <v>0</v>
      </c>
      <c r="H204" s="152" t="str">
        <f aca="false">Scoring!BB210</f>
        <v/>
      </c>
      <c r="I204" s="154" t="str">
        <f aca="false">Scoring!BA210</f>
        <v/>
      </c>
    </row>
    <row r="205" customFormat="false" ht="15.75" hidden="false" customHeight="false" outlineLevel="0" collapsed="false">
      <c r="A205" s="152" t="str">
        <f aca="false">Scoring!BD211</f>
        <v/>
      </c>
      <c r="B205" s="152" t="str">
        <f aca="false">Scoring!BC211</f>
        <v/>
      </c>
      <c r="C205" s="152" t="n">
        <f aca="false">Scoring!C211</f>
        <v>0</v>
      </c>
      <c r="D205" s="153" t="str">
        <f aca="false">Scoring!AZ211</f>
        <v/>
      </c>
      <c r="E205" s="152" t="str">
        <f aca="false">Scoring!AF211</f>
        <v/>
      </c>
      <c r="F205" s="152" t="n">
        <f aca="false">Scoring!B211</f>
        <v>0</v>
      </c>
      <c r="G205" s="152" t="n">
        <f aca="false">Scoring!D211</f>
        <v>0</v>
      </c>
      <c r="H205" s="152" t="str">
        <f aca="false">Scoring!BB211</f>
        <v/>
      </c>
      <c r="I205" s="154" t="str">
        <f aca="false">Scoring!BA211</f>
        <v/>
      </c>
    </row>
    <row r="206" customFormat="false" ht="15.75" hidden="false" customHeight="false" outlineLevel="0" collapsed="false">
      <c r="A206" s="152" t="str">
        <f aca="false">Scoring!BD212</f>
        <v/>
      </c>
      <c r="B206" s="152" t="str">
        <f aca="false">Scoring!BC212</f>
        <v/>
      </c>
      <c r="C206" s="152" t="n">
        <f aca="false">Scoring!C212</f>
        <v>0</v>
      </c>
      <c r="D206" s="153" t="str">
        <f aca="false">Scoring!AZ212</f>
        <v/>
      </c>
      <c r="E206" s="152" t="str">
        <f aca="false">Scoring!AF212</f>
        <v/>
      </c>
      <c r="F206" s="152" t="n">
        <f aca="false">Scoring!B212</f>
        <v>0</v>
      </c>
      <c r="G206" s="152" t="n">
        <f aca="false">Scoring!D212</f>
        <v>0</v>
      </c>
      <c r="H206" s="152" t="str">
        <f aca="false">Scoring!BB212</f>
        <v/>
      </c>
      <c r="I206" s="154" t="str">
        <f aca="false">Scoring!BA212</f>
        <v/>
      </c>
    </row>
    <row r="207" customFormat="false" ht="15.75" hidden="false" customHeight="false" outlineLevel="0" collapsed="false">
      <c r="A207" s="152" t="str">
        <f aca="false">Scoring!BD213</f>
        <v/>
      </c>
      <c r="B207" s="152" t="str">
        <f aca="false">Scoring!BC213</f>
        <v/>
      </c>
      <c r="C207" s="152" t="n">
        <f aca="false">Scoring!C213</f>
        <v>0</v>
      </c>
      <c r="D207" s="153" t="str">
        <f aca="false">Scoring!AZ213</f>
        <v/>
      </c>
      <c r="E207" s="152" t="str">
        <f aca="false">Scoring!AF213</f>
        <v/>
      </c>
      <c r="F207" s="152" t="n">
        <f aca="false">Scoring!B213</f>
        <v>0</v>
      </c>
      <c r="G207" s="152" t="n">
        <f aca="false">Scoring!D213</f>
        <v>0</v>
      </c>
      <c r="H207" s="152" t="str">
        <f aca="false">Scoring!BB213</f>
        <v/>
      </c>
      <c r="I207" s="154" t="str">
        <f aca="false">Scoring!BA213</f>
        <v/>
      </c>
    </row>
    <row r="208" customFormat="false" ht="15.75" hidden="false" customHeight="false" outlineLevel="0" collapsed="false">
      <c r="A208" s="152" t="str">
        <f aca="false">Scoring!BD214</f>
        <v/>
      </c>
      <c r="B208" s="152" t="str">
        <f aca="false">Scoring!BC214</f>
        <v/>
      </c>
      <c r="C208" s="152" t="n">
        <f aca="false">Scoring!C214</f>
        <v>0</v>
      </c>
      <c r="D208" s="153" t="str">
        <f aca="false">Scoring!AZ214</f>
        <v/>
      </c>
      <c r="E208" s="152" t="str">
        <f aca="false">Scoring!AF214</f>
        <v/>
      </c>
      <c r="F208" s="152" t="n">
        <f aca="false">Scoring!B214</f>
        <v>0</v>
      </c>
      <c r="G208" s="152" t="n">
        <f aca="false">Scoring!D214</f>
        <v>0</v>
      </c>
      <c r="H208" s="152" t="str">
        <f aca="false">Scoring!BB214</f>
        <v/>
      </c>
      <c r="I208" s="154" t="str">
        <f aca="false">Scoring!BA214</f>
        <v/>
      </c>
    </row>
    <row r="209" customFormat="false" ht="15.75" hidden="false" customHeight="false" outlineLevel="0" collapsed="false">
      <c r="A209" s="152" t="str">
        <f aca="false">Scoring!BD215</f>
        <v/>
      </c>
      <c r="B209" s="152" t="str">
        <f aca="false">Scoring!BC215</f>
        <v/>
      </c>
      <c r="C209" s="152" t="n">
        <f aca="false">Scoring!C215</f>
        <v>0</v>
      </c>
      <c r="D209" s="153" t="str">
        <f aca="false">Scoring!AZ215</f>
        <v/>
      </c>
      <c r="E209" s="152" t="str">
        <f aca="false">Scoring!AF215</f>
        <v/>
      </c>
      <c r="F209" s="152" t="n">
        <f aca="false">Scoring!B215</f>
        <v>0</v>
      </c>
      <c r="G209" s="152" t="n">
        <f aca="false">Scoring!D215</f>
        <v>0</v>
      </c>
      <c r="H209" s="152" t="str">
        <f aca="false">Scoring!BB215</f>
        <v/>
      </c>
      <c r="I209" s="154" t="str">
        <f aca="false">Scoring!BA215</f>
        <v/>
      </c>
    </row>
    <row r="210" customFormat="false" ht="15.75" hidden="false" customHeight="false" outlineLevel="0" collapsed="false">
      <c r="A210" s="152" t="str">
        <f aca="false">Scoring!BD216</f>
        <v/>
      </c>
      <c r="B210" s="152" t="str">
        <f aca="false">Scoring!BC216</f>
        <v/>
      </c>
      <c r="C210" s="152" t="n">
        <f aca="false">Scoring!C216</f>
        <v>0</v>
      </c>
      <c r="D210" s="153" t="str">
        <f aca="false">Scoring!AZ216</f>
        <v/>
      </c>
      <c r="E210" s="152" t="str">
        <f aca="false">Scoring!AF216</f>
        <v/>
      </c>
      <c r="F210" s="152" t="n">
        <f aca="false">Scoring!B216</f>
        <v>0</v>
      </c>
      <c r="G210" s="152" t="n">
        <f aca="false">Scoring!D216</f>
        <v>0</v>
      </c>
      <c r="H210" s="152" t="str">
        <f aca="false">Scoring!BB216</f>
        <v/>
      </c>
      <c r="I210" s="154" t="str">
        <f aca="false">Scoring!BA216</f>
        <v/>
      </c>
    </row>
    <row r="211" customFormat="false" ht="15.75" hidden="false" customHeight="false" outlineLevel="0" collapsed="false">
      <c r="A211" s="152" t="str">
        <f aca="false">Scoring!BD217</f>
        <v/>
      </c>
      <c r="B211" s="152" t="str">
        <f aca="false">Scoring!BC217</f>
        <v/>
      </c>
      <c r="C211" s="152" t="n">
        <f aca="false">Scoring!C217</f>
        <v>0</v>
      </c>
      <c r="D211" s="153" t="str">
        <f aca="false">Scoring!AZ217</f>
        <v/>
      </c>
      <c r="E211" s="152" t="str">
        <f aca="false">Scoring!AF217</f>
        <v/>
      </c>
      <c r="F211" s="152" t="n">
        <f aca="false">Scoring!B217</f>
        <v>0</v>
      </c>
      <c r="G211" s="152" t="n">
        <f aca="false">Scoring!D217</f>
        <v>0</v>
      </c>
      <c r="H211" s="152" t="str">
        <f aca="false">Scoring!BB217</f>
        <v/>
      </c>
      <c r="I211" s="154" t="str">
        <f aca="false">Scoring!BA217</f>
        <v/>
      </c>
    </row>
    <row r="212" customFormat="false" ht="15.75" hidden="false" customHeight="false" outlineLevel="0" collapsed="false">
      <c r="A212" s="152" t="str">
        <f aca="false">Scoring!BD218</f>
        <v/>
      </c>
      <c r="B212" s="152" t="str">
        <f aca="false">Scoring!BC218</f>
        <v/>
      </c>
      <c r="C212" s="152" t="n">
        <f aca="false">Scoring!C218</f>
        <v>0</v>
      </c>
      <c r="D212" s="153" t="str">
        <f aca="false">Scoring!AZ218</f>
        <v/>
      </c>
      <c r="E212" s="152" t="str">
        <f aca="false">Scoring!AF218</f>
        <v/>
      </c>
      <c r="F212" s="152" t="n">
        <f aca="false">Scoring!B218</f>
        <v>0</v>
      </c>
      <c r="G212" s="152" t="n">
        <f aca="false">Scoring!D218</f>
        <v>0</v>
      </c>
      <c r="H212" s="152" t="str">
        <f aca="false">Scoring!BB218</f>
        <v/>
      </c>
      <c r="I212" s="154" t="str">
        <f aca="false">Scoring!BA218</f>
        <v/>
      </c>
    </row>
    <row r="213" customFormat="false" ht="15.75" hidden="false" customHeight="false" outlineLevel="0" collapsed="false">
      <c r="A213" s="152" t="str">
        <f aca="false">Scoring!BD219</f>
        <v/>
      </c>
      <c r="B213" s="152" t="str">
        <f aca="false">Scoring!BC219</f>
        <v/>
      </c>
      <c r="C213" s="152" t="n">
        <f aca="false">Scoring!C219</f>
        <v>0</v>
      </c>
      <c r="D213" s="153" t="str">
        <f aca="false">Scoring!AZ219</f>
        <v/>
      </c>
      <c r="E213" s="152" t="str">
        <f aca="false">Scoring!AF219</f>
        <v/>
      </c>
      <c r="F213" s="152" t="n">
        <f aca="false">Scoring!B219</f>
        <v>0</v>
      </c>
      <c r="G213" s="152" t="n">
        <f aca="false">Scoring!D219</f>
        <v>0</v>
      </c>
      <c r="H213" s="152" t="str">
        <f aca="false">Scoring!BB219</f>
        <v/>
      </c>
      <c r="I213" s="154" t="str">
        <f aca="false">Scoring!BA219</f>
        <v/>
      </c>
    </row>
    <row r="214" customFormat="false" ht="15.75" hidden="false" customHeight="false" outlineLevel="0" collapsed="false">
      <c r="A214" s="152" t="str">
        <f aca="false">Scoring!BD220</f>
        <v/>
      </c>
      <c r="B214" s="152" t="str">
        <f aca="false">Scoring!BC220</f>
        <v/>
      </c>
      <c r="C214" s="152" t="n">
        <f aca="false">Scoring!C220</f>
        <v>0</v>
      </c>
      <c r="D214" s="153" t="str">
        <f aca="false">Scoring!AZ220</f>
        <v/>
      </c>
      <c r="E214" s="152" t="str">
        <f aca="false">Scoring!AF220</f>
        <v/>
      </c>
      <c r="F214" s="152" t="n">
        <f aca="false">Scoring!B220</f>
        <v>0</v>
      </c>
      <c r="G214" s="152" t="n">
        <f aca="false">Scoring!D220</f>
        <v>0</v>
      </c>
      <c r="H214" s="152" t="str">
        <f aca="false">Scoring!BB220</f>
        <v/>
      </c>
      <c r="I214" s="154" t="str">
        <f aca="false">Scoring!BA220</f>
        <v/>
      </c>
    </row>
    <row r="215" customFormat="false" ht="15.75" hidden="false" customHeight="false" outlineLevel="0" collapsed="false">
      <c r="A215" s="152" t="str">
        <f aca="false">Scoring!BD221</f>
        <v/>
      </c>
      <c r="B215" s="152" t="str">
        <f aca="false">Scoring!BC221</f>
        <v/>
      </c>
      <c r="C215" s="152" t="n">
        <f aca="false">Scoring!C221</f>
        <v>0</v>
      </c>
      <c r="D215" s="153" t="str">
        <f aca="false">Scoring!AZ221</f>
        <v/>
      </c>
      <c r="E215" s="152" t="str">
        <f aca="false">Scoring!AF221</f>
        <v/>
      </c>
      <c r="F215" s="152" t="n">
        <f aca="false">Scoring!B221</f>
        <v>0</v>
      </c>
      <c r="G215" s="152" t="n">
        <f aca="false">Scoring!D221</f>
        <v>0</v>
      </c>
      <c r="H215" s="152" t="str">
        <f aca="false">Scoring!BB221</f>
        <v/>
      </c>
      <c r="I215" s="154" t="str">
        <f aca="false">Scoring!BA221</f>
        <v/>
      </c>
    </row>
    <row r="216" customFormat="false" ht="15.75" hidden="false" customHeight="false" outlineLevel="0" collapsed="false">
      <c r="A216" s="152" t="str">
        <f aca="false">Scoring!BD222</f>
        <v/>
      </c>
      <c r="B216" s="152" t="str">
        <f aca="false">Scoring!BC222</f>
        <v/>
      </c>
      <c r="C216" s="152" t="n">
        <f aca="false">Scoring!C222</f>
        <v>0</v>
      </c>
      <c r="D216" s="153" t="str">
        <f aca="false">Scoring!AZ222</f>
        <v/>
      </c>
      <c r="E216" s="152" t="str">
        <f aca="false">Scoring!AF222</f>
        <v/>
      </c>
      <c r="F216" s="152" t="n">
        <f aca="false">Scoring!B222</f>
        <v>0</v>
      </c>
      <c r="G216" s="152" t="n">
        <f aca="false">Scoring!D222</f>
        <v>0</v>
      </c>
      <c r="H216" s="152" t="str">
        <f aca="false">Scoring!BB222</f>
        <v/>
      </c>
      <c r="I216" s="154" t="str">
        <f aca="false">Scoring!BA222</f>
        <v/>
      </c>
    </row>
    <row r="217" customFormat="false" ht="15.75" hidden="false" customHeight="false" outlineLevel="0" collapsed="false">
      <c r="A217" s="152" t="str">
        <f aca="false">Scoring!BD223</f>
        <v/>
      </c>
      <c r="B217" s="152" t="str">
        <f aca="false">Scoring!BC223</f>
        <v/>
      </c>
      <c r="C217" s="152" t="n">
        <f aca="false">Scoring!C223</f>
        <v>0</v>
      </c>
      <c r="D217" s="153" t="str">
        <f aca="false">Scoring!AZ223</f>
        <v/>
      </c>
      <c r="E217" s="152" t="str">
        <f aca="false">Scoring!AF223</f>
        <v/>
      </c>
      <c r="F217" s="152" t="n">
        <f aca="false">Scoring!B223</f>
        <v>0</v>
      </c>
      <c r="G217" s="152" t="n">
        <f aca="false">Scoring!D223</f>
        <v>0</v>
      </c>
      <c r="H217" s="152" t="str">
        <f aca="false">Scoring!BB223</f>
        <v/>
      </c>
      <c r="I217" s="154" t="str">
        <f aca="false">Scoring!BA223</f>
        <v/>
      </c>
    </row>
    <row r="218" customFormat="false" ht="15.75" hidden="false" customHeight="false" outlineLevel="0" collapsed="false">
      <c r="A218" s="152" t="str">
        <f aca="false">Scoring!BD224</f>
        <v/>
      </c>
      <c r="B218" s="152" t="str">
        <f aca="false">Scoring!BC224</f>
        <v/>
      </c>
      <c r="C218" s="152" t="n">
        <f aca="false">Scoring!C224</f>
        <v>0</v>
      </c>
      <c r="D218" s="153" t="str">
        <f aca="false">Scoring!AZ224</f>
        <v/>
      </c>
      <c r="E218" s="152" t="str">
        <f aca="false">Scoring!AF224</f>
        <v/>
      </c>
      <c r="F218" s="152" t="n">
        <f aca="false">Scoring!B224</f>
        <v>0</v>
      </c>
      <c r="G218" s="152" t="n">
        <f aca="false">Scoring!D224</f>
        <v>0</v>
      </c>
      <c r="H218" s="152" t="str">
        <f aca="false">Scoring!BB224</f>
        <v/>
      </c>
      <c r="I218" s="154" t="str">
        <f aca="false">Scoring!BA224</f>
        <v/>
      </c>
    </row>
    <row r="219" customFormat="false" ht="15.75" hidden="false" customHeight="false" outlineLevel="0" collapsed="false">
      <c r="A219" s="152" t="str">
        <f aca="false">Scoring!BD225</f>
        <v/>
      </c>
      <c r="B219" s="152" t="str">
        <f aca="false">Scoring!BC225</f>
        <v/>
      </c>
      <c r="C219" s="152" t="n">
        <f aca="false">Scoring!C225</f>
        <v>0</v>
      </c>
      <c r="D219" s="153" t="str">
        <f aca="false">Scoring!AZ225</f>
        <v/>
      </c>
      <c r="E219" s="152" t="str">
        <f aca="false">Scoring!AF225</f>
        <v/>
      </c>
      <c r="F219" s="152" t="n">
        <f aca="false">Scoring!B225</f>
        <v>0</v>
      </c>
      <c r="G219" s="152" t="n">
        <f aca="false">Scoring!D225</f>
        <v>0</v>
      </c>
      <c r="H219" s="152" t="str">
        <f aca="false">Scoring!BB225</f>
        <v/>
      </c>
      <c r="I219" s="154" t="str">
        <f aca="false">Scoring!BA225</f>
        <v/>
      </c>
    </row>
    <row r="220" customFormat="false" ht="15.75" hidden="false" customHeight="false" outlineLevel="0" collapsed="false">
      <c r="A220" s="152" t="str">
        <f aca="false">Scoring!BD226</f>
        <v/>
      </c>
      <c r="B220" s="152" t="str">
        <f aca="false">Scoring!BC226</f>
        <v/>
      </c>
      <c r="C220" s="152" t="n">
        <f aca="false">Scoring!C226</f>
        <v>0</v>
      </c>
      <c r="D220" s="153" t="str">
        <f aca="false">Scoring!AZ226</f>
        <v/>
      </c>
      <c r="E220" s="152" t="str">
        <f aca="false">Scoring!AF226</f>
        <v/>
      </c>
      <c r="F220" s="152" t="n">
        <f aca="false">Scoring!B226</f>
        <v>0</v>
      </c>
      <c r="G220" s="152" t="n">
        <f aca="false">Scoring!D226</f>
        <v>0</v>
      </c>
      <c r="H220" s="152" t="str">
        <f aca="false">Scoring!BB226</f>
        <v/>
      </c>
      <c r="I220" s="154" t="str">
        <f aca="false">Scoring!BA226</f>
        <v/>
      </c>
    </row>
    <row r="221" customFormat="false" ht="15.75" hidden="false" customHeight="false" outlineLevel="0" collapsed="false">
      <c r="A221" s="152" t="str">
        <f aca="false">Scoring!BD227</f>
        <v/>
      </c>
      <c r="B221" s="152" t="str">
        <f aca="false">Scoring!BC227</f>
        <v/>
      </c>
      <c r="C221" s="152" t="n">
        <f aca="false">Scoring!C227</f>
        <v>0</v>
      </c>
      <c r="D221" s="153" t="str">
        <f aca="false">Scoring!AZ227</f>
        <v/>
      </c>
      <c r="E221" s="152" t="str">
        <f aca="false">Scoring!AF227</f>
        <v/>
      </c>
      <c r="F221" s="152" t="n">
        <f aca="false">Scoring!B227</f>
        <v>0</v>
      </c>
      <c r="G221" s="152" t="n">
        <f aca="false">Scoring!D227</f>
        <v>0</v>
      </c>
      <c r="H221" s="152" t="str">
        <f aca="false">Scoring!BB227</f>
        <v/>
      </c>
      <c r="I221" s="154" t="str">
        <f aca="false">Scoring!BA227</f>
        <v/>
      </c>
    </row>
    <row r="222" customFormat="false" ht="15.75" hidden="false" customHeight="false" outlineLevel="0" collapsed="false">
      <c r="A222" s="152" t="str">
        <f aca="false">Scoring!BD228</f>
        <v/>
      </c>
      <c r="B222" s="152" t="str">
        <f aca="false">Scoring!BC228</f>
        <v/>
      </c>
      <c r="C222" s="152" t="n">
        <f aca="false">Scoring!C228</f>
        <v>0</v>
      </c>
      <c r="D222" s="153" t="str">
        <f aca="false">Scoring!AZ228</f>
        <v/>
      </c>
      <c r="E222" s="152" t="str">
        <f aca="false">Scoring!AF228</f>
        <v/>
      </c>
      <c r="F222" s="152" t="n">
        <f aca="false">Scoring!B228</f>
        <v>0</v>
      </c>
      <c r="G222" s="152" t="n">
        <f aca="false">Scoring!D228</f>
        <v>0</v>
      </c>
      <c r="H222" s="152" t="str">
        <f aca="false">Scoring!BB228</f>
        <v/>
      </c>
      <c r="I222" s="154" t="str">
        <f aca="false">Scoring!BA228</f>
        <v/>
      </c>
    </row>
    <row r="223" customFormat="false" ht="15.75" hidden="false" customHeight="false" outlineLevel="0" collapsed="false">
      <c r="A223" s="152" t="str">
        <f aca="false">Scoring!BD229</f>
        <v/>
      </c>
      <c r="B223" s="152" t="str">
        <f aca="false">Scoring!BC229</f>
        <v/>
      </c>
      <c r="C223" s="152" t="n">
        <f aca="false">Scoring!C229</f>
        <v>0</v>
      </c>
      <c r="D223" s="153" t="str">
        <f aca="false">Scoring!AZ229</f>
        <v/>
      </c>
      <c r="E223" s="152" t="str">
        <f aca="false">Scoring!AF229</f>
        <v/>
      </c>
      <c r="F223" s="152" t="n">
        <f aca="false">Scoring!B229</f>
        <v>0</v>
      </c>
      <c r="G223" s="152" t="n">
        <f aca="false">Scoring!D229</f>
        <v>0</v>
      </c>
      <c r="H223" s="152" t="str">
        <f aca="false">Scoring!BB229</f>
        <v/>
      </c>
      <c r="I223" s="154" t="str">
        <f aca="false">Scoring!BA229</f>
        <v/>
      </c>
    </row>
    <row r="224" customFormat="false" ht="15.75" hidden="false" customHeight="false" outlineLevel="0" collapsed="false">
      <c r="A224" s="152" t="str">
        <f aca="false">Scoring!BD230</f>
        <v/>
      </c>
      <c r="B224" s="152" t="str">
        <f aca="false">Scoring!BC230</f>
        <v/>
      </c>
      <c r="C224" s="152" t="n">
        <f aca="false">Scoring!C230</f>
        <v>0</v>
      </c>
      <c r="D224" s="153" t="str">
        <f aca="false">Scoring!AZ230</f>
        <v/>
      </c>
      <c r="E224" s="152" t="str">
        <f aca="false">Scoring!AF230</f>
        <v/>
      </c>
      <c r="F224" s="152" t="n">
        <f aca="false">Scoring!B230</f>
        <v>0</v>
      </c>
      <c r="G224" s="152" t="n">
        <f aca="false">Scoring!D230</f>
        <v>0</v>
      </c>
      <c r="H224" s="152" t="str">
        <f aca="false">Scoring!BB230</f>
        <v/>
      </c>
      <c r="I224" s="154" t="str">
        <f aca="false">Scoring!BA230</f>
        <v/>
      </c>
    </row>
    <row r="225" customFormat="false" ht="15.75" hidden="false" customHeight="false" outlineLevel="0" collapsed="false">
      <c r="A225" s="152" t="str">
        <f aca="false">Scoring!BD231</f>
        <v/>
      </c>
      <c r="B225" s="152" t="str">
        <f aca="false">Scoring!BC231</f>
        <v/>
      </c>
      <c r="C225" s="152" t="n">
        <f aca="false">Scoring!C231</f>
        <v>0</v>
      </c>
      <c r="D225" s="153" t="str">
        <f aca="false">Scoring!AZ231</f>
        <v/>
      </c>
      <c r="E225" s="152" t="str">
        <f aca="false">Scoring!AF231</f>
        <v/>
      </c>
      <c r="F225" s="152" t="n">
        <f aca="false">Scoring!B231</f>
        <v>0</v>
      </c>
      <c r="G225" s="152" t="n">
        <f aca="false">Scoring!D231</f>
        <v>0</v>
      </c>
      <c r="H225" s="152" t="str">
        <f aca="false">Scoring!BB231</f>
        <v/>
      </c>
      <c r="I225" s="154" t="str">
        <f aca="false">Scoring!BA231</f>
        <v/>
      </c>
    </row>
    <row r="226" customFormat="false" ht="15.75" hidden="false" customHeight="false" outlineLevel="0" collapsed="false">
      <c r="A226" s="152" t="str">
        <f aca="false">Scoring!BD232</f>
        <v/>
      </c>
      <c r="B226" s="152" t="str">
        <f aca="false">Scoring!BC232</f>
        <v/>
      </c>
      <c r="C226" s="152" t="n">
        <f aca="false">Scoring!C232</f>
        <v>0</v>
      </c>
      <c r="D226" s="153" t="str">
        <f aca="false">Scoring!AZ232</f>
        <v/>
      </c>
      <c r="E226" s="152" t="str">
        <f aca="false">Scoring!AF232</f>
        <v/>
      </c>
      <c r="F226" s="152" t="n">
        <f aca="false">Scoring!B232</f>
        <v>0</v>
      </c>
      <c r="G226" s="152" t="n">
        <f aca="false">Scoring!D232</f>
        <v>0</v>
      </c>
      <c r="H226" s="152" t="str">
        <f aca="false">Scoring!BB232</f>
        <v/>
      </c>
      <c r="I226" s="154" t="str">
        <f aca="false">Scoring!BA232</f>
        <v/>
      </c>
    </row>
    <row r="227" customFormat="false" ht="15.75" hidden="false" customHeight="false" outlineLevel="0" collapsed="false">
      <c r="A227" s="152" t="str">
        <f aca="false">Scoring!BD233</f>
        <v/>
      </c>
      <c r="B227" s="152" t="str">
        <f aca="false">Scoring!BC233</f>
        <v/>
      </c>
      <c r="C227" s="152" t="n">
        <f aca="false">Scoring!C233</f>
        <v>0</v>
      </c>
      <c r="D227" s="153" t="str">
        <f aca="false">Scoring!AZ233</f>
        <v/>
      </c>
      <c r="E227" s="152" t="str">
        <f aca="false">Scoring!AF233</f>
        <v/>
      </c>
      <c r="F227" s="152" t="n">
        <f aca="false">Scoring!B233</f>
        <v>0</v>
      </c>
      <c r="G227" s="152" t="n">
        <f aca="false">Scoring!D233</f>
        <v>0</v>
      </c>
      <c r="H227" s="152" t="str">
        <f aca="false">Scoring!BB233</f>
        <v/>
      </c>
      <c r="I227" s="154" t="str">
        <f aca="false">Scoring!BA233</f>
        <v/>
      </c>
    </row>
    <row r="228" customFormat="false" ht="15.75" hidden="false" customHeight="false" outlineLevel="0" collapsed="false">
      <c r="A228" s="152" t="str">
        <f aca="false">Scoring!BD234</f>
        <v/>
      </c>
      <c r="B228" s="152" t="str">
        <f aca="false">Scoring!BC234</f>
        <v/>
      </c>
      <c r="C228" s="152" t="n">
        <f aca="false">Scoring!C234</f>
        <v>0</v>
      </c>
      <c r="D228" s="153" t="str">
        <f aca="false">Scoring!AZ234</f>
        <v/>
      </c>
      <c r="E228" s="152" t="str">
        <f aca="false">Scoring!AF234</f>
        <v/>
      </c>
      <c r="F228" s="152" t="n">
        <f aca="false">Scoring!B234</f>
        <v>0</v>
      </c>
      <c r="G228" s="152" t="n">
        <f aca="false">Scoring!D234</f>
        <v>0</v>
      </c>
      <c r="H228" s="152" t="str">
        <f aca="false">Scoring!BB234</f>
        <v/>
      </c>
      <c r="I228" s="154" t="str">
        <f aca="false">Scoring!BA234</f>
        <v/>
      </c>
    </row>
    <row r="229" customFormat="false" ht="15.75" hidden="false" customHeight="false" outlineLevel="0" collapsed="false">
      <c r="A229" s="152" t="str">
        <f aca="false">Scoring!BD235</f>
        <v/>
      </c>
      <c r="B229" s="152" t="str">
        <f aca="false">Scoring!BC235</f>
        <v/>
      </c>
      <c r="C229" s="152" t="n">
        <f aca="false">Scoring!C235</f>
        <v>0</v>
      </c>
      <c r="D229" s="153" t="str">
        <f aca="false">Scoring!AZ235</f>
        <v/>
      </c>
      <c r="E229" s="152" t="str">
        <f aca="false">Scoring!AF235</f>
        <v/>
      </c>
      <c r="F229" s="152" t="n">
        <f aca="false">Scoring!B235</f>
        <v>0</v>
      </c>
      <c r="G229" s="152" t="n">
        <f aca="false">Scoring!D235</f>
        <v>0</v>
      </c>
      <c r="H229" s="152" t="str">
        <f aca="false">Scoring!BB235</f>
        <v/>
      </c>
      <c r="I229" s="154" t="str">
        <f aca="false">Scoring!BA235</f>
        <v/>
      </c>
    </row>
    <row r="230" customFormat="false" ht="15.75" hidden="false" customHeight="false" outlineLevel="0" collapsed="false">
      <c r="A230" s="152" t="str">
        <f aca="false">Scoring!BD236</f>
        <v/>
      </c>
      <c r="B230" s="152" t="str">
        <f aca="false">Scoring!BC236</f>
        <v/>
      </c>
      <c r="C230" s="152" t="n">
        <f aca="false">Scoring!C236</f>
        <v>0</v>
      </c>
      <c r="D230" s="153" t="str">
        <f aca="false">Scoring!AZ236</f>
        <v/>
      </c>
      <c r="E230" s="152" t="str">
        <f aca="false">Scoring!AF236</f>
        <v/>
      </c>
      <c r="F230" s="152" t="n">
        <f aca="false">Scoring!B236</f>
        <v>0</v>
      </c>
      <c r="G230" s="152" t="n">
        <f aca="false">Scoring!D236</f>
        <v>0</v>
      </c>
      <c r="H230" s="152" t="str">
        <f aca="false">Scoring!BB236</f>
        <v/>
      </c>
      <c r="I230" s="154" t="str">
        <f aca="false">Scoring!BA236</f>
        <v/>
      </c>
    </row>
    <row r="231" customFormat="false" ht="15.75" hidden="false" customHeight="false" outlineLevel="0" collapsed="false">
      <c r="A231" s="152" t="str">
        <f aca="false">Scoring!BD237</f>
        <v/>
      </c>
      <c r="B231" s="152" t="str">
        <f aca="false">Scoring!BC237</f>
        <v/>
      </c>
      <c r="C231" s="152" t="n">
        <f aca="false">Scoring!C237</f>
        <v>0</v>
      </c>
      <c r="D231" s="153" t="str">
        <f aca="false">Scoring!AZ237</f>
        <v/>
      </c>
      <c r="E231" s="152" t="str">
        <f aca="false">Scoring!AF237</f>
        <v/>
      </c>
      <c r="F231" s="152" t="n">
        <f aca="false">Scoring!B237</f>
        <v>0</v>
      </c>
      <c r="G231" s="152" t="n">
        <f aca="false">Scoring!D237</f>
        <v>0</v>
      </c>
      <c r="H231" s="152" t="str">
        <f aca="false">Scoring!BB237</f>
        <v/>
      </c>
      <c r="I231" s="154" t="str">
        <f aca="false">Scoring!BA237</f>
        <v/>
      </c>
    </row>
    <row r="232" customFormat="false" ht="15.75" hidden="false" customHeight="false" outlineLevel="0" collapsed="false">
      <c r="A232" s="152" t="str">
        <f aca="false">Scoring!BD238</f>
        <v/>
      </c>
      <c r="B232" s="152" t="str">
        <f aca="false">Scoring!BC238</f>
        <v/>
      </c>
      <c r="C232" s="152" t="n">
        <f aca="false">Scoring!C238</f>
        <v>0</v>
      </c>
      <c r="D232" s="153" t="str">
        <f aca="false">Scoring!AZ238</f>
        <v/>
      </c>
      <c r="E232" s="152" t="str">
        <f aca="false">Scoring!AF238</f>
        <v/>
      </c>
      <c r="F232" s="152" t="n">
        <f aca="false">Scoring!B238</f>
        <v>0</v>
      </c>
      <c r="G232" s="152" t="n">
        <f aca="false">Scoring!D238</f>
        <v>0</v>
      </c>
      <c r="H232" s="152" t="str">
        <f aca="false">Scoring!BB238</f>
        <v/>
      </c>
      <c r="I232" s="154" t="str">
        <f aca="false">Scoring!BA238</f>
        <v/>
      </c>
    </row>
    <row r="233" customFormat="false" ht="15.75" hidden="false" customHeight="false" outlineLevel="0" collapsed="false">
      <c r="A233" s="152" t="str">
        <f aca="false">Scoring!BD239</f>
        <v/>
      </c>
      <c r="B233" s="152" t="str">
        <f aca="false">Scoring!BC239</f>
        <v/>
      </c>
      <c r="C233" s="152" t="n">
        <f aca="false">Scoring!C239</f>
        <v>0</v>
      </c>
      <c r="D233" s="153" t="str">
        <f aca="false">Scoring!AZ239</f>
        <v/>
      </c>
      <c r="E233" s="152" t="str">
        <f aca="false">Scoring!AF239</f>
        <v/>
      </c>
      <c r="F233" s="152" t="n">
        <f aca="false">Scoring!B239</f>
        <v>0</v>
      </c>
      <c r="G233" s="152" t="n">
        <f aca="false">Scoring!D239</f>
        <v>0</v>
      </c>
      <c r="H233" s="152" t="str">
        <f aca="false">Scoring!BB239</f>
        <v/>
      </c>
      <c r="I233" s="154" t="str">
        <f aca="false">Scoring!BA239</f>
        <v/>
      </c>
    </row>
    <row r="234" customFormat="false" ht="15.75" hidden="false" customHeight="false" outlineLevel="0" collapsed="false">
      <c r="A234" s="152" t="str">
        <f aca="false">Scoring!BD240</f>
        <v/>
      </c>
      <c r="B234" s="152" t="str">
        <f aca="false">Scoring!BC240</f>
        <v/>
      </c>
      <c r="C234" s="152" t="n">
        <f aca="false">Scoring!C240</f>
        <v>0</v>
      </c>
      <c r="D234" s="153" t="str">
        <f aca="false">Scoring!AZ240</f>
        <v/>
      </c>
      <c r="E234" s="152" t="str">
        <f aca="false">Scoring!AF240</f>
        <v/>
      </c>
      <c r="F234" s="152" t="n">
        <f aca="false">Scoring!B240</f>
        <v>0</v>
      </c>
      <c r="G234" s="152" t="n">
        <f aca="false">Scoring!D240</f>
        <v>0</v>
      </c>
      <c r="H234" s="152" t="str">
        <f aca="false">Scoring!BB240</f>
        <v/>
      </c>
      <c r="I234" s="154" t="str">
        <f aca="false">Scoring!BA240</f>
        <v/>
      </c>
    </row>
    <row r="235" customFormat="false" ht="15.75" hidden="false" customHeight="false" outlineLevel="0" collapsed="false">
      <c r="A235" s="152" t="str">
        <f aca="false">Scoring!BD241</f>
        <v/>
      </c>
      <c r="B235" s="152" t="str">
        <f aca="false">Scoring!BC241</f>
        <v/>
      </c>
      <c r="C235" s="152" t="n">
        <f aca="false">Scoring!C241</f>
        <v>0</v>
      </c>
      <c r="D235" s="153" t="str">
        <f aca="false">Scoring!AZ241</f>
        <v/>
      </c>
      <c r="E235" s="152" t="str">
        <f aca="false">Scoring!AF241</f>
        <v/>
      </c>
      <c r="F235" s="152" t="n">
        <f aca="false">Scoring!B241</f>
        <v>0</v>
      </c>
      <c r="G235" s="152" t="n">
        <f aca="false">Scoring!D241</f>
        <v>0</v>
      </c>
      <c r="H235" s="152" t="str">
        <f aca="false">Scoring!BB241</f>
        <v/>
      </c>
      <c r="I235" s="154" t="str">
        <f aca="false">Scoring!BA241</f>
        <v/>
      </c>
    </row>
    <row r="236" customFormat="false" ht="15.75" hidden="false" customHeight="false" outlineLevel="0" collapsed="false">
      <c r="A236" s="152" t="str">
        <f aca="false">Scoring!BD242</f>
        <v/>
      </c>
      <c r="B236" s="152" t="str">
        <f aca="false">Scoring!BC242</f>
        <v/>
      </c>
      <c r="C236" s="152" t="n">
        <f aca="false">Scoring!C242</f>
        <v>0</v>
      </c>
      <c r="D236" s="153" t="str">
        <f aca="false">Scoring!AZ242</f>
        <v/>
      </c>
      <c r="E236" s="152" t="str">
        <f aca="false">Scoring!AF242</f>
        <v/>
      </c>
      <c r="F236" s="152" t="n">
        <f aca="false">Scoring!B242</f>
        <v>0</v>
      </c>
      <c r="G236" s="152" t="n">
        <f aca="false">Scoring!D242</f>
        <v>0</v>
      </c>
      <c r="H236" s="152" t="str">
        <f aca="false">Scoring!BB242</f>
        <v/>
      </c>
      <c r="I236" s="154" t="str">
        <f aca="false">Scoring!BA242</f>
        <v/>
      </c>
    </row>
    <row r="237" customFormat="false" ht="15.75" hidden="false" customHeight="false" outlineLevel="0" collapsed="false">
      <c r="A237" s="152" t="str">
        <f aca="false">Scoring!BD243</f>
        <v/>
      </c>
      <c r="B237" s="152" t="str">
        <f aca="false">Scoring!BC243</f>
        <v/>
      </c>
      <c r="C237" s="152" t="n">
        <f aca="false">Scoring!C243</f>
        <v>0</v>
      </c>
      <c r="D237" s="153" t="str">
        <f aca="false">Scoring!AZ243</f>
        <v/>
      </c>
      <c r="E237" s="152" t="str">
        <f aca="false">Scoring!AF243</f>
        <v/>
      </c>
      <c r="F237" s="152" t="n">
        <f aca="false">Scoring!B243</f>
        <v>0</v>
      </c>
      <c r="G237" s="152" t="n">
        <f aca="false">Scoring!D243</f>
        <v>0</v>
      </c>
      <c r="H237" s="152" t="str">
        <f aca="false">Scoring!BB243</f>
        <v/>
      </c>
      <c r="I237" s="154" t="str">
        <f aca="false">Scoring!BA243</f>
        <v/>
      </c>
    </row>
    <row r="238" customFormat="false" ht="15.75" hidden="false" customHeight="false" outlineLevel="0" collapsed="false">
      <c r="A238" s="152" t="str">
        <f aca="false">Scoring!BD244</f>
        <v/>
      </c>
      <c r="B238" s="152" t="str">
        <f aca="false">Scoring!BC244</f>
        <v/>
      </c>
      <c r="C238" s="152" t="n">
        <f aca="false">Scoring!C244</f>
        <v>0</v>
      </c>
      <c r="D238" s="153" t="str">
        <f aca="false">Scoring!AZ244</f>
        <v/>
      </c>
      <c r="E238" s="152" t="str">
        <f aca="false">Scoring!AF244</f>
        <v/>
      </c>
      <c r="F238" s="152" t="n">
        <f aca="false">Scoring!B244</f>
        <v>0</v>
      </c>
      <c r="G238" s="152" t="n">
        <f aca="false">Scoring!D244</f>
        <v>0</v>
      </c>
      <c r="H238" s="152" t="str">
        <f aca="false">Scoring!BB244</f>
        <v/>
      </c>
      <c r="I238" s="154" t="str">
        <f aca="false">Scoring!BA244</f>
        <v/>
      </c>
    </row>
    <row r="239" customFormat="false" ht="15.75" hidden="false" customHeight="false" outlineLevel="0" collapsed="false">
      <c r="A239" s="152" t="str">
        <f aca="false">Scoring!BD245</f>
        <v/>
      </c>
      <c r="B239" s="152" t="str">
        <f aca="false">Scoring!BC245</f>
        <v/>
      </c>
      <c r="C239" s="152" t="n">
        <f aca="false">Scoring!C245</f>
        <v>0</v>
      </c>
      <c r="D239" s="153" t="str">
        <f aca="false">Scoring!AZ245</f>
        <v/>
      </c>
      <c r="E239" s="152" t="str">
        <f aca="false">Scoring!AF245</f>
        <v/>
      </c>
      <c r="F239" s="152" t="n">
        <f aca="false">Scoring!B245</f>
        <v>0</v>
      </c>
      <c r="G239" s="152" t="n">
        <f aca="false">Scoring!D245</f>
        <v>0</v>
      </c>
      <c r="H239" s="152" t="str">
        <f aca="false">Scoring!BB245</f>
        <v/>
      </c>
      <c r="I239" s="154" t="str">
        <f aca="false">Scoring!BA245</f>
        <v/>
      </c>
    </row>
    <row r="240" customFormat="false" ht="15.75" hidden="false" customHeight="false" outlineLevel="0" collapsed="false">
      <c r="A240" s="152" t="str">
        <f aca="false">Scoring!BD246</f>
        <v/>
      </c>
      <c r="B240" s="152" t="str">
        <f aca="false">Scoring!BC246</f>
        <v/>
      </c>
      <c r="C240" s="152" t="n">
        <f aca="false">Scoring!C246</f>
        <v>0</v>
      </c>
      <c r="D240" s="153" t="str">
        <f aca="false">Scoring!AZ246</f>
        <v/>
      </c>
      <c r="E240" s="152" t="str">
        <f aca="false">Scoring!AF246</f>
        <v/>
      </c>
      <c r="F240" s="152" t="n">
        <f aca="false">Scoring!B246</f>
        <v>0</v>
      </c>
      <c r="G240" s="152" t="n">
        <f aca="false">Scoring!D246</f>
        <v>0</v>
      </c>
      <c r="H240" s="152" t="str">
        <f aca="false">Scoring!BB246</f>
        <v/>
      </c>
      <c r="I240" s="154" t="str">
        <f aca="false">Scoring!BA246</f>
        <v/>
      </c>
    </row>
    <row r="241" customFormat="false" ht="15.75" hidden="false" customHeight="false" outlineLevel="0" collapsed="false">
      <c r="A241" s="152" t="str">
        <f aca="false">Scoring!BD247</f>
        <v/>
      </c>
      <c r="B241" s="152" t="str">
        <f aca="false">Scoring!BC247</f>
        <v/>
      </c>
      <c r="C241" s="152" t="n">
        <f aca="false">Scoring!C247</f>
        <v>0</v>
      </c>
      <c r="D241" s="153" t="str">
        <f aca="false">Scoring!AZ247</f>
        <v/>
      </c>
      <c r="E241" s="152" t="str">
        <f aca="false">Scoring!AF247</f>
        <v/>
      </c>
      <c r="F241" s="152" t="n">
        <f aca="false">Scoring!B247</f>
        <v>0</v>
      </c>
      <c r="G241" s="152" t="n">
        <f aca="false">Scoring!D247</f>
        <v>0</v>
      </c>
      <c r="H241" s="152" t="str">
        <f aca="false">Scoring!BB247</f>
        <v/>
      </c>
      <c r="I241" s="154" t="str">
        <f aca="false">Scoring!BA247</f>
        <v/>
      </c>
    </row>
    <row r="242" customFormat="false" ht="15.75" hidden="false" customHeight="false" outlineLevel="0" collapsed="false">
      <c r="A242" s="152" t="str">
        <f aca="false">Scoring!BD248</f>
        <v/>
      </c>
      <c r="B242" s="152" t="str">
        <f aca="false">Scoring!BC248</f>
        <v/>
      </c>
      <c r="C242" s="152" t="n">
        <f aca="false">Scoring!C248</f>
        <v>0</v>
      </c>
      <c r="D242" s="153" t="str">
        <f aca="false">Scoring!AZ248</f>
        <v/>
      </c>
      <c r="E242" s="152" t="str">
        <f aca="false">Scoring!AF248</f>
        <v/>
      </c>
      <c r="F242" s="152" t="n">
        <f aca="false">Scoring!B248</f>
        <v>0</v>
      </c>
      <c r="G242" s="152" t="n">
        <f aca="false">Scoring!D248</f>
        <v>0</v>
      </c>
      <c r="H242" s="152" t="str">
        <f aca="false">Scoring!BB248</f>
        <v/>
      </c>
      <c r="I242" s="154" t="str">
        <f aca="false">Scoring!BA248</f>
        <v/>
      </c>
    </row>
    <row r="243" customFormat="false" ht="15.75" hidden="false" customHeight="false" outlineLevel="0" collapsed="false">
      <c r="A243" s="152" t="str">
        <f aca="false">Scoring!BD249</f>
        <v/>
      </c>
      <c r="B243" s="152" t="str">
        <f aca="false">Scoring!BC249</f>
        <v/>
      </c>
      <c r="C243" s="152" t="n">
        <f aca="false">Scoring!C249</f>
        <v>0</v>
      </c>
      <c r="D243" s="153" t="str">
        <f aca="false">Scoring!AZ249</f>
        <v/>
      </c>
      <c r="E243" s="152" t="str">
        <f aca="false">Scoring!AF249</f>
        <v/>
      </c>
      <c r="F243" s="152" t="n">
        <f aca="false">Scoring!B249</f>
        <v>0</v>
      </c>
      <c r="G243" s="152" t="n">
        <f aca="false">Scoring!D249</f>
        <v>0</v>
      </c>
      <c r="H243" s="152" t="str">
        <f aca="false">Scoring!BB249</f>
        <v/>
      </c>
      <c r="I243" s="154" t="str">
        <f aca="false">Scoring!BA249</f>
        <v/>
      </c>
    </row>
    <row r="244" customFormat="false" ht="15.75" hidden="false" customHeight="false" outlineLevel="0" collapsed="false">
      <c r="A244" s="152" t="str">
        <f aca="false">Scoring!BD250</f>
        <v/>
      </c>
      <c r="B244" s="152" t="str">
        <f aca="false">Scoring!BC250</f>
        <v/>
      </c>
      <c r="C244" s="152" t="n">
        <f aca="false">Scoring!C250</f>
        <v>0</v>
      </c>
      <c r="D244" s="153" t="str">
        <f aca="false">Scoring!AZ250</f>
        <v/>
      </c>
      <c r="E244" s="152" t="str">
        <f aca="false">Scoring!AF250</f>
        <v/>
      </c>
      <c r="F244" s="152" t="n">
        <f aca="false">Scoring!B250</f>
        <v>0</v>
      </c>
      <c r="G244" s="152" t="n">
        <f aca="false">Scoring!D250</f>
        <v>0</v>
      </c>
      <c r="H244" s="152" t="str">
        <f aca="false">Scoring!BB250</f>
        <v/>
      </c>
      <c r="I244" s="154" t="str">
        <f aca="false">Scoring!BA250</f>
        <v/>
      </c>
    </row>
    <row r="245" customFormat="false" ht="15.75" hidden="false" customHeight="false" outlineLevel="0" collapsed="false">
      <c r="A245" s="152" t="str">
        <f aca="false">Scoring!BD251</f>
        <v/>
      </c>
      <c r="B245" s="152" t="str">
        <f aca="false">Scoring!BC251</f>
        <v/>
      </c>
      <c r="C245" s="152" t="n">
        <f aca="false">Scoring!C251</f>
        <v>0</v>
      </c>
      <c r="D245" s="153" t="str">
        <f aca="false">Scoring!AZ251</f>
        <v/>
      </c>
      <c r="E245" s="152" t="str">
        <f aca="false">Scoring!AF251</f>
        <v/>
      </c>
      <c r="F245" s="152" t="n">
        <f aca="false">Scoring!B251</f>
        <v>0</v>
      </c>
      <c r="G245" s="152" t="n">
        <f aca="false">Scoring!D251</f>
        <v>0</v>
      </c>
      <c r="H245" s="152" t="str">
        <f aca="false">Scoring!BB251</f>
        <v/>
      </c>
      <c r="I245" s="154" t="str">
        <f aca="false">Scoring!BA251</f>
        <v/>
      </c>
    </row>
    <row r="246" customFormat="false" ht="15.75" hidden="false" customHeight="false" outlineLevel="0" collapsed="false">
      <c r="A246" s="152" t="str">
        <f aca="false">Scoring!BD252</f>
        <v/>
      </c>
      <c r="B246" s="152" t="str">
        <f aca="false">Scoring!BC252</f>
        <v/>
      </c>
      <c r="C246" s="152" t="n">
        <f aca="false">Scoring!C252</f>
        <v>0</v>
      </c>
      <c r="D246" s="153" t="str">
        <f aca="false">Scoring!AZ252</f>
        <v/>
      </c>
      <c r="E246" s="152" t="str">
        <f aca="false">Scoring!AF252</f>
        <v/>
      </c>
      <c r="F246" s="152" t="n">
        <f aca="false">Scoring!B252</f>
        <v>0</v>
      </c>
      <c r="G246" s="152" t="n">
        <f aca="false">Scoring!D252</f>
        <v>0</v>
      </c>
      <c r="H246" s="152" t="str">
        <f aca="false">Scoring!BB252</f>
        <v/>
      </c>
      <c r="I246" s="154" t="str">
        <f aca="false">Scoring!BA252</f>
        <v/>
      </c>
    </row>
    <row r="247" customFormat="false" ht="15.75" hidden="false" customHeight="false" outlineLevel="0" collapsed="false">
      <c r="A247" s="152" t="str">
        <f aca="false">Scoring!BD253</f>
        <v/>
      </c>
      <c r="B247" s="152" t="str">
        <f aca="false">Scoring!BC253</f>
        <v/>
      </c>
      <c r="C247" s="152" t="n">
        <f aca="false">Scoring!C253</f>
        <v>0</v>
      </c>
      <c r="D247" s="153" t="str">
        <f aca="false">Scoring!AZ253</f>
        <v/>
      </c>
      <c r="E247" s="152" t="str">
        <f aca="false">Scoring!AF253</f>
        <v/>
      </c>
      <c r="F247" s="152" t="n">
        <f aca="false">Scoring!B253</f>
        <v>0</v>
      </c>
      <c r="G247" s="152" t="n">
        <f aca="false">Scoring!D253</f>
        <v>0</v>
      </c>
      <c r="H247" s="152" t="str">
        <f aca="false">Scoring!BB253</f>
        <v/>
      </c>
      <c r="I247" s="154" t="str">
        <f aca="false">Scoring!BA253</f>
        <v/>
      </c>
    </row>
    <row r="248" customFormat="false" ht="15.75" hidden="false" customHeight="false" outlineLevel="0" collapsed="false">
      <c r="A248" s="152" t="str">
        <f aca="false">Scoring!BD254</f>
        <v/>
      </c>
      <c r="B248" s="152" t="str">
        <f aca="false">Scoring!BC254</f>
        <v/>
      </c>
      <c r="C248" s="152" t="n">
        <f aca="false">Scoring!C254</f>
        <v>0</v>
      </c>
      <c r="D248" s="153" t="str">
        <f aca="false">Scoring!AZ254</f>
        <v/>
      </c>
      <c r="E248" s="152" t="str">
        <f aca="false">Scoring!AF254</f>
        <v/>
      </c>
      <c r="F248" s="152" t="n">
        <f aca="false">Scoring!B254</f>
        <v>0</v>
      </c>
      <c r="G248" s="152" t="n">
        <f aca="false">Scoring!D254</f>
        <v>0</v>
      </c>
      <c r="H248" s="152" t="str">
        <f aca="false">Scoring!BB254</f>
        <v/>
      </c>
      <c r="I248" s="154" t="str">
        <f aca="false">Scoring!BA254</f>
        <v/>
      </c>
    </row>
    <row r="249" customFormat="false" ht="15.75" hidden="false" customHeight="false" outlineLevel="0" collapsed="false">
      <c r="A249" s="152" t="str">
        <f aca="false">Scoring!BD255</f>
        <v/>
      </c>
      <c r="B249" s="152" t="str">
        <f aca="false">Scoring!BC255</f>
        <v/>
      </c>
      <c r="C249" s="152" t="n">
        <f aca="false">Scoring!C255</f>
        <v>0</v>
      </c>
      <c r="D249" s="153" t="str">
        <f aca="false">Scoring!AZ255</f>
        <v/>
      </c>
      <c r="E249" s="152" t="str">
        <f aca="false">Scoring!AF255</f>
        <v/>
      </c>
      <c r="F249" s="152" t="n">
        <f aca="false">Scoring!B255</f>
        <v>0</v>
      </c>
      <c r="G249" s="152" t="n">
        <f aca="false">Scoring!D255</f>
        <v>0</v>
      </c>
      <c r="H249" s="152" t="str">
        <f aca="false">Scoring!BB255</f>
        <v/>
      </c>
      <c r="I249" s="154" t="str">
        <f aca="false">Scoring!BA255</f>
        <v/>
      </c>
    </row>
    <row r="250" customFormat="false" ht="15.75" hidden="false" customHeight="false" outlineLevel="0" collapsed="false">
      <c r="A250" s="152" t="str">
        <f aca="false">Scoring!BD256</f>
        <v/>
      </c>
      <c r="B250" s="152" t="str">
        <f aca="false">Scoring!BC256</f>
        <v/>
      </c>
      <c r="C250" s="152" t="n">
        <f aca="false">Scoring!C256</f>
        <v>0</v>
      </c>
      <c r="D250" s="153" t="str">
        <f aca="false">Scoring!AZ256</f>
        <v/>
      </c>
      <c r="E250" s="152" t="str">
        <f aca="false">Scoring!AF256</f>
        <v/>
      </c>
      <c r="F250" s="152" t="n">
        <f aca="false">Scoring!B256</f>
        <v>0</v>
      </c>
      <c r="G250" s="152" t="n">
        <f aca="false">Scoring!D256</f>
        <v>0</v>
      </c>
      <c r="H250" s="152" t="str">
        <f aca="false">Scoring!BB256</f>
        <v/>
      </c>
      <c r="I250" s="154" t="str">
        <f aca="false">Scoring!BA256</f>
        <v/>
      </c>
    </row>
    <row r="251" customFormat="false" ht="15.75" hidden="false" customHeight="false" outlineLevel="0" collapsed="false">
      <c r="A251" s="152" t="str">
        <f aca="false">Scoring!BD257</f>
        <v/>
      </c>
      <c r="B251" s="152" t="str">
        <f aca="false">Scoring!BC257</f>
        <v/>
      </c>
      <c r="C251" s="152" t="n">
        <f aca="false">Scoring!C257</f>
        <v>0</v>
      </c>
      <c r="D251" s="153" t="str">
        <f aca="false">Scoring!AZ257</f>
        <v/>
      </c>
      <c r="E251" s="152" t="str">
        <f aca="false">Scoring!AF257</f>
        <v/>
      </c>
      <c r="F251" s="152" t="n">
        <f aca="false">Scoring!B257</f>
        <v>0</v>
      </c>
      <c r="G251" s="152" t="n">
        <f aca="false">Scoring!D257</f>
        <v>0</v>
      </c>
      <c r="H251" s="152" t="str">
        <f aca="false">Scoring!BB257</f>
        <v/>
      </c>
      <c r="I251" s="154" t="str">
        <f aca="false">Scoring!BA257</f>
        <v/>
      </c>
    </row>
    <row r="252" customFormat="false" ht="15.75" hidden="false" customHeight="false" outlineLevel="0" collapsed="false">
      <c r="A252" s="152" t="str">
        <f aca="false">Scoring!BD258</f>
        <v/>
      </c>
      <c r="B252" s="152" t="str">
        <f aca="false">Scoring!BC258</f>
        <v/>
      </c>
      <c r="C252" s="152" t="n">
        <f aca="false">Scoring!C258</f>
        <v>0</v>
      </c>
      <c r="D252" s="153" t="str">
        <f aca="false">Scoring!AZ258</f>
        <v/>
      </c>
      <c r="E252" s="152" t="str">
        <f aca="false">Scoring!AF258</f>
        <v/>
      </c>
      <c r="F252" s="152" t="n">
        <f aca="false">Scoring!B258</f>
        <v>0</v>
      </c>
      <c r="G252" s="152" t="n">
        <f aca="false">Scoring!D258</f>
        <v>0</v>
      </c>
      <c r="H252" s="152" t="str">
        <f aca="false">Scoring!BB258</f>
        <v/>
      </c>
      <c r="I252" s="154" t="str">
        <f aca="false">Scoring!BA258</f>
        <v/>
      </c>
    </row>
    <row r="253" customFormat="false" ht="15.75" hidden="false" customHeight="false" outlineLevel="0" collapsed="false">
      <c r="A253" s="152" t="str">
        <f aca="false">Scoring!BD259</f>
        <v/>
      </c>
      <c r="B253" s="152" t="str">
        <f aca="false">Scoring!BC259</f>
        <v/>
      </c>
      <c r="C253" s="152" t="n">
        <f aca="false">Scoring!C259</f>
        <v>0</v>
      </c>
      <c r="D253" s="153" t="str">
        <f aca="false">Scoring!AZ259</f>
        <v/>
      </c>
      <c r="E253" s="152" t="str">
        <f aca="false">Scoring!AF259</f>
        <v/>
      </c>
      <c r="F253" s="152" t="n">
        <f aca="false">Scoring!B259</f>
        <v>0</v>
      </c>
      <c r="G253" s="152" t="n">
        <f aca="false">Scoring!D259</f>
        <v>0</v>
      </c>
      <c r="H253" s="152" t="str">
        <f aca="false">Scoring!BB259</f>
        <v/>
      </c>
      <c r="I253" s="154" t="str">
        <f aca="false">Scoring!BA259</f>
        <v/>
      </c>
    </row>
    <row r="254" customFormat="false" ht="15.75" hidden="false" customHeight="false" outlineLevel="0" collapsed="false">
      <c r="A254" s="152" t="str">
        <f aca="false">Scoring!BD260</f>
        <v/>
      </c>
      <c r="B254" s="152" t="str">
        <f aca="false">Scoring!BC260</f>
        <v/>
      </c>
      <c r="C254" s="152" t="n">
        <f aca="false">Scoring!C260</f>
        <v>0</v>
      </c>
      <c r="D254" s="153" t="str">
        <f aca="false">Scoring!AZ260</f>
        <v/>
      </c>
      <c r="E254" s="152" t="str">
        <f aca="false">Scoring!AF260</f>
        <v/>
      </c>
      <c r="F254" s="152" t="n">
        <f aca="false">Scoring!B260</f>
        <v>0</v>
      </c>
      <c r="G254" s="152" t="n">
        <f aca="false">Scoring!D260</f>
        <v>0</v>
      </c>
      <c r="H254" s="152" t="str">
        <f aca="false">Scoring!BB260</f>
        <v/>
      </c>
      <c r="I254" s="154" t="str">
        <f aca="false">Scoring!BA260</f>
        <v/>
      </c>
    </row>
    <row r="255" customFormat="false" ht="15.75" hidden="false" customHeight="false" outlineLevel="0" collapsed="false">
      <c r="A255" s="152" t="str">
        <f aca="false">Scoring!BD261</f>
        <v/>
      </c>
      <c r="B255" s="152" t="str">
        <f aca="false">Scoring!BC261</f>
        <v/>
      </c>
      <c r="C255" s="152" t="n">
        <f aca="false">Scoring!C261</f>
        <v>0</v>
      </c>
      <c r="D255" s="153" t="str">
        <f aca="false">Scoring!AZ261</f>
        <v/>
      </c>
      <c r="E255" s="152" t="str">
        <f aca="false">Scoring!AF261</f>
        <v/>
      </c>
      <c r="F255" s="152" t="n">
        <f aca="false">Scoring!B261</f>
        <v>0</v>
      </c>
      <c r="G255" s="152" t="n">
        <f aca="false">Scoring!D261</f>
        <v>0</v>
      </c>
      <c r="H255" s="152" t="str">
        <f aca="false">Scoring!BB261</f>
        <v/>
      </c>
      <c r="I255" s="154" t="str">
        <f aca="false">Scoring!BA261</f>
        <v/>
      </c>
    </row>
    <row r="256" customFormat="false" ht="15.75" hidden="false" customHeight="false" outlineLevel="0" collapsed="false">
      <c r="A256" s="152" t="str">
        <f aca="false">Scoring!BD262</f>
        <v/>
      </c>
      <c r="B256" s="152" t="str">
        <f aca="false">Scoring!BC262</f>
        <v/>
      </c>
      <c r="C256" s="152" t="n">
        <f aca="false">Scoring!C262</f>
        <v>0</v>
      </c>
      <c r="D256" s="153" t="str">
        <f aca="false">Scoring!AZ262</f>
        <v/>
      </c>
      <c r="E256" s="152" t="str">
        <f aca="false">Scoring!AF262</f>
        <v/>
      </c>
      <c r="F256" s="152" t="n">
        <f aca="false">Scoring!B262</f>
        <v>0</v>
      </c>
      <c r="G256" s="152" t="n">
        <f aca="false">Scoring!D262</f>
        <v>0</v>
      </c>
      <c r="H256" s="152" t="str">
        <f aca="false">Scoring!BB262</f>
        <v/>
      </c>
      <c r="I256" s="154" t="str">
        <f aca="false">Scoring!BA262</f>
        <v/>
      </c>
    </row>
    <row r="257" customFormat="false" ht="15.75" hidden="false" customHeight="false" outlineLevel="0" collapsed="false">
      <c r="A257" s="152" t="str">
        <f aca="false">Scoring!BD263</f>
        <v/>
      </c>
      <c r="B257" s="152" t="str">
        <f aca="false">Scoring!BC263</f>
        <v/>
      </c>
      <c r="C257" s="152" t="n">
        <f aca="false">Scoring!C263</f>
        <v>0</v>
      </c>
      <c r="D257" s="153" t="str">
        <f aca="false">Scoring!AZ263</f>
        <v/>
      </c>
      <c r="E257" s="152" t="str">
        <f aca="false">Scoring!AF263</f>
        <v/>
      </c>
      <c r="F257" s="152" t="n">
        <f aca="false">Scoring!B263</f>
        <v>0</v>
      </c>
      <c r="G257" s="152" t="n">
        <f aca="false">Scoring!D263</f>
        <v>0</v>
      </c>
      <c r="H257" s="152" t="str">
        <f aca="false">Scoring!BB263</f>
        <v/>
      </c>
      <c r="I257" s="154" t="str">
        <f aca="false">Scoring!BA263</f>
        <v/>
      </c>
    </row>
    <row r="258" customFormat="false" ht="15.75" hidden="false" customHeight="false" outlineLevel="0" collapsed="false">
      <c r="A258" s="152" t="str">
        <f aca="false">Scoring!BD264</f>
        <v/>
      </c>
      <c r="B258" s="152" t="str">
        <f aca="false">Scoring!BC264</f>
        <v/>
      </c>
      <c r="C258" s="152" t="n">
        <f aca="false">Scoring!C264</f>
        <v>0</v>
      </c>
      <c r="D258" s="153" t="str">
        <f aca="false">Scoring!AZ264</f>
        <v/>
      </c>
      <c r="E258" s="152" t="str">
        <f aca="false">Scoring!AF264</f>
        <v/>
      </c>
      <c r="F258" s="152" t="n">
        <f aca="false">Scoring!B264</f>
        <v>0</v>
      </c>
      <c r="G258" s="152" t="n">
        <f aca="false">Scoring!D264</f>
        <v>0</v>
      </c>
      <c r="H258" s="152" t="str">
        <f aca="false">Scoring!BB264</f>
        <v/>
      </c>
      <c r="I258" s="154" t="str">
        <f aca="false">Scoring!BA264</f>
        <v/>
      </c>
    </row>
    <row r="259" customFormat="false" ht="15.75" hidden="false" customHeight="false" outlineLevel="0" collapsed="false">
      <c r="A259" s="152" t="str">
        <f aca="false">Scoring!BD265</f>
        <v/>
      </c>
      <c r="B259" s="152" t="str">
        <f aca="false">Scoring!BC265</f>
        <v/>
      </c>
      <c r="C259" s="152" t="n">
        <f aca="false">Scoring!C265</f>
        <v>0</v>
      </c>
      <c r="D259" s="153" t="str">
        <f aca="false">Scoring!AZ265</f>
        <v/>
      </c>
      <c r="E259" s="152" t="str">
        <f aca="false">Scoring!AF265</f>
        <v/>
      </c>
      <c r="F259" s="152" t="n">
        <f aca="false">Scoring!B265</f>
        <v>0</v>
      </c>
      <c r="G259" s="152" t="n">
        <f aca="false">Scoring!D265</f>
        <v>0</v>
      </c>
      <c r="H259" s="152" t="str">
        <f aca="false">Scoring!BB265</f>
        <v/>
      </c>
      <c r="I259" s="154" t="str">
        <f aca="false">Scoring!BA265</f>
        <v/>
      </c>
    </row>
    <row r="260" customFormat="false" ht="15.75" hidden="false" customHeight="false" outlineLevel="0" collapsed="false">
      <c r="A260" s="152" t="str">
        <f aca="false">Scoring!BD266</f>
        <v/>
      </c>
      <c r="B260" s="152" t="str">
        <f aca="false">Scoring!BC266</f>
        <v/>
      </c>
      <c r="C260" s="152" t="n">
        <f aca="false">Scoring!C266</f>
        <v>0</v>
      </c>
      <c r="D260" s="153" t="str">
        <f aca="false">Scoring!AZ266</f>
        <v/>
      </c>
      <c r="E260" s="152" t="str">
        <f aca="false">Scoring!AF266</f>
        <v/>
      </c>
      <c r="F260" s="152" t="n">
        <f aca="false">Scoring!B266</f>
        <v>0</v>
      </c>
      <c r="G260" s="152" t="n">
        <f aca="false">Scoring!D266</f>
        <v>0</v>
      </c>
      <c r="H260" s="152" t="str">
        <f aca="false">Scoring!BB266</f>
        <v/>
      </c>
      <c r="I260" s="154" t="str">
        <f aca="false">Scoring!BA266</f>
        <v/>
      </c>
    </row>
    <row r="261" customFormat="false" ht="15.75" hidden="false" customHeight="false" outlineLevel="0" collapsed="false">
      <c r="A261" s="152" t="str">
        <f aca="false">Scoring!BD267</f>
        <v/>
      </c>
      <c r="B261" s="152" t="str">
        <f aca="false">Scoring!BC267</f>
        <v/>
      </c>
      <c r="C261" s="152" t="n">
        <f aca="false">Scoring!C267</f>
        <v>0</v>
      </c>
      <c r="D261" s="153" t="str">
        <f aca="false">Scoring!AZ267</f>
        <v/>
      </c>
      <c r="E261" s="152" t="str">
        <f aca="false">Scoring!AF267</f>
        <v/>
      </c>
      <c r="F261" s="152" t="n">
        <f aca="false">Scoring!B267</f>
        <v>0</v>
      </c>
      <c r="G261" s="152" t="n">
        <f aca="false">Scoring!D267</f>
        <v>0</v>
      </c>
      <c r="H261" s="152" t="str">
        <f aca="false">Scoring!BB267</f>
        <v/>
      </c>
      <c r="I261" s="154" t="str">
        <f aca="false">Scoring!BA267</f>
        <v/>
      </c>
    </row>
    <row r="262" customFormat="false" ht="15.75" hidden="false" customHeight="false" outlineLevel="0" collapsed="false">
      <c r="A262" s="152" t="str">
        <f aca="false">Scoring!BD268</f>
        <v/>
      </c>
      <c r="B262" s="152" t="str">
        <f aca="false">Scoring!BC268</f>
        <v/>
      </c>
      <c r="C262" s="152" t="n">
        <f aca="false">Scoring!C268</f>
        <v>0</v>
      </c>
      <c r="D262" s="153" t="str">
        <f aca="false">Scoring!AZ268</f>
        <v/>
      </c>
      <c r="E262" s="152" t="str">
        <f aca="false">Scoring!AF268</f>
        <v/>
      </c>
      <c r="F262" s="152" t="n">
        <f aca="false">Scoring!B268</f>
        <v>0</v>
      </c>
      <c r="G262" s="152" t="n">
        <f aca="false">Scoring!D268</f>
        <v>0</v>
      </c>
      <c r="H262" s="152" t="str">
        <f aca="false">Scoring!BB268</f>
        <v/>
      </c>
      <c r="I262" s="154" t="str">
        <f aca="false">Scoring!BA268</f>
        <v/>
      </c>
    </row>
    <row r="263" customFormat="false" ht="15.75" hidden="false" customHeight="false" outlineLevel="0" collapsed="false">
      <c r="A263" s="152" t="str">
        <f aca="false">Scoring!BD269</f>
        <v/>
      </c>
      <c r="B263" s="152" t="str">
        <f aca="false">Scoring!BC269</f>
        <v/>
      </c>
      <c r="C263" s="152" t="n">
        <f aca="false">Scoring!C269</f>
        <v>0</v>
      </c>
      <c r="D263" s="153" t="str">
        <f aca="false">Scoring!AZ269</f>
        <v/>
      </c>
      <c r="E263" s="152" t="str">
        <f aca="false">Scoring!AF269</f>
        <v/>
      </c>
      <c r="F263" s="152" t="n">
        <f aca="false">Scoring!B269</f>
        <v>0</v>
      </c>
      <c r="G263" s="152" t="n">
        <f aca="false">Scoring!D269</f>
        <v>0</v>
      </c>
      <c r="H263" s="152" t="str">
        <f aca="false">Scoring!BB269</f>
        <v/>
      </c>
      <c r="I263" s="154" t="str">
        <f aca="false">Scoring!BA269</f>
        <v/>
      </c>
    </row>
    <row r="264" customFormat="false" ht="15.75" hidden="false" customHeight="false" outlineLevel="0" collapsed="false">
      <c r="A264" s="152" t="str">
        <f aca="false">Scoring!BD270</f>
        <v/>
      </c>
      <c r="B264" s="152" t="str">
        <f aca="false">Scoring!BC270</f>
        <v/>
      </c>
      <c r="C264" s="152" t="n">
        <f aca="false">Scoring!C270</f>
        <v>0</v>
      </c>
      <c r="D264" s="153" t="str">
        <f aca="false">Scoring!AZ270</f>
        <v/>
      </c>
      <c r="E264" s="152" t="str">
        <f aca="false">Scoring!AF270</f>
        <v/>
      </c>
      <c r="F264" s="152" t="n">
        <f aca="false">Scoring!B270</f>
        <v>0</v>
      </c>
      <c r="G264" s="152" t="n">
        <f aca="false">Scoring!D270</f>
        <v>0</v>
      </c>
      <c r="H264" s="152" t="str">
        <f aca="false">Scoring!BB270</f>
        <v/>
      </c>
      <c r="I264" s="154" t="str">
        <f aca="false">Scoring!BA270</f>
        <v/>
      </c>
    </row>
    <row r="265" customFormat="false" ht="15.75" hidden="false" customHeight="false" outlineLevel="0" collapsed="false">
      <c r="A265" s="152" t="str">
        <f aca="false">Scoring!BD271</f>
        <v/>
      </c>
      <c r="B265" s="152" t="str">
        <f aca="false">Scoring!BC271</f>
        <v/>
      </c>
      <c r="C265" s="152" t="n">
        <f aca="false">Scoring!C271</f>
        <v>0</v>
      </c>
      <c r="D265" s="153" t="str">
        <f aca="false">Scoring!AZ271</f>
        <v/>
      </c>
      <c r="E265" s="152" t="str">
        <f aca="false">Scoring!AF271</f>
        <v/>
      </c>
      <c r="F265" s="152" t="n">
        <f aca="false">Scoring!B271</f>
        <v>0</v>
      </c>
      <c r="G265" s="152" t="n">
        <f aca="false">Scoring!D271</f>
        <v>0</v>
      </c>
      <c r="H265" s="152" t="str">
        <f aca="false">Scoring!BB271</f>
        <v/>
      </c>
      <c r="I265" s="154" t="str">
        <f aca="false">Scoring!BA271</f>
        <v/>
      </c>
    </row>
    <row r="266" customFormat="false" ht="15.75" hidden="false" customHeight="false" outlineLevel="0" collapsed="false">
      <c r="A266" s="152" t="str">
        <f aca="false">Scoring!BD272</f>
        <v/>
      </c>
      <c r="B266" s="152" t="str">
        <f aca="false">Scoring!BC272</f>
        <v/>
      </c>
      <c r="C266" s="152" t="n">
        <f aca="false">Scoring!C272</f>
        <v>0</v>
      </c>
      <c r="D266" s="153" t="str">
        <f aca="false">Scoring!AZ272</f>
        <v/>
      </c>
      <c r="E266" s="152" t="str">
        <f aca="false">Scoring!AF272</f>
        <v/>
      </c>
      <c r="F266" s="152" t="n">
        <f aca="false">Scoring!B272</f>
        <v>0</v>
      </c>
      <c r="G266" s="152" t="n">
        <f aca="false">Scoring!D272</f>
        <v>0</v>
      </c>
      <c r="H266" s="152" t="str">
        <f aca="false">Scoring!BB272</f>
        <v/>
      </c>
      <c r="I266" s="154" t="str">
        <f aca="false">Scoring!BA272</f>
        <v/>
      </c>
    </row>
    <row r="267" customFormat="false" ht="15.75" hidden="false" customHeight="false" outlineLevel="0" collapsed="false">
      <c r="A267" s="152" t="str">
        <f aca="false">Scoring!BD273</f>
        <v/>
      </c>
      <c r="B267" s="152" t="str">
        <f aca="false">Scoring!BC273</f>
        <v/>
      </c>
      <c r="C267" s="152" t="n">
        <f aca="false">Scoring!C273</f>
        <v>0</v>
      </c>
      <c r="D267" s="153" t="str">
        <f aca="false">Scoring!AZ273</f>
        <v/>
      </c>
      <c r="E267" s="152" t="str">
        <f aca="false">Scoring!AF273</f>
        <v/>
      </c>
      <c r="F267" s="152" t="n">
        <f aca="false">Scoring!B273</f>
        <v>0</v>
      </c>
      <c r="G267" s="152" t="n">
        <f aca="false">Scoring!D273</f>
        <v>0</v>
      </c>
      <c r="H267" s="152" t="str">
        <f aca="false">Scoring!BB273</f>
        <v/>
      </c>
      <c r="I267" s="154" t="str">
        <f aca="false">Scoring!BA273</f>
        <v/>
      </c>
    </row>
    <row r="268" customFormat="false" ht="15.75" hidden="false" customHeight="false" outlineLevel="0" collapsed="false">
      <c r="A268" s="152" t="str">
        <f aca="false">Scoring!BD274</f>
        <v/>
      </c>
      <c r="B268" s="152" t="str">
        <f aca="false">Scoring!BC274</f>
        <v/>
      </c>
      <c r="C268" s="152" t="n">
        <f aca="false">Scoring!C274</f>
        <v>0</v>
      </c>
      <c r="D268" s="153" t="str">
        <f aca="false">Scoring!AZ274</f>
        <v/>
      </c>
      <c r="E268" s="152" t="str">
        <f aca="false">Scoring!AF274</f>
        <v/>
      </c>
      <c r="F268" s="152" t="n">
        <f aca="false">Scoring!B274</f>
        <v>0</v>
      </c>
      <c r="G268" s="152" t="n">
        <f aca="false">Scoring!D274</f>
        <v>0</v>
      </c>
      <c r="H268" s="152" t="str">
        <f aca="false">Scoring!BB274</f>
        <v/>
      </c>
      <c r="I268" s="154" t="str">
        <f aca="false">Scoring!BA274</f>
        <v/>
      </c>
    </row>
    <row r="269" customFormat="false" ht="15.75" hidden="false" customHeight="false" outlineLevel="0" collapsed="false">
      <c r="A269" s="152" t="str">
        <f aca="false">Scoring!BD275</f>
        <v/>
      </c>
      <c r="B269" s="152" t="str">
        <f aca="false">Scoring!BC275</f>
        <v/>
      </c>
      <c r="C269" s="152" t="n">
        <f aca="false">Scoring!C275</f>
        <v>0</v>
      </c>
      <c r="D269" s="153" t="str">
        <f aca="false">Scoring!AZ275</f>
        <v/>
      </c>
      <c r="E269" s="152" t="str">
        <f aca="false">Scoring!AF275</f>
        <v/>
      </c>
      <c r="F269" s="152" t="n">
        <f aca="false">Scoring!B275</f>
        <v>0</v>
      </c>
      <c r="G269" s="152" t="n">
        <f aca="false">Scoring!D275</f>
        <v>0</v>
      </c>
      <c r="H269" s="152" t="str">
        <f aca="false">Scoring!BB275</f>
        <v/>
      </c>
      <c r="I269" s="154" t="str">
        <f aca="false">Scoring!BA275</f>
        <v/>
      </c>
    </row>
    <row r="270" customFormat="false" ht="15.75" hidden="false" customHeight="false" outlineLevel="0" collapsed="false">
      <c r="A270" s="152" t="str">
        <f aca="false">Scoring!BD276</f>
        <v/>
      </c>
      <c r="B270" s="152" t="str">
        <f aca="false">Scoring!BC276</f>
        <v/>
      </c>
      <c r="C270" s="152" t="n">
        <f aca="false">Scoring!C276</f>
        <v>0</v>
      </c>
      <c r="D270" s="153" t="str">
        <f aca="false">Scoring!AZ276</f>
        <v/>
      </c>
      <c r="E270" s="152" t="str">
        <f aca="false">Scoring!AF276</f>
        <v/>
      </c>
      <c r="F270" s="152" t="n">
        <f aca="false">Scoring!B276</f>
        <v>0</v>
      </c>
      <c r="G270" s="152" t="n">
        <f aca="false">Scoring!D276</f>
        <v>0</v>
      </c>
      <c r="H270" s="152" t="str">
        <f aca="false">Scoring!BB276</f>
        <v/>
      </c>
      <c r="I270" s="154" t="str">
        <f aca="false">Scoring!BA276</f>
        <v/>
      </c>
    </row>
    <row r="271" customFormat="false" ht="15.75" hidden="false" customHeight="false" outlineLevel="0" collapsed="false">
      <c r="A271" s="152" t="str">
        <f aca="false">Scoring!BD277</f>
        <v/>
      </c>
      <c r="B271" s="152" t="str">
        <f aca="false">Scoring!BC277</f>
        <v/>
      </c>
      <c r="C271" s="152" t="n">
        <f aca="false">Scoring!C277</f>
        <v>0</v>
      </c>
      <c r="D271" s="153" t="str">
        <f aca="false">Scoring!AZ277</f>
        <v/>
      </c>
      <c r="E271" s="152" t="str">
        <f aca="false">Scoring!AF277</f>
        <v/>
      </c>
      <c r="F271" s="152" t="n">
        <f aca="false">Scoring!B277</f>
        <v>0</v>
      </c>
      <c r="G271" s="152" t="n">
        <f aca="false">Scoring!D277</f>
        <v>0</v>
      </c>
      <c r="H271" s="152" t="str">
        <f aca="false">Scoring!BB277</f>
        <v/>
      </c>
      <c r="I271" s="154" t="str">
        <f aca="false">Scoring!BA277</f>
        <v/>
      </c>
    </row>
    <row r="272" customFormat="false" ht="15.75" hidden="false" customHeight="false" outlineLevel="0" collapsed="false">
      <c r="A272" s="152" t="str">
        <f aca="false">Scoring!BD278</f>
        <v/>
      </c>
      <c r="B272" s="152" t="str">
        <f aca="false">Scoring!BC278</f>
        <v/>
      </c>
      <c r="C272" s="152" t="n">
        <f aca="false">Scoring!C278</f>
        <v>0</v>
      </c>
      <c r="D272" s="153" t="str">
        <f aca="false">Scoring!AZ278</f>
        <v/>
      </c>
      <c r="E272" s="152" t="str">
        <f aca="false">Scoring!AF278</f>
        <v/>
      </c>
      <c r="F272" s="152" t="n">
        <f aca="false">Scoring!B278</f>
        <v>0</v>
      </c>
      <c r="G272" s="152" t="n">
        <f aca="false">Scoring!D278</f>
        <v>0</v>
      </c>
      <c r="H272" s="152" t="str">
        <f aca="false">Scoring!BB278</f>
        <v/>
      </c>
      <c r="I272" s="154" t="str">
        <f aca="false">Scoring!BA278</f>
        <v/>
      </c>
    </row>
    <row r="273" customFormat="false" ht="15.75" hidden="false" customHeight="false" outlineLevel="0" collapsed="false">
      <c r="A273" s="152" t="str">
        <f aca="false">Scoring!BD279</f>
        <v/>
      </c>
      <c r="B273" s="152" t="str">
        <f aca="false">Scoring!BC279</f>
        <v/>
      </c>
      <c r="C273" s="152" t="n">
        <f aca="false">Scoring!C279</f>
        <v>0</v>
      </c>
      <c r="D273" s="153" t="str">
        <f aca="false">Scoring!AZ279</f>
        <v/>
      </c>
      <c r="E273" s="152" t="str">
        <f aca="false">Scoring!AF279</f>
        <v/>
      </c>
      <c r="F273" s="152" t="n">
        <f aca="false">Scoring!B279</f>
        <v>0</v>
      </c>
      <c r="G273" s="152" t="n">
        <f aca="false">Scoring!D279</f>
        <v>0</v>
      </c>
      <c r="H273" s="152" t="str">
        <f aca="false">Scoring!BB279</f>
        <v/>
      </c>
      <c r="I273" s="154" t="str">
        <f aca="false">Scoring!BA279</f>
        <v/>
      </c>
    </row>
    <row r="274" customFormat="false" ht="15.75" hidden="false" customHeight="false" outlineLevel="0" collapsed="false">
      <c r="A274" s="152" t="str">
        <f aca="false">Scoring!BD280</f>
        <v/>
      </c>
      <c r="B274" s="152" t="str">
        <f aca="false">Scoring!BC280</f>
        <v/>
      </c>
      <c r="C274" s="152" t="n">
        <f aca="false">Scoring!C280</f>
        <v>0</v>
      </c>
      <c r="D274" s="153" t="str">
        <f aca="false">Scoring!AZ280</f>
        <v/>
      </c>
      <c r="E274" s="152" t="str">
        <f aca="false">Scoring!AF280</f>
        <v/>
      </c>
      <c r="F274" s="152" t="n">
        <f aca="false">Scoring!B280</f>
        <v>0</v>
      </c>
      <c r="G274" s="152" t="n">
        <f aca="false">Scoring!D280</f>
        <v>0</v>
      </c>
      <c r="H274" s="152" t="str">
        <f aca="false">Scoring!BB280</f>
        <v/>
      </c>
      <c r="I274" s="154" t="str">
        <f aca="false">Scoring!BA280</f>
        <v/>
      </c>
    </row>
    <row r="275" customFormat="false" ht="15.75" hidden="false" customHeight="false" outlineLevel="0" collapsed="false">
      <c r="A275" s="152" t="str">
        <f aca="false">Scoring!BD281</f>
        <v/>
      </c>
      <c r="B275" s="152" t="str">
        <f aca="false">Scoring!BC281</f>
        <v/>
      </c>
      <c r="C275" s="152" t="n">
        <f aca="false">Scoring!C281</f>
        <v>0</v>
      </c>
      <c r="D275" s="153" t="str">
        <f aca="false">Scoring!AZ281</f>
        <v/>
      </c>
      <c r="E275" s="152" t="str">
        <f aca="false">Scoring!AF281</f>
        <v/>
      </c>
      <c r="F275" s="152" t="n">
        <f aca="false">Scoring!B281</f>
        <v>0</v>
      </c>
      <c r="G275" s="152" t="n">
        <f aca="false">Scoring!D281</f>
        <v>0</v>
      </c>
      <c r="H275" s="152" t="str">
        <f aca="false">Scoring!BB281</f>
        <v/>
      </c>
      <c r="I275" s="154" t="str">
        <f aca="false">Scoring!BA281</f>
        <v/>
      </c>
    </row>
    <row r="276" customFormat="false" ht="15.75" hidden="false" customHeight="false" outlineLevel="0" collapsed="false">
      <c r="A276" s="152" t="str">
        <f aca="false">Scoring!BD282</f>
        <v/>
      </c>
      <c r="B276" s="152" t="str">
        <f aca="false">Scoring!BC282</f>
        <v/>
      </c>
      <c r="C276" s="152" t="n">
        <f aca="false">Scoring!C282</f>
        <v>0</v>
      </c>
      <c r="D276" s="153" t="str">
        <f aca="false">Scoring!AZ282</f>
        <v/>
      </c>
      <c r="E276" s="152" t="str">
        <f aca="false">Scoring!AF282</f>
        <v/>
      </c>
      <c r="F276" s="152" t="n">
        <f aca="false">Scoring!B282</f>
        <v>0</v>
      </c>
      <c r="G276" s="152" t="n">
        <f aca="false">Scoring!D282</f>
        <v>0</v>
      </c>
      <c r="H276" s="152" t="str">
        <f aca="false">Scoring!BB282</f>
        <v/>
      </c>
      <c r="I276" s="154" t="str">
        <f aca="false">Scoring!BA282</f>
        <v/>
      </c>
    </row>
    <row r="277" customFormat="false" ht="15.75" hidden="false" customHeight="false" outlineLevel="0" collapsed="false">
      <c r="A277" s="152" t="str">
        <f aca="false">Scoring!BD283</f>
        <v/>
      </c>
      <c r="B277" s="152" t="str">
        <f aca="false">Scoring!BC283</f>
        <v/>
      </c>
      <c r="C277" s="152" t="n">
        <f aca="false">Scoring!C283</f>
        <v>0</v>
      </c>
      <c r="D277" s="153" t="str">
        <f aca="false">Scoring!AZ283</f>
        <v/>
      </c>
      <c r="E277" s="152" t="str">
        <f aca="false">Scoring!AF283</f>
        <v/>
      </c>
      <c r="F277" s="152" t="n">
        <f aca="false">Scoring!B283</f>
        <v>0</v>
      </c>
      <c r="G277" s="152" t="n">
        <f aca="false">Scoring!D283</f>
        <v>0</v>
      </c>
      <c r="H277" s="152" t="str">
        <f aca="false">Scoring!BB283</f>
        <v/>
      </c>
      <c r="I277" s="154" t="str">
        <f aca="false">Scoring!BA283</f>
        <v/>
      </c>
    </row>
    <row r="278" customFormat="false" ht="15.75" hidden="false" customHeight="false" outlineLevel="0" collapsed="false">
      <c r="A278" s="152" t="str">
        <f aca="false">Scoring!BD284</f>
        <v/>
      </c>
      <c r="B278" s="152" t="str">
        <f aca="false">Scoring!BC284</f>
        <v/>
      </c>
      <c r="C278" s="152" t="n">
        <f aca="false">Scoring!C284</f>
        <v>0</v>
      </c>
      <c r="D278" s="153" t="str">
        <f aca="false">Scoring!AZ284</f>
        <v/>
      </c>
      <c r="E278" s="152" t="str">
        <f aca="false">Scoring!AF284</f>
        <v/>
      </c>
      <c r="F278" s="152" t="n">
        <f aca="false">Scoring!B284</f>
        <v>0</v>
      </c>
      <c r="G278" s="152" t="n">
        <f aca="false">Scoring!D284</f>
        <v>0</v>
      </c>
      <c r="H278" s="152" t="str">
        <f aca="false">Scoring!BB284</f>
        <v/>
      </c>
      <c r="I278" s="154" t="str">
        <f aca="false">Scoring!BA284</f>
        <v/>
      </c>
    </row>
    <row r="279" customFormat="false" ht="15.75" hidden="false" customHeight="false" outlineLevel="0" collapsed="false">
      <c r="A279" s="152" t="str">
        <f aca="false">Scoring!BD285</f>
        <v/>
      </c>
      <c r="B279" s="152" t="str">
        <f aca="false">Scoring!BC285</f>
        <v/>
      </c>
      <c r="C279" s="152" t="n">
        <f aca="false">Scoring!C285</f>
        <v>0</v>
      </c>
      <c r="D279" s="153" t="str">
        <f aca="false">Scoring!AZ285</f>
        <v/>
      </c>
      <c r="E279" s="152" t="str">
        <f aca="false">Scoring!AF285</f>
        <v/>
      </c>
      <c r="F279" s="152" t="n">
        <f aca="false">Scoring!B285</f>
        <v>0</v>
      </c>
      <c r="G279" s="152" t="n">
        <f aca="false">Scoring!D285</f>
        <v>0</v>
      </c>
      <c r="H279" s="152" t="str">
        <f aca="false">Scoring!BB285</f>
        <v/>
      </c>
      <c r="I279" s="154" t="str">
        <f aca="false">Scoring!BA285</f>
        <v/>
      </c>
    </row>
    <row r="280" customFormat="false" ht="15.75" hidden="false" customHeight="false" outlineLevel="0" collapsed="false">
      <c r="A280" s="152" t="str">
        <f aca="false">Scoring!BD286</f>
        <v/>
      </c>
      <c r="B280" s="152" t="str">
        <f aca="false">Scoring!BC286</f>
        <v/>
      </c>
      <c r="C280" s="152" t="n">
        <f aca="false">Scoring!C286</f>
        <v>0</v>
      </c>
      <c r="D280" s="153" t="str">
        <f aca="false">Scoring!AZ286</f>
        <v/>
      </c>
      <c r="E280" s="152" t="str">
        <f aca="false">Scoring!AF286</f>
        <v/>
      </c>
      <c r="F280" s="152" t="n">
        <f aca="false">Scoring!B286</f>
        <v>0</v>
      </c>
      <c r="G280" s="152" t="n">
        <f aca="false">Scoring!D286</f>
        <v>0</v>
      </c>
      <c r="H280" s="152" t="str">
        <f aca="false">Scoring!BB286</f>
        <v/>
      </c>
      <c r="I280" s="154" t="str">
        <f aca="false">Scoring!BA286</f>
        <v/>
      </c>
    </row>
    <row r="281" customFormat="false" ht="15.75" hidden="false" customHeight="false" outlineLevel="0" collapsed="false">
      <c r="A281" s="152" t="str">
        <f aca="false">Scoring!BD287</f>
        <v/>
      </c>
      <c r="B281" s="152" t="str">
        <f aca="false">Scoring!BC287</f>
        <v/>
      </c>
      <c r="C281" s="152" t="n">
        <f aca="false">Scoring!C287</f>
        <v>0</v>
      </c>
      <c r="D281" s="153" t="str">
        <f aca="false">Scoring!AZ287</f>
        <v/>
      </c>
      <c r="E281" s="152" t="str">
        <f aca="false">Scoring!AF287</f>
        <v/>
      </c>
      <c r="F281" s="152" t="n">
        <f aca="false">Scoring!B287</f>
        <v>0</v>
      </c>
      <c r="G281" s="152" t="n">
        <f aca="false">Scoring!D287</f>
        <v>0</v>
      </c>
      <c r="H281" s="152" t="str">
        <f aca="false">Scoring!BB287</f>
        <v/>
      </c>
      <c r="I281" s="154" t="str">
        <f aca="false">Scoring!BA287</f>
        <v/>
      </c>
    </row>
    <row r="282" customFormat="false" ht="15.75" hidden="false" customHeight="false" outlineLevel="0" collapsed="false">
      <c r="A282" s="152" t="str">
        <f aca="false">Scoring!BD288</f>
        <v/>
      </c>
      <c r="B282" s="152" t="str">
        <f aca="false">Scoring!BC288</f>
        <v/>
      </c>
      <c r="C282" s="152" t="n">
        <f aca="false">Scoring!C288</f>
        <v>0</v>
      </c>
      <c r="D282" s="153" t="str">
        <f aca="false">Scoring!AZ288</f>
        <v/>
      </c>
      <c r="E282" s="152" t="str">
        <f aca="false">Scoring!AF288</f>
        <v/>
      </c>
      <c r="F282" s="152" t="n">
        <f aca="false">Scoring!B288</f>
        <v>0</v>
      </c>
      <c r="G282" s="152" t="n">
        <f aca="false">Scoring!D288</f>
        <v>0</v>
      </c>
      <c r="H282" s="152" t="str">
        <f aca="false">Scoring!BB288</f>
        <v/>
      </c>
      <c r="I282" s="154" t="str">
        <f aca="false">Scoring!BA288</f>
        <v/>
      </c>
    </row>
    <row r="283" customFormat="false" ht="15.75" hidden="false" customHeight="false" outlineLevel="0" collapsed="false">
      <c r="A283" s="152" t="str">
        <f aca="false">Scoring!BD289</f>
        <v/>
      </c>
      <c r="B283" s="152" t="str">
        <f aca="false">Scoring!BC289</f>
        <v/>
      </c>
      <c r="C283" s="152" t="n">
        <f aca="false">Scoring!C289</f>
        <v>0</v>
      </c>
      <c r="D283" s="153" t="str">
        <f aca="false">Scoring!AZ289</f>
        <v/>
      </c>
      <c r="E283" s="152" t="str">
        <f aca="false">Scoring!AF289</f>
        <v/>
      </c>
      <c r="F283" s="152" t="n">
        <f aca="false">Scoring!B289</f>
        <v>0</v>
      </c>
      <c r="G283" s="152" t="n">
        <f aca="false">Scoring!D289</f>
        <v>0</v>
      </c>
      <c r="H283" s="152" t="str">
        <f aca="false">Scoring!BB289</f>
        <v/>
      </c>
      <c r="I283" s="154" t="str">
        <f aca="false">Scoring!BA289</f>
        <v/>
      </c>
    </row>
    <row r="284" customFormat="false" ht="15.75" hidden="false" customHeight="false" outlineLevel="0" collapsed="false">
      <c r="A284" s="152" t="str">
        <f aca="false">Scoring!BD290</f>
        <v/>
      </c>
      <c r="B284" s="152" t="str">
        <f aca="false">Scoring!BC290</f>
        <v/>
      </c>
      <c r="C284" s="152" t="n">
        <f aca="false">Scoring!C290</f>
        <v>0</v>
      </c>
      <c r="D284" s="153" t="str">
        <f aca="false">Scoring!AZ290</f>
        <v/>
      </c>
      <c r="E284" s="152" t="str">
        <f aca="false">Scoring!AF290</f>
        <v/>
      </c>
      <c r="F284" s="152" t="n">
        <f aca="false">Scoring!B290</f>
        <v>0</v>
      </c>
      <c r="G284" s="152" t="n">
        <f aca="false">Scoring!D290</f>
        <v>0</v>
      </c>
      <c r="H284" s="152" t="str">
        <f aca="false">Scoring!BB290</f>
        <v/>
      </c>
      <c r="I284" s="154" t="str">
        <f aca="false">Scoring!BA290</f>
        <v/>
      </c>
    </row>
    <row r="285" customFormat="false" ht="15.75" hidden="false" customHeight="false" outlineLevel="0" collapsed="false">
      <c r="A285" s="152" t="str">
        <f aca="false">Scoring!BD291</f>
        <v/>
      </c>
      <c r="B285" s="152" t="str">
        <f aca="false">Scoring!BC291</f>
        <v/>
      </c>
      <c r="C285" s="152" t="n">
        <f aca="false">Scoring!C291</f>
        <v>0</v>
      </c>
      <c r="D285" s="153" t="str">
        <f aca="false">Scoring!AZ291</f>
        <v/>
      </c>
      <c r="E285" s="152" t="str">
        <f aca="false">Scoring!AF291</f>
        <v/>
      </c>
      <c r="F285" s="152" t="n">
        <f aca="false">Scoring!B291</f>
        <v>0</v>
      </c>
      <c r="G285" s="152" t="n">
        <f aca="false">Scoring!D291</f>
        <v>0</v>
      </c>
      <c r="H285" s="152" t="str">
        <f aca="false">Scoring!BB291</f>
        <v/>
      </c>
      <c r="I285" s="154" t="str">
        <f aca="false">Scoring!BA291</f>
        <v/>
      </c>
    </row>
    <row r="286" customFormat="false" ht="15.75" hidden="false" customHeight="false" outlineLevel="0" collapsed="false">
      <c r="A286" s="152" t="str">
        <f aca="false">Scoring!BD292</f>
        <v/>
      </c>
      <c r="B286" s="152" t="str">
        <f aca="false">Scoring!BC292</f>
        <v/>
      </c>
      <c r="C286" s="152" t="n">
        <f aca="false">Scoring!C292</f>
        <v>0</v>
      </c>
      <c r="D286" s="153" t="str">
        <f aca="false">Scoring!AZ292</f>
        <v/>
      </c>
      <c r="E286" s="152" t="str">
        <f aca="false">Scoring!AF292</f>
        <v/>
      </c>
      <c r="F286" s="152" t="n">
        <f aca="false">Scoring!B292</f>
        <v>0</v>
      </c>
      <c r="G286" s="152" t="n">
        <f aca="false">Scoring!D292</f>
        <v>0</v>
      </c>
      <c r="H286" s="152" t="str">
        <f aca="false">Scoring!BB292</f>
        <v/>
      </c>
      <c r="I286" s="154" t="str">
        <f aca="false">Scoring!BA292</f>
        <v/>
      </c>
    </row>
    <row r="287" customFormat="false" ht="15.75" hidden="false" customHeight="false" outlineLevel="0" collapsed="false">
      <c r="A287" s="152" t="str">
        <f aca="false">Scoring!BD293</f>
        <v/>
      </c>
      <c r="B287" s="152" t="str">
        <f aca="false">Scoring!BC293</f>
        <v/>
      </c>
      <c r="C287" s="152" t="n">
        <f aca="false">Scoring!C293</f>
        <v>0</v>
      </c>
      <c r="D287" s="153" t="str">
        <f aca="false">Scoring!AZ293</f>
        <v/>
      </c>
      <c r="E287" s="152" t="str">
        <f aca="false">Scoring!AF293</f>
        <v/>
      </c>
      <c r="F287" s="152" t="n">
        <f aca="false">Scoring!B293</f>
        <v>0</v>
      </c>
      <c r="G287" s="152" t="n">
        <f aca="false">Scoring!D293</f>
        <v>0</v>
      </c>
      <c r="H287" s="152" t="str">
        <f aca="false">Scoring!BB293</f>
        <v/>
      </c>
      <c r="I287" s="154" t="str">
        <f aca="false">Scoring!BA293</f>
        <v/>
      </c>
    </row>
    <row r="288" customFormat="false" ht="15.75" hidden="false" customHeight="false" outlineLevel="0" collapsed="false">
      <c r="A288" s="152" t="str">
        <f aca="false">Scoring!BD294</f>
        <v/>
      </c>
      <c r="B288" s="152" t="str">
        <f aca="false">Scoring!BC294</f>
        <v/>
      </c>
      <c r="C288" s="152" t="n">
        <f aca="false">Scoring!C294</f>
        <v>0</v>
      </c>
      <c r="D288" s="153" t="str">
        <f aca="false">Scoring!AZ294</f>
        <v/>
      </c>
      <c r="E288" s="152" t="str">
        <f aca="false">Scoring!AF294</f>
        <v/>
      </c>
      <c r="F288" s="152" t="n">
        <f aca="false">Scoring!B294</f>
        <v>0</v>
      </c>
      <c r="G288" s="152" t="n">
        <f aca="false">Scoring!D294</f>
        <v>0</v>
      </c>
      <c r="H288" s="152" t="str">
        <f aca="false">Scoring!BB294</f>
        <v/>
      </c>
      <c r="I288" s="154" t="str">
        <f aca="false">Scoring!BA294</f>
        <v/>
      </c>
    </row>
    <row r="289" customFormat="false" ht="15.75" hidden="false" customHeight="false" outlineLevel="0" collapsed="false">
      <c r="A289" s="152" t="str">
        <f aca="false">Scoring!BD295</f>
        <v/>
      </c>
      <c r="B289" s="152" t="str">
        <f aca="false">Scoring!BC295</f>
        <v/>
      </c>
      <c r="C289" s="152" t="n">
        <f aca="false">Scoring!C295</f>
        <v>0</v>
      </c>
      <c r="D289" s="153" t="str">
        <f aca="false">Scoring!AZ295</f>
        <v/>
      </c>
      <c r="E289" s="152" t="str">
        <f aca="false">Scoring!AF295</f>
        <v/>
      </c>
      <c r="F289" s="152" t="n">
        <f aca="false">Scoring!B295</f>
        <v>0</v>
      </c>
      <c r="G289" s="152" t="n">
        <f aca="false">Scoring!D295</f>
        <v>0</v>
      </c>
      <c r="H289" s="152" t="str">
        <f aca="false">Scoring!BB295</f>
        <v/>
      </c>
      <c r="I289" s="154" t="str">
        <f aca="false">Scoring!BA295</f>
        <v/>
      </c>
    </row>
    <row r="290" customFormat="false" ht="15.75" hidden="false" customHeight="false" outlineLevel="0" collapsed="false">
      <c r="A290" s="152" t="str">
        <f aca="false">Scoring!BD296</f>
        <v/>
      </c>
      <c r="B290" s="152" t="str">
        <f aca="false">Scoring!BC296</f>
        <v/>
      </c>
      <c r="C290" s="152" t="n">
        <f aca="false">Scoring!C296</f>
        <v>0</v>
      </c>
      <c r="D290" s="153" t="str">
        <f aca="false">Scoring!AZ296</f>
        <v/>
      </c>
      <c r="E290" s="152" t="str">
        <f aca="false">Scoring!AF296</f>
        <v/>
      </c>
      <c r="F290" s="152" t="n">
        <f aca="false">Scoring!B296</f>
        <v>0</v>
      </c>
      <c r="G290" s="152" t="n">
        <f aca="false">Scoring!D296</f>
        <v>0</v>
      </c>
      <c r="H290" s="152" t="str">
        <f aca="false">Scoring!BB296</f>
        <v/>
      </c>
      <c r="I290" s="154" t="str">
        <f aca="false">Scoring!BA296</f>
        <v/>
      </c>
    </row>
    <row r="291" customFormat="false" ht="15.75" hidden="false" customHeight="false" outlineLevel="0" collapsed="false">
      <c r="A291" s="152" t="str">
        <f aca="false">Scoring!BD297</f>
        <v/>
      </c>
      <c r="B291" s="152" t="str">
        <f aca="false">Scoring!BC297</f>
        <v/>
      </c>
      <c r="C291" s="152" t="n">
        <f aca="false">Scoring!C297</f>
        <v>0</v>
      </c>
      <c r="D291" s="153" t="str">
        <f aca="false">Scoring!AZ297</f>
        <v/>
      </c>
      <c r="E291" s="152" t="str">
        <f aca="false">Scoring!AF297</f>
        <v/>
      </c>
      <c r="F291" s="152" t="n">
        <f aca="false">Scoring!B297</f>
        <v>0</v>
      </c>
      <c r="G291" s="152" t="n">
        <f aca="false">Scoring!D297</f>
        <v>0</v>
      </c>
      <c r="H291" s="152" t="str">
        <f aca="false">Scoring!BB297</f>
        <v/>
      </c>
      <c r="I291" s="154" t="str">
        <f aca="false">Scoring!BA297</f>
        <v/>
      </c>
    </row>
    <row r="292" customFormat="false" ht="15.75" hidden="false" customHeight="false" outlineLevel="0" collapsed="false">
      <c r="A292" s="152" t="str">
        <f aca="false">Scoring!BD298</f>
        <v/>
      </c>
      <c r="B292" s="152" t="str">
        <f aca="false">Scoring!BC298</f>
        <v/>
      </c>
      <c r="C292" s="152" t="n">
        <f aca="false">Scoring!C298</f>
        <v>0</v>
      </c>
      <c r="D292" s="153" t="str">
        <f aca="false">Scoring!AZ298</f>
        <v/>
      </c>
      <c r="E292" s="152" t="str">
        <f aca="false">Scoring!AF298</f>
        <v/>
      </c>
      <c r="F292" s="152" t="n">
        <f aca="false">Scoring!B298</f>
        <v>0</v>
      </c>
      <c r="G292" s="152" t="n">
        <f aca="false">Scoring!D298</f>
        <v>0</v>
      </c>
      <c r="H292" s="152" t="str">
        <f aca="false">Scoring!BB298</f>
        <v/>
      </c>
      <c r="I292" s="154" t="str">
        <f aca="false">Scoring!BA298</f>
        <v/>
      </c>
    </row>
    <row r="293" customFormat="false" ht="15.75" hidden="false" customHeight="false" outlineLevel="0" collapsed="false">
      <c r="A293" s="152" t="str">
        <f aca="false">Scoring!BD299</f>
        <v/>
      </c>
      <c r="B293" s="152" t="str">
        <f aca="false">Scoring!BC299</f>
        <v/>
      </c>
      <c r="C293" s="152" t="n">
        <f aca="false">Scoring!C299</f>
        <v>0</v>
      </c>
      <c r="D293" s="153" t="str">
        <f aca="false">Scoring!AZ299</f>
        <v/>
      </c>
      <c r="E293" s="152" t="str">
        <f aca="false">Scoring!AF299</f>
        <v/>
      </c>
      <c r="F293" s="152" t="n">
        <f aca="false">Scoring!B299</f>
        <v>0</v>
      </c>
      <c r="G293" s="152" t="n">
        <f aca="false">Scoring!D299</f>
        <v>0</v>
      </c>
      <c r="H293" s="152" t="str">
        <f aca="false">Scoring!BB299</f>
        <v/>
      </c>
      <c r="I293" s="154" t="str">
        <f aca="false">Scoring!BA299</f>
        <v/>
      </c>
    </row>
    <row r="294" customFormat="false" ht="15.75" hidden="false" customHeight="false" outlineLevel="0" collapsed="false">
      <c r="A294" s="152" t="str">
        <f aca="false">Scoring!BD300</f>
        <v/>
      </c>
      <c r="B294" s="152" t="str">
        <f aca="false">Scoring!BC300</f>
        <v/>
      </c>
      <c r="C294" s="152" t="n">
        <f aca="false">Scoring!C300</f>
        <v>0</v>
      </c>
      <c r="D294" s="153" t="str">
        <f aca="false">Scoring!AZ300</f>
        <v/>
      </c>
      <c r="E294" s="152" t="str">
        <f aca="false">Scoring!AF300</f>
        <v/>
      </c>
      <c r="F294" s="152" t="n">
        <f aca="false">Scoring!B300</f>
        <v>0</v>
      </c>
      <c r="G294" s="152" t="n">
        <f aca="false">Scoring!D300</f>
        <v>0</v>
      </c>
      <c r="H294" s="152" t="str">
        <f aca="false">Scoring!BB300</f>
        <v/>
      </c>
      <c r="I294" s="154" t="str">
        <f aca="false">Scoring!BA300</f>
        <v/>
      </c>
    </row>
    <row r="295" customFormat="false" ht="15.75" hidden="false" customHeight="false" outlineLevel="0" collapsed="false">
      <c r="A295" s="152" t="str">
        <f aca="false">Scoring!BD301</f>
        <v/>
      </c>
      <c r="B295" s="152" t="str">
        <f aca="false">Scoring!BC301</f>
        <v/>
      </c>
      <c r="C295" s="152" t="n">
        <f aca="false">Scoring!C301</f>
        <v>0</v>
      </c>
      <c r="D295" s="153" t="str">
        <f aca="false">Scoring!AZ301</f>
        <v/>
      </c>
      <c r="E295" s="152" t="str">
        <f aca="false">Scoring!AF301</f>
        <v/>
      </c>
      <c r="F295" s="152" t="n">
        <f aca="false">Scoring!B301</f>
        <v>0</v>
      </c>
      <c r="G295" s="152" t="n">
        <f aca="false">Scoring!D301</f>
        <v>0</v>
      </c>
      <c r="H295" s="152" t="str">
        <f aca="false">Scoring!BB301</f>
        <v/>
      </c>
      <c r="I295" s="154" t="str">
        <f aca="false">Scoring!BA301</f>
        <v/>
      </c>
    </row>
    <row r="296" customFormat="false" ht="15.75" hidden="false" customHeight="false" outlineLevel="0" collapsed="false">
      <c r="A296" s="152" t="str">
        <f aca="false">Scoring!BD302</f>
        <v/>
      </c>
      <c r="B296" s="152" t="str">
        <f aca="false">Scoring!BC302</f>
        <v/>
      </c>
      <c r="C296" s="152" t="n">
        <f aca="false">Scoring!C302</f>
        <v>0</v>
      </c>
      <c r="D296" s="153" t="str">
        <f aca="false">Scoring!AZ302</f>
        <v/>
      </c>
      <c r="E296" s="152" t="str">
        <f aca="false">Scoring!AF302</f>
        <v/>
      </c>
      <c r="F296" s="152" t="n">
        <f aca="false">Scoring!B302</f>
        <v>0</v>
      </c>
      <c r="G296" s="152" t="n">
        <f aca="false">Scoring!D302</f>
        <v>0</v>
      </c>
      <c r="H296" s="152" t="str">
        <f aca="false">Scoring!BB302</f>
        <v/>
      </c>
      <c r="I296" s="154" t="str">
        <f aca="false">Scoring!BA302</f>
        <v/>
      </c>
    </row>
    <row r="297" customFormat="false" ht="15.75" hidden="false" customHeight="false" outlineLevel="0" collapsed="false">
      <c r="A297" s="152" t="str">
        <f aca="false">Scoring!BD303</f>
        <v/>
      </c>
      <c r="B297" s="152" t="str">
        <f aca="false">Scoring!BC303</f>
        <v/>
      </c>
      <c r="C297" s="152" t="n">
        <f aca="false">Scoring!C303</f>
        <v>0</v>
      </c>
      <c r="D297" s="153" t="str">
        <f aca="false">Scoring!AZ303</f>
        <v/>
      </c>
      <c r="E297" s="152" t="str">
        <f aca="false">Scoring!AF303</f>
        <v/>
      </c>
      <c r="F297" s="152" t="n">
        <f aca="false">Scoring!B303</f>
        <v>0</v>
      </c>
      <c r="G297" s="152" t="n">
        <f aca="false">Scoring!D303</f>
        <v>0</v>
      </c>
      <c r="H297" s="152" t="str">
        <f aca="false">Scoring!BB303</f>
        <v/>
      </c>
      <c r="I297" s="154" t="str">
        <f aca="false">Scoring!BA303</f>
        <v/>
      </c>
    </row>
    <row r="298" customFormat="false" ht="15.75" hidden="false" customHeight="false" outlineLevel="0" collapsed="false">
      <c r="A298" s="152" t="str">
        <f aca="false">Scoring!BD304</f>
        <v/>
      </c>
      <c r="B298" s="152" t="str">
        <f aca="false">Scoring!BC304</f>
        <v/>
      </c>
      <c r="C298" s="152" t="n">
        <f aca="false">Scoring!C304</f>
        <v>0</v>
      </c>
      <c r="D298" s="153" t="str">
        <f aca="false">Scoring!AZ304</f>
        <v/>
      </c>
      <c r="E298" s="152" t="str">
        <f aca="false">Scoring!AF304</f>
        <v/>
      </c>
      <c r="F298" s="152" t="n">
        <f aca="false">Scoring!B304</f>
        <v>0</v>
      </c>
      <c r="G298" s="152" t="n">
        <f aca="false">Scoring!D304</f>
        <v>0</v>
      </c>
      <c r="H298" s="152" t="str">
        <f aca="false">Scoring!BB304</f>
        <v/>
      </c>
      <c r="I298" s="154" t="str">
        <f aca="false">Scoring!BA304</f>
        <v/>
      </c>
    </row>
    <row r="299" customFormat="false" ht="15.75" hidden="false" customHeight="false" outlineLevel="0" collapsed="false">
      <c r="A299" s="152" t="str">
        <f aca="false">Scoring!BD305</f>
        <v/>
      </c>
      <c r="B299" s="152" t="str">
        <f aca="false">Scoring!BC305</f>
        <v/>
      </c>
      <c r="C299" s="152" t="n">
        <f aca="false">Scoring!C305</f>
        <v>0</v>
      </c>
      <c r="D299" s="153" t="str">
        <f aca="false">Scoring!AZ305</f>
        <v/>
      </c>
      <c r="E299" s="152" t="str">
        <f aca="false">Scoring!AF305</f>
        <v/>
      </c>
      <c r="F299" s="152" t="n">
        <f aca="false">Scoring!B305</f>
        <v>0</v>
      </c>
      <c r="G299" s="152" t="n">
        <f aca="false">Scoring!D305</f>
        <v>0</v>
      </c>
      <c r="H299" s="152" t="str">
        <f aca="false">Scoring!BB305</f>
        <v/>
      </c>
      <c r="I299" s="154" t="str">
        <f aca="false">Scoring!BA305</f>
        <v/>
      </c>
    </row>
    <row r="300" customFormat="false" ht="15.75" hidden="false" customHeight="false" outlineLevel="0" collapsed="false">
      <c r="A300" s="152" t="str">
        <f aca="false">Scoring!BD306</f>
        <v/>
      </c>
      <c r="B300" s="152" t="str">
        <f aca="false">Scoring!BC306</f>
        <v/>
      </c>
      <c r="C300" s="152" t="n">
        <f aca="false">Scoring!C306</f>
        <v>0</v>
      </c>
      <c r="D300" s="153" t="str">
        <f aca="false">Scoring!AZ306</f>
        <v/>
      </c>
      <c r="E300" s="152" t="str">
        <f aca="false">Scoring!AF306</f>
        <v/>
      </c>
      <c r="F300" s="152" t="n">
        <f aca="false">Scoring!B306</f>
        <v>0</v>
      </c>
      <c r="G300" s="152" t="n">
        <f aca="false">Scoring!D306</f>
        <v>0</v>
      </c>
      <c r="H300" s="152" t="str">
        <f aca="false">Scoring!BB306</f>
        <v/>
      </c>
      <c r="I300" s="154" t="str">
        <f aca="false">Scoring!BA306</f>
        <v/>
      </c>
    </row>
    <row r="301" customFormat="false" ht="15.75" hidden="false" customHeight="false" outlineLevel="0" collapsed="false">
      <c r="A301" s="152" t="str">
        <f aca="false">Scoring!BD307</f>
        <v/>
      </c>
      <c r="B301" s="152" t="str">
        <f aca="false">Scoring!BC307</f>
        <v/>
      </c>
      <c r="C301" s="152" t="n">
        <f aca="false">Scoring!C307</f>
        <v>0</v>
      </c>
      <c r="D301" s="153" t="str">
        <f aca="false">Scoring!AZ307</f>
        <v/>
      </c>
      <c r="E301" s="152" t="str">
        <f aca="false">Scoring!AF307</f>
        <v/>
      </c>
      <c r="F301" s="152" t="n">
        <f aca="false">Scoring!B307</f>
        <v>0</v>
      </c>
      <c r="G301" s="152" t="n">
        <f aca="false">Scoring!D307</f>
        <v>0</v>
      </c>
      <c r="H301" s="152" t="str">
        <f aca="false">Scoring!BB307</f>
        <v/>
      </c>
      <c r="I301" s="154" t="str">
        <f aca="false">Scoring!BA307</f>
        <v/>
      </c>
    </row>
    <row r="302" customFormat="false" ht="15.75" hidden="false" customHeight="false" outlineLevel="0" collapsed="false">
      <c r="A302" s="152" t="str">
        <f aca="false">Scoring!BD308</f>
        <v/>
      </c>
      <c r="B302" s="152" t="str">
        <f aca="false">Scoring!BC308</f>
        <v/>
      </c>
      <c r="C302" s="152" t="n">
        <f aca="false">Scoring!C308</f>
        <v>0</v>
      </c>
      <c r="D302" s="153" t="str">
        <f aca="false">Scoring!AZ308</f>
        <v/>
      </c>
      <c r="E302" s="152" t="str">
        <f aca="false">Scoring!AF308</f>
        <v/>
      </c>
      <c r="F302" s="152" t="n">
        <f aca="false">Scoring!B308</f>
        <v>0</v>
      </c>
      <c r="G302" s="152" t="n">
        <f aca="false">Scoring!D308</f>
        <v>0</v>
      </c>
      <c r="H302" s="152" t="str">
        <f aca="false">Scoring!BB308</f>
        <v/>
      </c>
      <c r="I302" s="154" t="str">
        <f aca="false">Scoring!BA308</f>
        <v/>
      </c>
    </row>
    <row r="303" customFormat="false" ht="15.75" hidden="false" customHeight="false" outlineLevel="0" collapsed="false">
      <c r="A303" s="152" t="str">
        <f aca="false">Scoring!BD309</f>
        <v/>
      </c>
      <c r="B303" s="152" t="str">
        <f aca="false">Scoring!BC309</f>
        <v/>
      </c>
      <c r="C303" s="152" t="n">
        <f aca="false">Scoring!C309</f>
        <v>0</v>
      </c>
      <c r="D303" s="153" t="str">
        <f aca="false">Scoring!AZ309</f>
        <v/>
      </c>
      <c r="E303" s="152" t="str">
        <f aca="false">Scoring!AF309</f>
        <v/>
      </c>
      <c r="F303" s="152" t="n">
        <f aca="false">Scoring!B309</f>
        <v>0</v>
      </c>
      <c r="G303" s="152" t="n">
        <f aca="false">Scoring!D309</f>
        <v>0</v>
      </c>
      <c r="H303" s="152" t="str">
        <f aca="false">Scoring!BB309</f>
        <v/>
      </c>
      <c r="I303" s="154" t="str">
        <f aca="false">Scoring!BA309</f>
        <v/>
      </c>
    </row>
    <row r="304" customFormat="false" ht="15.75" hidden="false" customHeight="false" outlineLevel="0" collapsed="false">
      <c r="A304" s="152" t="str">
        <f aca="false">Scoring!BD310</f>
        <v/>
      </c>
      <c r="B304" s="152" t="str">
        <f aca="false">Scoring!BC310</f>
        <v/>
      </c>
      <c r="C304" s="152" t="n">
        <f aca="false">Scoring!C310</f>
        <v>0</v>
      </c>
      <c r="D304" s="153" t="str">
        <f aca="false">Scoring!AZ310</f>
        <v/>
      </c>
      <c r="E304" s="152" t="str">
        <f aca="false">Scoring!AF310</f>
        <v/>
      </c>
      <c r="F304" s="152" t="n">
        <f aca="false">Scoring!B310</f>
        <v>0</v>
      </c>
      <c r="G304" s="152" t="n">
        <f aca="false">Scoring!D310</f>
        <v>0</v>
      </c>
      <c r="H304" s="152" t="str">
        <f aca="false">Scoring!BB310</f>
        <v/>
      </c>
      <c r="I304" s="154" t="str">
        <f aca="false">Scoring!BA310</f>
        <v/>
      </c>
    </row>
    <row r="305" customFormat="false" ht="15.75" hidden="false" customHeight="false" outlineLevel="0" collapsed="false">
      <c r="A305" s="152" t="str">
        <f aca="false">Scoring!BD311</f>
        <v/>
      </c>
      <c r="B305" s="152" t="str">
        <f aca="false">Scoring!BC311</f>
        <v/>
      </c>
      <c r="C305" s="152" t="n">
        <f aca="false">Scoring!C311</f>
        <v>0</v>
      </c>
      <c r="D305" s="153" t="str">
        <f aca="false">Scoring!AZ311</f>
        <v/>
      </c>
      <c r="E305" s="152" t="str">
        <f aca="false">Scoring!AF311</f>
        <v/>
      </c>
      <c r="F305" s="152" t="n">
        <f aca="false">Scoring!B311</f>
        <v>0</v>
      </c>
      <c r="G305" s="152" t="n">
        <f aca="false">Scoring!D311</f>
        <v>0</v>
      </c>
      <c r="H305" s="152" t="str">
        <f aca="false">Scoring!BB311</f>
        <v/>
      </c>
      <c r="I305" s="154" t="str">
        <f aca="false">Scoring!BA311</f>
        <v/>
      </c>
    </row>
    <row r="306" customFormat="false" ht="15.75" hidden="false" customHeight="false" outlineLevel="0" collapsed="false">
      <c r="A306" s="152" t="str">
        <f aca="false">Scoring!BD312</f>
        <v/>
      </c>
      <c r="B306" s="152" t="str">
        <f aca="false">Scoring!BC312</f>
        <v/>
      </c>
      <c r="C306" s="152" t="n">
        <f aca="false">Scoring!C312</f>
        <v>0</v>
      </c>
      <c r="D306" s="153" t="str">
        <f aca="false">Scoring!AZ312</f>
        <v/>
      </c>
      <c r="E306" s="152" t="str">
        <f aca="false">Scoring!AF312</f>
        <v/>
      </c>
      <c r="F306" s="152" t="n">
        <f aca="false">Scoring!B312</f>
        <v>0</v>
      </c>
      <c r="G306" s="152" t="n">
        <f aca="false">Scoring!D312</f>
        <v>0</v>
      </c>
      <c r="H306" s="152" t="str">
        <f aca="false">Scoring!BB312</f>
        <v/>
      </c>
      <c r="I306" s="154" t="str">
        <f aca="false">Scoring!BA312</f>
        <v/>
      </c>
    </row>
    <row r="307" customFormat="false" ht="15.75" hidden="false" customHeight="false" outlineLevel="0" collapsed="false">
      <c r="A307" s="152" t="str">
        <f aca="false">Scoring!BD313</f>
        <v/>
      </c>
      <c r="B307" s="152" t="str">
        <f aca="false">Scoring!BC313</f>
        <v/>
      </c>
      <c r="C307" s="152" t="n">
        <f aca="false">Scoring!C313</f>
        <v>0</v>
      </c>
      <c r="D307" s="153" t="str">
        <f aca="false">Scoring!AZ313</f>
        <v/>
      </c>
      <c r="E307" s="152" t="str">
        <f aca="false">Scoring!AF313</f>
        <v/>
      </c>
      <c r="F307" s="152" t="n">
        <f aca="false">Scoring!B313</f>
        <v>0</v>
      </c>
      <c r="G307" s="152" t="n">
        <f aca="false">Scoring!D313</f>
        <v>0</v>
      </c>
      <c r="H307" s="152" t="str">
        <f aca="false">Scoring!BB313</f>
        <v/>
      </c>
      <c r="I307" s="154" t="str">
        <f aca="false">Scoring!BA313</f>
        <v/>
      </c>
    </row>
    <row r="308" customFormat="false" ht="15.75" hidden="false" customHeight="false" outlineLevel="0" collapsed="false">
      <c r="A308" s="152" t="str">
        <f aca="false">Scoring!BD314</f>
        <v/>
      </c>
      <c r="B308" s="152" t="str">
        <f aca="false">Scoring!BC314</f>
        <v/>
      </c>
      <c r="C308" s="152" t="n">
        <f aca="false">Scoring!C314</f>
        <v>0</v>
      </c>
      <c r="D308" s="153" t="str">
        <f aca="false">Scoring!AZ314</f>
        <v/>
      </c>
      <c r="E308" s="152" t="str">
        <f aca="false">Scoring!AF314</f>
        <v/>
      </c>
      <c r="F308" s="152" t="n">
        <f aca="false">Scoring!B314</f>
        <v>0</v>
      </c>
      <c r="G308" s="152" t="n">
        <f aca="false">Scoring!D314</f>
        <v>0</v>
      </c>
      <c r="H308" s="152" t="str">
        <f aca="false">Scoring!BB314</f>
        <v/>
      </c>
      <c r="I308" s="154" t="str">
        <f aca="false">Scoring!BA314</f>
        <v/>
      </c>
    </row>
    <row r="309" customFormat="false" ht="15.75" hidden="false" customHeight="false" outlineLevel="0" collapsed="false">
      <c r="A309" s="152" t="str">
        <f aca="false">Scoring!BD315</f>
        <v/>
      </c>
      <c r="B309" s="152" t="str">
        <f aca="false">Scoring!BC315</f>
        <v/>
      </c>
      <c r="C309" s="152" t="n">
        <f aca="false">Scoring!C315</f>
        <v>0</v>
      </c>
      <c r="D309" s="153" t="str">
        <f aca="false">Scoring!AZ315</f>
        <v/>
      </c>
      <c r="E309" s="152" t="str">
        <f aca="false">Scoring!AF315</f>
        <v/>
      </c>
      <c r="F309" s="152" t="n">
        <f aca="false">Scoring!B315</f>
        <v>0</v>
      </c>
      <c r="G309" s="152" t="n">
        <f aca="false">Scoring!D315</f>
        <v>0</v>
      </c>
      <c r="H309" s="152" t="str">
        <f aca="false">Scoring!BB315</f>
        <v/>
      </c>
      <c r="I309" s="154" t="str">
        <f aca="false">Scoring!BA315</f>
        <v/>
      </c>
    </row>
    <row r="310" customFormat="false" ht="15.75" hidden="false" customHeight="false" outlineLevel="0" collapsed="false">
      <c r="A310" s="152" t="str">
        <f aca="false">Scoring!BD316</f>
        <v/>
      </c>
      <c r="B310" s="152" t="str">
        <f aca="false">Scoring!BC316</f>
        <v/>
      </c>
      <c r="C310" s="152" t="n">
        <f aca="false">Scoring!C316</f>
        <v>0</v>
      </c>
      <c r="D310" s="153" t="str">
        <f aca="false">Scoring!AZ316</f>
        <v/>
      </c>
      <c r="E310" s="152" t="str">
        <f aca="false">Scoring!AF316</f>
        <v/>
      </c>
      <c r="F310" s="152" t="n">
        <f aca="false">Scoring!B316</f>
        <v>0</v>
      </c>
      <c r="G310" s="152" t="n">
        <f aca="false">Scoring!D316</f>
        <v>0</v>
      </c>
      <c r="H310" s="152" t="str">
        <f aca="false">Scoring!BB316</f>
        <v/>
      </c>
      <c r="I310" s="154" t="str">
        <f aca="false">Scoring!BA316</f>
        <v/>
      </c>
    </row>
    <row r="311" customFormat="false" ht="15.75" hidden="false" customHeight="false" outlineLevel="0" collapsed="false">
      <c r="A311" s="152" t="str">
        <f aca="false">Scoring!BD317</f>
        <v/>
      </c>
      <c r="B311" s="152" t="str">
        <f aca="false">Scoring!BC317</f>
        <v/>
      </c>
      <c r="C311" s="152" t="n">
        <f aca="false">Scoring!C317</f>
        <v>0</v>
      </c>
      <c r="D311" s="153" t="str">
        <f aca="false">Scoring!AZ317</f>
        <v/>
      </c>
      <c r="E311" s="152" t="str">
        <f aca="false">Scoring!AF317</f>
        <v/>
      </c>
      <c r="F311" s="152" t="n">
        <f aca="false">Scoring!B317</f>
        <v>0</v>
      </c>
      <c r="G311" s="152" t="n">
        <f aca="false">Scoring!D317</f>
        <v>0</v>
      </c>
      <c r="H311" s="152" t="str">
        <f aca="false">Scoring!BB317</f>
        <v/>
      </c>
      <c r="I311" s="154" t="str">
        <f aca="false">Scoring!BA317</f>
        <v/>
      </c>
    </row>
    <row r="312" customFormat="false" ht="15.75" hidden="false" customHeight="false" outlineLevel="0" collapsed="false">
      <c r="A312" s="152" t="str">
        <f aca="false">Scoring!BD318</f>
        <v/>
      </c>
      <c r="B312" s="152" t="str">
        <f aca="false">Scoring!BC318</f>
        <v/>
      </c>
      <c r="C312" s="152" t="n">
        <f aca="false">Scoring!C318</f>
        <v>0</v>
      </c>
      <c r="D312" s="153" t="str">
        <f aca="false">Scoring!AZ318</f>
        <v/>
      </c>
      <c r="E312" s="152" t="str">
        <f aca="false">Scoring!AF318</f>
        <v/>
      </c>
      <c r="F312" s="152" t="n">
        <f aca="false">Scoring!B318</f>
        <v>0</v>
      </c>
      <c r="G312" s="152" t="n">
        <f aca="false">Scoring!D318</f>
        <v>0</v>
      </c>
      <c r="H312" s="152" t="str">
        <f aca="false">Scoring!BB318</f>
        <v/>
      </c>
      <c r="I312" s="154" t="str">
        <f aca="false">Scoring!BA318</f>
        <v/>
      </c>
    </row>
    <row r="313" customFormat="false" ht="15.75" hidden="false" customHeight="false" outlineLevel="0" collapsed="false">
      <c r="A313" s="152" t="str">
        <f aca="false">Scoring!BD319</f>
        <v/>
      </c>
      <c r="B313" s="152" t="str">
        <f aca="false">Scoring!BC319</f>
        <v/>
      </c>
      <c r="C313" s="152" t="n">
        <f aca="false">Scoring!C319</f>
        <v>0</v>
      </c>
      <c r="D313" s="153" t="str">
        <f aca="false">Scoring!AZ319</f>
        <v/>
      </c>
      <c r="E313" s="152" t="str">
        <f aca="false">Scoring!AF319</f>
        <v/>
      </c>
      <c r="F313" s="152" t="n">
        <f aca="false">Scoring!B319</f>
        <v>0</v>
      </c>
      <c r="G313" s="152" t="n">
        <f aca="false">Scoring!D319</f>
        <v>0</v>
      </c>
      <c r="H313" s="152" t="str">
        <f aca="false">Scoring!BB319</f>
        <v/>
      </c>
      <c r="I313" s="154" t="str">
        <f aca="false">Scoring!BA319</f>
        <v/>
      </c>
    </row>
    <row r="314" customFormat="false" ht="15.75" hidden="false" customHeight="false" outlineLevel="0" collapsed="false">
      <c r="A314" s="152" t="str">
        <f aca="false">Scoring!BD320</f>
        <v/>
      </c>
      <c r="B314" s="152" t="str">
        <f aca="false">Scoring!BC320</f>
        <v/>
      </c>
      <c r="C314" s="152" t="n">
        <f aca="false">Scoring!C320</f>
        <v>0</v>
      </c>
      <c r="D314" s="153" t="str">
        <f aca="false">Scoring!AZ320</f>
        <v/>
      </c>
      <c r="E314" s="152" t="str">
        <f aca="false">Scoring!AF320</f>
        <v/>
      </c>
      <c r="F314" s="152" t="n">
        <f aca="false">Scoring!B320</f>
        <v>0</v>
      </c>
      <c r="G314" s="152" t="n">
        <f aca="false">Scoring!D320</f>
        <v>0</v>
      </c>
      <c r="H314" s="152" t="str">
        <f aca="false">Scoring!BB320</f>
        <v/>
      </c>
      <c r="I314" s="154" t="str">
        <f aca="false">Scoring!BA320</f>
        <v/>
      </c>
    </row>
    <row r="315" customFormat="false" ht="15.75" hidden="false" customHeight="false" outlineLevel="0" collapsed="false">
      <c r="A315" s="152" t="str">
        <f aca="false">Scoring!BD321</f>
        <v/>
      </c>
      <c r="B315" s="152" t="str">
        <f aca="false">Scoring!BC321</f>
        <v/>
      </c>
      <c r="C315" s="152" t="n">
        <f aca="false">Scoring!C321</f>
        <v>0</v>
      </c>
      <c r="D315" s="153" t="str">
        <f aca="false">Scoring!AZ321</f>
        <v/>
      </c>
      <c r="E315" s="152" t="str">
        <f aca="false">Scoring!AF321</f>
        <v/>
      </c>
      <c r="F315" s="152" t="n">
        <f aca="false">Scoring!B321</f>
        <v>0</v>
      </c>
      <c r="G315" s="152" t="n">
        <f aca="false">Scoring!D321</f>
        <v>0</v>
      </c>
      <c r="H315" s="152" t="str">
        <f aca="false">Scoring!BB321</f>
        <v/>
      </c>
      <c r="I315" s="154" t="str">
        <f aca="false">Scoring!BA321</f>
        <v/>
      </c>
    </row>
    <row r="316" customFormat="false" ht="15.75" hidden="false" customHeight="false" outlineLevel="0" collapsed="false">
      <c r="A316" s="152" t="str">
        <f aca="false">Scoring!BD322</f>
        <v/>
      </c>
      <c r="B316" s="152" t="str">
        <f aca="false">Scoring!BC322</f>
        <v/>
      </c>
      <c r="C316" s="152" t="n">
        <f aca="false">Scoring!C322</f>
        <v>0</v>
      </c>
      <c r="D316" s="153" t="str">
        <f aca="false">Scoring!AZ322</f>
        <v/>
      </c>
      <c r="E316" s="152" t="str">
        <f aca="false">Scoring!AF322</f>
        <v/>
      </c>
      <c r="F316" s="152" t="n">
        <f aca="false">Scoring!B322</f>
        <v>0</v>
      </c>
      <c r="G316" s="152" t="n">
        <f aca="false">Scoring!D322</f>
        <v>0</v>
      </c>
      <c r="H316" s="152" t="str">
        <f aca="false">Scoring!BB322</f>
        <v/>
      </c>
      <c r="I316" s="154" t="str">
        <f aca="false">Scoring!BA322</f>
        <v/>
      </c>
    </row>
    <row r="317" customFormat="false" ht="15.75" hidden="false" customHeight="false" outlineLevel="0" collapsed="false">
      <c r="A317" s="152" t="str">
        <f aca="false">Scoring!BD323</f>
        <v/>
      </c>
      <c r="B317" s="152" t="str">
        <f aca="false">Scoring!BC323</f>
        <v/>
      </c>
      <c r="C317" s="152" t="n">
        <f aca="false">Scoring!C323</f>
        <v>0</v>
      </c>
      <c r="D317" s="153" t="str">
        <f aca="false">Scoring!AZ323</f>
        <v/>
      </c>
      <c r="E317" s="152" t="str">
        <f aca="false">Scoring!AF323</f>
        <v/>
      </c>
      <c r="F317" s="152" t="n">
        <f aca="false">Scoring!B323</f>
        <v>0</v>
      </c>
      <c r="G317" s="152" t="n">
        <f aca="false">Scoring!D323</f>
        <v>0</v>
      </c>
      <c r="H317" s="152" t="str">
        <f aca="false">Scoring!BB323</f>
        <v/>
      </c>
      <c r="I317" s="154" t="str">
        <f aca="false">Scoring!BA323</f>
        <v/>
      </c>
    </row>
    <row r="318" customFormat="false" ht="15.75" hidden="false" customHeight="false" outlineLevel="0" collapsed="false">
      <c r="A318" s="152" t="str">
        <f aca="false">Scoring!BD324</f>
        <v/>
      </c>
      <c r="B318" s="152" t="str">
        <f aca="false">Scoring!BC324</f>
        <v/>
      </c>
      <c r="C318" s="152" t="n">
        <f aca="false">Scoring!C324</f>
        <v>0</v>
      </c>
      <c r="D318" s="153" t="str">
        <f aca="false">Scoring!AZ324</f>
        <v/>
      </c>
      <c r="E318" s="152" t="str">
        <f aca="false">Scoring!AF324</f>
        <v/>
      </c>
      <c r="F318" s="152" t="n">
        <f aca="false">Scoring!B324</f>
        <v>0</v>
      </c>
      <c r="G318" s="152" t="n">
        <f aca="false">Scoring!D324</f>
        <v>0</v>
      </c>
      <c r="H318" s="152" t="str">
        <f aca="false">Scoring!BB324</f>
        <v/>
      </c>
      <c r="I318" s="154" t="str">
        <f aca="false">Scoring!BA324</f>
        <v/>
      </c>
    </row>
    <row r="319" customFormat="false" ht="15.75" hidden="false" customHeight="false" outlineLevel="0" collapsed="false">
      <c r="A319" s="152" t="str">
        <f aca="false">Scoring!BD325</f>
        <v/>
      </c>
      <c r="B319" s="152" t="str">
        <f aca="false">Scoring!BC325</f>
        <v/>
      </c>
      <c r="C319" s="152" t="n">
        <f aca="false">Scoring!C325</f>
        <v>0</v>
      </c>
      <c r="D319" s="153" t="str">
        <f aca="false">Scoring!AZ325</f>
        <v/>
      </c>
      <c r="E319" s="152" t="str">
        <f aca="false">Scoring!AF325</f>
        <v/>
      </c>
      <c r="F319" s="152" t="n">
        <f aca="false">Scoring!B325</f>
        <v>0</v>
      </c>
      <c r="G319" s="152" t="n">
        <f aca="false">Scoring!D325</f>
        <v>0</v>
      </c>
      <c r="H319" s="152" t="str">
        <f aca="false">Scoring!BB325</f>
        <v/>
      </c>
      <c r="I319" s="154" t="str">
        <f aca="false">Scoring!BA325</f>
        <v/>
      </c>
    </row>
    <row r="320" customFormat="false" ht="15.75" hidden="false" customHeight="false" outlineLevel="0" collapsed="false">
      <c r="A320" s="152" t="str">
        <f aca="false">Scoring!BD326</f>
        <v/>
      </c>
      <c r="B320" s="152" t="str">
        <f aca="false">Scoring!BC326</f>
        <v/>
      </c>
      <c r="C320" s="152" t="n">
        <f aca="false">Scoring!C326</f>
        <v>0</v>
      </c>
      <c r="D320" s="153" t="str">
        <f aca="false">Scoring!AZ326</f>
        <v/>
      </c>
      <c r="E320" s="152" t="str">
        <f aca="false">Scoring!AF326</f>
        <v/>
      </c>
      <c r="F320" s="152" t="n">
        <f aca="false">Scoring!B326</f>
        <v>0</v>
      </c>
      <c r="G320" s="152" t="n">
        <f aca="false">Scoring!D326</f>
        <v>0</v>
      </c>
      <c r="H320" s="152" t="str">
        <f aca="false">Scoring!BB326</f>
        <v/>
      </c>
      <c r="I320" s="154" t="str">
        <f aca="false">Scoring!BA326</f>
        <v/>
      </c>
    </row>
    <row r="321" customFormat="false" ht="15.75" hidden="false" customHeight="false" outlineLevel="0" collapsed="false">
      <c r="A321" s="152" t="str">
        <f aca="false">Scoring!BD327</f>
        <v/>
      </c>
      <c r="B321" s="152" t="str">
        <f aca="false">Scoring!BC327</f>
        <v/>
      </c>
      <c r="C321" s="152" t="n">
        <f aca="false">Scoring!C327</f>
        <v>0</v>
      </c>
      <c r="D321" s="153" t="str">
        <f aca="false">Scoring!AZ327</f>
        <v/>
      </c>
      <c r="E321" s="152" t="str">
        <f aca="false">Scoring!AF327</f>
        <v/>
      </c>
      <c r="F321" s="152" t="n">
        <f aca="false">Scoring!B327</f>
        <v>0</v>
      </c>
      <c r="G321" s="152" t="n">
        <f aca="false">Scoring!D327</f>
        <v>0</v>
      </c>
      <c r="H321" s="152" t="str">
        <f aca="false">Scoring!BB327</f>
        <v/>
      </c>
      <c r="I321" s="154" t="str">
        <f aca="false">Scoring!BA327</f>
        <v/>
      </c>
    </row>
    <row r="322" customFormat="false" ht="15.75" hidden="false" customHeight="false" outlineLevel="0" collapsed="false">
      <c r="A322" s="152" t="str">
        <f aca="false">Scoring!BD328</f>
        <v/>
      </c>
      <c r="B322" s="152" t="str">
        <f aca="false">Scoring!BC328</f>
        <v/>
      </c>
      <c r="C322" s="152" t="n">
        <f aca="false">Scoring!C328</f>
        <v>0</v>
      </c>
      <c r="D322" s="153" t="str">
        <f aca="false">Scoring!AZ328</f>
        <v/>
      </c>
      <c r="E322" s="152" t="str">
        <f aca="false">Scoring!AF328</f>
        <v/>
      </c>
      <c r="F322" s="152" t="n">
        <f aca="false">Scoring!B328</f>
        <v>0</v>
      </c>
      <c r="G322" s="152" t="n">
        <f aca="false">Scoring!D328</f>
        <v>0</v>
      </c>
      <c r="H322" s="152" t="str">
        <f aca="false">Scoring!BB328</f>
        <v/>
      </c>
      <c r="I322" s="154" t="str">
        <f aca="false">Scoring!BA328</f>
        <v/>
      </c>
    </row>
    <row r="323" customFormat="false" ht="15.75" hidden="false" customHeight="false" outlineLevel="0" collapsed="false">
      <c r="A323" s="152" t="str">
        <f aca="false">Scoring!BD329</f>
        <v/>
      </c>
      <c r="B323" s="152" t="str">
        <f aca="false">Scoring!BC329</f>
        <v/>
      </c>
      <c r="C323" s="152" t="n">
        <f aca="false">Scoring!C329</f>
        <v>0</v>
      </c>
      <c r="D323" s="153" t="str">
        <f aca="false">Scoring!AZ329</f>
        <v/>
      </c>
      <c r="E323" s="152" t="str">
        <f aca="false">Scoring!AF329</f>
        <v/>
      </c>
      <c r="F323" s="152" t="n">
        <f aca="false">Scoring!B329</f>
        <v>0</v>
      </c>
      <c r="G323" s="152" t="n">
        <f aca="false">Scoring!D329</f>
        <v>0</v>
      </c>
      <c r="H323" s="152" t="str">
        <f aca="false">Scoring!BB329</f>
        <v/>
      </c>
      <c r="I323" s="154" t="str">
        <f aca="false">Scoring!BA329</f>
        <v/>
      </c>
    </row>
    <row r="324" customFormat="false" ht="15.75" hidden="false" customHeight="false" outlineLevel="0" collapsed="false">
      <c r="A324" s="152" t="str">
        <f aca="false">Scoring!BD330</f>
        <v/>
      </c>
      <c r="B324" s="152" t="str">
        <f aca="false">Scoring!BC330</f>
        <v/>
      </c>
      <c r="C324" s="152" t="n">
        <f aca="false">Scoring!C330</f>
        <v>0</v>
      </c>
      <c r="D324" s="153" t="str">
        <f aca="false">Scoring!AZ330</f>
        <v/>
      </c>
      <c r="E324" s="152" t="str">
        <f aca="false">Scoring!AF330</f>
        <v/>
      </c>
      <c r="F324" s="152" t="n">
        <f aca="false">Scoring!B330</f>
        <v>0</v>
      </c>
      <c r="G324" s="152" t="n">
        <f aca="false">Scoring!D330</f>
        <v>0</v>
      </c>
      <c r="H324" s="152" t="str">
        <f aca="false">Scoring!BB330</f>
        <v/>
      </c>
      <c r="I324" s="154" t="str">
        <f aca="false">Scoring!BA330</f>
        <v/>
      </c>
    </row>
    <row r="325" customFormat="false" ht="15.75" hidden="false" customHeight="false" outlineLevel="0" collapsed="false">
      <c r="A325" s="152" t="str">
        <f aca="false">Scoring!BD331</f>
        <v/>
      </c>
      <c r="B325" s="152" t="str">
        <f aca="false">Scoring!BC331</f>
        <v/>
      </c>
      <c r="C325" s="152" t="n">
        <f aca="false">Scoring!C331</f>
        <v>0</v>
      </c>
      <c r="D325" s="153" t="str">
        <f aca="false">Scoring!AZ331</f>
        <v/>
      </c>
      <c r="E325" s="152" t="str">
        <f aca="false">Scoring!AF331</f>
        <v/>
      </c>
      <c r="F325" s="152" t="n">
        <f aca="false">Scoring!B331</f>
        <v>0</v>
      </c>
      <c r="G325" s="152" t="n">
        <f aca="false">Scoring!D331</f>
        <v>0</v>
      </c>
      <c r="H325" s="152" t="str">
        <f aca="false">Scoring!BB331</f>
        <v/>
      </c>
      <c r="I325" s="154" t="str">
        <f aca="false">Scoring!BA331</f>
        <v/>
      </c>
    </row>
    <row r="326" customFormat="false" ht="15.75" hidden="false" customHeight="false" outlineLevel="0" collapsed="false">
      <c r="A326" s="152" t="str">
        <f aca="false">Scoring!BD332</f>
        <v/>
      </c>
      <c r="B326" s="152" t="str">
        <f aca="false">Scoring!BC332</f>
        <v/>
      </c>
      <c r="C326" s="152" t="n">
        <f aca="false">Scoring!C332</f>
        <v>0</v>
      </c>
      <c r="D326" s="153" t="str">
        <f aca="false">Scoring!AZ332</f>
        <v/>
      </c>
      <c r="E326" s="152" t="str">
        <f aca="false">Scoring!AF332</f>
        <v/>
      </c>
      <c r="F326" s="152" t="n">
        <f aca="false">Scoring!B332</f>
        <v>0</v>
      </c>
      <c r="G326" s="152" t="n">
        <f aca="false">Scoring!D332</f>
        <v>0</v>
      </c>
      <c r="H326" s="152" t="str">
        <f aca="false">Scoring!BB332</f>
        <v/>
      </c>
      <c r="I326" s="154" t="str">
        <f aca="false">Scoring!BA332</f>
        <v/>
      </c>
    </row>
    <row r="327" customFormat="false" ht="15.75" hidden="false" customHeight="false" outlineLevel="0" collapsed="false">
      <c r="A327" s="152" t="str">
        <f aca="false">Scoring!BD333</f>
        <v/>
      </c>
      <c r="B327" s="152" t="str">
        <f aca="false">Scoring!BC333</f>
        <v/>
      </c>
      <c r="C327" s="152" t="n">
        <f aca="false">Scoring!C333</f>
        <v>0</v>
      </c>
      <c r="D327" s="153" t="str">
        <f aca="false">Scoring!AZ333</f>
        <v/>
      </c>
      <c r="E327" s="152" t="str">
        <f aca="false">Scoring!AF333</f>
        <v/>
      </c>
      <c r="F327" s="152" t="n">
        <f aca="false">Scoring!B333</f>
        <v>0</v>
      </c>
      <c r="G327" s="152" t="n">
        <f aca="false">Scoring!D333</f>
        <v>0</v>
      </c>
      <c r="H327" s="152" t="str">
        <f aca="false">Scoring!BB333</f>
        <v/>
      </c>
      <c r="I327" s="154" t="str">
        <f aca="false">Scoring!BA333</f>
        <v/>
      </c>
    </row>
    <row r="328" customFormat="false" ht="15.75" hidden="false" customHeight="false" outlineLevel="0" collapsed="false">
      <c r="A328" s="152" t="str">
        <f aca="false">Scoring!BD334</f>
        <v/>
      </c>
      <c r="B328" s="152" t="str">
        <f aca="false">Scoring!BC334</f>
        <v/>
      </c>
      <c r="C328" s="152" t="n">
        <f aca="false">Scoring!C334</f>
        <v>0</v>
      </c>
      <c r="D328" s="153" t="str">
        <f aca="false">Scoring!AZ334</f>
        <v/>
      </c>
      <c r="E328" s="152" t="str">
        <f aca="false">Scoring!AF334</f>
        <v/>
      </c>
      <c r="F328" s="152" t="n">
        <f aca="false">Scoring!B334</f>
        <v>0</v>
      </c>
      <c r="G328" s="152" t="n">
        <f aca="false">Scoring!D334</f>
        <v>0</v>
      </c>
      <c r="H328" s="152" t="str">
        <f aca="false">Scoring!BB334</f>
        <v/>
      </c>
      <c r="I328" s="154" t="str">
        <f aca="false">Scoring!BA334</f>
        <v/>
      </c>
    </row>
    <row r="329" customFormat="false" ht="15.75" hidden="false" customHeight="false" outlineLevel="0" collapsed="false">
      <c r="A329" s="152" t="str">
        <f aca="false">Scoring!BD335</f>
        <v/>
      </c>
      <c r="B329" s="152" t="str">
        <f aca="false">Scoring!BC335</f>
        <v/>
      </c>
      <c r="C329" s="152" t="n">
        <f aca="false">Scoring!C335</f>
        <v>0</v>
      </c>
      <c r="D329" s="153" t="str">
        <f aca="false">Scoring!AZ335</f>
        <v/>
      </c>
      <c r="E329" s="152" t="str">
        <f aca="false">Scoring!AF335</f>
        <v/>
      </c>
      <c r="F329" s="152" t="n">
        <f aca="false">Scoring!B335</f>
        <v>0</v>
      </c>
      <c r="G329" s="152" t="n">
        <f aca="false">Scoring!D335</f>
        <v>0</v>
      </c>
      <c r="H329" s="152" t="str">
        <f aca="false">Scoring!BB335</f>
        <v/>
      </c>
      <c r="I329" s="154" t="str">
        <f aca="false">Scoring!BA335</f>
        <v/>
      </c>
    </row>
    <row r="330" customFormat="false" ht="15.75" hidden="false" customHeight="false" outlineLevel="0" collapsed="false">
      <c r="A330" s="152" t="str">
        <f aca="false">Scoring!BD336</f>
        <v/>
      </c>
      <c r="B330" s="152" t="str">
        <f aca="false">Scoring!BC336</f>
        <v/>
      </c>
      <c r="C330" s="152" t="n">
        <f aca="false">Scoring!C336</f>
        <v>0</v>
      </c>
      <c r="D330" s="153" t="str">
        <f aca="false">Scoring!AZ336</f>
        <v/>
      </c>
      <c r="E330" s="152" t="str">
        <f aca="false">Scoring!AF336</f>
        <v/>
      </c>
      <c r="F330" s="152" t="n">
        <f aca="false">Scoring!B336</f>
        <v>0</v>
      </c>
      <c r="G330" s="152" t="n">
        <f aca="false">Scoring!D336</f>
        <v>0</v>
      </c>
      <c r="H330" s="152" t="str">
        <f aca="false">Scoring!BB336</f>
        <v/>
      </c>
      <c r="I330" s="154" t="str">
        <f aca="false">Scoring!BA336</f>
        <v/>
      </c>
    </row>
    <row r="331" customFormat="false" ht="15.75" hidden="false" customHeight="false" outlineLevel="0" collapsed="false">
      <c r="A331" s="152" t="str">
        <f aca="false">Scoring!BD337</f>
        <v/>
      </c>
      <c r="B331" s="152" t="str">
        <f aca="false">Scoring!BC337</f>
        <v/>
      </c>
      <c r="C331" s="152" t="n">
        <f aca="false">Scoring!C337</f>
        <v>0</v>
      </c>
      <c r="D331" s="153" t="str">
        <f aca="false">Scoring!AZ337</f>
        <v/>
      </c>
      <c r="E331" s="152" t="str">
        <f aca="false">Scoring!AF337</f>
        <v/>
      </c>
      <c r="F331" s="152" t="n">
        <f aca="false">Scoring!B337</f>
        <v>0</v>
      </c>
      <c r="G331" s="152" t="n">
        <f aca="false">Scoring!D337</f>
        <v>0</v>
      </c>
      <c r="H331" s="152" t="str">
        <f aca="false">Scoring!BB337</f>
        <v/>
      </c>
      <c r="I331" s="154" t="str">
        <f aca="false">Scoring!BA337</f>
        <v/>
      </c>
    </row>
    <row r="332" customFormat="false" ht="15.75" hidden="false" customHeight="false" outlineLevel="0" collapsed="false">
      <c r="A332" s="152" t="str">
        <f aca="false">Scoring!BD338</f>
        <v/>
      </c>
      <c r="B332" s="152" t="str">
        <f aca="false">Scoring!BC338</f>
        <v/>
      </c>
      <c r="C332" s="152" t="n">
        <f aca="false">Scoring!C338</f>
        <v>0</v>
      </c>
      <c r="D332" s="153" t="str">
        <f aca="false">Scoring!AZ338</f>
        <v/>
      </c>
      <c r="E332" s="152" t="str">
        <f aca="false">Scoring!AF338</f>
        <v/>
      </c>
      <c r="F332" s="152" t="n">
        <f aca="false">Scoring!B338</f>
        <v>0</v>
      </c>
      <c r="G332" s="152" t="n">
        <f aca="false">Scoring!D338</f>
        <v>0</v>
      </c>
      <c r="H332" s="152" t="str">
        <f aca="false">Scoring!BB338</f>
        <v/>
      </c>
      <c r="I332" s="154" t="str">
        <f aca="false">Scoring!BA338</f>
        <v/>
      </c>
    </row>
    <row r="333" customFormat="false" ht="15.75" hidden="false" customHeight="false" outlineLevel="0" collapsed="false">
      <c r="A333" s="152" t="str">
        <f aca="false">Scoring!BD339</f>
        <v/>
      </c>
      <c r="B333" s="152" t="str">
        <f aca="false">Scoring!BC339</f>
        <v/>
      </c>
      <c r="C333" s="152" t="n">
        <f aca="false">Scoring!C339</f>
        <v>0</v>
      </c>
      <c r="D333" s="153" t="str">
        <f aca="false">Scoring!AZ339</f>
        <v/>
      </c>
      <c r="E333" s="152" t="str">
        <f aca="false">Scoring!AF339</f>
        <v/>
      </c>
      <c r="F333" s="152" t="n">
        <f aca="false">Scoring!B339</f>
        <v>0</v>
      </c>
      <c r="G333" s="152" t="n">
        <f aca="false">Scoring!D339</f>
        <v>0</v>
      </c>
      <c r="H333" s="152" t="str">
        <f aca="false">Scoring!BB339</f>
        <v/>
      </c>
      <c r="I333" s="154" t="str">
        <f aca="false">Scoring!BA339</f>
        <v/>
      </c>
    </row>
    <row r="334" customFormat="false" ht="15.75" hidden="false" customHeight="false" outlineLevel="0" collapsed="false">
      <c r="A334" s="152" t="str">
        <f aca="false">Scoring!BD340</f>
        <v/>
      </c>
      <c r="B334" s="152" t="str">
        <f aca="false">Scoring!BC340</f>
        <v/>
      </c>
      <c r="C334" s="152" t="n">
        <f aca="false">Scoring!C340</f>
        <v>0</v>
      </c>
      <c r="D334" s="153" t="str">
        <f aca="false">Scoring!AZ340</f>
        <v/>
      </c>
      <c r="E334" s="152" t="str">
        <f aca="false">Scoring!AF340</f>
        <v/>
      </c>
      <c r="F334" s="152" t="n">
        <f aca="false">Scoring!B340</f>
        <v>0</v>
      </c>
      <c r="G334" s="152" t="n">
        <f aca="false">Scoring!D340</f>
        <v>0</v>
      </c>
      <c r="H334" s="152" t="str">
        <f aca="false">Scoring!BB340</f>
        <v/>
      </c>
      <c r="I334" s="154" t="str">
        <f aca="false">Scoring!BA340</f>
        <v/>
      </c>
    </row>
    <row r="335" customFormat="false" ht="15.75" hidden="false" customHeight="false" outlineLevel="0" collapsed="false">
      <c r="A335" s="152" t="str">
        <f aca="false">Scoring!BD341</f>
        <v/>
      </c>
      <c r="B335" s="152" t="str">
        <f aca="false">Scoring!BC341</f>
        <v/>
      </c>
      <c r="C335" s="152" t="n">
        <f aca="false">Scoring!C341</f>
        <v>0</v>
      </c>
      <c r="D335" s="153" t="str">
        <f aca="false">Scoring!AZ341</f>
        <v/>
      </c>
      <c r="E335" s="152" t="str">
        <f aca="false">Scoring!AF341</f>
        <v/>
      </c>
      <c r="F335" s="152" t="n">
        <f aca="false">Scoring!B341</f>
        <v>0</v>
      </c>
      <c r="G335" s="152" t="n">
        <f aca="false">Scoring!D341</f>
        <v>0</v>
      </c>
      <c r="H335" s="152" t="str">
        <f aca="false">Scoring!BB341</f>
        <v/>
      </c>
      <c r="I335" s="154" t="str">
        <f aca="false">Scoring!BA341</f>
        <v/>
      </c>
    </row>
    <row r="336" customFormat="false" ht="15.75" hidden="false" customHeight="false" outlineLevel="0" collapsed="false">
      <c r="A336" s="152" t="str">
        <f aca="false">Scoring!BD342</f>
        <v/>
      </c>
      <c r="B336" s="152" t="str">
        <f aca="false">Scoring!BC342</f>
        <v/>
      </c>
      <c r="C336" s="152" t="n">
        <f aca="false">Scoring!C342</f>
        <v>0</v>
      </c>
      <c r="D336" s="153" t="str">
        <f aca="false">Scoring!AZ342</f>
        <v/>
      </c>
      <c r="E336" s="152" t="str">
        <f aca="false">Scoring!AF342</f>
        <v/>
      </c>
      <c r="F336" s="152" t="n">
        <f aca="false">Scoring!B342</f>
        <v>0</v>
      </c>
      <c r="G336" s="152" t="n">
        <f aca="false">Scoring!D342</f>
        <v>0</v>
      </c>
      <c r="H336" s="152" t="str">
        <f aca="false">Scoring!BB342</f>
        <v/>
      </c>
      <c r="I336" s="154" t="str">
        <f aca="false">Scoring!BA342</f>
        <v/>
      </c>
    </row>
    <row r="337" customFormat="false" ht="15.75" hidden="false" customHeight="false" outlineLevel="0" collapsed="false">
      <c r="A337" s="152" t="str">
        <f aca="false">Scoring!BD343</f>
        <v/>
      </c>
      <c r="B337" s="152" t="str">
        <f aca="false">Scoring!BC343</f>
        <v/>
      </c>
      <c r="C337" s="152" t="n">
        <f aca="false">Scoring!C343</f>
        <v>0</v>
      </c>
      <c r="D337" s="153" t="str">
        <f aca="false">Scoring!AZ343</f>
        <v/>
      </c>
      <c r="E337" s="152" t="str">
        <f aca="false">Scoring!AF343</f>
        <v/>
      </c>
      <c r="F337" s="152" t="n">
        <f aca="false">Scoring!B343</f>
        <v>0</v>
      </c>
      <c r="G337" s="152" t="n">
        <f aca="false">Scoring!D343</f>
        <v>0</v>
      </c>
      <c r="H337" s="152" t="str">
        <f aca="false">Scoring!BB343</f>
        <v/>
      </c>
      <c r="I337" s="154" t="str">
        <f aca="false">Scoring!BA343</f>
        <v/>
      </c>
    </row>
    <row r="338" customFormat="false" ht="15.75" hidden="false" customHeight="false" outlineLevel="0" collapsed="false">
      <c r="A338" s="152" t="str">
        <f aca="false">Scoring!BD344</f>
        <v/>
      </c>
      <c r="B338" s="152" t="str">
        <f aca="false">Scoring!BC344</f>
        <v/>
      </c>
      <c r="C338" s="152" t="n">
        <f aca="false">Scoring!C344</f>
        <v>0</v>
      </c>
      <c r="D338" s="153" t="str">
        <f aca="false">Scoring!AZ344</f>
        <v/>
      </c>
      <c r="E338" s="152" t="str">
        <f aca="false">Scoring!AF344</f>
        <v/>
      </c>
      <c r="F338" s="152" t="n">
        <f aca="false">Scoring!B344</f>
        <v>0</v>
      </c>
      <c r="G338" s="152" t="n">
        <f aca="false">Scoring!D344</f>
        <v>0</v>
      </c>
      <c r="H338" s="152" t="str">
        <f aca="false">Scoring!BB344</f>
        <v/>
      </c>
      <c r="I338" s="154" t="str">
        <f aca="false">Scoring!BA344</f>
        <v/>
      </c>
    </row>
    <row r="339" customFormat="false" ht="15.75" hidden="false" customHeight="false" outlineLevel="0" collapsed="false">
      <c r="A339" s="152" t="str">
        <f aca="false">Scoring!BD345</f>
        <v/>
      </c>
      <c r="B339" s="152" t="str">
        <f aca="false">Scoring!BC345</f>
        <v/>
      </c>
      <c r="C339" s="152" t="n">
        <f aca="false">Scoring!C345</f>
        <v>0</v>
      </c>
      <c r="D339" s="153" t="str">
        <f aca="false">Scoring!AZ345</f>
        <v/>
      </c>
      <c r="E339" s="152" t="str">
        <f aca="false">Scoring!AF345</f>
        <v/>
      </c>
      <c r="F339" s="152" t="n">
        <f aca="false">Scoring!B345</f>
        <v>0</v>
      </c>
      <c r="G339" s="152" t="n">
        <f aca="false">Scoring!D345</f>
        <v>0</v>
      </c>
      <c r="H339" s="152" t="str">
        <f aca="false">Scoring!BB345</f>
        <v/>
      </c>
      <c r="I339" s="154" t="str">
        <f aca="false">Scoring!BA345</f>
        <v/>
      </c>
    </row>
    <row r="340" customFormat="false" ht="15.75" hidden="false" customHeight="false" outlineLevel="0" collapsed="false">
      <c r="A340" s="152" t="str">
        <f aca="false">Scoring!BD346</f>
        <v/>
      </c>
      <c r="B340" s="152" t="str">
        <f aca="false">Scoring!BC346</f>
        <v/>
      </c>
      <c r="C340" s="152" t="n">
        <f aca="false">Scoring!C346</f>
        <v>0</v>
      </c>
      <c r="D340" s="153" t="str">
        <f aca="false">Scoring!AZ346</f>
        <v/>
      </c>
      <c r="E340" s="152" t="str">
        <f aca="false">Scoring!AF346</f>
        <v/>
      </c>
      <c r="F340" s="152" t="n">
        <f aca="false">Scoring!B346</f>
        <v>0</v>
      </c>
      <c r="G340" s="152" t="n">
        <f aca="false">Scoring!D346</f>
        <v>0</v>
      </c>
      <c r="H340" s="152" t="str">
        <f aca="false">Scoring!BB346</f>
        <v/>
      </c>
      <c r="I340" s="154" t="str">
        <f aca="false">Scoring!BA346</f>
        <v/>
      </c>
    </row>
    <row r="341" customFormat="false" ht="15.75" hidden="false" customHeight="false" outlineLevel="0" collapsed="false">
      <c r="A341" s="152" t="str">
        <f aca="false">Scoring!BD347</f>
        <v/>
      </c>
      <c r="B341" s="152" t="str">
        <f aca="false">Scoring!BC347</f>
        <v/>
      </c>
      <c r="C341" s="152" t="n">
        <f aca="false">Scoring!C347</f>
        <v>0</v>
      </c>
      <c r="D341" s="153" t="str">
        <f aca="false">Scoring!AZ347</f>
        <v/>
      </c>
      <c r="E341" s="152" t="str">
        <f aca="false">Scoring!AF347</f>
        <v/>
      </c>
      <c r="F341" s="152" t="n">
        <f aca="false">Scoring!B347</f>
        <v>0</v>
      </c>
      <c r="G341" s="152" t="n">
        <f aca="false">Scoring!D347</f>
        <v>0</v>
      </c>
      <c r="H341" s="152" t="str">
        <f aca="false">Scoring!BB347</f>
        <v/>
      </c>
      <c r="I341" s="154" t="str">
        <f aca="false">Scoring!BA347</f>
        <v/>
      </c>
    </row>
    <row r="342" customFormat="false" ht="15.75" hidden="false" customHeight="false" outlineLevel="0" collapsed="false">
      <c r="A342" s="152" t="str">
        <f aca="false">Scoring!BD348</f>
        <v/>
      </c>
      <c r="B342" s="152" t="str">
        <f aca="false">Scoring!BC348</f>
        <v/>
      </c>
      <c r="C342" s="152" t="n">
        <f aca="false">Scoring!C348</f>
        <v>0</v>
      </c>
      <c r="D342" s="153" t="str">
        <f aca="false">Scoring!AZ348</f>
        <v/>
      </c>
      <c r="E342" s="152" t="str">
        <f aca="false">Scoring!AF348</f>
        <v/>
      </c>
      <c r="F342" s="152" t="n">
        <f aca="false">Scoring!B348</f>
        <v>0</v>
      </c>
      <c r="G342" s="152" t="n">
        <f aca="false">Scoring!D348</f>
        <v>0</v>
      </c>
      <c r="H342" s="152" t="str">
        <f aca="false">Scoring!BB348</f>
        <v/>
      </c>
      <c r="I342" s="154" t="str">
        <f aca="false">Scoring!BA348</f>
        <v/>
      </c>
    </row>
    <row r="343" customFormat="false" ht="15.75" hidden="false" customHeight="false" outlineLevel="0" collapsed="false">
      <c r="A343" s="152" t="str">
        <f aca="false">Scoring!BD349</f>
        <v/>
      </c>
      <c r="B343" s="152" t="str">
        <f aca="false">Scoring!BC349</f>
        <v/>
      </c>
      <c r="C343" s="152" t="n">
        <f aca="false">Scoring!C349</f>
        <v>0</v>
      </c>
      <c r="D343" s="153" t="str">
        <f aca="false">Scoring!AZ349</f>
        <v/>
      </c>
      <c r="E343" s="152" t="str">
        <f aca="false">Scoring!AF349</f>
        <v/>
      </c>
      <c r="F343" s="152" t="n">
        <f aca="false">Scoring!B349</f>
        <v>0</v>
      </c>
      <c r="G343" s="152" t="n">
        <f aca="false">Scoring!D349</f>
        <v>0</v>
      </c>
      <c r="H343" s="152" t="str">
        <f aca="false">Scoring!BB349</f>
        <v/>
      </c>
      <c r="I343" s="154" t="str">
        <f aca="false">Scoring!BA349</f>
        <v/>
      </c>
    </row>
    <row r="344" customFormat="false" ht="15.75" hidden="false" customHeight="false" outlineLevel="0" collapsed="false">
      <c r="A344" s="152" t="str">
        <f aca="false">Scoring!BD350</f>
        <v/>
      </c>
      <c r="B344" s="152" t="str">
        <f aca="false">Scoring!BC350</f>
        <v/>
      </c>
      <c r="C344" s="152" t="n">
        <f aca="false">Scoring!C350</f>
        <v>0</v>
      </c>
      <c r="D344" s="153" t="str">
        <f aca="false">Scoring!AZ350</f>
        <v/>
      </c>
      <c r="E344" s="152" t="str">
        <f aca="false">Scoring!AF350</f>
        <v/>
      </c>
      <c r="F344" s="152" t="n">
        <f aca="false">Scoring!B350</f>
        <v>0</v>
      </c>
      <c r="G344" s="152" t="n">
        <f aca="false">Scoring!D350</f>
        <v>0</v>
      </c>
      <c r="H344" s="152" t="str">
        <f aca="false">Scoring!BB350</f>
        <v/>
      </c>
      <c r="I344" s="154" t="str">
        <f aca="false">Scoring!BA350</f>
        <v/>
      </c>
    </row>
    <row r="345" customFormat="false" ht="15.75" hidden="false" customHeight="false" outlineLevel="0" collapsed="false">
      <c r="A345" s="152" t="str">
        <f aca="false">Scoring!BD351</f>
        <v/>
      </c>
      <c r="B345" s="152" t="str">
        <f aca="false">Scoring!BC351</f>
        <v/>
      </c>
      <c r="C345" s="152" t="n">
        <f aca="false">Scoring!C351</f>
        <v>0</v>
      </c>
      <c r="D345" s="153" t="str">
        <f aca="false">Scoring!AZ351</f>
        <v/>
      </c>
      <c r="E345" s="152" t="str">
        <f aca="false">Scoring!AF351</f>
        <v/>
      </c>
      <c r="F345" s="152" t="n">
        <f aca="false">Scoring!B351</f>
        <v>0</v>
      </c>
      <c r="G345" s="152" t="n">
        <f aca="false">Scoring!D351</f>
        <v>0</v>
      </c>
      <c r="H345" s="152" t="str">
        <f aca="false">Scoring!BB351</f>
        <v/>
      </c>
      <c r="I345" s="154" t="str">
        <f aca="false">Scoring!BA351</f>
        <v/>
      </c>
    </row>
    <row r="346" customFormat="false" ht="15.75" hidden="false" customHeight="false" outlineLevel="0" collapsed="false">
      <c r="A346" s="152" t="str">
        <f aca="false">Scoring!BD352</f>
        <v/>
      </c>
      <c r="B346" s="152" t="str">
        <f aca="false">Scoring!BC352</f>
        <v/>
      </c>
      <c r="C346" s="152" t="n">
        <f aca="false">Scoring!C352</f>
        <v>0</v>
      </c>
      <c r="D346" s="153" t="str">
        <f aca="false">Scoring!AZ352</f>
        <v/>
      </c>
      <c r="E346" s="152" t="str">
        <f aca="false">Scoring!AF352</f>
        <v/>
      </c>
      <c r="F346" s="152" t="n">
        <f aca="false">Scoring!B352</f>
        <v>0</v>
      </c>
      <c r="G346" s="152" t="n">
        <f aca="false">Scoring!D352</f>
        <v>0</v>
      </c>
      <c r="H346" s="152" t="str">
        <f aca="false">Scoring!BB352</f>
        <v/>
      </c>
      <c r="I346" s="154" t="str">
        <f aca="false">Scoring!BA352</f>
        <v/>
      </c>
    </row>
    <row r="347" customFormat="false" ht="15.75" hidden="false" customHeight="false" outlineLevel="0" collapsed="false">
      <c r="A347" s="152" t="str">
        <f aca="false">Scoring!BD353</f>
        <v/>
      </c>
      <c r="B347" s="152" t="str">
        <f aca="false">Scoring!BC353</f>
        <v/>
      </c>
      <c r="C347" s="152" t="n">
        <f aca="false">Scoring!C353</f>
        <v>0</v>
      </c>
      <c r="D347" s="153" t="str">
        <f aca="false">Scoring!AZ353</f>
        <v/>
      </c>
      <c r="E347" s="152" t="str">
        <f aca="false">Scoring!AF353</f>
        <v/>
      </c>
      <c r="F347" s="152" t="n">
        <f aca="false">Scoring!B353</f>
        <v>0</v>
      </c>
      <c r="G347" s="152" t="n">
        <f aca="false">Scoring!D353</f>
        <v>0</v>
      </c>
      <c r="H347" s="152" t="str">
        <f aca="false">Scoring!BB353</f>
        <v/>
      </c>
      <c r="I347" s="154" t="str">
        <f aca="false">Scoring!BA353</f>
        <v/>
      </c>
    </row>
    <row r="348" customFormat="false" ht="15.75" hidden="false" customHeight="false" outlineLevel="0" collapsed="false">
      <c r="A348" s="152" t="str">
        <f aca="false">Scoring!BD354</f>
        <v/>
      </c>
      <c r="B348" s="152" t="str">
        <f aca="false">Scoring!BC354</f>
        <v/>
      </c>
      <c r="C348" s="152" t="n">
        <f aca="false">Scoring!C354</f>
        <v>0</v>
      </c>
      <c r="D348" s="153" t="str">
        <f aca="false">Scoring!AZ354</f>
        <v/>
      </c>
      <c r="E348" s="152" t="str">
        <f aca="false">Scoring!AF354</f>
        <v/>
      </c>
      <c r="F348" s="152" t="n">
        <f aca="false">Scoring!B354</f>
        <v>0</v>
      </c>
      <c r="G348" s="152" t="n">
        <f aca="false">Scoring!D354</f>
        <v>0</v>
      </c>
      <c r="H348" s="152" t="str">
        <f aca="false">Scoring!BB354</f>
        <v/>
      </c>
      <c r="I348" s="154" t="str">
        <f aca="false">Scoring!BA354</f>
        <v/>
      </c>
    </row>
    <row r="349" customFormat="false" ht="15.75" hidden="false" customHeight="false" outlineLevel="0" collapsed="false">
      <c r="A349" s="152" t="str">
        <f aca="false">Scoring!BD355</f>
        <v/>
      </c>
      <c r="B349" s="152" t="str">
        <f aca="false">Scoring!BC355</f>
        <v/>
      </c>
      <c r="C349" s="152" t="n">
        <f aca="false">Scoring!C355</f>
        <v>0</v>
      </c>
      <c r="D349" s="153" t="str">
        <f aca="false">Scoring!AZ355</f>
        <v/>
      </c>
      <c r="E349" s="152" t="str">
        <f aca="false">Scoring!AF355</f>
        <v/>
      </c>
      <c r="F349" s="152" t="n">
        <f aca="false">Scoring!B355</f>
        <v>0</v>
      </c>
      <c r="G349" s="152" t="n">
        <f aca="false">Scoring!D355</f>
        <v>0</v>
      </c>
      <c r="H349" s="152" t="str">
        <f aca="false">Scoring!BB355</f>
        <v/>
      </c>
      <c r="I349" s="154" t="str">
        <f aca="false">Scoring!BA355</f>
        <v/>
      </c>
    </row>
    <row r="350" customFormat="false" ht="15.75" hidden="false" customHeight="false" outlineLevel="0" collapsed="false">
      <c r="A350" s="152" t="str">
        <f aca="false">Scoring!BD356</f>
        <v/>
      </c>
      <c r="B350" s="152" t="str">
        <f aca="false">Scoring!BC356</f>
        <v/>
      </c>
      <c r="C350" s="152" t="n">
        <f aca="false">Scoring!C356</f>
        <v>0</v>
      </c>
      <c r="D350" s="153" t="str">
        <f aca="false">Scoring!AZ356</f>
        <v/>
      </c>
      <c r="E350" s="152" t="str">
        <f aca="false">Scoring!AF356</f>
        <v/>
      </c>
      <c r="F350" s="152" t="n">
        <f aca="false">Scoring!B356</f>
        <v>0</v>
      </c>
      <c r="G350" s="152" t="n">
        <f aca="false">Scoring!D356</f>
        <v>0</v>
      </c>
      <c r="H350" s="152" t="str">
        <f aca="false">Scoring!BB356</f>
        <v/>
      </c>
      <c r="I350" s="154" t="str">
        <f aca="false">Scoring!BA356</f>
        <v/>
      </c>
    </row>
    <row r="351" customFormat="false" ht="15.75" hidden="false" customHeight="false" outlineLevel="0" collapsed="false">
      <c r="A351" s="152" t="str">
        <f aca="false">Scoring!BD357</f>
        <v/>
      </c>
      <c r="B351" s="152" t="str">
        <f aca="false">Scoring!BC357</f>
        <v/>
      </c>
      <c r="C351" s="152" t="n">
        <f aca="false">Scoring!C357</f>
        <v>0</v>
      </c>
      <c r="D351" s="153" t="str">
        <f aca="false">Scoring!AZ357</f>
        <v/>
      </c>
      <c r="E351" s="152" t="str">
        <f aca="false">Scoring!AF357</f>
        <v/>
      </c>
      <c r="F351" s="152" t="n">
        <f aca="false">Scoring!B357</f>
        <v>0</v>
      </c>
      <c r="G351" s="152" t="n">
        <f aca="false">Scoring!D357</f>
        <v>0</v>
      </c>
      <c r="H351" s="152" t="str">
        <f aca="false">Scoring!BB357</f>
        <v/>
      </c>
      <c r="I351" s="154" t="str">
        <f aca="false">Scoring!BA357</f>
        <v/>
      </c>
    </row>
    <row r="352" customFormat="false" ht="15.75" hidden="false" customHeight="false" outlineLevel="0" collapsed="false">
      <c r="A352" s="152" t="str">
        <f aca="false">Scoring!BD358</f>
        <v/>
      </c>
      <c r="B352" s="152" t="str">
        <f aca="false">Scoring!BC358</f>
        <v/>
      </c>
      <c r="C352" s="152" t="n">
        <f aca="false">Scoring!C358</f>
        <v>0</v>
      </c>
      <c r="D352" s="153" t="str">
        <f aca="false">Scoring!AZ358</f>
        <v/>
      </c>
      <c r="E352" s="152" t="str">
        <f aca="false">Scoring!AF358</f>
        <v/>
      </c>
      <c r="F352" s="152" t="n">
        <f aca="false">Scoring!B358</f>
        <v>0</v>
      </c>
      <c r="G352" s="152" t="n">
        <f aca="false">Scoring!D358</f>
        <v>0</v>
      </c>
      <c r="H352" s="152" t="str">
        <f aca="false">Scoring!BB358</f>
        <v/>
      </c>
      <c r="I352" s="154" t="str">
        <f aca="false">Scoring!BA358</f>
        <v/>
      </c>
    </row>
    <row r="353" customFormat="false" ht="15.75" hidden="false" customHeight="false" outlineLevel="0" collapsed="false">
      <c r="A353" s="152" t="str">
        <f aca="false">Scoring!BD359</f>
        <v/>
      </c>
      <c r="B353" s="152" t="str">
        <f aca="false">Scoring!BC359</f>
        <v/>
      </c>
      <c r="C353" s="152" t="n">
        <f aca="false">Scoring!C359</f>
        <v>0</v>
      </c>
      <c r="D353" s="153" t="str">
        <f aca="false">Scoring!AZ359</f>
        <v/>
      </c>
      <c r="E353" s="152" t="str">
        <f aca="false">Scoring!AF359</f>
        <v/>
      </c>
      <c r="F353" s="152" t="n">
        <f aca="false">Scoring!B359</f>
        <v>0</v>
      </c>
      <c r="G353" s="152" t="n">
        <f aca="false">Scoring!D359</f>
        <v>0</v>
      </c>
      <c r="H353" s="152" t="str">
        <f aca="false">Scoring!BB359</f>
        <v/>
      </c>
      <c r="I353" s="154" t="str">
        <f aca="false">Scoring!BA359</f>
        <v/>
      </c>
    </row>
    <row r="354" customFormat="false" ht="15.75" hidden="false" customHeight="false" outlineLevel="0" collapsed="false">
      <c r="A354" s="152" t="str">
        <f aca="false">Scoring!BD360</f>
        <v/>
      </c>
      <c r="B354" s="152" t="str">
        <f aca="false">Scoring!BC360</f>
        <v/>
      </c>
      <c r="C354" s="152" t="n">
        <f aca="false">Scoring!C360</f>
        <v>0</v>
      </c>
      <c r="D354" s="153" t="str">
        <f aca="false">Scoring!AZ360</f>
        <v/>
      </c>
      <c r="E354" s="152" t="str">
        <f aca="false">Scoring!AF360</f>
        <v/>
      </c>
      <c r="F354" s="152" t="n">
        <f aca="false">Scoring!B360</f>
        <v>0</v>
      </c>
      <c r="G354" s="152" t="n">
        <f aca="false">Scoring!D360</f>
        <v>0</v>
      </c>
      <c r="H354" s="152" t="str">
        <f aca="false">Scoring!BB360</f>
        <v/>
      </c>
      <c r="I354" s="154" t="str">
        <f aca="false">Scoring!BA360</f>
        <v/>
      </c>
    </row>
    <row r="355" customFormat="false" ht="15.75" hidden="false" customHeight="false" outlineLevel="0" collapsed="false">
      <c r="A355" s="152" t="str">
        <f aca="false">Scoring!BD361</f>
        <v/>
      </c>
      <c r="B355" s="152" t="str">
        <f aca="false">Scoring!BC361</f>
        <v/>
      </c>
      <c r="C355" s="152" t="n">
        <f aca="false">Scoring!C361</f>
        <v>0</v>
      </c>
      <c r="D355" s="153" t="str">
        <f aca="false">Scoring!AZ361</f>
        <v/>
      </c>
      <c r="E355" s="152" t="str">
        <f aca="false">Scoring!AF361</f>
        <v/>
      </c>
      <c r="F355" s="152" t="n">
        <f aca="false">Scoring!B361</f>
        <v>0</v>
      </c>
      <c r="G355" s="152" t="n">
        <f aca="false">Scoring!D361</f>
        <v>0</v>
      </c>
      <c r="H355" s="152" t="str">
        <f aca="false">Scoring!BB361</f>
        <v/>
      </c>
      <c r="I355" s="154" t="str">
        <f aca="false">Scoring!BA361</f>
        <v/>
      </c>
    </row>
    <row r="356" customFormat="false" ht="15.75" hidden="false" customHeight="false" outlineLevel="0" collapsed="false">
      <c r="A356" s="152" t="str">
        <f aca="false">Scoring!BD362</f>
        <v/>
      </c>
      <c r="B356" s="152" t="str">
        <f aca="false">Scoring!BC362</f>
        <v/>
      </c>
      <c r="C356" s="152" t="n">
        <f aca="false">Scoring!C362</f>
        <v>0</v>
      </c>
      <c r="D356" s="153" t="str">
        <f aca="false">Scoring!AZ362</f>
        <v/>
      </c>
      <c r="E356" s="152" t="str">
        <f aca="false">Scoring!AF362</f>
        <v/>
      </c>
      <c r="F356" s="152" t="n">
        <f aca="false">Scoring!B362</f>
        <v>0</v>
      </c>
      <c r="G356" s="152" t="n">
        <f aca="false">Scoring!D362</f>
        <v>0</v>
      </c>
      <c r="H356" s="152" t="str">
        <f aca="false">Scoring!BB362</f>
        <v/>
      </c>
      <c r="I356" s="154" t="str">
        <f aca="false">Scoring!BA362</f>
        <v/>
      </c>
    </row>
    <row r="357" customFormat="false" ht="15.75" hidden="false" customHeight="false" outlineLevel="0" collapsed="false">
      <c r="A357" s="152" t="str">
        <f aca="false">Scoring!BD363</f>
        <v/>
      </c>
      <c r="B357" s="152" t="str">
        <f aca="false">Scoring!BC363</f>
        <v/>
      </c>
      <c r="C357" s="152" t="n">
        <f aca="false">Scoring!C363</f>
        <v>0</v>
      </c>
      <c r="D357" s="153" t="str">
        <f aca="false">Scoring!AZ363</f>
        <v/>
      </c>
      <c r="E357" s="152" t="str">
        <f aca="false">Scoring!AF363</f>
        <v/>
      </c>
      <c r="F357" s="152" t="n">
        <f aca="false">Scoring!B363</f>
        <v>0</v>
      </c>
      <c r="G357" s="152" t="n">
        <f aca="false">Scoring!D363</f>
        <v>0</v>
      </c>
      <c r="H357" s="152" t="str">
        <f aca="false">Scoring!BB363</f>
        <v/>
      </c>
      <c r="I357" s="154" t="str">
        <f aca="false">Scoring!BA363</f>
        <v/>
      </c>
    </row>
    <row r="358" customFormat="false" ht="15.75" hidden="false" customHeight="false" outlineLevel="0" collapsed="false">
      <c r="A358" s="152" t="str">
        <f aca="false">Scoring!BD364</f>
        <v/>
      </c>
      <c r="B358" s="152" t="str">
        <f aca="false">Scoring!BC364</f>
        <v/>
      </c>
      <c r="C358" s="152" t="n">
        <f aca="false">Scoring!C364</f>
        <v>0</v>
      </c>
      <c r="D358" s="153" t="str">
        <f aca="false">Scoring!AZ364</f>
        <v/>
      </c>
      <c r="E358" s="152" t="str">
        <f aca="false">Scoring!AF364</f>
        <v/>
      </c>
      <c r="F358" s="152" t="n">
        <f aca="false">Scoring!B364</f>
        <v>0</v>
      </c>
      <c r="G358" s="152" t="n">
        <f aca="false">Scoring!D364</f>
        <v>0</v>
      </c>
      <c r="H358" s="152" t="str">
        <f aca="false">Scoring!BB364</f>
        <v/>
      </c>
      <c r="I358" s="154" t="str">
        <f aca="false">Scoring!BA364</f>
        <v/>
      </c>
    </row>
    <row r="359" customFormat="false" ht="15.75" hidden="false" customHeight="false" outlineLevel="0" collapsed="false">
      <c r="A359" s="152" t="str">
        <f aca="false">Scoring!BD365</f>
        <v/>
      </c>
      <c r="B359" s="152" t="str">
        <f aca="false">Scoring!BC365</f>
        <v/>
      </c>
      <c r="C359" s="152" t="n">
        <f aca="false">Scoring!C365</f>
        <v>0</v>
      </c>
      <c r="D359" s="153" t="str">
        <f aca="false">Scoring!AZ365</f>
        <v/>
      </c>
      <c r="E359" s="152" t="str">
        <f aca="false">Scoring!AF365</f>
        <v/>
      </c>
      <c r="F359" s="152" t="n">
        <f aca="false">Scoring!B365</f>
        <v>0</v>
      </c>
      <c r="G359" s="152" t="n">
        <f aca="false">Scoring!D365</f>
        <v>0</v>
      </c>
      <c r="H359" s="152" t="str">
        <f aca="false">Scoring!BB365</f>
        <v/>
      </c>
      <c r="I359" s="154" t="str">
        <f aca="false">Scoring!BA365</f>
        <v/>
      </c>
    </row>
    <row r="360" customFormat="false" ht="15.75" hidden="false" customHeight="false" outlineLevel="0" collapsed="false">
      <c r="A360" s="152" t="str">
        <f aca="false">Scoring!BD366</f>
        <v/>
      </c>
      <c r="B360" s="152" t="str">
        <f aca="false">Scoring!BC366</f>
        <v/>
      </c>
      <c r="C360" s="152" t="n">
        <f aca="false">Scoring!C366</f>
        <v>0</v>
      </c>
      <c r="D360" s="153" t="str">
        <f aca="false">Scoring!AZ366</f>
        <v/>
      </c>
      <c r="E360" s="152" t="str">
        <f aca="false">Scoring!AF366</f>
        <v/>
      </c>
      <c r="F360" s="152" t="n">
        <f aca="false">Scoring!B366</f>
        <v>0</v>
      </c>
      <c r="G360" s="152" t="n">
        <f aca="false">Scoring!D366</f>
        <v>0</v>
      </c>
      <c r="H360" s="152" t="str">
        <f aca="false">Scoring!BB366</f>
        <v/>
      </c>
      <c r="I360" s="154" t="str">
        <f aca="false">Scoring!BA366</f>
        <v/>
      </c>
    </row>
    <row r="361" customFormat="false" ht="15.75" hidden="false" customHeight="false" outlineLevel="0" collapsed="false">
      <c r="A361" s="152" t="str">
        <f aca="false">Scoring!BD367</f>
        <v/>
      </c>
      <c r="B361" s="152" t="str">
        <f aca="false">Scoring!BC367</f>
        <v/>
      </c>
      <c r="C361" s="152" t="n">
        <f aca="false">Scoring!C367</f>
        <v>0</v>
      </c>
      <c r="D361" s="153" t="str">
        <f aca="false">Scoring!AZ367</f>
        <v/>
      </c>
      <c r="E361" s="152" t="str">
        <f aca="false">Scoring!AF367</f>
        <v/>
      </c>
      <c r="F361" s="152" t="n">
        <f aca="false">Scoring!B367</f>
        <v>0</v>
      </c>
      <c r="G361" s="152" t="n">
        <f aca="false">Scoring!D367</f>
        <v>0</v>
      </c>
      <c r="H361" s="152" t="str">
        <f aca="false">Scoring!BB367</f>
        <v/>
      </c>
      <c r="I361" s="154" t="str">
        <f aca="false">Scoring!BA367</f>
        <v/>
      </c>
    </row>
    <row r="362" customFormat="false" ht="15.75" hidden="false" customHeight="false" outlineLevel="0" collapsed="false">
      <c r="A362" s="152" t="str">
        <f aca="false">Scoring!BD368</f>
        <v/>
      </c>
      <c r="B362" s="152" t="str">
        <f aca="false">Scoring!BC368</f>
        <v/>
      </c>
      <c r="C362" s="152" t="n">
        <f aca="false">Scoring!C368</f>
        <v>0</v>
      </c>
      <c r="D362" s="153" t="str">
        <f aca="false">Scoring!AZ368</f>
        <v/>
      </c>
      <c r="E362" s="152" t="str">
        <f aca="false">Scoring!AF368</f>
        <v/>
      </c>
      <c r="F362" s="152" t="n">
        <f aca="false">Scoring!B368</f>
        <v>0</v>
      </c>
      <c r="G362" s="152" t="n">
        <f aca="false">Scoring!D368</f>
        <v>0</v>
      </c>
      <c r="H362" s="152" t="str">
        <f aca="false">Scoring!BB368</f>
        <v/>
      </c>
      <c r="I362" s="154" t="str">
        <f aca="false">Scoring!BA368</f>
        <v/>
      </c>
    </row>
    <row r="363" customFormat="false" ht="15.75" hidden="false" customHeight="false" outlineLevel="0" collapsed="false">
      <c r="A363" s="152" t="str">
        <f aca="false">Scoring!BD369</f>
        <v/>
      </c>
      <c r="B363" s="152" t="str">
        <f aca="false">Scoring!BC369</f>
        <v/>
      </c>
      <c r="C363" s="152" t="n">
        <f aca="false">Scoring!C369</f>
        <v>0</v>
      </c>
      <c r="D363" s="153" t="str">
        <f aca="false">Scoring!AZ369</f>
        <v/>
      </c>
      <c r="E363" s="152" t="str">
        <f aca="false">Scoring!AF369</f>
        <v/>
      </c>
      <c r="F363" s="152" t="n">
        <f aca="false">Scoring!B369</f>
        <v>0</v>
      </c>
      <c r="G363" s="152" t="n">
        <f aca="false">Scoring!D369</f>
        <v>0</v>
      </c>
      <c r="H363" s="152" t="str">
        <f aca="false">Scoring!BB369</f>
        <v/>
      </c>
      <c r="I363" s="154" t="str">
        <f aca="false">Scoring!BA369</f>
        <v/>
      </c>
    </row>
    <row r="364" customFormat="false" ht="15.75" hidden="false" customHeight="false" outlineLevel="0" collapsed="false">
      <c r="A364" s="152" t="str">
        <f aca="false">Scoring!BD370</f>
        <v/>
      </c>
      <c r="B364" s="152" t="str">
        <f aca="false">Scoring!BC370</f>
        <v/>
      </c>
      <c r="C364" s="152" t="n">
        <f aca="false">Scoring!C370</f>
        <v>0</v>
      </c>
      <c r="D364" s="153" t="str">
        <f aca="false">Scoring!AZ370</f>
        <v/>
      </c>
      <c r="E364" s="152" t="str">
        <f aca="false">Scoring!AF370</f>
        <v/>
      </c>
      <c r="F364" s="152" t="n">
        <f aca="false">Scoring!B370</f>
        <v>0</v>
      </c>
      <c r="G364" s="152" t="n">
        <f aca="false">Scoring!D370</f>
        <v>0</v>
      </c>
      <c r="H364" s="152" t="str">
        <f aca="false">Scoring!BB370</f>
        <v/>
      </c>
      <c r="I364" s="154" t="str">
        <f aca="false">Scoring!BA370</f>
        <v/>
      </c>
    </row>
    <row r="365" customFormat="false" ht="15.75" hidden="false" customHeight="false" outlineLevel="0" collapsed="false">
      <c r="A365" s="152" t="str">
        <f aca="false">Scoring!BD371</f>
        <v/>
      </c>
      <c r="B365" s="152" t="str">
        <f aca="false">Scoring!BC371</f>
        <v/>
      </c>
      <c r="C365" s="152" t="n">
        <f aca="false">Scoring!C371</f>
        <v>0</v>
      </c>
      <c r="D365" s="153" t="str">
        <f aca="false">Scoring!AZ371</f>
        <v/>
      </c>
      <c r="E365" s="152" t="str">
        <f aca="false">Scoring!AF371</f>
        <v/>
      </c>
      <c r="F365" s="152" t="n">
        <f aca="false">Scoring!B371</f>
        <v>0</v>
      </c>
      <c r="G365" s="152" t="n">
        <f aca="false">Scoring!D371</f>
        <v>0</v>
      </c>
      <c r="H365" s="152" t="str">
        <f aca="false">Scoring!BB371</f>
        <v/>
      </c>
      <c r="I365" s="154" t="str">
        <f aca="false">Scoring!BA371</f>
        <v/>
      </c>
    </row>
    <row r="366" customFormat="false" ht="15.75" hidden="false" customHeight="false" outlineLevel="0" collapsed="false">
      <c r="A366" s="152" t="str">
        <f aca="false">Scoring!BD372</f>
        <v/>
      </c>
      <c r="B366" s="152" t="str">
        <f aca="false">Scoring!BC372</f>
        <v/>
      </c>
      <c r="C366" s="152" t="n">
        <f aca="false">Scoring!C372</f>
        <v>0</v>
      </c>
      <c r="D366" s="153" t="str">
        <f aca="false">Scoring!AZ372</f>
        <v/>
      </c>
      <c r="E366" s="152" t="str">
        <f aca="false">Scoring!AF372</f>
        <v/>
      </c>
      <c r="F366" s="152" t="n">
        <f aca="false">Scoring!B372</f>
        <v>0</v>
      </c>
      <c r="G366" s="152" t="n">
        <f aca="false">Scoring!D372</f>
        <v>0</v>
      </c>
      <c r="H366" s="152" t="str">
        <f aca="false">Scoring!BB372</f>
        <v/>
      </c>
      <c r="I366" s="154" t="str">
        <f aca="false">Scoring!BA372</f>
        <v/>
      </c>
    </row>
    <row r="367" customFormat="false" ht="15.75" hidden="false" customHeight="false" outlineLevel="0" collapsed="false">
      <c r="A367" s="152" t="str">
        <f aca="false">Scoring!BD373</f>
        <v/>
      </c>
      <c r="B367" s="152" t="str">
        <f aca="false">Scoring!BC373</f>
        <v/>
      </c>
      <c r="C367" s="152" t="n">
        <f aca="false">Scoring!C373</f>
        <v>0</v>
      </c>
      <c r="D367" s="153" t="str">
        <f aca="false">Scoring!AZ373</f>
        <v/>
      </c>
      <c r="E367" s="152" t="str">
        <f aca="false">Scoring!AF373</f>
        <v/>
      </c>
      <c r="F367" s="152" t="n">
        <f aca="false">Scoring!B373</f>
        <v>0</v>
      </c>
      <c r="G367" s="152" t="n">
        <f aca="false">Scoring!D373</f>
        <v>0</v>
      </c>
      <c r="H367" s="152" t="str">
        <f aca="false">Scoring!BB373</f>
        <v/>
      </c>
      <c r="I367" s="154" t="str">
        <f aca="false">Scoring!BA373</f>
        <v/>
      </c>
    </row>
    <row r="368" customFormat="false" ht="15.75" hidden="false" customHeight="false" outlineLevel="0" collapsed="false">
      <c r="A368" s="152" t="str">
        <f aca="false">Scoring!BD374</f>
        <v/>
      </c>
      <c r="B368" s="152" t="str">
        <f aca="false">Scoring!BC374</f>
        <v/>
      </c>
      <c r="C368" s="152" t="n">
        <f aca="false">Scoring!C374</f>
        <v>0</v>
      </c>
      <c r="D368" s="153" t="str">
        <f aca="false">Scoring!AZ374</f>
        <v/>
      </c>
      <c r="E368" s="152" t="str">
        <f aca="false">Scoring!AF374</f>
        <v/>
      </c>
      <c r="F368" s="152" t="n">
        <f aca="false">Scoring!B374</f>
        <v>0</v>
      </c>
      <c r="G368" s="152" t="n">
        <f aca="false">Scoring!D374</f>
        <v>0</v>
      </c>
      <c r="H368" s="152" t="str">
        <f aca="false">Scoring!BB374</f>
        <v/>
      </c>
      <c r="I368" s="154" t="str">
        <f aca="false">Scoring!BA374</f>
        <v/>
      </c>
    </row>
    <row r="369" customFormat="false" ht="15.75" hidden="false" customHeight="false" outlineLevel="0" collapsed="false">
      <c r="A369" s="152" t="str">
        <f aca="false">Scoring!BD375</f>
        <v/>
      </c>
      <c r="B369" s="152" t="str">
        <f aca="false">Scoring!BC375</f>
        <v/>
      </c>
      <c r="C369" s="152" t="n">
        <f aca="false">Scoring!C375</f>
        <v>0</v>
      </c>
      <c r="D369" s="153" t="str">
        <f aca="false">Scoring!AZ375</f>
        <v/>
      </c>
      <c r="E369" s="152" t="str">
        <f aca="false">Scoring!AF375</f>
        <v/>
      </c>
      <c r="F369" s="152" t="n">
        <f aca="false">Scoring!B375</f>
        <v>0</v>
      </c>
      <c r="G369" s="152" t="n">
        <f aca="false">Scoring!D375</f>
        <v>0</v>
      </c>
      <c r="H369" s="152" t="str">
        <f aca="false">Scoring!BB375</f>
        <v/>
      </c>
      <c r="I369" s="154" t="str">
        <f aca="false">Scoring!BA375</f>
        <v/>
      </c>
    </row>
    <row r="370" customFormat="false" ht="15.75" hidden="false" customHeight="false" outlineLevel="0" collapsed="false">
      <c r="A370" s="152" t="str">
        <f aca="false">Scoring!BD376</f>
        <v/>
      </c>
      <c r="B370" s="152" t="str">
        <f aca="false">Scoring!BC376</f>
        <v/>
      </c>
      <c r="C370" s="152" t="n">
        <f aca="false">Scoring!C376</f>
        <v>0</v>
      </c>
      <c r="D370" s="153" t="str">
        <f aca="false">Scoring!AZ376</f>
        <v/>
      </c>
      <c r="E370" s="152" t="str">
        <f aca="false">Scoring!AF376</f>
        <v/>
      </c>
      <c r="F370" s="152" t="n">
        <f aca="false">Scoring!B376</f>
        <v>0</v>
      </c>
      <c r="G370" s="152" t="n">
        <f aca="false">Scoring!D376</f>
        <v>0</v>
      </c>
      <c r="H370" s="152" t="str">
        <f aca="false">Scoring!BB376</f>
        <v/>
      </c>
      <c r="I370" s="154" t="str">
        <f aca="false">Scoring!BA376</f>
        <v/>
      </c>
    </row>
    <row r="371" customFormat="false" ht="15.75" hidden="false" customHeight="false" outlineLevel="0" collapsed="false">
      <c r="A371" s="152" t="str">
        <f aca="false">Scoring!BD377</f>
        <v/>
      </c>
      <c r="B371" s="152" t="str">
        <f aca="false">Scoring!BC377</f>
        <v/>
      </c>
      <c r="C371" s="152" t="n">
        <f aca="false">Scoring!C377</f>
        <v>0</v>
      </c>
      <c r="D371" s="153" t="str">
        <f aca="false">Scoring!AZ377</f>
        <v/>
      </c>
      <c r="E371" s="152" t="str">
        <f aca="false">Scoring!AF377</f>
        <v/>
      </c>
      <c r="F371" s="152" t="n">
        <f aca="false">Scoring!B377</f>
        <v>0</v>
      </c>
      <c r="G371" s="152" t="n">
        <f aca="false">Scoring!D377</f>
        <v>0</v>
      </c>
      <c r="H371" s="152" t="str">
        <f aca="false">Scoring!BB377</f>
        <v/>
      </c>
      <c r="I371" s="154" t="str">
        <f aca="false">Scoring!BA377</f>
        <v/>
      </c>
    </row>
    <row r="372" customFormat="false" ht="15.75" hidden="false" customHeight="false" outlineLevel="0" collapsed="false">
      <c r="A372" s="152" t="str">
        <f aca="false">Scoring!BD378</f>
        <v/>
      </c>
      <c r="B372" s="152" t="str">
        <f aca="false">Scoring!BC378</f>
        <v/>
      </c>
      <c r="C372" s="152" t="n">
        <f aca="false">Scoring!C378</f>
        <v>0</v>
      </c>
      <c r="D372" s="153" t="str">
        <f aca="false">Scoring!AZ378</f>
        <v/>
      </c>
      <c r="E372" s="152" t="str">
        <f aca="false">Scoring!AF378</f>
        <v/>
      </c>
      <c r="F372" s="152" t="n">
        <f aca="false">Scoring!B378</f>
        <v>0</v>
      </c>
      <c r="G372" s="152" t="n">
        <f aca="false">Scoring!D378</f>
        <v>0</v>
      </c>
      <c r="H372" s="152" t="str">
        <f aca="false">Scoring!BB378</f>
        <v/>
      </c>
      <c r="I372" s="154" t="str">
        <f aca="false">Scoring!BA378</f>
        <v/>
      </c>
    </row>
    <row r="373" customFormat="false" ht="15.75" hidden="false" customHeight="false" outlineLevel="0" collapsed="false">
      <c r="A373" s="152" t="str">
        <f aca="false">Scoring!BD379</f>
        <v/>
      </c>
      <c r="B373" s="152" t="str">
        <f aca="false">Scoring!BC379</f>
        <v/>
      </c>
      <c r="C373" s="152" t="n">
        <f aca="false">Scoring!C379</f>
        <v>0</v>
      </c>
      <c r="D373" s="153" t="str">
        <f aca="false">Scoring!AZ379</f>
        <v/>
      </c>
      <c r="E373" s="152" t="str">
        <f aca="false">Scoring!AF379</f>
        <v/>
      </c>
      <c r="F373" s="152" t="n">
        <f aca="false">Scoring!B379</f>
        <v>0</v>
      </c>
      <c r="G373" s="152" t="n">
        <f aca="false">Scoring!D379</f>
        <v>0</v>
      </c>
      <c r="H373" s="152" t="str">
        <f aca="false">Scoring!BB379</f>
        <v/>
      </c>
      <c r="I373" s="154" t="str">
        <f aca="false">Scoring!BA379</f>
        <v/>
      </c>
    </row>
    <row r="374" customFormat="false" ht="15.75" hidden="false" customHeight="false" outlineLevel="0" collapsed="false">
      <c r="A374" s="152" t="str">
        <f aca="false">Scoring!BD380</f>
        <v/>
      </c>
      <c r="B374" s="152" t="str">
        <f aca="false">Scoring!BC380</f>
        <v/>
      </c>
      <c r="C374" s="152" t="n">
        <f aca="false">Scoring!C380</f>
        <v>0</v>
      </c>
      <c r="D374" s="153" t="str">
        <f aca="false">Scoring!AZ380</f>
        <v/>
      </c>
      <c r="E374" s="152" t="str">
        <f aca="false">Scoring!AF380</f>
        <v/>
      </c>
      <c r="F374" s="152" t="n">
        <f aca="false">Scoring!B380</f>
        <v>0</v>
      </c>
      <c r="G374" s="152" t="n">
        <f aca="false">Scoring!D380</f>
        <v>0</v>
      </c>
      <c r="H374" s="152" t="str">
        <f aca="false">Scoring!BB380</f>
        <v/>
      </c>
      <c r="I374" s="154" t="str">
        <f aca="false">Scoring!BA380</f>
        <v/>
      </c>
    </row>
    <row r="375" customFormat="false" ht="15.75" hidden="false" customHeight="false" outlineLevel="0" collapsed="false">
      <c r="A375" s="152" t="str">
        <f aca="false">Scoring!BD381</f>
        <v/>
      </c>
      <c r="B375" s="152" t="str">
        <f aca="false">Scoring!BC381</f>
        <v/>
      </c>
      <c r="C375" s="152" t="n">
        <f aca="false">Scoring!C381</f>
        <v>0</v>
      </c>
      <c r="D375" s="153" t="str">
        <f aca="false">Scoring!AZ381</f>
        <v/>
      </c>
      <c r="E375" s="152" t="str">
        <f aca="false">Scoring!AF381</f>
        <v/>
      </c>
      <c r="F375" s="152" t="n">
        <f aca="false">Scoring!B381</f>
        <v>0</v>
      </c>
      <c r="G375" s="152" t="n">
        <f aca="false">Scoring!D381</f>
        <v>0</v>
      </c>
      <c r="H375" s="152" t="str">
        <f aca="false">Scoring!BB381</f>
        <v/>
      </c>
      <c r="I375" s="154" t="str">
        <f aca="false">Scoring!BA381</f>
        <v/>
      </c>
    </row>
    <row r="376" customFormat="false" ht="15.75" hidden="false" customHeight="false" outlineLevel="0" collapsed="false">
      <c r="A376" s="152" t="str">
        <f aca="false">Scoring!BD382</f>
        <v/>
      </c>
      <c r="B376" s="152" t="str">
        <f aca="false">Scoring!BC382</f>
        <v/>
      </c>
      <c r="C376" s="152" t="n">
        <f aca="false">Scoring!C382</f>
        <v>0</v>
      </c>
      <c r="D376" s="153" t="str">
        <f aca="false">Scoring!AZ382</f>
        <v/>
      </c>
      <c r="E376" s="152" t="str">
        <f aca="false">Scoring!AF382</f>
        <v/>
      </c>
      <c r="F376" s="152" t="n">
        <f aca="false">Scoring!B382</f>
        <v>0</v>
      </c>
      <c r="G376" s="152" t="n">
        <f aca="false">Scoring!D382</f>
        <v>0</v>
      </c>
      <c r="H376" s="152" t="str">
        <f aca="false">Scoring!BB382</f>
        <v/>
      </c>
      <c r="I376" s="154" t="str">
        <f aca="false">Scoring!BA382</f>
        <v/>
      </c>
    </row>
    <row r="377" customFormat="false" ht="15.75" hidden="false" customHeight="false" outlineLevel="0" collapsed="false">
      <c r="A377" s="152" t="str">
        <f aca="false">Scoring!BD383</f>
        <v/>
      </c>
      <c r="B377" s="152" t="str">
        <f aca="false">Scoring!BC383</f>
        <v/>
      </c>
      <c r="C377" s="152" t="n">
        <f aca="false">Scoring!C383</f>
        <v>0</v>
      </c>
      <c r="D377" s="153" t="str">
        <f aca="false">Scoring!AZ383</f>
        <v/>
      </c>
      <c r="E377" s="152" t="str">
        <f aca="false">Scoring!AF383</f>
        <v/>
      </c>
      <c r="F377" s="152" t="n">
        <f aca="false">Scoring!B383</f>
        <v>0</v>
      </c>
      <c r="G377" s="152" t="n">
        <f aca="false">Scoring!D383</f>
        <v>0</v>
      </c>
      <c r="H377" s="152" t="str">
        <f aca="false">Scoring!BB383</f>
        <v/>
      </c>
      <c r="I377" s="154" t="str">
        <f aca="false">Scoring!BA383</f>
        <v/>
      </c>
    </row>
    <row r="378" customFormat="false" ht="15.75" hidden="false" customHeight="false" outlineLevel="0" collapsed="false">
      <c r="A378" s="152" t="str">
        <f aca="false">Scoring!BD384</f>
        <v/>
      </c>
      <c r="B378" s="152" t="str">
        <f aca="false">Scoring!BC384</f>
        <v/>
      </c>
      <c r="C378" s="152" t="n">
        <f aca="false">Scoring!C384</f>
        <v>0</v>
      </c>
      <c r="D378" s="153" t="str">
        <f aca="false">Scoring!AZ384</f>
        <v/>
      </c>
      <c r="E378" s="152" t="str">
        <f aca="false">Scoring!AF384</f>
        <v/>
      </c>
      <c r="F378" s="152" t="n">
        <f aca="false">Scoring!B384</f>
        <v>0</v>
      </c>
      <c r="G378" s="152" t="n">
        <f aca="false">Scoring!D384</f>
        <v>0</v>
      </c>
      <c r="H378" s="152" t="str">
        <f aca="false">Scoring!BB384</f>
        <v/>
      </c>
      <c r="I378" s="154" t="str">
        <f aca="false">Scoring!BA384</f>
        <v/>
      </c>
    </row>
    <row r="379" customFormat="false" ht="15.75" hidden="false" customHeight="false" outlineLevel="0" collapsed="false">
      <c r="A379" s="152" t="str">
        <f aca="false">Scoring!BD385</f>
        <v/>
      </c>
      <c r="B379" s="152" t="str">
        <f aca="false">Scoring!BC385</f>
        <v/>
      </c>
      <c r="C379" s="152" t="n">
        <f aca="false">Scoring!C385</f>
        <v>0</v>
      </c>
      <c r="D379" s="153" t="str">
        <f aca="false">Scoring!AZ385</f>
        <v/>
      </c>
      <c r="E379" s="152" t="str">
        <f aca="false">Scoring!AF385</f>
        <v/>
      </c>
      <c r="F379" s="152" t="n">
        <f aca="false">Scoring!B385</f>
        <v>0</v>
      </c>
      <c r="G379" s="152" t="n">
        <f aca="false">Scoring!D385</f>
        <v>0</v>
      </c>
      <c r="H379" s="152" t="str">
        <f aca="false">Scoring!BB385</f>
        <v/>
      </c>
      <c r="I379" s="154" t="str">
        <f aca="false">Scoring!BA385</f>
        <v/>
      </c>
    </row>
    <row r="380" customFormat="false" ht="15.75" hidden="false" customHeight="false" outlineLevel="0" collapsed="false">
      <c r="A380" s="152" t="str">
        <f aca="false">Scoring!BD386</f>
        <v/>
      </c>
      <c r="B380" s="152" t="str">
        <f aca="false">Scoring!BC386</f>
        <v/>
      </c>
      <c r="C380" s="152" t="n">
        <f aca="false">Scoring!C386</f>
        <v>0</v>
      </c>
      <c r="D380" s="153" t="str">
        <f aca="false">Scoring!AZ386</f>
        <v/>
      </c>
      <c r="E380" s="152" t="str">
        <f aca="false">Scoring!AF386</f>
        <v/>
      </c>
      <c r="F380" s="152" t="n">
        <f aca="false">Scoring!B386</f>
        <v>0</v>
      </c>
      <c r="G380" s="152" t="n">
        <f aca="false">Scoring!D386</f>
        <v>0</v>
      </c>
      <c r="H380" s="152" t="str">
        <f aca="false">Scoring!BB386</f>
        <v/>
      </c>
      <c r="I380" s="154" t="str">
        <f aca="false">Scoring!BA386</f>
        <v/>
      </c>
    </row>
    <row r="381" customFormat="false" ht="15.75" hidden="false" customHeight="false" outlineLevel="0" collapsed="false">
      <c r="A381" s="152" t="str">
        <f aca="false">Scoring!BD387</f>
        <v/>
      </c>
      <c r="B381" s="152" t="str">
        <f aca="false">Scoring!BC387</f>
        <v/>
      </c>
      <c r="C381" s="152" t="n">
        <f aca="false">Scoring!C387</f>
        <v>0</v>
      </c>
      <c r="D381" s="153" t="str">
        <f aca="false">Scoring!AZ387</f>
        <v/>
      </c>
      <c r="E381" s="152" t="str">
        <f aca="false">Scoring!AF387</f>
        <v/>
      </c>
      <c r="F381" s="152" t="n">
        <f aca="false">Scoring!B387</f>
        <v>0</v>
      </c>
      <c r="G381" s="152" t="n">
        <f aca="false">Scoring!D387</f>
        <v>0</v>
      </c>
      <c r="H381" s="152" t="str">
        <f aca="false">Scoring!BB387</f>
        <v/>
      </c>
      <c r="I381" s="154" t="str">
        <f aca="false">Scoring!BA387</f>
        <v/>
      </c>
    </row>
    <row r="382" customFormat="false" ht="15.75" hidden="false" customHeight="false" outlineLevel="0" collapsed="false">
      <c r="A382" s="152" t="str">
        <f aca="false">Scoring!BD388</f>
        <v/>
      </c>
      <c r="B382" s="152" t="str">
        <f aca="false">Scoring!BC388</f>
        <v/>
      </c>
      <c r="C382" s="152" t="n">
        <f aca="false">Scoring!C388</f>
        <v>0</v>
      </c>
      <c r="D382" s="153" t="str">
        <f aca="false">Scoring!AZ388</f>
        <v/>
      </c>
      <c r="E382" s="152" t="str">
        <f aca="false">Scoring!AF388</f>
        <v/>
      </c>
      <c r="F382" s="152" t="n">
        <f aca="false">Scoring!B388</f>
        <v>0</v>
      </c>
      <c r="G382" s="152" t="n">
        <f aca="false">Scoring!D388</f>
        <v>0</v>
      </c>
      <c r="H382" s="152" t="str">
        <f aca="false">Scoring!BB388</f>
        <v/>
      </c>
      <c r="I382" s="154" t="str">
        <f aca="false">Scoring!BA388</f>
        <v/>
      </c>
    </row>
    <row r="383" customFormat="false" ht="15.75" hidden="false" customHeight="false" outlineLevel="0" collapsed="false">
      <c r="A383" s="152" t="str">
        <f aca="false">Scoring!BD389</f>
        <v/>
      </c>
      <c r="B383" s="152" t="str">
        <f aca="false">Scoring!BC389</f>
        <v/>
      </c>
      <c r="C383" s="152" t="n">
        <f aca="false">Scoring!C389</f>
        <v>0</v>
      </c>
      <c r="D383" s="153" t="str">
        <f aca="false">Scoring!AZ389</f>
        <v/>
      </c>
      <c r="E383" s="152" t="str">
        <f aca="false">Scoring!AF389</f>
        <v/>
      </c>
      <c r="F383" s="152" t="n">
        <f aca="false">Scoring!B389</f>
        <v>0</v>
      </c>
      <c r="G383" s="152" t="n">
        <f aca="false">Scoring!D389</f>
        <v>0</v>
      </c>
      <c r="H383" s="152" t="str">
        <f aca="false">Scoring!BB389</f>
        <v/>
      </c>
      <c r="I383" s="154" t="str">
        <f aca="false">Scoring!BA389</f>
        <v/>
      </c>
    </row>
    <row r="384" customFormat="false" ht="15.75" hidden="false" customHeight="false" outlineLevel="0" collapsed="false">
      <c r="A384" s="152" t="str">
        <f aca="false">Scoring!BD390</f>
        <v/>
      </c>
      <c r="B384" s="152" t="str">
        <f aca="false">Scoring!BC390</f>
        <v/>
      </c>
      <c r="C384" s="152" t="n">
        <f aca="false">Scoring!C390</f>
        <v>0</v>
      </c>
      <c r="D384" s="153" t="str">
        <f aca="false">Scoring!AZ390</f>
        <v/>
      </c>
      <c r="E384" s="152" t="str">
        <f aca="false">Scoring!AF390</f>
        <v/>
      </c>
      <c r="F384" s="152" t="n">
        <f aca="false">Scoring!B390</f>
        <v>0</v>
      </c>
      <c r="G384" s="152" t="n">
        <f aca="false">Scoring!D390</f>
        <v>0</v>
      </c>
      <c r="H384" s="152" t="str">
        <f aca="false">Scoring!BB390</f>
        <v/>
      </c>
      <c r="I384" s="154" t="str">
        <f aca="false">Scoring!BA390</f>
        <v/>
      </c>
    </row>
    <row r="385" customFormat="false" ht="15.75" hidden="false" customHeight="false" outlineLevel="0" collapsed="false">
      <c r="A385" s="152" t="str">
        <f aca="false">Scoring!BD391</f>
        <v/>
      </c>
      <c r="B385" s="152" t="str">
        <f aca="false">Scoring!BC391</f>
        <v/>
      </c>
      <c r="C385" s="152" t="n">
        <f aca="false">Scoring!C391</f>
        <v>0</v>
      </c>
      <c r="D385" s="153" t="str">
        <f aca="false">Scoring!AZ391</f>
        <v/>
      </c>
      <c r="E385" s="152" t="str">
        <f aca="false">Scoring!AF391</f>
        <v/>
      </c>
      <c r="F385" s="152" t="n">
        <f aca="false">Scoring!B391</f>
        <v>0</v>
      </c>
      <c r="G385" s="152" t="n">
        <f aca="false">Scoring!D391</f>
        <v>0</v>
      </c>
      <c r="H385" s="152" t="str">
        <f aca="false">Scoring!BB391</f>
        <v/>
      </c>
      <c r="I385" s="154" t="str">
        <f aca="false">Scoring!BA391</f>
        <v/>
      </c>
    </row>
    <row r="386" customFormat="false" ht="15.75" hidden="false" customHeight="false" outlineLevel="0" collapsed="false">
      <c r="A386" s="152" t="str">
        <f aca="false">Scoring!BD392</f>
        <v/>
      </c>
      <c r="B386" s="152" t="str">
        <f aca="false">Scoring!BC392</f>
        <v/>
      </c>
      <c r="C386" s="152" t="n">
        <f aca="false">Scoring!C392</f>
        <v>0</v>
      </c>
      <c r="D386" s="153" t="str">
        <f aca="false">Scoring!AZ392</f>
        <v/>
      </c>
      <c r="E386" s="152" t="str">
        <f aca="false">Scoring!AF392</f>
        <v/>
      </c>
      <c r="F386" s="152" t="n">
        <f aca="false">Scoring!B392</f>
        <v>0</v>
      </c>
      <c r="G386" s="152" t="n">
        <f aca="false">Scoring!D392</f>
        <v>0</v>
      </c>
      <c r="H386" s="152" t="str">
        <f aca="false">Scoring!BB392</f>
        <v/>
      </c>
      <c r="I386" s="154" t="str">
        <f aca="false">Scoring!BA392</f>
        <v/>
      </c>
    </row>
    <row r="387" customFormat="false" ht="15.75" hidden="false" customHeight="false" outlineLevel="0" collapsed="false">
      <c r="A387" s="152" t="str">
        <f aca="false">Scoring!BD393</f>
        <v/>
      </c>
      <c r="B387" s="152" t="str">
        <f aca="false">Scoring!BC393</f>
        <v/>
      </c>
      <c r="C387" s="152" t="n">
        <f aca="false">Scoring!C393</f>
        <v>0</v>
      </c>
      <c r="D387" s="153" t="str">
        <f aca="false">Scoring!AZ393</f>
        <v/>
      </c>
      <c r="E387" s="152" t="str">
        <f aca="false">Scoring!AF393</f>
        <v/>
      </c>
      <c r="F387" s="152" t="n">
        <f aca="false">Scoring!B393</f>
        <v>0</v>
      </c>
      <c r="G387" s="152" t="n">
        <f aca="false">Scoring!D393</f>
        <v>0</v>
      </c>
      <c r="H387" s="152" t="str">
        <f aca="false">Scoring!BB393</f>
        <v/>
      </c>
      <c r="I387" s="154" t="str">
        <f aca="false">Scoring!BA393</f>
        <v/>
      </c>
    </row>
    <row r="388" customFormat="false" ht="15.75" hidden="false" customHeight="false" outlineLevel="0" collapsed="false">
      <c r="A388" s="152" t="str">
        <f aca="false">Scoring!BD394</f>
        <v/>
      </c>
      <c r="B388" s="152" t="str">
        <f aca="false">Scoring!BC394</f>
        <v/>
      </c>
      <c r="C388" s="152" t="n">
        <f aca="false">Scoring!C394</f>
        <v>0</v>
      </c>
      <c r="D388" s="153" t="str">
        <f aca="false">Scoring!AZ394</f>
        <v/>
      </c>
      <c r="E388" s="152" t="str">
        <f aca="false">Scoring!AF394</f>
        <v/>
      </c>
      <c r="F388" s="152" t="n">
        <f aca="false">Scoring!B394</f>
        <v>0</v>
      </c>
      <c r="G388" s="152" t="n">
        <f aca="false">Scoring!D394</f>
        <v>0</v>
      </c>
      <c r="H388" s="152" t="str">
        <f aca="false">Scoring!BB394</f>
        <v/>
      </c>
      <c r="I388" s="154" t="str">
        <f aca="false">Scoring!BA394</f>
        <v/>
      </c>
    </row>
    <row r="389" customFormat="false" ht="15.75" hidden="false" customHeight="false" outlineLevel="0" collapsed="false">
      <c r="A389" s="152" t="str">
        <f aca="false">Scoring!BD395</f>
        <v/>
      </c>
      <c r="B389" s="152" t="str">
        <f aca="false">Scoring!BC395</f>
        <v/>
      </c>
      <c r="C389" s="152" t="n">
        <f aca="false">Scoring!C395</f>
        <v>0</v>
      </c>
      <c r="D389" s="153" t="str">
        <f aca="false">Scoring!AZ395</f>
        <v/>
      </c>
      <c r="E389" s="152" t="str">
        <f aca="false">Scoring!AF395</f>
        <v/>
      </c>
      <c r="F389" s="152" t="n">
        <f aca="false">Scoring!B395</f>
        <v>0</v>
      </c>
      <c r="G389" s="152" t="n">
        <f aca="false">Scoring!D395</f>
        <v>0</v>
      </c>
      <c r="H389" s="152" t="str">
        <f aca="false">Scoring!BB395</f>
        <v/>
      </c>
      <c r="I389" s="154" t="str">
        <f aca="false">Scoring!BA395</f>
        <v/>
      </c>
    </row>
    <row r="390" customFormat="false" ht="15.75" hidden="false" customHeight="false" outlineLevel="0" collapsed="false">
      <c r="A390" s="152" t="str">
        <f aca="false">Scoring!BD396</f>
        <v/>
      </c>
      <c r="B390" s="152" t="str">
        <f aca="false">Scoring!BC396</f>
        <v/>
      </c>
      <c r="C390" s="152" t="n">
        <f aca="false">Scoring!C396</f>
        <v>0</v>
      </c>
      <c r="D390" s="153" t="str">
        <f aca="false">Scoring!AZ396</f>
        <v/>
      </c>
      <c r="E390" s="152" t="str">
        <f aca="false">Scoring!AF396</f>
        <v/>
      </c>
      <c r="F390" s="152" t="n">
        <f aca="false">Scoring!B396</f>
        <v>0</v>
      </c>
      <c r="G390" s="152" t="n">
        <f aca="false">Scoring!D396</f>
        <v>0</v>
      </c>
      <c r="H390" s="152" t="str">
        <f aca="false">Scoring!BB396</f>
        <v/>
      </c>
      <c r="I390" s="154" t="str">
        <f aca="false">Scoring!BA396</f>
        <v/>
      </c>
    </row>
    <row r="391" customFormat="false" ht="15.75" hidden="false" customHeight="false" outlineLevel="0" collapsed="false">
      <c r="A391" s="152" t="str">
        <f aca="false">Scoring!BD397</f>
        <v/>
      </c>
      <c r="B391" s="152" t="str">
        <f aca="false">Scoring!BC397</f>
        <v/>
      </c>
      <c r="C391" s="152" t="n">
        <f aca="false">Scoring!C397</f>
        <v>0</v>
      </c>
      <c r="D391" s="153" t="str">
        <f aca="false">Scoring!AZ397</f>
        <v/>
      </c>
      <c r="E391" s="152" t="str">
        <f aca="false">Scoring!AF397</f>
        <v/>
      </c>
      <c r="F391" s="152" t="n">
        <f aca="false">Scoring!B397</f>
        <v>0</v>
      </c>
      <c r="G391" s="152" t="n">
        <f aca="false">Scoring!D397</f>
        <v>0</v>
      </c>
      <c r="H391" s="152" t="str">
        <f aca="false">Scoring!BB397</f>
        <v/>
      </c>
      <c r="I391" s="154" t="str">
        <f aca="false">Scoring!BA397</f>
        <v/>
      </c>
    </row>
    <row r="392" customFormat="false" ht="15.75" hidden="false" customHeight="false" outlineLevel="0" collapsed="false">
      <c r="A392" s="152" t="str">
        <f aca="false">Scoring!BD398</f>
        <v/>
      </c>
      <c r="B392" s="152" t="str">
        <f aca="false">Scoring!BC398</f>
        <v/>
      </c>
      <c r="C392" s="152" t="n">
        <f aca="false">Scoring!C398</f>
        <v>0</v>
      </c>
      <c r="D392" s="153" t="str">
        <f aca="false">Scoring!AZ398</f>
        <v/>
      </c>
      <c r="E392" s="152" t="str">
        <f aca="false">Scoring!AF398</f>
        <v/>
      </c>
      <c r="F392" s="152" t="n">
        <f aca="false">Scoring!B398</f>
        <v>0</v>
      </c>
      <c r="G392" s="152" t="n">
        <f aca="false">Scoring!D398</f>
        <v>0</v>
      </c>
      <c r="H392" s="152" t="str">
        <f aca="false">Scoring!BB398</f>
        <v/>
      </c>
      <c r="I392" s="154" t="str">
        <f aca="false">Scoring!BA398</f>
        <v/>
      </c>
    </row>
    <row r="393" customFormat="false" ht="15.75" hidden="false" customHeight="false" outlineLevel="0" collapsed="false">
      <c r="A393" s="152" t="str">
        <f aca="false">Scoring!BD399</f>
        <v/>
      </c>
      <c r="B393" s="152" t="str">
        <f aca="false">Scoring!BC399</f>
        <v/>
      </c>
      <c r="C393" s="152" t="n">
        <f aca="false">Scoring!C399</f>
        <v>0</v>
      </c>
      <c r="D393" s="153" t="str">
        <f aca="false">Scoring!AZ399</f>
        <v/>
      </c>
      <c r="E393" s="152" t="str">
        <f aca="false">Scoring!AF399</f>
        <v/>
      </c>
      <c r="F393" s="152" t="n">
        <f aca="false">Scoring!B399</f>
        <v>0</v>
      </c>
      <c r="G393" s="152" t="n">
        <f aca="false">Scoring!D399</f>
        <v>0</v>
      </c>
      <c r="H393" s="152" t="str">
        <f aca="false">Scoring!BB399</f>
        <v/>
      </c>
      <c r="I393" s="154" t="str">
        <f aca="false">Scoring!BA399</f>
        <v/>
      </c>
    </row>
    <row r="394" customFormat="false" ht="15.75" hidden="false" customHeight="false" outlineLevel="0" collapsed="false">
      <c r="A394" s="152" t="str">
        <f aca="false">Scoring!BD400</f>
        <v/>
      </c>
      <c r="B394" s="152" t="str">
        <f aca="false">Scoring!BC400</f>
        <v/>
      </c>
      <c r="C394" s="152" t="n">
        <f aca="false">Scoring!C400</f>
        <v>0</v>
      </c>
      <c r="D394" s="153" t="str">
        <f aca="false">Scoring!AZ400</f>
        <v/>
      </c>
      <c r="E394" s="152" t="str">
        <f aca="false">Scoring!AF400</f>
        <v/>
      </c>
      <c r="F394" s="152" t="n">
        <f aca="false">Scoring!B400</f>
        <v>0</v>
      </c>
      <c r="G394" s="152" t="n">
        <f aca="false">Scoring!D400</f>
        <v>0</v>
      </c>
      <c r="H394" s="152" t="str">
        <f aca="false">Scoring!BB400</f>
        <v/>
      </c>
      <c r="I394" s="154" t="str">
        <f aca="false">Scoring!BA400</f>
        <v/>
      </c>
    </row>
    <row r="395" customFormat="false" ht="15.75" hidden="false" customHeight="false" outlineLevel="0" collapsed="false">
      <c r="A395" s="152" t="str">
        <f aca="false">Scoring!BD401</f>
        <v/>
      </c>
      <c r="B395" s="152" t="str">
        <f aca="false">Scoring!BC401</f>
        <v/>
      </c>
      <c r="C395" s="152" t="n">
        <f aca="false">Scoring!C401</f>
        <v>0</v>
      </c>
      <c r="D395" s="153" t="str">
        <f aca="false">Scoring!AZ401</f>
        <v/>
      </c>
      <c r="E395" s="152" t="str">
        <f aca="false">Scoring!AF401</f>
        <v/>
      </c>
      <c r="F395" s="152" t="n">
        <f aca="false">Scoring!B401</f>
        <v>0</v>
      </c>
      <c r="G395" s="152" t="n">
        <f aca="false">Scoring!D401</f>
        <v>0</v>
      </c>
      <c r="H395" s="152" t="str">
        <f aca="false">Scoring!BB401</f>
        <v/>
      </c>
      <c r="I395" s="154" t="str">
        <f aca="false">Scoring!BA401</f>
        <v/>
      </c>
    </row>
    <row r="396" customFormat="false" ht="15.75" hidden="false" customHeight="false" outlineLevel="0" collapsed="false">
      <c r="A396" s="152" t="str">
        <f aca="false">Scoring!BD402</f>
        <v/>
      </c>
      <c r="B396" s="152" t="str">
        <f aca="false">Scoring!BC402</f>
        <v/>
      </c>
      <c r="C396" s="152" t="n">
        <f aca="false">Scoring!C402</f>
        <v>0</v>
      </c>
      <c r="D396" s="153" t="str">
        <f aca="false">Scoring!AZ402</f>
        <v/>
      </c>
      <c r="E396" s="152" t="str">
        <f aca="false">Scoring!AF402</f>
        <v/>
      </c>
      <c r="F396" s="152" t="n">
        <f aca="false">Scoring!B402</f>
        <v>0</v>
      </c>
      <c r="G396" s="152" t="n">
        <f aca="false">Scoring!D402</f>
        <v>0</v>
      </c>
      <c r="H396" s="152" t="str">
        <f aca="false">Scoring!BB402</f>
        <v/>
      </c>
      <c r="I396" s="154" t="str">
        <f aca="false">Scoring!BA402</f>
        <v/>
      </c>
    </row>
    <row r="397" customFormat="false" ht="15.75" hidden="false" customHeight="false" outlineLevel="0" collapsed="false">
      <c r="A397" s="152" t="str">
        <f aca="false">Scoring!BD403</f>
        <v/>
      </c>
      <c r="B397" s="152" t="str">
        <f aca="false">Scoring!BC403</f>
        <v/>
      </c>
      <c r="C397" s="152" t="n">
        <f aca="false">Scoring!C403</f>
        <v>0</v>
      </c>
      <c r="D397" s="153" t="str">
        <f aca="false">Scoring!AZ403</f>
        <v/>
      </c>
      <c r="E397" s="152" t="str">
        <f aca="false">Scoring!AF403</f>
        <v/>
      </c>
      <c r="F397" s="152" t="n">
        <f aca="false">Scoring!B403</f>
        <v>0</v>
      </c>
      <c r="G397" s="152" t="n">
        <f aca="false">Scoring!D403</f>
        <v>0</v>
      </c>
      <c r="H397" s="152" t="str">
        <f aca="false">Scoring!BB403</f>
        <v/>
      </c>
      <c r="I397" s="154" t="str">
        <f aca="false">Scoring!BA403</f>
        <v/>
      </c>
    </row>
    <row r="398" customFormat="false" ht="15.75" hidden="false" customHeight="false" outlineLevel="0" collapsed="false">
      <c r="A398" s="152" t="str">
        <f aca="false">Scoring!BD404</f>
        <v/>
      </c>
      <c r="B398" s="152" t="str">
        <f aca="false">Scoring!BC404</f>
        <v/>
      </c>
      <c r="C398" s="152" t="n">
        <f aca="false">Scoring!C404</f>
        <v>0</v>
      </c>
      <c r="D398" s="153" t="str">
        <f aca="false">Scoring!AZ404</f>
        <v/>
      </c>
      <c r="E398" s="152" t="str">
        <f aca="false">Scoring!AF404</f>
        <v/>
      </c>
      <c r="F398" s="152" t="n">
        <f aca="false">Scoring!B404</f>
        <v>0</v>
      </c>
      <c r="G398" s="152" t="n">
        <f aca="false">Scoring!D404</f>
        <v>0</v>
      </c>
      <c r="H398" s="152" t="str">
        <f aca="false">Scoring!BB404</f>
        <v/>
      </c>
      <c r="I398" s="154" t="str">
        <f aca="false">Scoring!BA404</f>
        <v/>
      </c>
    </row>
    <row r="399" customFormat="false" ht="15.75" hidden="false" customHeight="false" outlineLevel="0" collapsed="false">
      <c r="A399" s="152" t="str">
        <f aca="false">Scoring!BD405</f>
        <v/>
      </c>
      <c r="B399" s="152" t="str">
        <f aca="false">Scoring!BC405</f>
        <v/>
      </c>
      <c r="C399" s="152" t="n">
        <f aca="false">Scoring!C405</f>
        <v>0</v>
      </c>
      <c r="D399" s="153" t="str">
        <f aca="false">Scoring!AZ405</f>
        <v/>
      </c>
      <c r="E399" s="152" t="str">
        <f aca="false">Scoring!AF405</f>
        <v/>
      </c>
      <c r="F399" s="152" t="n">
        <f aca="false">Scoring!B405</f>
        <v>0</v>
      </c>
      <c r="G399" s="152" t="n">
        <f aca="false">Scoring!D405</f>
        <v>0</v>
      </c>
      <c r="H399" s="152" t="str">
        <f aca="false">Scoring!BB405</f>
        <v/>
      </c>
      <c r="I399" s="154" t="str">
        <f aca="false">Scoring!BA405</f>
        <v/>
      </c>
    </row>
    <row r="400" customFormat="false" ht="15.75" hidden="false" customHeight="false" outlineLevel="0" collapsed="false">
      <c r="A400" s="152" t="str">
        <f aca="false">Scoring!BD406</f>
        <v/>
      </c>
      <c r="B400" s="152" t="str">
        <f aca="false">Scoring!BC406</f>
        <v/>
      </c>
      <c r="C400" s="152" t="n">
        <f aca="false">Scoring!C406</f>
        <v>0</v>
      </c>
      <c r="D400" s="153" t="str">
        <f aca="false">Scoring!AZ406</f>
        <v/>
      </c>
      <c r="E400" s="152" t="str">
        <f aca="false">Scoring!AF406</f>
        <v/>
      </c>
      <c r="F400" s="152" t="n">
        <f aca="false">Scoring!B406</f>
        <v>0</v>
      </c>
      <c r="G400" s="152" t="n">
        <f aca="false">Scoring!D406</f>
        <v>0</v>
      </c>
      <c r="H400" s="152" t="str">
        <f aca="false">Scoring!BB406</f>
        <v/>
      </c>
      <c r="I400" s="154" t="str">
        <f aca="false">Scoring!BA406</f>
        <v/>
      </c>
    </row>
    <row r="401" customFormat="false" ht="15.75" hidden="false" customHeight="false" outlineLevel="0" collapsed="false">
      <c r="A401" s="152" t="str">
        <f aca="false">Scoring!BD407</f>
        <v/>
      </c>
      <c r="B401" s="152" t="str">
        <f aca="false">Scoring!BC407</f>
        <v/>
      </c>
      <c r="C401" s="152" t="n">
        <f aca="false">Scoring!C407</f>
        <v>0</v>
      </c>
      <c r="D401" s="153" t="str">
        <f aca="false">Scoring!AZ407</f>
        <v/>
      </c>
      <c r="E401" s="152" t="str">
        <f aca="false">Scoring!AF407</f>
        <v/>
      </c>
      <c r="F401" s="152" t="n">
        <f aca="false">Scoring!B407</f>
        <v>0</v>
      </c>
      <c r="G401" s="152" t="n">
        <f aca="false">Scoring!D407</f>
        <v>0</v>
      </c>
      <c r="H401" s="152" t="str">
        <f aca="false">Scoring!BB407</f>
        <v/>
      </c>
      <c r="I401" s="154" t="str">
        <f aca="false">Scoring!BA407</f>
        <v/>
      </c>
    </row>
    <row r="402" customFormat="false" ht="15.75" hidden="false" customHeight="false" outlineLevel="0" collapsed="false">
      <c r="A402" s="152" t="str">
        <f aca="false">Scoring!BD408</f>
        <v/>
      </c>
      <c r="B402" s="152" t="str">
        <f aca="false">Scoring!BC408</f>
        <v/>
      </c>
      <c r="C402" s="152" t="n">
        <f aca="false">Scoring!C408</f>
        <v>0</v>
      </c>
      <c r="D402" s="153" t="str">
        <f aca="false">Scoring!AZ408</f>
        <v/>
      </c>
      <c r="E402" s="152" t="str">
        <f aca="false">Scoring!AF408</f>
        <v/>
      </c>
      <c r="F402" s="152" t="n">
        <f aca="false">Scoring!B408</f>
        <v>0</v>
      </c>
      <c r="G402" s="152" t="n">
        <f aca="false">Scoring!D408</f>
        <v>0</v>
      </c>
      <c r="H402" s="152" t="str">
        <f aca="false">Scoring!BB408</f>
        <v/>
      </c>
      <c r="I402" s="154" t="str">
        <f aca="false">Scoring!BA408</f>
        <v/>
      </c>
    </row>
    <row r="403" customFormat="false" ht="15.75" hidden="false" customHeight="false" outlineLevel="0" collapsed="false">
      <c r="A403" s="152" t="str">
        <f aca="false">Scoring!BD409</f>
        <v/>
      </c>
      <c r="B403" s="152" t="str">
        <f aca="false">Scoring!BC409</f>
        <v/>
      </c>
      <c r="C403" s="152" t="n">
        <f aca="false">Scoring!C409</f>
        <v>0</v>
      </c>
      <c r="D403" s="153" t="str">
        <f aca="false">Scoring!AZ409</f>
        <v/>
      </c>
      <c r="E403" s="152" t="str">
        <f aca="false">Scoring!AF409</f>
        <v/>
      </c>
      <c r="F403" s="152" t="n">
        <f aca="false">Scoring!B409</f>
        <v>0</v>
      </c>
      <c r="G403" s="152" t="n">
        <f aca="false">Scoring!D409</f>
        <v>0</v>
      </c>
      <c r="H403" s="152" t="str">
        <f aca="false">Scoring!BB409</f>
        <v/>
      </c>
      <c r="I403" s="154" t="str">
        <f aca="false">Scoring!BA409</f>
        <v/>
      </c>
    </row>
    <row r="404" customFormat="false" ht="15.75" hidden="false" customHeight="false" outlineLevel="0" collapsed="false">
      <c r="A404" s="152" t="str">
        <f aca="false">Scoring!BD410</f>
        <v/>
      </c>
      <c r="B404" s="152" t="str">
        <f aca="false">Scoring!BC410</f>
        <v/>
      </c>
      <c r="C404" s="152" t="n">
        <f aca="false">Scoring!C410</f>
        <v>0</v>
      </c>
      <c r="D404" s="153" t="str">
        <f aca="false">Scoring!AZ410</f>
        <v/>
      </c>
      <c r="E404" s="152" t="str">
        <f aca="false">Scoring!AF410</f>
        <v/>
      </c>
      <c r="F404" s="152" t="n">
        <f aca="false">Scoring!B410</f>
        <v>0</v>
      </c>
      <c r="G404" s="152" t="n">
        <f aca="false">Scoring!D410</f>
        <v>0</v>
      </c>
      <c r="H404" s="152" t="str">
        <f aca="false">Scoring!BB410</f>
        <v/>
      </c>
      <c r="I404" s="154" t="str">
        <f aca="false">Scoring!BA410</f>
        <v/>
      </c>
    </row>
    <row r="405" customFormat="false" ht="15.75" hidden="false" customHeight="false" outlineLevel="0" collapsed="false">
      <c r="A405" s="152" t="str">
        <f aca="false">Scoring!BD411</f>
        <v/>
      </c>
      <c r="B405" s="152" t="str">
        <f aca="false">Scoring!BC411</f>
        <v/>
      </c>
      <c r="C405" s="152" t="n">
        <f aca="false">Scoring!C411</f>
        <v>0</v>
      </c>
      <c r="D405" s="153" t="str">
        <f aca="false">Scoring!AZ411</f>
        <v/>
      </c>
      <c r="E405" s="152" t="str">
        <f aca="false">Scoring!AF411</f>
        <v/>
      </c>
      <c r="F405" s="152" t="n">
        <f aca="false">Scoring!B411</f>
        <v>0</v>
      </c>
      <c r="G405" s="152" t="n">
        <f aca="false">Scoring!D411</f>
        <v>0</v>
      </c>
      <c r="H405" s="152" t="str">
        <f aca="false">Scoring!BB411</f>
        <v/>
      </c>
      <c r="I405" s="154" t="str">
        <f aca="false">Scoring!BA411</f>
        <v/>
      </c>
    </row>
    <row r="406" customFormat="false" ht="15.75" hidden="false" customHeight="false" outlineLevel="0" collapsed="false">
      <c r="A406" s="152" t="str">
        <f aca="false">Scoring!BD412</f>
        <v/>
      </c>
      <c r="B406" s="152" t="str">
        <f aca="false">Scoring!BC412</f>
        <v/>
      </c>
      <c r="C406" s="152" t="n">
        <f aca="false">Scoring!C412</f>
        <v>0</v>
      </c>
      <c r="D406" s="153" t="str">
        <f aca="false">Scoring!AZ412</f>
        <v/>
      </c>
      <c r="E406" s="152" t="str">
        <f aca="false">Scoring!AF412</f>
        <v/>
      </c>
      <c r="F406" s="152" t="n">
        <f aca="false">Scoring!B412</f>
        <v>0</v>
      </c>
      <c r="G406" s="152" t="n">
        <f aca="false">Scoring!D412</f>
        <v>0</v>
      </c>
      <c r="H406" s="152" t="str">
        <f aca="false">Scoring!BB412</f>
        <v/>
      </c>
      <c r="I406" s="154" t="str">
        <f aca="false">Scoring!BA412</f>
        <v/>
      </c>
    </row>
    <row r="407" customFormat="false" ht="15.75" hidden="false" customHeight="false" outlineLevel="0" collapsed="false">
      <c r="A407" s="152" t="str">
        <f aca="false">Scoring!BD413</f>
        <v/>
      </c>
      <c r="B407" s="152" t="str">
        <f aca="false">Scoring!BC413</f>
        <v/>
      </c>
      <c r="C407" s="152" t="n">
        <f aca="false">Scoring!C413</f>
        <v>0</v>
      </c>
      <c r="D407" s="153" t="str">
        <f aca="false">Scoring!AZ413</f>
        <v/>
      </c>
      <c r="E407" s="152" t="str">
        <f aca="false">Scoring!AF413</f>
        <v/>
      </c>
      <c r="F407" s="152" t="n">
        <f aca="false">Scoring!B413</f>
        <v>0</v>
      </c>
      <c r="G407" s="152" t="n">
        <f aca="false">Scoring!D413</f>
        <v>0</v>
      </c>
      <c r="H407" s="152" t="str">
        <f aca="false">Scoring!BB413</f>
        <v/>
      </c>
      <c r="I407" s="154" t="str">
        <f aca="false">Scoring!BA413</f>
        <v/>
      </c>
    </row>
    <row r="408" customFormat="false" ht="15.75" hidden="false" customHeight="false" outlineLevel="0" collapsed="false">
      <c r="A408" s="152" t="str">
        <f aca="false">Scoring!BD414</f>
        <v/>
      </c>
      <c r="B408" s="152" t="str">
        <f aca="false">Scoring!BC414</f>
        <v/>
      </c>
      <c r="C408" s="152" t="n">
        <f aca="false">Scoring!C414</f>
        <v>0</v>
      </c>
      <c r="D408" s="153" t="str">
        <f aca="false">Scoring!AZ414</f>
        <v/>
      </c>
      <c r="E408" s="152" t="str">
        <f aca="false">Scoring!AF414</f>
        <v/>
      </c>
      <c r="F408" s="152" t="n">
        <f aca="false">Scoring!B414</f>
        <v>0</v>
      </c>
      <c r="G408" s="152" t="n">
        <f aca="false">Scoring!D414</f>
        <v>0</v>
      </c>
      <c r="H408" s="152" t="str">
        <f aca="false">Scoring!BB414</f>
        <v/>
      </c>
      <c r="I408" s="154" t="str">
        <f aca="false">Scoring!BA414</f>
        <v/>
      </c>
    </row>
    <row r="409" customFormat="false" ht="15.75" hidden="false" customHeight="false" outlineLevel="0" collapsed="false">
      <c r="A409" s="152" t="str">
        <f aca="false">Scoring!BD415</f>
        <v/>
      </c>
      <c r="B409" s="152" t="str">
        <f aca="false">Scoring!BC415</f>
        <v/>
      </c>
      <c r="C409" s="152" t="n">
        <f aca="false">Scoring!C415</f>
        <v>0</v>
      </c>
      <c r="D409" s="153" t="str">
        <f aca="false">Scoring!AZ415</f>
        <v/>
      </c>
      <c r="E409" s="152" t="str">
        <f aca="false">Scoring!AF415</f>
        <v/>
      </c>
      <c r="F409" s="152" t="n">
        <f aca="false">Scoring!B415</f>
        <v>0</v>
      </c>
      <c r="G409" s="152" t="n">
        <f aca="false">Scoring!D415</f>
        <v>0</v>
      </c>
      <c r="H409" s="152" t="str">
        <f aca="false">Scoring!BB415</f>
        <v/>
      </c>
      <c r="I409" s="154" t="str">
        <f aca="false">Scoring!BA415</f>
        <v/>
      </c>
    </row>
    <row r="410" customFormat="false" ht="15.75" hidden="false" customHeight="false" outlineLevel="0" collapsed="false">
      <c r="A410" s="152" t="str">
        <f aca="false">Scoring!BD416</f>
        <v/>
      </c>
      <c r="B410" s="152" t="str">
        <f aca="false">Scoring!BC416</f>
        <v/>
      </c>
      <c r="C410" s="152" t="n">
        <f aca="false">Scoring!C416</f>
        <v>0</v>
      </c>
      <c r="D410" s="153" t="str">
        <f aca="false">Scoring!AZ416</f>
        <v/>
      </c>
      <c r="E410" s="152" t="str">
        <f aca="false">Scoring!AF416</f>
        <v/>
      </c>
      <c r="F410" s="152" t="n">
        <f aca="false">Scoring!B416</f>
        <v>0</v>
      </c>
      <c r="G410" s="152" t="n">
        <f aca="false">Scoring!D416</f>
        <v>0</v>
      </c>
      <c r="H410" s="152" t="str">
        <f aca="false">Scoring!BB416</f>
        <v/>
      </c>
      <c r="I410" s="154" t="str">
        <f aca="false">Scoring!BA416</f>
        <v/>
      </c>
    </row>
    <row r="411" customFormat="false" ht="15.75" hidden="false" customHeight="false" outlineLevel="0" collapsed="false">
      <c r="A411" s="152" t="str">
        <f aca="false">Scoring!BD417</f>
        <v/>
      </c>
      <c r="B411" s="152" t="str">
        <f aca="false">Scoring!BC417</f>
        <v/>
      </c>
      <c r="C411" s="152" t="n">
        <f aca="false">Scoring!C417</f>
        <v>0</v>
      </c>
      <c r="D411" s="153" t="str">
        <f aca="false">Scoring!AZ417</f>
        <v/>
      </c>
      <c r="E411" s="152" t="str">
        <f aca="false">Scoring!AF417</f>
        <v/>
      </c>
      <c r="F411" s="152" t="n">
        <f aca="false">Scoring!B417</f>
        <v>0</v>
      </c>
      <c r="G411" s="152" t="n">
        <f aca="false">Scoring!D417</f>
        <v>0</v>
      </c>
      <c r="H411" s="152" t="str">
        <f aca="false">Scoring!BB417</f>
        <v/>
      </c>
      <c r="I411" s="154" t="str">
        <f aca="false">Scoring!BA417</f>
        <v/>
      </c>
    </row>
    <row r="412" customFormat="false" ht="15.75" hidden="false" customHeight="false" outlineLevel="0" collapsed="false">
      <c r="A412" s="152" t="str">
        <f aca="false">Scoring!BD418</f>
        <v/>
      </c>
      <c r="B412" s="152" t="str">
        <f aca="false">Scoring!BC418</f>
        <v/>
      </c>
      <c r="C412" s="152" t="n">
        <f aca="false">Scoring!C418</f>
        <v>0</v>
      </c>
      <c r="D412" s="153" t="str">
        <f aca="false">Scoring!AZ418</f>
        <v/>
      </c>
      <c r="E412" s="152" t="str">
        <f aca="false">Scoring!AF418</f>
        <v/>
      </c>
      <c r="F412" s="152" t="n">
        <f aca="false">Scoring!B418</f>
        <v>0</v>
      </c>
      <c r="G412" s="152" t="n">
        <f aca="false">Scoring!D418</f>
        <v>0</v>
      </c>
      <c r="H412" s="152" t="str">
        <f aca="false">Scoring!BB418</f>
        <v/>
      </c>
      <c r="I412" s="154" t="str">
        <f aca="false">Scoring!BA418</f>
        <v/>
      </c>
    </row>
    <row r="413" customFormat="false" ht="15.75" hidden="false" customHeight="false" outlineLevel="0" collapsed="false">
      <c r="A413" s="152" t="str">
        <f aca="false">Scoring!BD419</f>
        <v/>
      </c>
      <c r="B413" s="152" t="str">
        <f aca="false">Scoring!BC419</f>
        <v/>
      </c>
      <c r="C413" s="152" t="n">
        <f aca="false">Scoring!C419</f>
        <v>0</v>
      </c>
      <c r="D413" s="153" t="str">
        <f aca="false">Scoring!AZ419</f>
        <v/>
      </c>
      <c r="E413" s="152" t="str">
        <f aca="false">Scoring!AF419</f>
        <v/>
      </c>
      <c r="F413" s="152" t="n">
        <f aca="false">Scoring!B419</f>
        <v>0</v>
      </c>
      <c r="G413" s="152" t="n">
        <f aca="false">Scoring!D419</f>
        <v>0</v>
      </c>
      <c r="H413" s="152" t="str">
        <f aca="false">Scoring!BB419</f>
        <v/>
      </c>
      <c r="I413" s="154" t="str">
        <f aca="false">Scoring!BA419</f>
        <v/>
      </c>
    </row>
    <row r="414" customFormat="false" ht="15.75" hidden="false" customHeight="false" outlineLevel="0" collapsed="false">
      <c r="A414" s="152" t="str">
        <f aca="false">Scoring!BD420</f>
        <v/>
      </c>
      <c r="B414" s="152" t="str">
        <f aca="false">Scoring!BC420</f>
        <v/>
      </c>
      <c r="C414" s="152" t="n">
        <f aca="false">Scoring!C420</f>
        <v>0</v>
      </c>
      <c r="D414" s="153" t="str">
        <f aca="false">Scoring!AZ420</f>
        <v/>
      </c>
      <c r="E414" s="152" t="str">
        <f aca="false">Scoring!AF420</f>
        <v/>
      </c>
      <c r="F414" s="152" t="n">
        <f aca="false">Scoring!B420</f>
        <v>0</v>
      </c>
      <c r="G414" s="152" t="n">
        <f aca="false">Scoring!D420</f>
        <v>0</v>
      </c>
      <c r="H414" s="152" t="str">
        <f aca="false">Scoring!BB420</f>
        <v/>
      </c>
      <c r="I414" s="154" t="str">
        <f aca="false">Scoring!BA420</f>
        <v/>
      </c>
    </row>
    <row r="415" customFormat="false" ht="15.75" hidden="false" customHeight="false" outlineLevel="0" collapsed="false">
      <c r="A415" s="152" t="str">
        <f aca="false">Scoring!BD421</f>
        <v/>
      </c>
      <c r="B415" s="152" t="str">
        <f aca="false">Scoring!BC421</f>
        <v/>
      </c>
      <c r="C415" s="152" t="n">
        <f aca="false">Scoring!C421</f>
        <v>0</v>
      </c>
      <c r="D415" s="153" t="str">
        <f aca="false">Scoring!AZ421</f>
        <v/>
      </c>
      <c r="E415" s="152" t="str">
        <f aca="false">Scoring!AF421</f>
        <v/>
      </c>
      <c r="F415" s="152" t="n">
        <f aca="false">Scoring!B421</f>
        <v>0</v>
      </c>
      <c r="G415" s="152" t="n">
        <f aca="false">Scoring!D421</f>
        <v>0</v>
      </c>
      <c r="H415" s="152" t="str">
        <f aca="false">Scoring!BB421</f>
        <v/>
      </c>
      <c r="I415" s="154" t="str">
        <f aca="false">Scoring!BA421</f>
        <v/>
      </c>
    </row>
    <row r="416" customFormat="false" ht="15.75" hidden="false" customHeight="false" outlineLevel="0" collapsed="false">
      <c r="A416" s="152" t="str">
        <f aca="false">Scoring!BD422</f>
        <v/>
      </c>
      <c r="B416" s="152" t="str">
        <f aca="false">Scoring!BC422</f>
        <v/>
      </c>
      <c r="C416" s="152" t="n">
        <f aca="false">Scoring!C422</f>
        <v>0</v>
      </c>
      <c r="D416" s="153" t="str">
        <f aca="false">Scoring!AZ422</f>
        <v/>
      </c>
      <c r="E416" s="152" t="str">
        <f aca="false">Scoring!AF422</f>
        <v/>
      </c>
      <c r="F416" s="152" t="n">
        <f aca="false">Scoring!B422</f>
        <v>0</v>
      </c>
      <c r="G416" s="152" t="n">
        <f aca="false">Scoring!D422</f>
        <v>0</v>
      </c>
      <c r="H416" s="152" t="str">
        <f aca="false">Scoring!BB422</f>
        <v/>
      </c>
      <c r="I416" s="154" t="str">
        <f aca="false">Scoring!BA422</f>
        <v/>
      </c>
    </row>
    <row r="417" customFormat="false" ht="15.75" hidden="false" customHeight="false" outlineLevel="0" collapsed="false">
      <c r="A417" s="152" t="str">
        <f aca="false">Scoring!BD423</f>
        <v/>
      </c>
      <c r="B417" s="152" t="str">
        <f aca="false">Scoring!BC423</f>
        <v/>
      </c>
      <c r="C417" s="152" t="n">
        <f aca="false">Scoring!C423</f>
        <v>0</v>
      </c>
      <c r="D417" s="153" t="str">
        <f aca="false">Scoring!AZ423</f>
        <v/>
      </c>
      <c r="E417" s="152" t="str">
        <f aca="false">Scoring!AF423</f>
        <v/>
      </c>
      <c r="F417" s="152" t="n">
        <f aca="false">Scoring!B423</f>
        <v>0</v>
      </c>
      <c r="G417" s="152" t="n">
        <f aca="false">Scoring!D423</f>
        <v>0</v>
      </c>
      <c r="H417" s="152" t="str">
        <f aca="false">Scoring!BB423</f>
        <v/>
      </c>
      <c r="I417" s="154" t="str">
        <f aca="false">Scoring!BA423</f>
        <v/>
      </c>
    </row>
    <row r="418" customFormat="false" ht="15.75" hidden="false" customHeight="false" outlineLevel="0" collapsed="false">
      <c r="A418" s="152" t="str">
        <f aca="false">Scoring!BD424</f>
        <v/>
      </c>
      <c r="B418" s="152" t="str">
        <f aca="false">Scoring!BC424</f>
        <v/>
      </c>
      <c r="C418" s="152" t="n">
        <f aca="false">Scoring!C424</f>
        <v>0</v>
      </c>
      <c r="D418" s="153" t="str">
        <f aca="false">Scoring!AZ424</f>
        <v/>
      </c>
      <c r="E418" s="152" t="str">
        <f aca="false">Scoring!AF424</f>
        <v/>
      </c>
      <c r="F418" s="152" t="n">
        <f aca="false">Scoring!B424</f>
        <v>0</v>
      </c>
      <c r="G418" s="152" t="n">
        <f aca="false">Scoring!D424</f>
        <v>0</v>
      </c>
      <c r="H418" s="152" t="str">
        <f aca="false">Scoring!BB424</f>
        <v/>
      </c>
      <c r="I418" s="154" t="str">
        <f aca="false">Scoring!BA424</f>
        <v/>
      </c>
    </row>
    <row r="419" customFormat="false" ht="15.75" hidden="false" customHeight="false" outlineLevel="0" collapsed="false">
      <c r="A419" s="152" t="str">
        <f aca="false">Scoring!BD425</f>
        <v/>
      </c>
      <c r="B419" s="152" t="str">
        <f aca="false">Scoring!BC425</f>
        <v/>
      </c>
      <c r="C419" s="152" t="n">
        <f aca="false">Scoring!C425</f>
        <v>0</v>
      </c>
      <c r="D419" s="153" t="str">
        <f aca="false">Scoring!AZ425</f>
        <v/>
      </c>
      <c r="E419" s="152" t="str">
        <f aca="false">Scoring!AF425</f>
        <v/>
      </c>
      <c r="F419" s="152" t="n">
        <f aca="false">Scoring!B425</f>
        <v>0</v>
      </c>
      <c r="G419" s="152" t="n">
        <f aca="false">Scoring!D425</f>
        <v>0</v>
      </c>
      <c r="H419" s="152" t="str">
        <f aca="false">Scoring!BB425</f>
        <v/>
      </c>
      <c r="I419" s="154" t="str">
        <f aca="false">Scoring!BA425</f>
        <v/>
      </c>
    </row>
    <row r="420" customFormat="false" ht="15.75" hidden="false" customHeight="false" outlineLevel="0" collapsed="false">
      <c r="A420" s="152" t="str">
        <f aca="false">Scoring!BD426</f>
        <v/>
      </c>
      <c r="B420" s="152" t="str">
        <f aca="false">Scoring!BC426</f>
        <v/>
      </c>
      <c r="C420" s="152" t="n">
        <f aca="false">Scoring!C426</f>
        <v>0</v>
      </c>
      <c r="D420" s="153" t="str">
        <f aca="false">Scoring!AZ426</f>
        <v/>
      </c>
      <c r="E420" s="152" t="str">
        <f aca="false">Scoring!AF426</f>
        <v/>
      </c>
      <c r="F420" s="152" t="n">
        <f aca="false">Scoring!B426</f>
        <v>0</v>
      </c>
      <c r="G420" s="152" t="n">
        <f aca="false">Scoring!D426</f>
        <v>0</v>
      </c>
      <c r="H420" s="152" t="str">
        <f aca="false">Scoring!BB426</f>
        <v/>
      </c>
      <c r="I420" s="154" t="str">
        <f aca="false">Scoring!BA426</f>
        <v/>
      </c>
    </row>
    <row r="421" customFormat="false" ht="15.75" hidden="false" customHeight="false" outlineLevel="0" collapsed="false">
      <c r="A421" s="152" t="str">
        <f aca="false">Scoring!BD427</f>
        <v/>
      </c>
      <c r="B421" s="152" t="str">
        <f aca="false">Scoring!BC427</f>
        <v/>
      </c>
      <c r="C421" s="152" t="n">
        <f aca="false">Scoring!C427</f>
        <v>0</v>
      </c>
      <c r="D421" s="153" t="str">
        <f aca="false">Scoring!AZ427</f>
        <v/>
      </c>
      <c r="E421" s="152" t="str">
        <f aca="false">Scoring!AF427</f>
        <v/>
      </c>
      <c r="F421" s="152" t="n">
        <f aca="false">Scoring!B427</f>
        <v>0</v>
      </c>
      <c r="G421" s="152" t="n">
        <f aca="false">Scoring!D427</f>
        <v>0</v>
      </c>
      <c r="H421" s="152" t="str">
        <f aca="false">Scoring!BB427</f>
        <v/>
      </c>
      <c r="I421" s="154" t="str">
        <f aca="false">Scoring!BA427</f>
        <v/>
      </c>
    </row>
    <row r="422" customFormat="false" ht="15.75" hidden="false" customHeight="false" outlineLevel="0" collapsed="false">
      <c r="A422" s="152" t="str">
        <f aca="false">Scoring!BD428</f>
        <v/>
      </c>
      <c r="B422" s="152" t="str">
        <f aca="false">Scoring!BC428</f>
        <v/>
      </c>
      <c r="C422" s="152" t="n">
        <f aca="false">Scoring!C428</f>
        <v>0</v>
      </c>
      <c r="D422" s="153" t="str">
        <f aca="false">Scoring!AZ428</f>
        <v/>
      </c>
      <c r="E422" s="152" t="str">
        <f aca="false">Scoring!AF428</f>
        <v/>
      </c>
      <c r="F422" s="152" t="n">
        <f aca="false">Scoring!B428</f>
        <v>0</v>
      </c>
      <c r="G422" s="152" t="n">
        <f aca="false">Scoring!D428</f>
        <v>0</v>
      </c>
      <c r="H422" s="152" t="str">
        <f aca="false">Scoring!BB428</f>
        <v/>
      </c>
      <c r="I422" s="154" t="str">
        <f aca="false">Scoring!BA428</f>
        <v/>
      </c>
    </row>
    <row r="423" customFormat="false" ht="15.75" hidden="false" customHeight="false" outlineLevel="0" collapsed="false">
      <c r="A423" s="152" t="str">
        <f aca="false">Scoring!BD429</f>
        <v/>
      </c>
      <c r="B423" s="152" t="str">
        <f aca="false">Scoring!BC429</f>
        <v/>
      </c>
      <c r="C423" s="152" t="n">
        <f aca="false">Scoring!C429</f>
        <v>0</v>
      </c>
      <c r="D423" s="153" t="str">
        <f aca="false">Scoring!AZ429</f>
        <v/>
      </c>
      <c r="E423" s="152" t="str">
        <f aca="false">Scoring!AF429</f>
        <v/>
      </c>
      <c r="F423" s="152" t="n">
        <f aca="false">Scoring!B429</f>
        <v>0</v>
      </c>
      <c r="G423" s="152" t="n">
        <f aca="false">Scoring!D429</f>
        <v>0</v>
      </c>
      <c r="H423" s="152" t="str">
        <f aca="false">Scoring!BB429</f>
        <v/>
      </c>
      <c r="I423" s="154" t="str">
        <f aca="false">Scoring!BA429</f>
        <v/>
      </c>
    </row>
    <row r="424" customFormat="false" ht="15.75" hidden="false" customHeight="false" outlineLevel="0" collapsed="false">
      <c r="A424" s="152" t="str">
        <f aca="false">Scoring!BD430</f>
        <v/>
      </c>
      <c r="B424" s="152" t="str">
        <f aca="false">Scoring!BC430</f>
        <v/>
      </c>
      <c r="C424" s="152" t="n">
        <f aca="false">Scoring!C430</f>
        <v>0</v>
      </c>
      <c r="D424" s="153" t="str">
        <f aca="false">Scoring!AZ430</f>
        <v/>
      </c>
      <c r="E424" s="152" t="str">
        <f aca="false">Scoring!AF430</f>
        <v/>
      </c>
      <c r="F424" s="152" t="n">
        <f aca="false">Scoring!B430</f>
        <v>0</v>
      </c>
      <c r="G424" s="152" t="n">
        <f aca="false">Scoring!D430</f>
        <v>0</v>
      </c>
      <c r="H424" s="152" t="str">
        <f aca="false">Scoring!BB430</f>
        <v/>
      </c>
      <c r="I424" s="154" t="str">
        <f aca="false">Scoring!BA430</f>
        <v/>
      </c>
    </row>
    <row r="425" customFormat="false" ht="15.75" hidden="false" customHeight="false" outlineLevel="0" collapsed="false">
      <c r="A425" s="152" t="str">
        <f aca="false">Scoring!BD431</f>
        <v/>
      </c>
      <c r="B425" s="152" t="str">
        <f aca="false">Scoring!BC431</f>
        <v/>
      </c>
      <c r="C425" s="152" t="n">
        <f aca="false">Scoring!C431</f>
        <v>0</v>
      </c>
      <c r="D425" s="153" t="str">
        <f aca="false">Scoring!AZ431</f>
        <v/>
      </c>
      <c r="E425" s="152" t="str">
        <f aca="false">Scoring!AF431</f>
        <v/>
      </c>
      <c r="F425" s="152" t="n">
        <f aca="false">Scoring!B431</f>
        <v>0</v>
      </c>
      <c r="G425" s="152" t="n">
        <f aca="false">Scoring!D431</f>
        <v>0</v>
      </c>
      <c r="H425" s="152" t="str">
        <f aca="false">Scoring!BB431</f>
        <v/>
      </c>
      <c r="I425" s="154" t="str">
        <f aca="false">Scoring!BA431</f>
        <v/>
      </c>
    </row>
    <row r="426" customFormat="false" ht="15.75" hidden="false" customHeight="false" outlineLevel="0" collapsed="false">
      <c r="A426" s="152" t="str">
        <f aca="false">Scoring!BD432</f>
        <v/>
      </c>
      <c r="B426" s="152" t="str">
        <f aca="false">Scoring!BC432</f>
        <v/>
      </c>
      <c r="C426" s="152" t="n">
        <f aca="false">Scoring!C432</f>
        <v>0</v>
      </c>
      <c r="D426" s="153" t="str">
        <f aca="false">Scoring!AZ432</f>
        <v/>
      </c>
      <c r="E426" s="152" t="str">
        <f aca="false">Scoring!AF432</f>
        <v/>
      </c>
      <c r="F426" s="152" t="n">
        <f aca="false">Scoring!B432</f>
        <v>0</v>
      </c>
      <c r="G426" s="152" t="n">
        <f aca="false">Scoring!D432</f>
        <v>0</v>
      </c>
      <c r="H426" s="152" t="str">
        <f aca="false">Scoring!BB432</f>
        <v/>
      </c>
      <c r="I426" s="154" t="str">
        <f aca="false">Scoring!BA432</f>
        <v/>
      </c>
    </row>
    <row r="427" customFormat="false" ht="15.75" hidden="false" customHeight="false" outlineLevel="0" collapsed="false">
      <c r="A427" s="152" t="str">
        <f aca="false">Scoring!BD433</f>
        <v/>
      </c>
      <c r="B427" s="152" t="str">
        <f aca="false">Scoring!BC433</f>
        <v/>
      </c>
      <c r="C427" s="152" t="n">
        <f aca="false">Scoring!C433</f>
        <v>0</v>
      </c>
      <c r="D427" s="153" t="str">
        <f aca="false">Scoring!AZ433</f>
        <v/>
      </c>
      <c r="E427" s="152" t="str">
        <f aca="false">Scoring!AF433</f>
        <v/>
      </c>
      <c r="F427" s="152" t="n">
        <f aca="false">Scoring!B433</f>
        <v>0</v>
      </c>
      <c r="G427" s="152" t="n">
        <f aca="false">Scoring!D433</f>
        <v>0</v>
      </c>
      <c r="H427" s="152" t="str">
        <f aca="false">Scoring!BB433</f>
        <v/>
      </c>
      <c r="I427" s="154" t="str">
        <f aca="false">Scoring!BA433</f>
        <v/>
      </c>
    </row>
    <row r="428" customFormat="false" ht="15.75" hidden="false" customHeight="false" outlineLevel="0" collapsed="false">
      <c r="A428" s="152" t="str">
        <f aca="false">Scoring!BD434</f>
        <v/>
      </c>
      <c r="B428" s="152" t="str">
        <f aca="false">Scoring!BC434</f>
        <v/>
      </c>
      <c r="C428" s="152" t="n">
        <f aca="false">Scoring!C434</f>
        <v>0</v>
      </c>
      <c r="D428" s="153" t="str">
        <f aca="false">Scoring!AZ434</f>
        <v/>
      </c>
      <c r="E428" s="152" t="str">
        <f aca="false">Scoring!AF434</f>
        <v/>
      </c>
      <c r="F428" s="152" t="n">
        <f aca="false">Scoring!B434</f>
        <v>0</v>
      </c>
      <c r="G428" s="152" t="n">
        <f aca="false">Scoring!D434</f>
        <v>0</v>
      </c>
      <c r="H428" s="152" t="str">
        <f aca="false">Scoring!BB434</f>
        <v/>
      </c>
      <c r="I428" s="154" t="str">
        <f aca="false">Scoring!BA434</f>
        <v/>
      </c>
    </row>
    <row r="429" customFormat="false" ht="15.75" hidden="false" customHeight="false" outlineLevel="0" collapsed="false">
      <c r="A429" s="152" t="str">
        <f aca="false">Scoring!BD435</f>
        <v/>
      </c>
      <c r="B429" s="152" t="str">
        <f aca="false">Scoring!BC435</f>
        <v/>
      </c>
      <c r="C429" s="152" t="n">
        <f aca="false">Scoring!C435</f>
        <v>0</v>
      </c>
      <c r="D429" s="153" t="str">
        <f aca="false">Scoring!AZ435</f>
        <v/>
      </c>
      <c r="E429" s="152" t="str">
        <f aca="false">Scoring!AF435</f>
        <v/>
      </c>
      <c r="F429" s="152" t="n">
        <f aca="false">Scoring!B435</f>
        <v>0</v>
      </c>
      <c r="G429" s="152" t="n">
        <f aca="false">Scoring!D435</f>
        <v>0</v>
      </c>
      <c r="H429" s="152" t="str">
        <f aca="false">Scoring!BB435</f>
        <v/>
      </c>
      <c r="I429" s="154" t="str">
        <f aca="false">Scoring!BA435</f>
        <v/>
      </c>
    </row>
    <row r="430" customFormat="false" ht="15.75" hidden="false" customHeight="false" outlineLevel="0" collapsed="false">
      <c r="A430" s="152" t="str">
        <f aca="false">Scoring!BD436</f>
        <v/>
      </c>
      <c r="B430" s="152" t="str">
        <f aca="false">Scoring!BC436</f>
        <v/>
      </c>
      <c r="C430" s="152" t="n">
        <f aca="false">Scoring!C436</f>
        <v>0</v>
      </c>
      <c r="D430" s="153" t="str">
        <f aca="false">Scoring!AZ436</f>
        <v/>
      </c>
      <c r="E430" s="152" t="str">
        <f aca="false">Scoring!AF436</f>
        <v/>
      </c>
      <c r="F430" s="152" t="n">
        <f aca="false">Scoring!B436</f>
        <v>0</v>
      </c>
      <c r="G430" s="152" t="n">
        <f aca="false">Scoring!D436</f>
        <v>0</v>
      </c>
      <c r="H430" s="152" t="str">
        <f aca="false">Scoring!BB436</f>
        <v/>
      </c>
      <c r="I430" s="154" t="str">
        <f aca="false">Scoring!BA436</f>
        <v/>
      </c>
    </row>
    <row r="431" customFormat="false" ht="15.75" hidden="false" customHeight="false" outlineLevel="0" collapsed="false">
      <c r="A431" s="152" t="str">
        <f aca="false">Scoring!BD437</f>
        <v/>
      </c>
      <c r="B431" s="152" t="str">
        <f aca="false">Scoring!BC437</f>
        <v/>
      </c>
      <c r="C431" s="152" t="n">
        <f aca="false">Scoring!C437</f>
        <v>0</v>
      </c>
      <c r="D431" s="153" t="str">
        <f aca="false">Scoring!AZ437</f>
        <v/>
      </c>
      <c r="E431" s="152" t="str">
        <f aca="false">Scoring!AF437</f>
        <v/>
      </c>
      <c r="F431" s="152" t="n">
        <f aca="false">Scoring!B437</f>
        <v>0</v>
      </c>
      <c r="G431" s="152" t="n">
        <f aca="false">Scoring!D437</f>
        <v>0</v>
      </c>
      <c r="H431" s="152" t="str">
        <f aca="false">Scoring!BB437</f>
        <v/>
      </c>
      <c r="I431" s="154" t="str">
        <f aca="false">Scoring!BA437</f>
        <v/>
      </c>
    </row>
    <row r="432" customFormat="false" ht="15.75" hidden="false" customHeight="false" outlineLevel="0" collapsed="false">
      <c r="A432" s="152" t="str">
        <f aca="false">Scoring!BD438</f>
        <v/>
      </c>
      <c r="B432" s="152" t="str">
        <f aca="false">Scoring!BC438</f>
        <v/>
      </c>
      <c r="C432" s="152" t="n">
        <f aca="false">Scoring!C438</f>
        <v>0</v>
      </c>
      <c r="D432" s="153" t="str">
        <f aca="false">Scoring!AZ438</f>
        <v/>
      </c>
      <c r="E432" s="152" t="str">
        <f aca="false">Scoring!AF438</f>
        <v/>
      </c>
      <c r="F432" s="152" t="n">
        <f aca="false">Scoring!B438</f>
        <v>0</v>
      </c>
      <c r="G432" s="152" t="n">
        <f aca="false">Scoring!D438</f>
        <v>0</v>
      </c>
      <c r="H432" s="152" t="str">
        <f aca="false">Scoring!BB438</f>
        <v/>
      </c>
      <c r="I432" s="154" t="str">
        <f aca="false">Scoring!BA438</f>
        <v/>
      </c>
    </row>
    <row r="433" customFormat="false" ht="15.75" hidden="false" customHeight="false" outlineLevel="0" collapsed="false">
      <c r="A433" s="152" t="str">
        <f aca="false">Scoring!BD439</f>
        <v/>
      </c>
      <c r="B433" s="152" t="str">
        <f aca="false">Scoring!BC439</f>
        <v/>
      </c>
      <c r="C433" s="152" t="n">
        <f aca="false">Scoring!C439</f>
        <v>0</v>
      </c>
      <c r="D433" s="153" t="str">
        <f aca="false">Scoring!AZ439</f>
        <v/>
      </c>
      <c r="E433" s="152" t="str">
        <f aca="false">Scoring!AF439</f>
        <v/>
      </c>
      <c r="F433" s="152" t="n">
        <f aca="false">Scoring!B439</f>
        <v>0</v>
      </c>
      <c r="G433" s="152" t="n">
        <f aca="false">Scoring!D439</f>
        <v>0</v>
      </c>
      <c r="H433" s="152" t="str">
        <f aca="false">Scoring!BB439</f>
        <v/>
      </c>
      <c r="I433" s="154" t="str">
        <f aca="false">Scoring!BA439</f>
        <v/>
      </c>
    </row>
    <row r="434" customFormat="false" ht="15.75" hidden="false" customHeight="false" outlineLevel="0" collapsed="false">
      <c r="A434" s="152" t="str">
        <f aca="false">Scoring!BD440</f>
        <v/>
      </c>
      <c r="B434" s="152" t="str">
        <f aca="false">Scoring!BC440</f>
        <v/>
      </c>
      <c r="C434" s="152" t="n">
        <f aca="false">Scoring!C440</f>
        <v>0</v>
      </c>
      <c r="D434" s="153" t="str">
        <f aca="false">Scoring!AZ440</f>
        <v/>
      </c>
      <c r="E434" s="152" t="str">
        <f aca="false">Scoring!AF440</f>
        <v/>
      </c>
      <c r="F434" s="152" t="n">
        <f aca="false">Scoring!B440</f>
        <v>0</v>
      </c>
      <c r="G434" s="152" t="n">
        <f aca="false">Scoring!D440</f>
        <v>0</v>
      </c>
      <c r="H434" s="152" t="str">
        <f aca="false">Scoring!BB440</f>
        <v/>
      </c>
      <c r="I434" s="154" t="str">
        <f aca="false">Scoring!BA440</f>
        <v/>
      </c>
    </row>
    <row r="435" customFormat="false" ht="15.75" hidden="false" customHeight="false" outlineLevel="0" collapsed="false">
      <c r="A435" s="152" t="str">
        <f aca="false">Scoring!BD441</f>
        <v/>
      </c>
      <c r="B435" s="152" t="str">
        <f aca="false">Scoring!BC441</f>
        <v/>
      </c>
      <c r="C435" s="152" t="n">
        <f aca="false">Scoring!C441</f>
        <v>0</v>
      </c>
      <c r="D435" s="153" t="str">
        <f aca="false">Scoring!AZ441</f>
        <v/>
      </c>
      <c r="E435" s="152" t="str">
        <f aca="false">Scoring!AF441</f>
        <v/>
      </c>
      <c r="F435" s="152" t="n">
        <f aca="false">Scoring!B441</f>
        <v>0</v>
      </c>
      <c r="G435" s="152" t="n">
        <f aca="false">Scoring!D441</f>
        <v>0</v>
      </c>
      <c r="H435" s="152" t="str">
        <f aca="false">Scoring!BB441</f>
        <v/>
      </c>
      <c r="I435" s="154" t="str">
        <f aca="false">Scoring!BA441</f>
        <v/>
      </c>
    </row>
    <row r="436" customFormat="false" ht="15.75" hidden="false" customHeight="false" outlineLevel="0" collapsed="false">
      <c r="A436" s="152" t="str">
        <f aca="false">Scoring!BD442</f>
        <v/>
      </c>
      <c r="B436" s="152" t="str">
        <f aca="false">Scoring!BC442</f>
        <v/>
      </c>
      <c r="C436" s="152" t="n">
        <f aca="false">Scoring!C442</f>
        <v>0</v>
      </c>
      <c r="D436" s="153" t="str">
        <f aca="false">Scoring!AZ442</f>
        <v/>
      </c>
      <c r="E436" s="152" t="str">
        <f aca="false">Scoring!AF442</f>
        <v/>
      </c>
      <c r="F436" s="152" t="n">
        <f aca="false">Scoring!B442</f>
        <v>0</v>
      </c>
      <c r="G436" s="152" t="n">
        <f aca="false">Scoring!D442</f>
        <v>0</v>
      </c>
      <c r="H436" s="152" t="str">
        <f aca="false">Scoring!BB442</f>
        <v/>
      </c>
      <c r="I436" s="154" t="str">
        <f aca="false">Scoring!BA442</f>
        <v/>
      </c>
    </row>
    <row r="437" customFormat="false" ht="15.75" hidden="false" customHeight="false" outlineLevel="0" collapsed="false">
      <c r="A437" s="152" t="str">
        <f aca="false">Scoring!BD443</f>
        <v/>
      </c>
      <c r="B437" s="152" t="str">
        <f aca="false">Scoring!BC443</f>
        <v/>
      </c>
      <c r="C437" s="152" t="n">
        <f aca="false">Scoring!C443</f>
        <v>0</v>
      </c>
      <c r="D437" s="153" t="str">
        <f aca="false">Scoring!AZ443</f>
        <v/>
      </c>
      <c r="E437" s="152" t="str">
        <f aca="false">Scoring!AF443</f>
        <v/>
      </c>
      <c r="F437" s="152" t="n">
        <f aca="false">Scoring!B443</f>
        <v>0</v>
      </c>
      <c r="G437" s="152" t="n">
        <f aca="false">Scoring!D443</f>
        <v>0</v>
      </c>
      <c r="H437" s="152" t="str">
        <f aca="false">Scoring!BB443</f>
        <v/>
      </c>
      <c r="I437" s="154" t="str">
        <f aca="false">Scoring!BA443</f>
        <v/>
      </c>
    </row>
    <row r="438" customFormat="false" ht="15.75" hidden="false" customHeight="false" outlineLevel="0" collapsed="false">
      <c r="A438" s="152" t="str">
        <f aca="false">Scoring!BD444</f>
        <v/>
      </c>
      <c r="B438" s="152" t="str">
        <f aca="false">Scoring!BC444</f>
        <v/>
      </c>
      <c r="C438" s="152" t="n">
        <f aca="false">Scoring!C444</f>
        <v>0</v>
      </c>
      <c r="D438" s="153" t="str">
        <f aca="false">Scoring!AZ444</f>
        <v/>
      </c>
      <c r="E438" s="152" t="str">
        <f aca="false">Scoring!AF444</f>
        <v/>
      </c>
      <c r="F438" s="152" t="n">
        <f aca="false">Scoring!B444</f>
        <v>0</v>
      </c>
      <c r="G438" s="152" t="n">
        <f aca="false">Scoring!D444</f>
        <v>0</v>
      </c>
      <c r="H438" s="152" t="str">
        <f aca="false">Scoring!BB444</f>
        <v/>
      </c>
      <c r="I438" s="154" t="str">
        <f aca="false">Scoring!BA444</f>
        <v/>
      </c>
    </row>
    <row r="439" customFormat="false" ht="15.75" hidden="false" customHeight="false" outlineLevel="0" collapsed="false">
      <c r="A439" s="152" t="str">
        <f aca="false">Scoring!BD445</f>
        <v/>
      </c>
      <c r="B439" s="152" t="str">
        <f aca="false">Scoring!BC445</f>
        <v/>
      </c>
      <c r="C439" s="152" t="n">
        <f aca="false">Scoring!C445</f>
        <v>0</v>
      </c>
      <c r="D439" s="153" t="str">
        <f aca="false">Scoring!AZ445</f>
        <v/>
      </c>
      <c r="E439" s="152" t="str">
        <f aca="false">Scoring!AF445</f>
        <v/>
      </c>
      <c r="F439" s="152" t="n">
        <f aca="false">Scoring!B445</f>
        <v>0</v>
      </c>
      <c r="G439" s="152" t="n">
        <f aca="false">Scoring!D445</f>
        <v>0</v>
      </c>
      <c r="H439" s="152" t="str">
        <f aca="false">Scoring!BB445</f>
        <v/>
      </c>
      <c r="I439" s="154" t="str">
        <f aca="false">Scoring!BA445</f>
        <v/>
      </c>
    </row>
    <row r="440" customFormat="false" ht="15.75" hidden="false" customHeight="false" outlineLevel="0" collapsed="false">
      <c r="A440" s="152" t="str">
        <f aca="false">Scoring!BD446</f>
        <v/>
      </c>
      <c r="B440" s="152" t="str">
        <f aca="false">Scoring!BC446</f>
        <v/>
      </c>
      <c r="C440" s="152" t="n">
        <f aca="false">Scoring!C446</f>
        <v>0</v>
      </c>
      <c r="D440" s="153" t="str">
        <f aca="false">Scoring!AZ446</f>
        <v/>
      </c>
      <c r="E440" s="152" t="str">
        <f aca="false">Scoring!AF446</f>
        <v/>
      </c>
      <c r="F440" s="152" t="n">
        <f aca="false">Scoring!B446</f>
        <v>0</v>
      </c>
      <c r="G440" s="152" t="n">
        <f aca="false">Scoring!D446</f>
        <v>0</v>
      </c>
      <c r="H440" s="152" t="str">
        <f aca="false">Scoring!BB446</f>
        <v/>
      </c>
      <c r="I440" s="154" t="str">
        <f aca="false">Scoring!BA446</f>
        <v/>
      </c>
    </row>
    <row r="441" customFormat="false" ht="15.75" hidden="false" customHeight="false" outlineLevel="0" collapsed="false">
      <c r="A441" s="152" t="str">
        <f aca="false">Scoring!BD447</f>
        <v/>
      </c>
      <c r="B441" s="152" t="str">
        <f aca="false">Scoring!BC447</f>
        <v/>
      </c>
      <c r="C441" s="152" t="n">
        <f aca="false">Scoring!C447</f>
        <v>0</v>
      </c>
      <c r="D441" s="153" t="str">
        <f aca="false">Scoring!AZ447</f>
        <v/>
      </c>
      <c r="E441" s="152" t="str">
        <f aca="false">Scoring!AF447</f>
        <v/>
      </c>
      <c r="F441" s="152" t="n">
        <f aca="false">Scoring!B447</f>
        <v>0</v>
      </c>
      <c r="G441" s="152" t="n">
        <f aca="false">Scoring!D447</f>
        <v>0</v>
      </c>
      <c r="H441" s="152" t="str">
        <f aca="false">Scoring!BB447</f>
        <v/>
      </c>
      <c r="I441" s="154" t="str">
        <f aca="false">Scoring!BA447</f>
        <v/>
      </c>
    </row>
    <row r="442" customFormat="false" ht="15.75" hidden="false" customHeight="false" outlineLevel="0" collapsed="false">
      <c r="A442" s="152" t="str">
        <f aca="false">Scoring!BD448</f>
        <v/>
      </c>
      <c r="B442" s="152" t="str">
        <f aca="false">Scoring!BC448</f>
        <v/>
      </c>
      <c r="C442" s="152" t="n">
        <f aca="false">Scoring!C448</f>
        <v>0</v>
      </c>
      <c r="D442" s="153" t="str">
        <f aca="false">Scoring!AZ448</f>
        <v/>
      </c>
      <c r="E442" s="152" t="str">
        <f aca="false">Scoring!AF448</f>
        <v/>
      </c>
      <c r="F442" s="152" t="n">
        <f aca="false">Scoring!B448</f>
        <v>0</v>
      </c>
      <c r="G442" s="152" t="n">
        <f aca="false">Scoring!D448</f>
        <v>0</v>
      </c>
      <c r="H442" s="152" t="str">
        <f aca="false">Scoring!BB448</f>
        <v/>
      </c>
      <c r="I442" s="154" t="str">
        <f aca="false">Scoring!BA448</f>
        <v/>
      </c>
    </row>
    <row r="443" customFormat="false" ht="15.75" hidden="false" customHeight="false" outlineLevel="0" collapsed="false">
      <c r="A443" s="152" t="str">
        <f aca="false">Scoring!BD449</f>
        <v/>
      </c>
      <c r="B443" s="152" t="str">
        <f aca="false">Scoring!BC449</f>
        <v/>
      </c>
      <c r="C443" s="152" t="n">
        <f aca="false">Scoring!C449</f>
        <v>0</v>
      </c>
      <c r="D443" s="153" t="str">
        <f aca="false">Scoring!AZ449</f>
        <v/>
      </c>
      <c r="E443" s="152" t="str">
        <f aca="false">Scoring!AF449</f>
        <v/>
      </c>
      <c r="F443" s="152" t="n">
        <f aca="false">Scoring!B449</f>
        <v>0</v>
      </c>
      <c r="G443" s="152" t="n">
        <f aca="false">Scoring!D449</f>
        <v>0</v>
      </c>
      <c r="H443" s="152" t="str">
        <f aca="false">Scoring!BB449</f>
        <v/>
      </c>
      <c r="I443" s="154" t="str">
        <f aca="false">Scoring!BA449</f>
        <v/>
      </c>
    </row>
    <row r="444" customFormat="false" ht="15.75" hidden="false" customHeight="false" outlineLevel="0" collapsed="false">
      <c r="A444" s="152" t="str">
        <f aca="false">Scoring!BD450</f>
        <v/>
      </c>
      <c r="B444" s="152" t="str">
        <f aca="false">Scoring!BC450</f>
        <v/>
      </c>
      <c r="C444" s="152" t="n">
        <f aca="false">Scoring!C450</f>
        <v>0</v>
      </c>
      <c r="D444" s="153" t="str">
        <f aca="false">Scoring!AZ450</f>
        <v/>
      </c>
      <c r="E444" s="152" t="str">
        <f aca="false">Scoring!AF450</f>
        <v/>
      </c>
      <c r="F444" s="152" t="n">
        <f aca="false">Scoring!B450</f>
        <v>0</v>
      </c>
      <c r="G444" s="152" t="n">
        <f aca="false">Scoring!D450</f>
        <v>0</v>
      </c>
      <c r="H444" s="152" t="str">
        <f aca="false">Scoring!BB450</f>
        <v/>
      </c>
      <c r="I444" s="154" t="str">
        <f aca="false">Scoring!BA450</f>
        <v/>
      </c>
    </row>
    <row r="445" customFormat="false" ht="15.75" hidden="false" customHeight="false" outlineLevel="0" collapsed="false">
      <c r="A445" s="152" t="str">
        <f aca="false">Scoring!BD451</f>
        <v/>
      </c>
      <c r="B445" s="152" t="str">
        <f aca="false">Scoring!BC451</f>
        <v/>
      </c>
      <c r="C445" s="152" t="n">
        <f aca="false">Scoring!C451</f>
        <v>0</v>
      </c>
      <c r="D445" s="153" t="str">
        <f aca="false">Scoring!AZ451</f>
        <v/>
      </c>
      <c r="E445" s="152" t="str">
        <f aca="false">Scoring!AF451</f>
        <v/>
      </c>
      <c r="F445" s="152" t="n">
        <f aca="false">Scoring!B451</f>
        <v>0</v>
      </c>
      <c r="G445" s="152" t="n">
        <f aca="false">Scoring!D451</f>
        <v>0</v>
      </c>
      <c r="H445" s="152" t="str">
        <f aca="false">Scoring!BB451</f>
        <v/>
      </c>
      <c r="I445" s="154" t="str">
        <f aca="false">Scoring!BA451</f>
        <v/>
      </c>
    </row>
    <row r="446" customFormat="false" ht="15.75" hidden="false" customHeight="false" outlineLevel="0" collapsed="false">
      <c r="A446" s="152" t="str">
        <f aca="false">Scoring!BD452</f>
        <v/>
      </c>
      <c r="B446" s="152" t="str">
        <f aca="false">Scoring!BC452</f>
        <v/>
      </c>
      <c r="C446" s="152" t="n">
        <f aca="false">Scoring!C452</f>
        <v>0</v>
      </c>
      <c r="D446" s="153" t="str">
        <f aca="false">Scoring!AZ452</f>
        <v/>
      </c>
      <c r="E446" s="152" t="str">
        <f aca="false">Scoring!AF452</f>
        <v/>
      </c>
      <c r="F446" s="152" t="n">
        <f aca="false">Scoring!B452</f>
        <v>0</v>
      </c>
      <c r="G446" s="152" t="n">
        <f aca="false">Scoring!D452</f>
        <v>0</v>
      </c>
      <c r="H446" s="152" t="str">
        <f aca="false">Scoring!BB452</f>
        <v/>
      </c>
      <c r="I446" s="154" t="str">
        <f aca="false">Scoring!BA452</f>
        <v/>
      </c>
    </row>
    <row r="447" customFormat="false" ht="15.75" hidden="false" customHeight="false" outlineLevel="0" collapsed="false">
      <c r="A447" s="152" t="str">
        <f aca="false">Scoring!BD453</f>
        <v/>
      </c>
      <c r="B447" s="152" t="str">
        <f aca="false">Scoring!BC453</f>
        <v/>
      </c>
      <c r="C447" s="152" t="n">
        <f aca="false">Scoring!C453</f>
        <v>0</v>
      </c>
      <c r="D447" s="153" t="str">
        <f aca="false">Scoring!AZ453</f>
        <v/>
      </c>
      <c r="E447" s="152" t="str">
        <f aca="false">Scoring!AF453</f>
        <v/>
      </c>
      <c r="F447" s="152" t="n">
        <f aca="false">Scoring!B453</f>
        <v>0</v>
      </c>
      <c r="G447" s="152" t="n">
        <f aca="false">Scoring!D453</f>
        <v>0</v>
      </c>
      <c r="H447" s="152" t="str">
        <f aca="false">Scoring!BB453</f>
        <v/>
      </c>
      <c r="I447" s="154" t="str">
        <f aca="false">Scoring!BA453</f>
        <v/>
      </c>
    </row>
    <row r="448" customFormat="false" ht="15.75" hidden="false" customHeight="false" outlineLevel="0" collapsed="false">
      <c r="A448" s="152" t="str">
        <f aca="false">Scoring!BD454</f>
        <v/>
      </c>
      <c r="B448" s="152" t="str">
        <f aca="false">Scoring!BC454</f>
        <v/>
      </c>
      <c r="C448" s="152" t="n">
        <f aca="false">Scoring!C454</f>
        <v>0</v>
      </c>
      <c r="D448" s="153" t="str">
        <f aca="false">Scoring!AZ454</f>
        <v/>
      </c>
      <c r="E448" s="152" t="str">
        <f aca="false">Scoring!AF454</f>
        <v/>
      </c>
      <c r="F448" s="152" t="n">
        <f aca="false">Scoring!B454</f>
        <v>0</v>
      </c>
      <c r="G448" s="152" t="n">
        <f aca="false">Scoring!D454</f>
        <v>0</v>
      </c>
      <c r="H448" s="152" t="str">
        <f aca="false">Scoring!BB454</f>
        <v/>
      </c>
      <c r="I448" s="154" t="str">
        <f aca="false">Scoring!BA454</f>
        <v/>
      </c>
    </row>
    <row r="449" customFormat="false" ht="15.75" hidden="false" customHeight="false" outlineLevel="0" collapsed="false">
      <c r="A449" s="152" t="str">
        <f aca="false">Scoring!BD455</f>
        <v/>
      </c>
      <c r="B449" s="152" t="str">
        <f aca="false">Scoring!BC455</f>
        <v/>
      </c>
      <c r="C449" s="152" t="n">
        <f aca="false">Scoring!C455</f>
        <v>0</v>
      </c>
      <c r="D449" s="153" t="str">
        <f aca="false">Scoring!AZ455</f>
        <v/>
      </c>
      <c r="E449" s="152" t="str">
        <f aca="false">Scoring!AF455</f>
        <v/>
      </c>
      <c r="F449" s="152" t="n">
        <f aca="false">Scoring!B455</f>
        <v>0</v>
      </c>
      <c r="G449" s="152" t="n">
        <f aca="false">Scoring!D455</f>
        <v>0</v>
      </c>
      <c r="H449" s="152" t="str">
        <f aca="false">Scoring!BB455</f>
        <v/>
      </c>
      <c r="I449" s="154" t="str">
        <f aca="false">Scoring!BA455</f>
        <v/>
      </c>
    </row>
    <row r="450" customFormat="false" ht="15.75" hidden="false" customHeight="false" outlineLevel="0" collapsed="false">
      <c r="A450" s="152" t="str">
        <f aca="false">Scoring!BD456</f>
        <v/>
      </c>
      <c r="B450" s="152" t="str">
        <f aca="false">Scoring!BC456</f>
        <v/>
      </c>
      <c r="C450" s="152" t="n">
        <f aca="false">Scoring!C456</f>
        <v>0</v>
      </c>
      <c r="D450" s="153" t="str">
        <f aca="false">Scoring!AZ456</f>
        <v/>
      </c>
      <c r="E450" s="152" t="str">
        <f aca="false">Scoring!AF456</f>
        <v/>
      </c>
      <c r="F450" s="152" t="n">
        <f aca="false">Scoring!B456</f>
        <v>0</v>
      </c>
      <c r="G450" s="152" t="n">
        <f aca="false">Scoring!D456</f>
        <v>0</v>
      </c>
      <c r="H450" s="152" t="str">
        <f aca="false">Scoring!BB456</f>
        <v/>
      </c>
      <c r="I450" s="154" t="str">
        <f aca="false">Scoring!BA456</f>
        <v/>
      </c>
    </row>
    <row r="451" customFormat="false" ht="15.75" hidden="false" customHeight="false" outlineLevel="0" collapsed="false">
      <c r="A451" s="152" t="str">
        <f aca="false">Scoring!BD457</f>
        <v/>
      </c>
      <c r="B451" s="152" t="str">
        <f aca="false">Scoring!BC457</f>
        <v/>
      </c>
      <c r="C451" s="152" t="n">
        <f aca="false">Scoring!C457</f>
        <v>0</v>
      </c>
      <c r="D451" s="153" t="str">
        <f aca="false">Scoring!AZ457</f>
        <v/>
      </c>
      <c r="E451" s="152" t="str">
        <f aca="false">Scoring!AF457</f>
        <v/>
      </c>
      <c r="F451" s="152" t="n">
        <f aca="false">Scoring!B457</f>
        <v>0</v>
      </c>
      <c r="G451" s="152" t="n">
        <f aca="false">Scoring!D457</f>
        <v>0</v>
      </c>
      <c r="H451" s="152" t="str">
        <f aca="false">Scoring!BB457</f>
        <v/>
      </c>
      <c r="I451" s="154" t="str">
        <f aca="false">Scoring!BA457</f>
        <v/>
      </c>
    </row>
    <row r="452" customFormat="false" ht="15.75" hidden="false" customHeight="false" outlineLevel="0" collapsed="false">
      <c r="A452" s="152" t="str">
        <f aca="false">Scoring!BD458</f>
        <v/>
      </c>
      <c r="B452" s="152" t="str">
        <f aca="false">Scoring!BC458</f>
        <v/>
      </c>
      <c r="C452" s="152" t="n">
        <f aca="false">Scoring!C458</f>
        <v>0</v>
      </c>
      <c r="D452" s="153" t="str">
        <f aca="false">Scoring!AZ458</f>
        <v/>
      </c>
      <c r="E452" s="152" t="str">
        <f aca="false">Scoring!AF458</f>
        <v/>
      </c>
      <c r="F452" s="152" t="n">
        <f aca="false">Scoring!B458</f>
        <v>0</v>
      </c>
      <c r="G452" s="152" t="n">
        <f aca="false">Scoring!D458</f>
        <v>0</v>
      </c>
      <c r="H452" s="152" t="str">
        <f aca="false">Scoring!BB458</f>
        <v/>
      </c>
      <c r="I452" s="154" t="str">
        <f aca="false">Scoring!BA458</f>
        <v/>
      </c>
    </row>
    <row r="453" customFormat="false" ht="15.75" hidden="false" customHeight="false" outlineLevel="0" collapsed="false">
      <c r="A453" s="152" t="str">
        <f aca="false">Scoring!BD459</f>
        <v/>
      </c>
      <c r="B453" s="152" t="str">
        <f aca="false">Scoring!BC459</f>
        <v/>
      </c>
      <c r="C453" s="152" t="n">
        <f aca="false">Scoring!C459</f>
        <v>0</v>
      </c>
      <c r="D453" s="153" t="str">
        <f aca="false">Scoring!AZ459</f>
        <v/>
      </c>
      <c r="E453" s="152" t="str">
        <f aca="false">Scoring!AF459</f>
        <v/>
      </c>
      <c r="F453" s="152" t="n">
        <f aca="false">Scoring!B459</f>
        <v>0</v>
      </c>
      <c r="G453" s="152" t="n">
        <f aca="false">Scoring!D459</f>
        <v>0</v>
      </c>
      <c r="H453" s="152" t="str">
        <f aca="false">Scoring!BB459</f>
        <v/>
      </c>
      <c r="I453" s="154" t="str">
        <f aca="false">Scoring!BA459</f>
        <v/>
      </c>
    </row>
    <row r="454" customFormat="false" ht="15.75" hidden="false" customHeight="false" outlineLevel="0" collapsed="false">
      <c r="A454" s="152" t="str">
        <f aca="false">Scoring!BD460</f>
        <v/>
      </c>
      <c r="B454" s="152" t="str">
        <f aca="false">Scoring!BC460</f>
        <v/>
      </c>
      <c r="C454" s="152" t="n">
        <f aca="false">Scoring!C460</f>
        <v>0</v>
      </c>
      <c r="D454" s="153" t="str">
        <f aca="false">Scoring!AZ460</f>
        <v/>
      </c>
      <c r="E454" s="152" t="str">
        <f aca="false">Scoring!AF460</f>
        <v/>
      </c>
      <c r="F454" s="152" t="n">
        <f aca="false">Scoring!B460</f>
        <v>0</v>
      </c>
      <c r="G454" s="152" t="n">
        <f aca="false">Scoring!D460</f>
        <v>0</v>
      </c>
      <c r="H454" s="152" t="str">
        <f aca="false">Scoring!BB460</f>
        <v/>
      </c>
      <c r="I454" s="154" t="str">
        <f aca="false">Scoring!BA460</f>
        <v/>
      </c>
    </row>
    <row r="455" customFormat="false" ht="15.75" hidden="false" customHeight="false" outlineLevel="0" collapsed="false">
      <c r="A455" s="152" t="str">
        <f aca="false">Scoring!BD461</f>
        <v/>
      </c>
      <c r="B455" s="152" t="str">
        <f aca="false">Scoring!BC461</f>
        <v/>
      </c>
      <c r="C455" s="152" t="n">
        <f aca="false">Scoring!C461</f>
        <v>0</v>
      </c>
      <c r="D455" s="153" t="str">
        <f aca="false">Scoring!AZ461</f>
        <v/>
      </c>
      <c r="E455" s="152" t="str">
        <f aca="false">Scoring!AF461</f>
        <v/>
      </c>
      <c r="F455" s="152" t="n">
        <f aca="false">Scoring!B461</f>
        <v>0</v>
      </c>
      <c r="G455" s="152" t="n">
        <f aca="false">Scoring!D461</f>
        <v>0</v>
      </c>
      <c r="H455" s="152" t="str">
        <f aca="false">Scoring!BB461</f>
        <v/>
      </c>
      <c r="I455" s="154" t="str">
        <f aca="false">Scoring!BA461</f>
        <v/>
      </c>
    </row>
    <row r="456" customFormat="false" ht="15.75" hidden="false" customHeight="false" outlineLevel="0" collapsed="false">
      <c r="A456" s="152" t="str">
        <f aca="false">Scoring!BD462</f>
        <v/>
      </c>
      <c r="B456" s="152" t="str">
        <f aca="false">Scoring!BC462</f>
        <v/>
      </c>
      <c r="C456" s="152" t="n">
        <f aca="false">Scoring!C462</f>
        <v>0</v>
      </c>
      <c r="D456" s="153" t="str">
        <f aca="false">Scoring!AZ462</f>
        <v/>
      </c>
      <c r="E456" s="152" t="str">
        <f aca="false">Scoring!AF462</f>
        <v/>
      </c>
      <c r="F456" s="152" t="n">
        <f aca="false">Scoring!B462</f>
        <v>0</v>
      </c>
      <c r="G456" s="152" t="n">
        <f aca="false">Scoring!D462</f>
        <v>0</v>
      </c>
      <c r="H456" s="152" t="str">
        <f aca="false">Scoring!BB462</f>
        <v/>
      </c>
      <c r="I456" s="154" t="str">
        <f aca="false">Scoring!BA462</f>
        <v/>
      </c>
    </row>
    <row r="457" customFormat="false" ht="15.75" hidden="false" customHeight="false" outlineLevel="0" collapsed="false">
      <c r="A457" s="152" t="str">
        <f aca="false">Scoring!BD463</f>
        <v/>
      </c>
      <c r="B457" s="152" t="str">
        <f aca="false">Scoring!BC463</f>
        <v/>
      </c>
      <c r="C457" s="152" t="n">
        <f aca="false">Scoring!C463</f>
        <v>0</v>
      </c>
      <c r="D457" s="153" t="str">
        <f aca="false">Scoring!AZ463</f>
        <v/>
      </c>
      <c r="E457" s="152" t="str">
        <f aca="false">Scoring!AF463</f>
        <v/>
      </c>
      <c r="F457" s="152" t="n">
        <f aca="false">Scoring!B463</f>
        <v>0</v>
      </c>
      <c r="G457" s="152" t="n">
        <f aca="false">Scoring!D463</f>
        <v>0</v>
      </c>
      <c r="H457" s="152" t="str">
        <f aca="false">Scoring!BB463</f>
        <v/>
      </c>
      <c r="I457" s="154" t="str">
        <f aca="false">Scoring!BA463</f>
        <v/>
      </c>
    </row>
    <row r="458" customFormat="false" ht="15.75" hidden="false" customHeight="false" outlineLevel="0" collapsed="false">
      <c r="A458" s="152" t="str">
        <f aca="false">Scoring!BD464</f>
        <v/>
      </c>
      <c r="B458" s="152" t="str">
        <f aca="false">Scoring!BC464</f>
        <v/>
      </c>
      <c r="C458" s="152" t="n">
        <f aca="false">Scoring!C464</f>
        <v>0</v>
      </c>
      <c r="D458" s="153" t="str">
        <f aca="false">Scoring!AZ464</f>
        <v/>
      </c>
      <c r="E458" s="152" t="str">
        <f aca="false">Scoring!AF464</f>
        <v/>
      </c>
      <c r="F458" s="152" t="n">
        <f aca="false">Scoring!B464</f>
        <v>0</v>
      </c>
      <c r="G458" s="152" t="n">
        <f aca="false">Scoring!D464</f>
        <v>0</v>
      </c>
      <c r="H458" s="152" t="str">
        <f aca="false">Scoring!BB464</f>
        <v/>
      </c>
      <c r="I458" s="154" t="str">
        <f aca="false">Scoring!BA464</f>
        <v/>
      </c>
    </row>
    <row r="459" customFormat="false" ht="15.75" hidden="false" customHeight="false" outlineLevel="0" collapsed="false">
      <c r="A459" s="152" t="str">
        <f aca="false">Scoring!BD465</f>
        <v/>
      </c>
      <c r="B459" s="152" t="str">
        <f aca="false">Scoring!BC465</f>
        <v/>
      </c>
      <c r="C459" s="152" t="n">
        <f aca="false">Scoring!C465</f>
        <v>0</v>
      </c>
      <c r="D459" s="153" t="str">
        <f aca="false">Scoring!AZ465</f>
        <v/>
      </c>
      <c r="E459" s="152" t="str">
        <f aca="false">Scoring!AF465</f>
        <v/>
      </c>
      <c r="F459" s="152" t="n">
        <f aca="false">Scoring!B465</f>
        <v>0</v>
      </c>
      <c r="G459" s="152" t="n">
        <f aca="false">Scoring!D465</f>
        <v>0</v>
      </c>
      <c r="H459" s="152" t="str">
        <f aca="false">Scoring!BB465</f>
        <v/>
      </c>
      <c r="I459" s="154" t="str">
        <f aca="false">Scoring!BA465</f>
        <v/>
      </c>
    </row>
    <row r="460" customFormat="false" ht="15.75" hidden="false" customHeight="false" outlineLevel="0" collapsed="false">
      <c r="A460" s="152" t="str">
        <f aca="false">Scoring!BD466</f>
        <v/>
      </c>
      <c r="B460" s="152" t="str">
        <f aca="false">Scoring!BC466</f>
        <v/>
      </c>
      <c r="C460" s="152" t="n">
        <f aca="false">Scoring!C466</f>
        <v>0</v>
      </c>
      <c r="D460" s="153" t="str">
        <f aca="false">Scoring!AZ466</f>
        <v/>
      </c>
      <c r="E460" s="152" t="str">
        <f aca="false">Scoring!AF466</f>
        <v/>
      </c>
      <c r="F460" s="152" t="n">
        <f aca="false">Scoring!B466</f>
        <v>0</v>
      </c>
      <c r="G460" s="152" t="n">
        <f aca="false">Scoring!D466</f>
        <v>0</v>
      </c>
      <c r="H460" s="152" t="str">
        <f aca="false">Scoring!BB466</f>
        <v/>
      </c>
      <c r="I460" s="154" t="str">
        <f aca="false">Scoring!BA466</f>
        <v/>
      </c>
    </row>
    <row r="461" customFormat="false" ht="15.75" hidden="false" customHeight="false" outlineLevel="0" collapsed="false">
      <c r="A461" s="152" t="str">
        <f aca="false">Scoring!BD467</f>
        <v/>
      </c>
      <c r="B461" s="152" t="str">
        <f aca="false">Scoring!BC467</f>
        <v/>
      </c>
      <c r="C461" s="152" t="n">
        <f aca="false">Scoring!C467</f>
        <v>0</v>
      </c>
      <c r="D461" s="153" t="str">
        <f aca="false">Scoring!AZ467</f>
        <v/>
      </c>
      <c r="E461" s="152" t="str">
        <f aca="false">Scoring!AF467</f>
        <v/>
      </c>
      <c r="F461" s="152" t="n">
        <f aca="false">Scoring!B467</f>
        <v>0</v>
      </c>
      <c r="G461" s="152" t="n">
        <f aca="false">Scoring!D467</f>
        <v>0</v>
      </c>
      <c r="H461" s="152" t="str">
        <f aca="false">Scoring!BB467</f>
        <v/>
      </c>
      <c r="I461" s="154" t="str">
        <f aca="false">Scoring!BA467</f>
        <v/>
      </c>
    </row>
    <row r="462" customFormat="false" ht="15.75" hidden="false" customHeight="false" outlineLevel="0" collapsed="false">
      <c r="A462" s="152" t="str">
        <f aca="false">Scoring!BD468</f>
        <v/>
      </c>
      <c r="B462" s="152" t="str">
        <f aca="false">Scoring!BC468</f>
        <v/>
      </c>
      <c r="C462" s="152" t="n">
        <f aca="false">Scoring!C468</f>
        <v>0</v>
      </c>
      <c r="D462" s="153" t="str">
        <f aca="false">Scoring!AZ468</f>
        <v/>
      </c>
      <c r="E462" s="152" t="str">
        <f aca="false">Scoring!AF468</f>
        <v/>
      </c>
      <c r="F462" s="152" t="n">
        <f aca="false">Scoring!B468</f>
        <v>0</v>
      </c>
      <c r="G462" s="152" t="n">
        <f aca="false">Scoring!D468</f>
        <v>0</v>
      </c>
      <c r="H462" s="152" t="str">
        <f aca="false">Scoring!BB468</f>
        <v/>
      </c>
      <c r="I462" s="154" t="str">
        <f aca="false">Scoring!BA468</f>
        <v/>
      </c>
    </row>
    <row r="463" customFormat="false" ht="15.75" hidden="false" customHeight="false" outlineLevel="0" collapsed="false">
      <c r="A463" s="152" t="str">
        <f aca="false">Scoring!BD469</f>
        <v/>
      </c>
      <c r="B463" s="152" t="str">
        <f aca="false">Scoring!BC469</f>
        <v/>
      </c>
      <c r="C463" s="152" t="n">
        <f aca="false">Scoring!C469</f>
        <v>0</v>
      </c>
      <c r="D463" s="153" t="str">
        <f aca="false">Scoring!AZ469</f>
        <v/>
      </c>
      <c r="E463" s="152" t="str">
        <f aca="false">Scoring!AF469</f>
        <v/>
      </c>
      <c r="F463" s="152" t="n">
        <f aca="false">Scoring!B469</f>
        <v>0</v>
      </c>
      <c r="G463" s="152" t="n">
        <f aca="false">Scoring!D469</f>
        <v>0</v>
      </c>
      <c r="H463" s="152" t="str">
        <f aca="false">Scoring!BB469</f>
        <v/>
      </c>
      <c r="I463" s="154" t="str">
        <f aca="false">Scoring!BA469</f>
        <v/>
      </c>
    </row>
    <row r="464" customFormat="false" ht="15.75" hidden="false" customHeight="false" outlineLevel="0" collapsed="false">
      <c r="A464" s="152" t="str">
        <f aca="false">Scoring!BD470</f>
        <v/>
      </c>
      <c r="B464" s="152" t="str">
        <f aca="false">Scoring!BC470</f>
        <v/>
      </c>
      <c r="C464" s="152" t="n">
        <f aca="false">Scoring!C470</f>
        <v>0</v>
      </c>
      <c r="D464" s="153" t="str">
        <f aca="false">Scoring!AZ470</f>
        <v/>
      </c>
      <c r="E464" s="152" t="str">
        <f aca="false">Scoring!AF470</f>
        <v/>
      </c>
      <c r="F464" s="152" t="n">
        <f aca="false">Scoring!B470</f>
        <v>0</v>
      </c>
      <c r="G464" s="152" t="n">
        <f aca="false">Scoring!D470</f>
        <v>0</v>
      </c>
      <c r="H464" s="152" t="str">
        <f aca="false">Scoring!BB470</f>
        <v/>
      </c>
      <c r="I464" s="154" t="str">
        <f aca="false">Scoring!BA470</f>
        <v/>
      </c>
    </row>
    <row r="465" customFormat="false" ht="15.75" hidden="false" customHeight="false" outlineLevel="0" collapsed="false">
      <c r="A465" s="152" t="str">
        <f aca="false">Scoring!BD471</f>
        <v/>
      </c>
      <c r="B465" s="152" t="str">
        <f aca="false">Scoring!BC471</f>
        <v/>
      </c>
      <c r="C465" s="152" t="n">
        <f aca="false">Scoring!C471</f>
        <v>0</v>
      </c>
      <c r="D465" s="153" t="str">
        <f aca="false">Scoring!AZ471</f>
        <v/>
      </c>
      <c r="E465" s="152" t="str">
        <f aca="false">Scoring!AF471</f>
        <v/>
      </c>
      <c r="F465" s="152" t="n">
        <f aca="false">Scoring!B471</f>
        <v>0</v>
      </c>
      <c r="G465" s="152" t="n">
        <f aca="false">Scoring!D471</f>
        <v>0</v>
      </c>
      <c r="H465" s="152" t="str">
        <f aca="false">Scoring!BB471</f>
        <v/>
      </c>
      <c r="I465" s="154" t="str">
        <f aca="false">Scoring!BA471</f>
        <v/>
      </c>
    </row>
    <row r="466" customFormat="false" ht="15.75" hidden="false" customHeight="false" outlineLevel="0" collapsed="false">
      <c r="A466" s="152" t="str">
        <f aca="false">Scoring!BD472</f>
        <v/>
      </c>
      <c r="B466" s="152" t="str">
        <f aca="false">Scoring!BC472</f>
        <v/>
      </c>
      <c r="C466" s="152" t="n">
        <f aca="false">Scoring!C472</f>
        <v>0</v>
      </c>
      <c r="D466" s="153" t="str">
        <f aca="false">Scoring!AZ472</f>
        <v/>
      </c>
      <c r="E466" s="152" t="str">
        <f aca="false">Scoring!AF472</f>
        <v/>
      </c>
      <c r="F466" s="152" t="n">
        <f aca="false">Scoring!B472</f>
        <v>0</v>
      </c>
      <c r="G466" s="152" t="n">
        <f aca="false">Scoring!D472</f>
        <v>0</v>
      </c>
      <c r="H466" s="152" t="str">
        <f aca="false">Scoring!BB472</f>
        <v/>
      </c>
      <c r="I466" s="154" t="str">
        <f aca="false">Scoring!BA472</f>
        <v/>
      </c>
    </row>
    <row r="467" customFormat="false" ht="15.75" hidden="false" customHeight="false" outlineLevel="0" collapsed="false">
      <c r="A467" s="152" t="str">
        <f aca="false">Scoring!BD473</f>
        <v/>
      </c>
      <c r="B467" s="152" t="str">
        <f aca="false">Scoring!BC473</f>
        <v/>
      </c>
      <c r="C467" s="152" t="n">
        <f aca="false">Scoring!C473</f>
        <v>0</v>
      </c>
      <c r="D467" s="153" t="str">
        <f aca="false">Scoring!AZ473</f>
        <v/>
      </c>
      <c r="E467" s="152" t="str">
        <f aca="false">Scoring!AF473</f>
        <v/>
      </c>
      <c r="F467" s="152" t="n">
        <f aca="false">Scoring!B473</f>
        <v>0</v>
      </c>
      <c r="G467" s="152" t="n">
        <f aca="false">Scoring!D473</f>
        <v>0</v>
      </c>
      <c r="H467" s="152" t="str">
        <f aca="false">Scoring!BB473</f>
        <v/>
      </c>
      <c r="I467" s="154" t="str">
        <f aca="false">Scoring!BA473</f>
        <v/>
      </c>
    </row>
    <row r="468" customFormat="false" ht="15.75" hidden="false" customHeight="false" outlineLevel="0" collapsed="false">
      <c r="A468" s="152" t="str">
        <f aca="false">Scoring!BD474</f>
        <v/>
      </c>
      <c r="B468" s="152" t="str">
        <f aca="false">Scoring!BC474</f>
        <v/>
      </c>
      <c r="C468" s="152" t="n">
        <f aca="false">Scoring!C474</f>
        <v>0</v>
      </c>
      <c r="D468" s="153" t="str">
        <f aca="false">Scoring!AZ474</f>
        <v/>
      </c>
      <c r="E468" s="152" t="str">
        <f aca="false">Scoring!AF474</f>
        <v/>
      </c>
      <c r="F468" s="152" t="n">
        <f aca="false">Scoring!B474</f>
        <v>0</v>
      </c>
      <c r="G468" s="152" t="n">
        <f aca="false">Scoring!D474</f>
        <v>0</v>
      </c>
      <c r="H468" s="152" t="str">
        <f aca="false">Scoring!BB474</f>
        <v/>
      </c>
      <c r="I468" s="154" t="str">
        <f aca="false">Scoring!BA474</f>
        <v/>
      </c>
    </row>
    <row r="469" customFormat="false" ht="15.75" hidden="false" customHeight="false" outlineLevel="0" collapsed="false">
      <c r="A469" s="152" t="str">
        <f aca="false">Scoring!BD475</f>
        <v/>
      </c>
      <c r="B469" s="152" t="str">
        <f aca="false">Scoring!BC475</f>
        <v/>
      </c>
      <c r="C469" s="152" t="n">
        <f aca="false">Scoring!C475</f>
        <v>0</v>
      </c>
      <c r="D469" s="153" t="str">
        <f aca="false">Scoring!AZ475</f>
        <v/>
      </c>
      <c r="E469" s="152" t="str">
        <f aca="false">Scoring!AF475</f>
        <v/>
      </c>
      <c r="F469" s="152" t="n">
        <f aca="false">Scoring!B475</f>
        <v>0</v>
      </c>
      <c r="G469" s="152" t="n">
        <f aca="false">Scoring!D475</f>
        <v>0</v>
      </c>
      <c r="H469" s="152" t="str">
        <f aca="false">Scoring!BB475</f>
        <v/>
      </c>
      <c r="I469" s="154" t="str">
        <f aca="false">Scoring!BA475</f>
        <v/>
      </c>
    </row>
    <row r="470" customFormat="false" ht="15.75" hidden="false" customHeight="false" outlineLevel="0" collapsed="false">
      <c r="A470" s="152" t="str">
        <f aca="false">Scoring!BD476</f>
        <v/>
      </c>
      <c r="B470" s="152" t="str">
        <f aca="false">Scoring!BC476</f>
        <v/>
      </c>
      <c r="C470" s="152" t="n">
        <f aca="false">Scoring!C476</f>
        <v>0</v>
      </c>
      <c r="D470" s="153" t="str">
        <f aca="false">Scoring!AZ476</f>
        <v/>
      </c>
      <c r="E470" s="152" t="str">
        <f aca="false">Scoring!AF476</f>
        <v/>
      </c>
      <c r="F470" s="152" t="n">
        <f aca="false">Scoring!B476</f>
        <v>0</v>
      </c>
      <c r="G470" s="152" t="n">
        <f aca="false">Scoring!D476</f>
        <v>0</v>
      </c>
      <c r="H470" s="152" t="str">
        <f aca="false">Scoring!BB476</f>
        <v/>
      </c>
      <c r="I470" s="154" t="str">
        <f aca="false">Scoring!BA476</f>
        <v/>
      </c>
    </row>
    <row r="471" customFormat="false" ht="15.75" hidden="false" customHeight="false" outlineLevel="0" collapsed="false">
      <c r="A471" s="152" t="str">
        <f aca="false">Scoring!BD477</f>
        <v/>
      </c>
      <c r="B471" s="152" t="str">
        <f aca="false">Scoring!BC477</f>
        <v/>
      </c>
      <c r="C471" s="152" t="n">
        <f aca="false">Scoring!C477</f>
        <v>0</v>
      </c>
      <c r="D471" s="153" t="str">
        <f aca="false">Scoring!AZ477</f>
        <v/>
      </c>
      <c r="E471" s="152" t="str">
        <f aca="false">Scoring!AF477</f>
        <v/>
      </c>
      <c r="F471" s="152" t="n">
        <f aca="false">Scoring!B477</f>
        <v>0</v>
      </c>
      <c r="G471" s="152" t="n">
        <f aca="false">Scoring!D477</f>
        <v>0</v>
      </c>
      <c r="H471" s="152" t="str">
        <f aca="false">Scoring!BB477</f>
        <v/>
      </c>
      <c r="I471" s="154" t="str">
        <f aca="false">Scoring!BA477</f>
        <v/>
      </c>
    </row>
    <row r="472" customFormat="false" ht="15.75" hidden="false" customHeight="false" outlineLevel="0" collapsed="false">
      <c r="A472" s="152" t="str">
        <f aca="false">Scoring!BD478</f>
        <v/>
      </c>
      <c r="B472" s="152" t="str">
        <f aca="false">Scoring!BC478</f>
        <v/>
      </c>
      <c r="C472" s="152" t="n">
        <f aca="false">Scoring!C478</f>
        <v>0</v>
      </c>
      <c r="D472" s="153" t="str">
        <f aca="false">Scoring!AZ478</f>
        <v/>
      </c>
      <c r="E472" s="152" t="str">
        <f aca="false">Scoring!AF478</f>
        <v/>
      </c>
      <c r="F472" s="152" t="n">
        <f aca="false">Scoring!B478</f>
        <v>0</v>
      </c>
      <c r="G472" s="152" t="n">
        <f aca="false">Scoring!D478</f>
        <v>0</v>
      </c>
      <c r="H472" s="152" t="str">
        <f aca="false">Scoring!BB478</f>
        <v/>
      </c>
      <c r="I472" s="154" t="str">
        <f aca="false">Scoring!BA478</f>
        <v/>
      </c>
    </row>
    <row r="473" customFormat="false" ht="15.75" hidden="false" customHeight="false" outlineLevel="0" collapsed="false">
      <c r="A473" s="152" t="str">
        <f aca="false">Scoring!BD479</f>
        <v/>
      </c>
      <c r="B473" s="152" t="str">
        <f aca="false">Scoring!BC479</f>
        <v/>
      </c>
      <c r="C473" s="152" t="n">
        <f aca="false">Scoring!C479</f>
        <v>0</v>
      </c>
      <c r="D473" s="153" t="str">
        <f aca="false">Scoring!AZ479</f>
        <v/>
      </c>
      <c r="E473" s="152" t="str">
        <f aca="false">Scoring!AF479</f>
        <v/>
      </c>
      <c r="F473" s="152" t="n">
        <f aca="false">Scoring!B479</f>
        <v>0</v>
      </c>
      <c r="G473" s="152" t="n">
        <f aca="false">Scoring!D479</f>
        <v>0</v>
      </c>
      <c r="H473" s="152" t="str">
        <f aca="false">Scoring!BB479</f>
        <v/>
      </c>
      <c r="I473" s="154" t="str">
        <f aca="false">Scoring!BA479</f>
        <v/>
      </c>
    </row>
    <row r="474" customFormat="false" ht="15.75" hidden="false" customHeight="false" outlineLevel="0" collapsed="false">
      <c r="A474" s="152" t="str">
        <f aca="false">Scoring!BD480</f>
        <v/>
      </c>
      <c r="B474" s="152" t="str">
        <f aca="false">Scoring!BC480</f>
        <v/>
      </c>
      <c r="C474" s="152" t="n">
        <f aca="false">Scoring!C480</f>
        <v>0</v>
      </c>
      <c r="D474" s="153" t="str">
        <f aca="false">Scoring!AZ480</f>
        <v/>
      </c>
      <c r="E474" s="152" t="str">
        <f aca="false">Scoring!AF480</f>
        <v/>
      </c>
      <c r="F474" s="152" t="n">
        <f aca="false">Scoring!B480</f>
        <v>0</v>
      </c>
      <c r="G474" s="152" t="n">
        <f aca="false">Scoring!D480</f>
        <v>0</v>
      </c>
      <c r="H474" s="152" t="str">
        <f aca="false">Scoring!BB480</f>
        <v/>
      </c>
      <c r="I474" s="154" t="str">
        <f aca="false">Scoring!BA480</f>
        <v/>
      </c>
    </row>
    <row r="475" customFormat="false" ht="15.75" hidden="false" customHeight="false" outlineLevel="0" collapsed="false">
      <c r="A475" s="152" t="str">
        <f aca="false">Scoring!BD481</f>
        <v/>
      </c>
      <c r="B475" s="152" t="str">
        <f aca="false">Scoring!BC481</f>
        <v/>
      </c>
      <c r="C475" s="152" t="n">
        <f aca="false">Scoring!C481</f>
        <v>0</v>
      </c>
      <c r="D475" s="153" t="str">
        <f aca="false">Scoring!AZ481</f>
        <v/>
      </c>
      <c r="E475" s="152" t="str">
        <f aca="false">Scoring!AF481</f>
        <v/>
      </c>
      <c r="F475" s="152" t="n">
        <f aca="false">Scoring!B481</f>
        <v>0</v>
      </c>
      <c r="G475" s="152" t="n">
        <f aca="false">Scoring!D481</f>
        <v>0</v>
      </c>
      <c r="H475" s="152" t="str">
        <f aca="false">Scoring!BB481</f>
        <v/>
      </c>
      <c r="I475" s="154" t="str">
        <f aca="false">Scoring!BA481</f>
        <v/>
      </c>
    </row>
    <row r="476" customFormat="false" ht="15.75" hidden="false" customHeight="false" outlineLevel="0" collapsed="false">
      <c r="A476" s="152" t="str">
        <f aca="false">Scoring!BD482</f>
        <v/>
      </c>
      <c r="B476" s="152" t="str">
        <f aca="false">Scoring!BC482</f>
        <v/>
      </c>
      <c r="C476" s="152" t="n">
        <f aca="false">Scoring!C482</f>
        <v>0</v>
      </c>
      <c r="D476" s="153" t="str">
        <f aca="false">Scoring!AZ482</f>
        <v/>
      </c>
      <c r="E476" s="152" t="str">
        <f aca="false">Scoring!AF482</f>
        <v/>
      </c>
      <c r="F476" s="152" t="n">
        <f aca="false">Scoring!B482</f>
        <v>0</v>
      </c>
      <c r="G476" s="152" t="n">
        <f aca="false">Scoring!D482</f>
        <v>0</v>
      </c>
      <c r="H476" s="152" t="str">
        <f aca="false">Scoring!BB482</f>
        <v/>
      </c>
      <c r="I476" s="154" t="str">
        <f aca="false">Scoring!BA482</f>
        <v/>
      </c>
    </row>
    <row r="477" customFormat="false" ht="15.75" hidden="false" customHeight="false" outlineLevel="0" collapsed="false">
      <c r="A477" s="152" t="str">
        <f aca="false">Scoring!BD483</f>
        <v/>
      </c>
      <c r="B477" s="152" t="str">
        <f aca="false">Scoring!BC483</f>
        <v/>
      </c>
      <c r="C477" s="152" t="n">
        <f aca="false">Scoring!C483</f>
        <v>0</v>
      </c>
      <c r="D477" s="153" t="str">
        <f aca="false">Scoring!AZ483</f>
        <v/>
      </c>
      <c r="E477" s="152" t="str">
        <f aca="false">Scoring!AF483</f>
        <v/>
      </c>
      <c r="F477" s="152" t="n">
        <f aca="false">Scoring!B483</f>
        <v>0</v>
      </c>
      <c r="G477" s="152" t="n">
        <f aca="false">Scoring!D483</f>
        <v>0</v>
      </c>
      <c r="H477" s="152" t="str">
        <f aca="false">Scoring!BB483</f>
        <v/>
      </c>
      <c r="I477" s="154" t="str">
        <f aca="false">Scoring!BA483</f>
        <v/>
      </c>
    </row>
    <row r="478" customFormat="false" ht="15.75" hidden="false" customHeight="false" outlineLevel="0" collapsed="false">
      <c r="A478" s="152" t="str">
        <f aca="false">Scoring!BD484</f>
        <v/>
      </c>
      <c r="B478" s="152" t="str">
        <f aca="false">Scoring!BC484</f>
        <v/>
      </c>
      <c r="C478" s="152" t="n">
        <f aca="false">Scoring!C484</f>
        <v>0</v>
      </c>
      <c r="D478" s="153" t="str">
        <f aca="false">Scoring!AZ484</f>
        <v/>
      </c>
      <c r="E478" s="152" t="str">
        <f aca="false">Scoring!AF484</f>
        <v/>
      </c>
      <c r="F478" s="152" t="n">
        <f aca="false">Scoring!B484</f>
        <v>0</v>
      </c>
      <c r="G478" s="152" t="n">
        <f aca="false">Scoring!D484</f>
        <v>0</v>
      </c>
      <c r="H478" s="152" t="str">
        <f aca="false">Scoring!BB484</f>
        <v/>
      </c>
      <c r="I478" s="154" t="str">
        <f aca="false">Scoring!BA484</f>
        <v/>
      </c>
    </row>
    <row r="479" customFormat="false" ht="15.75" hidden="false" customHeight="false" outlineLevel="0" collapsed="false">
      <c r="A479" s="152" t="str">
        <f aca="false">Scoring!BD485</f>
        <v/>
      </c>
      <c r="B479" s="152" t="str">
        <f aca="false">Scoring!BC485</f>
        <v/>
      </c>
      <c r="C479" s="152" t="n">
        <f aca="false">Scoring!C485</f>
        <v>0</v>
      </c>
      <c r="D479" s="153" t="str">
        <f aca="false">Scoring!AZ485</f>
        <v/>
      </c>
      <c r="E479" s="152" t="str">
        <f aca="false">Scoring!AF485</f>
        <v/>
      </c>
      <c r="F479" s="152" t="n">
        <f aca="false">Scoring!B485</f>
        <v>0</v>
      </c>
      <c r="G479" s="152" t="n">
        <f aca="false">Scoring!D485</f>
        <v>0</v>
      </c>
      <c r="H479" s="152" t="str">
        <f aca="false">Scoring!BB485</f>
        <v/>
      </c>
      <c r="I479" s="154" t="str">
        <f aca="false">Scoring!BA485</f>
        <v/>
      </c>
    </row>
    <row r="480" customFormat="false" ht="15.75" hidden="false" customHeight="false" outlineLevel="0" collapsed="false">
      <c r="A480" s="152" t="str">
        <f aca="false">Scoring!BD486</f>
        <v/>
      </c>
      <c r="B480" s="152" t="str">
        <f aca="false">Scoring!BC486</f>
        <v/>
      </c>
      <c r="C480" s="152" t="n">
        <f aca="false">Scoring!C486</f>
        <v>0</v>
      </c>
      <c r="D480" s="153" t="str">
        <f aca="false">Scoring!AZ486</f>
        <v/>
      </c>
      <c r="E480" s="152" t="str">
        <f aca="false">Scoring!AF486</f>
        <v/>
      </c>
      <c r="F480" s="152" t="n">
        <f aca="false">Scoring!B486</f>
        <v>0</v>
      </c>
      <c r="G480" s="152" t="n">
        <f aca="false">Scoring!D486</f>
        <v>0</v>
      </c>
      <c r="H480" s="152" t="str">
        <f aca="false">Scoring!BB486</f>
        <v/>
      </c>
      <c r="I480" s="154" t="str">
        <f aca="false">Scoring!BA486</f>
        <v/>
      </c>
    </row>
    <row r="481" customFormat="false" ht="15.75" hidden="false" customHeight="false" outlineLevel="0" collapsed="false">
      <c r="A481" s="152" t="str">
        <f aca="false">Scoring!BD487</f>
        <v/>
      </c>
      <c r="B481" s="152" t="str">
        <f aca="false">Scoring!BC487</f>
        <v/>
      </c>
      <c r="C481" s="152" t="n">
        <f aca="false">Scoring!C487</f>
        <v>0</v>
      </c>
      <c r="D481" s="153" t="str">
        <f aca="false">Scoring!AZ487</f>
        <v/>
      </c>
      <c r="E481" s="152" t="str">
        <f aca="false">Scoring!AF487</f>
        <v/>
      </c>
      <c r="F481" s="152" t="n">
        <f aca="false">Scoring!B487</f>
        <v>0</v>
      </c>
      <c r="G481" s="152" t="n">
        <f aca="false">Scoring!D487</f>
        <v>0</v>
      </c>
      <c r="H481" s="152" t="str">
        <f aca="false">Scoring!BB487</f>
        <v/>
      </c>
      <c r="I481" s="154" t="str">
        <f aca="false">Scoring!BA487</f>
        <v/>
      </c>
    </row>
    <row r="482" customFormat="false" ht="15.75" hidden="false" customHeight="false" outlineLevel="0" collapsed="false">
      <c r="A482" s="152" t="str">
        <f aca="false">Scoring!BD488</f>
        <v/>
      </c>
      <c r="B482" s="152" t="str">
        <f aca="false">Scoring!BC488</f>
        <v/>
      </c>
      <c r="C482" s="152" t="n">
        <f aca="false">Scoring!C488</f>
        <v>0</v>
      </c>
      <c r="D482" s="153" t="str">
        <f aca="false">Scoring!AZ488</f>
        <v/>
      </c>
      <c r="E482" s="152" t="str">
        <f aca="false">Scoring!AF488</f>
        <v/>
      </c>
      <c r="F482" s="152" t="n">
        <f aca="false">Scoring!B488</f>
        <v>0</v>
      </c>
      <c r="G482" s="152" t="n">
        <f aca="false">Scoring!D488</f>
        <v>0</v>
      </c>
      <c r="H482" s="152" t="str">
        <f aca="false">Scoring!BB488</f>
        <v/>
      </c>
      <c r="I482" s="154" t="str">
        <f aca="false">Scoring!BA488</f>
        <v/>
      </c>
    </row>
    <row r="483" customFormat="false" ht="15.75" hidden="false" customHeight="false" outlineLevel="0" collapsed="false">
      <c r="A483" s="152" t="str">
        <f aca="false">Scoring!BD489</f>
        <v/>
      </c>
      <c r="B483" s="152" t="str">
        <f aca="false">Scoring!BC489</f>
        <v/>
      </c>
      <c r="C483" s="152" t="n">
        <f aca="false">Scoring!C489</f>
        <v>0</v>
      </c>
      <c r="D483" s="153" t="str">
        <f aca="false">Scoring!AZ489</f>
        <v/>
      </c>
      <c r="E483" s="152" t="str">
        <f aca="false">Scoring!AF489</f>
        <v/>
      </c>
      <c r="F483" s="152" t="n">
        <f aca="false">Scoring!B489</f>
        <v>0</v>
      </c>
      <c r="G483" s="152" t="n">
        <f aca="false">Scoring!D489</f>
        <v>0</v>
      </c>
      <c r="H483" s="152" t="str">
        <f aca="false">Scoring!BB489</f>
        <v/>
      </c>
      <c r="I483" s="154" t="str">
        <f aca="false">Scoring!BA489</f>
        <v/>
      </c>
    </row>
    <row r="484" customFormat="false" ht="15.75" hidden="false" customHeight="false" outlineLevel="0" collapsed="false">
      <c r="A484" s="152" t="str">
        <f aca="false">Scoring!BD490</f>
        <v/>
      </c>
      <c r="B484" s="152" t="str">
        <f aca="false">Scoring!BC490</f>
        <v/>
      </c>
      <c r="C484" s="152" t="n">
        <f aca="false">Scoring!C490</f>
        <v>0</v>
      </c>
      <c r="D484" s="153" t="str">
        <f aca="false">Scoring!AZ490</f>
        <v/>
      </c>
      <c r="E484" s="152" t="str">
        <f aca="false">Scoring!AF490</f>
        <v/>
      </c>
      <c r="F484" s="152" t="n">
        <f aca="false">Scoring!B490</f>
        <v>0</v>
      </c>
      <c r="G484" s="152" t="n">
        <f aca="false">Scoring!D490</f>
        <v>0</v>
      </c>
      <c r="H484" s="152" t="str">
        <f aca="false">Scoring!BB490</f>
        <v/>
      </c>
      <c r="I484" s="154" t="str">
        <f aca="false">Scoring!BA490</f>
        <v/>
      </c>
    </row>
    <row r="485" customFormat="false" ht="15.75" hidden="false" customHeight="false" outlineLevel="0" collapsed="false">
      <c r="A485" s="152" t="str">
        <f aca="false">Scoring!BD491</f>
        <v/>
      </c>
      <c r="B485" s="152" t="str">
        <f aca="false">Scoring!BC491</f>
        <v/>
      </c>
      <c r="C485" s="152" t="n">
        <f aca="false">Scoring!C491</f>
        <v>0</v>
      </c>
      <c r="D485" s="153" t="str">
        <f aca="false">Scoring!AZ491</f>
        <v/>
      </c>
      <c r="E485" s="152" t="str">
        <f aca="false">Scoring!AF491</f>
        <v/>
      </c>
      <c r="F485" s="152" t="n">
        <f aca="false">Scoring!B491</f>
        <v>0</v>
      </c>
      <c r="G485" s="152" t="n">
        <f aca="false">Scoring!D491</f>
        <v>0</v>
      </c>
      <c r="H485" s="152" t="str">
        <f aca="false">Scoring!BB491</f>
        <v/>
      </c>
      <c r="I485" s="154" t="str">
        <f aca="false">Scoring!BA491</f>
        <v/>
      </c>
    </row>
    <row r="486" customFormat="false" ht="15.75" hidden="false" customHeight="false" outlineLevel="0" collapsed="false">
      <c r="A486" s="152" t="str">
        <f aca="false">Scoring!BD492</f>
        <v/>
      </c>
      <c r="B486" s="152" t="str">
        <f aca="false">Scoring!BC492</f>
        <v/>
      </c>
      <c r="C486" s="152" t="n">
        <f aca="false">Scoring!C492</f>
        <v>0</v>
      </c>
      <c r="D486" s="153" t="str">
        <f aca="false">Scoring!AZ492</f>
        <v/>
      </c>
      <c r="E486" s="152" t="str">
        <f aca="false">Scoring!AF492</f>
        <v/>
      </c>
      <c r="F486" s="152" t="n">
        <f aca="false">Scoring!B492</f>
        <v>0</v>
      </c>
      <c r="G486" s="152" t="n">
        <f aca="false">Scoring!D492</f>
        <v>0</v>
      </c>
      <c r="H486" s="152" t="str">
        <f aca="false">Scoring!BB492</f>
        <v/>
      </c>
      <c r="I486" s="154" t="str">
        <f aca="false">Scoring!BA492</f>
        <v/>
      </c>
    </row>
    <row r="487" customFormat="false" ht="15.75" hidden="false" customHeight="false" outlineLevel="0" collapsed="false">
      <c r="A487" s="152" t="str">
        <f aca="false">Scoring!BD493</f>
        <v/>
      </c>
      <c r="B487" s="152" t="str">
        <f aca="false">Scoring!BC493</f>
        <v/>
      </c>
      <c r="C487" s="152" t="n">
        <f aca="false">Scoring!C493</f>
        <v>0</v>
      </c>
      <c r="D487" s="153" t="str">
        <f aca="false">Scoring!AZ493</f>
        <v/>
      </c>
      <c r="E487" s="152" t="str">
        <f aca="false">Scoring!AF493</f>
        <v/>
      </c>
      <c r="F487" s="152" t="n">
        <f aca="false">Scoring!B493</f>
        <v>0</v>
      </c>
      <c r="G487" s="152" t="n">
        <f aca="false">Scoring!D493</f>
        <v>0</v>
      </c>
      <c r="H487" s="152" t="str">
        <f aca="false">Scoring!BB493</f>
        <v/>
      </c>
      <c r="I487" s="154" t="str">
        <f aca="false">Scoring!BA493</f>
        <v/>
      </c>
    </row>
    <row r="488" customFormat="false" ht="15.75" hidden="false" customHeight="false" outlineLevel="0" collapsed="false">
      <c r="A488" s="152" t="str">
        <f aca="false">Scoring!BD494</f>
        <v/>
      </c>
      <c r="B488" s="152" t="str">
        <f aca="false">Scoring!BC494</f>
        <v/>
      </c>
      <c r="C488" s="152" t="n">
        <f aca="false">Scoring!C494</f>
        <v>0</v>
      </c>
      <c r="D488" s="153" t="str">
        <f aca="false">Scoring!AZ494</f>
        <v/>
      </c>
      <c r="E488" s="152" t="str">
        <f aca="false">Scoring!AF494</f>
        <v/>
      </c>
      <c r="F488" s="152" t="n">
        <f aca="false">Scoring!B494</f>
        <v>0</v>
      </c>
      <c r="G488" s="152" t="n">
        <f aca="false">Scoring!D494</f>
        <v>0</v>
      </c>
      <c r="H488" s="152" t="str">
        <f aca="false">Scoring!BB494</f>
        <v/>
      </c>
      <c r="I488" s="154" t="str">
        <f aca="false">Scoring!BA494</f>
        <v/>
      </c>
    </row>
    <row r="489" customFormat="false" ht="15.75" hidden="false" customHeight="false" outlineLevel="0" collapsed="false">
      <c r="A489" s="152" t="str">
        <f aca="false">Scoring!BD495</f>
        <v/>
      </c>
      <c r="B489" s="152" t="str">
        <f aca="false">Scoring!BC495</f>
        <v/>
      </c>
      <c r="C489" s="152" t="n">
        <f aca="false">Scoring!C495</f>
        <v>0</v>
      </c>
      <c r="D489" s="153" t="str">
        <f aca="false">Scoring!AZ495</f>
        <v/>
      </c>
      <c r="E489" s="152" t="str">
        <f aca="false">Scoring!AF495</f>
        <v/>
      </c>
      <c r="F489" s="152" t="n">
        <f aca="false">Scoring!B495</f>
        <v>0</v>
      </c>
      <c r="G489" s="152" t="n">
        <f aca="false">Scoring!D495</f>
        <v>0</v>
      </c>
      <c r="H489" s="152" t="str">
        <f aca="false">Scoring!BB495</f>
        <v/>
      </c>
      <c r="I489" s="154" t="str">
        <f aca="false">Scoring!BA495</f>
        <v/>
      </c>
    </row>
    <row r="490" customFormat="false" ht="15.75" hidden="false" customHeight="false" outlineLevel="0" collapsed="false">
      <c r="A490" s="152" t="str">
        <f aca="false">Scoring!BD496</f>
        <v/>
      </c>
      <c r="B490" s="152" t="str">
        <f aca="false">Scoring!BC496</f>
        <v/>
      </c>
      <c r="C490" s="152" t="n">
        <f aca="false">Scoring!C496</f>
        <v>0</v>
      </c>
      <c r="D490" s="153" t="str">
        <f aca="false">Scoring!AZ496</f>
        <v/>
      </c>
      <c r="E490" s="152" t="str">
        <f aca="false">Scoring!AF496</f>
        <v/>
      </c>
      <c r="F490" s="152" t="n">
        <f aca="false">Scoring!B496</f>
        <v>0</v>
      </c>
      <c r="G490" s="152" t="n">
        <f aca="false">Scoring!D496</f>
        <v>0</v>
      </c>
      <c r="H490" s="152" t="str">
        <f aca="false">Scoring!BB496</f>
        <v/>
      </c>
      <c r="I490" s="154" t="str">
        <f aca="false">Scoring!BA496</f>
        <v/>
      </c>
    </row>
    <row r="491" customFormat="false" ht="15.75" hidden="false" customHeight="false" outlineLevel="0" collapsed="false">
      <c r="A491" s="152" t="str">
        <f aca="false">Scoring!BD497</f>
        <v/>
      </c>
      <c r="B491" s="152" t="str">
        <f aca="false">Scoring!BC497</f>
        <v/>
      </c>
      <c r="C491" s="152" t="n">
        <f aca="false">Scoring!C497</f>
        <v>0</v>
      </c>
      <c r="D491" s="153" t="str">
        <f aca="false">Scoring!AZ497</f>
        <v/>
      </c>
      <c r="E491" s="152" t="str">
        <f aca="false">Scoring!AF497</f>
        <v/>
      </c>
      <c r="F491" s="152" t="n">
        <f aca="false">Scoring!B497</f>
        <v>0</v>
      </c>
      <c r="G491" s="152" t="n">
        <f aca="false">Scoring!D497</f>
        <v>0</v>
      </c>
      <c r="H491" s="152" t="str">
        <f aca="false">Scoring!BB497</f>
        <v/>
      </c>
      <c r="I491" s="154" t="str">
        <f aca="false">Scoring!BA497</f>
        <v/>
      </c>
    </row>
    <row r="492" customFormat="false" ht="15.75" hidden="false" customHeight="false" outlineLevel="0" collapsed="false">
      <c r="A492" s="152" t="str">
        <f aca="false">Scoring!BD498</f>
        <v/>
      </c>
      <c r="B492" s="152" t="str">
        <f aca="false">Scoring!BC498</f>
        <v/>
      </c>
      <c r="C492" s="152" t="n">
        <f aca="false">Scoring!C498</f>
        <v>0</v>
      </c>
      <c r="D492" s="153" t="str">
        <f aca="false">Scoring!AZ498</f>
        <v/>
      </c>
      <c r="E492" s="152" t="str">
        <f aca="false">Scoring!AF498</f>
        <v/>
      </c>
      <c r="F492" s="152" t="n">
        <f aca="false">Scoring!B498</f>
        <v>0</v>
      </c>
      <c r="G492" s="152" t="n">
        <f aca="false">Scoring!D498</f>
        <v>0</v>
      </c>
      <c r="H492" s="152" t="str">
        <f aca="false">Scoring!BB498</f>
        <v/>
      </c>
      <c r="I492" s="154" t="str">
        <f aca="false">Scoring!BA498</f>
        <v/>
      </c>
    </row>
    <row r="493" customFormat="false" ht="15.75" hidden="false" customHeight="false" outlineLevel="0" collapsed="false">
      <c r="A493" s="152" t="str">
        <f aca="false">Scoring!BD499</f>
        <v/>
      </c>
      <c r="B493" s="152" t="str">
        <f aca="false">Scoring!BC499</f>
        <v/>
      </c>
      <c r="C493" s="152" t="n">
        <f aca="false">Scoring!C499</f>
        <v>0</v>
      </c>
      <c r="D493" s="153" t="str">
        <f aca="false">Scoring!AZ499</f>
        <v/>
      </c>
      <c r="E493" s="152" t="str">
        <f aca="false">Scoring!AF499</f>
        <v/>
      </c>
      <c r="F493" s="152" t="n">
        <f aca="false">Scoring!B499</f>
        <v>0</v>
      </c>
      <c r="G493" s="152" t="n">
        <f aca="false">Scoring!D499</f>
        <v>0</v>
      </c>
      <c r="H493" s="152" t="str">
        <f aca="false">Scoring!BB499</f>
        <v/>
      </c>
      <c r="I493" s="154" t="str">
        <f aca="false">Scoring!BA499</f>
        <v/>
      </c>
    </row>
    <row r="494" customFormat="false" ht="15.75" hidden="false" customHeight="false" outlineLevel="0" collapsed="false">
      <c r="A494" s="152" t="str">
        <f aca="false">Scoring!BD500</f>
        <v/>
      </c>
      <c r="B494" s="152" t="str">
        <f aca="false">Scoring!BC500</f>
        <v/>
      </c>
      <c r="C494" s="152" t="n">
        <f aca="false">Scoring!C500</f>
        <v>0</v>
      </c>
      <c r="D494" s="153" t="str">
        <f aca="false">Scoring!AZ500</f>
        <v/>
      </c>
      <c r="E494" s="152" t="str">
        <f aca="false">Scoring!AF500</f>
        <v/>
      </c>
      <c r="F494" s="152" t="n">
        <f aca="false">Scoring!B500</f>
        <v>0</v>
      </c>
      <c r="G494" s="152" t="n">
        <f aca="false">Scoring!D500</f>
        <v>0</v>
      </c>
      <c r="H494" s="152" t="str">
        <f aca="false">Scoring!BB500</f>
        <v/>
      </c>
      <c r="I494" s="154" t="str">
        <f aca="false">Scoring!BA500</f>
        <v/>
      </c>
    </row>
    <row r="495" customFormat="false" ht="15.75" hidden="false" customHeight="false" outlineLevel="0" collapsed="false">
      <c r="A495" s="152" t="str">
        <f aca="false">Scoring!BD501</f>
        <v/>
      </c>
      <c r="B495" s="152" t="str">
        <f aca="false">Scoring!BC501</f>
        <v/>
      </c>
      <c r="C495" s="152" t="n">
        <f aca="false">Scoring!C501</f>
        <v>0</v>
      </c>
      <c r="D495" s="153" t="str">
        <f aca="false">Scoring!AZ501</f>
        <v/>
      </c>
      <c r="E495" s="152" t="str">
        <f aca="false">Scoring!AF501</f>
        <v/>
      </c>
      <c r="F495" s="152" t="n">
        <f aca="false">Scoring!B501</f>
        <v>0</v>
      </c>
      <c r="G495" s="152" t="n">
        <f aca="false">Scoring!D501</f>
        <v>0</v>
      </c>
      <c r="H495" s="152" t="str">
        <f aca="false">Scoring!BB501</f>
        <v/>
      </c>
      <c r="I495" s="154" t="str">
        <f aca="false">Scoring!BA501</f>
        <v/>
      </c>
    </row>
    <row r="496" customFormat="false" ht="15.75" hidden="false" customHeight="false" outlineLevel="0" collapsed="false">
      <c r="A496" s="152" t="str">
        <f aca="false">Scoring!BD502</f>
        <v/>
      </c>
      <c r="B496" s="152" t="str">
        <f aca="false">Scoring!BC502</f>
        <v/>
      </c>
      <c r="C496" s="152" t="n">
        <f aca="false">Scoring!C502</f>
        <v>0</v>
      </c>
      <c r="D496" s="153" t="str">
        <f aca="false">Scoring!AZ502</f>
        <v/>
      </c>
      <c r="E496" s="152" t="str">
        <f aca="false">Scoring!AF502</f>
        <v/>
      </c>
      <c r="F496" s="152" t="n">
        <f aca="false">Scoring!B502</f>
        <v>0</v>
      </c>
      <c r="G496" s="152" t="n">
        <f aca="false">Scoring!D502</f>
        <v>0</v>
      </c>
      <c r="H496" s="152" t="str">
        <f aca="false">Scoring!BB502</f>
        <v/>
      </c>
      <c r="I496" s="154" t="str">
        <f aca="false">Scoring!BA502</f>
        <v/>
      </c>
    </row>
    <row r="497" customFormat="false" ht="15.75" hidden="false" customHeight="false" outlineLevel="0" collapsed="false">
      <c r="A497" s="152" t="str">
        <f aca="false">Scoring!BD503</f>
        <v/>
      </c>
      <c r="B497" s="152" t="str">
        <f aca="false">Scoring!BC503</f>
        <v/>
      </c>
      <c r="C497" s="152" t="n">
        <f aca="false">Scoring!C503</f>
        <v>0</v>
      </c>
      <c r="D497" s="153" t="str">
        <f aca="false">Scoring!AZ503</f>
        <v/>
      </c>
      <c r="E497" s="152" t="str">
        <f aca="false">Scoring!AF503</f>
        <v/>
      </c>
      <c r="F497" s="152" t="n">
        <f aca="false">Scoring!B503</f>
        <v>0</v>
      </c>
      <c r="G497" s="152" t="n">
        <f aca="false">Scoring!D503</f>
        <v>0</v>
      </c>
      <c r="H497" s="152" t="str">
        <f aca="false">Scoring!BB503</f>
        <v/>
      </c>
      <c r="I497" s="154" t="str">
        <f aca="false">Scoring!BA503</f>
        <v/>
      </c>
    </row>
    <row r="498" customFormat="false" ht="15.75" hidden="false" customHeight="false" outlineLevel="0" collapsed="false">
      <c r="A498" s="152" t="str">
        <f aca="false">Scoring!BD504</f>
        <v/>
      </c>
      <c r="B498" s="152" t="str">
        <f aca="false">Scoring!BC504</f>
        <v/>
      </c>
      <c r="C498" s="152" t="n">
        <f aca="false">Scoring!C504</f>
        <v>0</v>
      </c>
      <c r="D498" s="153" t="str">
        <f aca="false">Scoring!AZ504</f>
        <v/>
      </c>
      <c r="E498" s="152" t="str">
        <f aca="false">Scoring!AF504</f>
        <v/>
      </c>
      <c r="F498" s="152" t="n">
        <f aca="false">Scoring!B504</f>
        <v>0</v>
      </c>
      <c r="G498" s="152" t="n">
        <f aca="false">Scoring!D504</f>
        <v>0</v>
      </c>
      <c r="H498" s="152" t="str">
        <f aca="false">Scoring!BB504</f>
        <v/>
      </c>
      <c r="I498" s="154" t="str">
        <f aca="false">Scoring!BA504</f>
        <v/>
      </c>
    </row>
    <row r="499" customFormat="false" ht="15.75" hidden="false" customHeight="false" outlineLevel="0" collapsed="false">
      <c r="A499" s="152" t="str">
        <f aca="false">Scoring!BD505</f>
        <v/>
      </c>
      <c r="B499" s="152" t="str">
        <f aca="false">Scoring!BC505</f>
        <v/>
      </c>
      <c r="C499" s="152" t="n">
        <f aca="false">Scoring!C505</f>
        <v>0</v>
      </c>
      <c r="D499" s="153" t="str">
        <f aca="false">Scoring!AZ505</f>
        <v/>
      </c>
      <c r="E499" s="152" t="str">
        <f aca="false">Scoring!AF505</f>
        <v/>
      </c>
      <c r="F499" s="152" t="n">
        <f aca="false">Scoring!B505</f>
        <v>0</v>
      </c>
      <c r="G499" s="152" t="n">
        <f aca="false">Scoring!D505</f>
        <v>0</v>
      </c>
      <c r="H499" s="152" t="str">
        <f aca="false">Scoring!BB505</f>
        <v/>
      </c>
      <c r="I499" s="154" t="str">
        <f aca="false">Scoring!BA505</f>
        <v/>
      </c>
    </row>
    <row r="500" customFormat="false" ht="15.75" hidden="false" customHeight="false" outlineLevel="0" collapsed="false">
      <c r="A500" s="152" t="str">
        <f aca="false">Scoring!BD506</f>
        <v/>
      </c>
      <c r="B500" s="152" t="str">
        <f aca="false">Scoring!BC506</f>
        <v/>
      </c>
      <c r="C500" s="152" t="n">
        <f aca="false">Scoring!C506</f>
        <v>0</v>
      </c>
      <c r="D500" s="153" t="str">
        <f aca="false">Scoring!AZ506</f>
        <v/>
      </c>
      <c r="E500" s="152" t="str">
        <f aca="false">Scoring!AF506</f>
        <v/>
      </c>
      <c r="F500" s="152" t="n">
        <f aca="false">Scoring!B506</f>
        <v>0</v>
      </c>
      <c r="G500" s="152" t="n">
        <f aca="false">Scoring!D506</f>
        <v>0</v>
      </c>
      <c r="H500" s="152" t="str">
        <f aca="false">Scoring!BB506</f>
        <v/>
      </c>
      <c r="I500" s="154" t="str">
        <f aca="false">Scoring!BA506</f>
        <v/>
      </c>
    </row>
    <row r="501" customFormat="false" ht="15.75" hidden="false" customHeight="false" outlineLevel="0" collapsed="false">
      <c r="A501" s="152" t="str">
        <f aca="false">Scoring!BD507</f>
        <v/>
      </c>
      <c r="B501" s="152" t="str">
        <f aca="false">Scoring!BC507</f>
        <v/>
      </c>
      <c r="C501" s="152" t="n">
        <f aca="false">Scoring!C507</f>
        <v>0</v>
      </c>
      <c r="D501" s="153" t="str">
        <f aca="false">Scoring!AZ507</f>
        <v/>
      </c>
      <c r="E501" s="152" t="str">
        <f aca="false">Scoring!AF507</f>
        <v/>
      </c>
      <c r="F501" s="152" t="n">
        <f aca="false">Scoring!B507</f>
        <v>0</v>
      </c>
      <c r="G501" s="152" t="n">
        <f aca="false">Scoring!D507</f>
        <v>0</v>
      </c>
      <c r="H501" s="152" t="str">
        <f aca="false">Scoring!BB507</f>
        <v/>
      </c>
      <c r="I501" s="154" t="str">
        <f aca="false">Scoring!BA507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2026-09-23T23:30:10Z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